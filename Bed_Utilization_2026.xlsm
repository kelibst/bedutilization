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6E5C603D-14BB-4D6E-A9DF-C54DE01114C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</sheets>
  <functionGroups builtInGroupCount="19"/>
  <calcPr calcId="181029"/>
</workbook>
</file>

<file path=xl/calcChain.xml><?xml version="1.0" encoding="utf-8"?>
<calcChain xmlns="http://schemas.openxmlformats.org/spreadsheetml/2006/main">
  <c r="CF15" i="16" l="1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J179" i="15"/>
  <c r="I179" i="15"/>
  <c r="E179" i="15"/>
  <c r="B179" i="15"/>
  <c r="P177" i="15"/>
  <c r="J177" i="15"/>
  <c r="I177" i="15"/>
  <c r="H177" i="15"/>
  <c r="K177" i="15" s="1"/>
  <c r="G177" i="15"/>
  <c r="F177" i="15"/>
  <c r="E177" i="15"/>
  <c r="N177" i="15" s="1"/>
  <c r="D177" i="15"/>
  <c r="C177" i="15"/>
  <c r="B177" i="15"/>
  <c r="O176" i="15"/>
  <c r="K176" i="15"/>
  <c r="J176" i="15"/>
  <c r="I176" i="15"/>
  <c r="H176" i="15"/>
  <c r="G176" i="15"/>
  <c r="F176" i="15"/>
  <c r="E176" i="15"/>
  <c r="D176" i="15"/>
  <c r="D179" i="15" s="1"/>
  <c r="C176" i="15"/>
  <c r="B176" i="15"/>
  <c r="K175" i="15"/>
  <c r="J175" i="15"/>
  <c r="I175" i="15"/>
  <c r="H175" i="15"/>
  <c r="G175" i="15"/>
  <c r="F175" i="15"/>
  <c r="E175" i="15"/>
  <c r="M175" i="15" s="1"/>
  <c r="D175" i="15"/>
  <c r="C175" i="15"/>
  <c r="O175" i="15" s="1"/>
  <c r="B175" i="15"/>
  <c r="J174" i="15"/>
  <c r="I174" i="15"/>
  <c r="H174" i="15"/>
  <c r="K174" i="15" s="1"/>
  <c r="G174" i="15"/>
  <c r="F174" i="15"/>
  <c r="E174" i="15"/>
  <c r="N174" i="15" s="1"/>
  <c r="D174" i="15"/>
  <c r="P174" i="15" s="1"/>
  <c r="C174" i="15"/>
  <c r="B174" i="15"/>
  <c r="P173" i="15"/>
  <c r="J173" i="15"/>
  <c r="I173" i="15"/>
  <c r="H173" i="15"/>
  <c r="O173" i="15" s="1"/>
  <c r="G173" i="15"/>
  <c r="F173" i="15"/>
  <c r="E173" i="15"/>
  <c r="N173" i="15" s="1"/>
  <c r="D173" i="15"/>
  <c r="C173" i="15"/>
  <c r="B173" i="15"/>
  <c r="O172" i="15"/>
  <c r="K172" i="15"/>
  <c r="J172" i="15"/>
  <c r="I172" i="15"/>
  <c r="H172" i="15"/>
  <c r="L172" i="15" s="1"/>
  <c r="G172" i="15"/>
  <c r="F172" i="15"/>
  <c r="E172" i="15"/>
  <c r="D172" i="15"/>
  <c r="C172" i="15"/>
  <c r="M172" i="15" s="1"/>
  <c r="B172" i="15"/>
  <c r="O171" i="15"/>
  <c r="N171" i="15"/>
  <c r="K171" i="15"/>
  <c r="J171" i="15"/>
  <c r="I171" i="15"/>
  <c r="H171" i="15"/>
  <c r="L171" i="15" s="1"/>
  <c r="G171" i="15"/>
  <c r="F171" i="15"/>
  <c r="P171" i="15" s="1"/>
  <c r="E171" i="15"/>
  <c r="M171" i="15" s="1"/>
  <c r="D171" i="15"/>
  <c r="C171" i="15"/>
  <c r="B171" i="15"/>
  <c r="P170" i="15"/>
  <c r="M170" i="15"/>
  <c r="J170" i="15"/>
  <c r="I170" i="15"/>
  <c r="I178" i="15" s="1"/>
  <c r="H170" i="15"/>
  <c r="G170" i="15"/>
  <c r="F170" i="15"/>
  <c r="E170" i="15"/>
  <c r="N170" i="15" s="1"/>
  <c r="D170" i="15"/>
  <c r="C170" i="15"/>
  <c r="B170" i="15"/>
  <c r="O169" i="15"/>
  <c r="L169" i="15"/>
  <c r="J169" i="15"/>
  <c r="I169" i="15"/>
  <c r="H169" i="15"/>
  <c r="K169" i="15" s="1"/>
  <c r="G169" i="15"/>
  <c r="G178" i="15" s="1"/>
  <c r="F169" i="15"/>
  <c r="E169" i="15"/>
  <c r="N169" i="15" s="1"/>
  <c r="D169" i="15"/>
  <c r="C169" i="15"/>
  <c r="M169" i="15" s="1"/>
  <c r="B169" i="15"/>
  <c r="J164" i="15"/>
  <c r="G164" i="15"/>
  <c r="F164" i="15"/>
  <c r="B164" i="15"/>
  <c r="M162" i="15"/>
  <c r="L162" i="15"/>
  <c r="J162" i="15"/>
  <c r="I162" i="15"/>
  <c r="H162" i="15"/>
  <c r="K162" i="15" s="1"/>
  <c r="G162" i="15"/>
  <c r="F162" i="15"/>
  <c r="E162" i="15"/>
  <c r="N162" i="15" s="1"/>
  <c r="D162" i="15"/>
  <c r="P162" i="15" s="1"/>
  <c r="C162" i="15"/>
  <c r="B162" i="15"/>
  <c r="L161" i="15"/>
  <c r="K161" i="15"/>
  <c r="J161" i="15"/>
  <c r="I161" i="15"/>
  <c r="I164" i="15" s="1"/>
  <c r="H161" i="15"/>
  <c r="G161" i="15"/>
  <c r="F161" i="15"/>
  <c r="E161" i="15"/>
  <c r="D161" i="15"/>
  <c r="D164" i="15" s="1"/>
  <c r="C161" i="15"/>
  <c r="M161" i="15" s="1"/>
  <c r="B161" i="15"/>
  <c r="K160" i="15"/>
  <c r="J160" i="15"/>
  <c r="I160" i="15"/>
  <c r="H160" i="15"/>
  <c r="L160" i="15" s="1"/>
  <c r="G160" i="15"/>
  <c r="F160" i="15"/>
  <c r="P160" i="15" s="1"/>
  <c r="E160" i="15"/>
  <c r="D160" i="15"/>
  <c r="C160" i="15"/>
  <c r="M160" i="15" s="1"/>
  <c r="B160" i="15"/>
  <c r="O159" i="15"/>
  <c r="K159" i="15"/>
  <c r="J159" i="15"/>
  <c r="I159" i="15"/>
  <c r="H159" i="15"/>
  <c r="G159" i="15"/>
  <c r="F159" i="15"/>
  <c r="N159" i="15" s="1"/>
  <c r="E159" i="15"/>
  <c r="D159" i="15"/>
  <c r="C159" i="15"/>
  <c r="B159" i="15"/>
  <c r="P158" i="15"/>
  <c r="J158" i="15"/>
  <c r="I158" i="15"/>
  <c r="H158" i="15"/>
  <c r="G158" i="15"/>
  <c r="F158" i="15"/>
  <c r="E158" i="15"/>
  <c r="N158" i="15" s="1"/>
  <c r="D158" i="15"/>
  <c r="C158" i="15"/>
  <c r="B158" i="15"/>
  <c r="P157" i="15"/>
  <c r="J157" i="15"/>
  <c r="I157" i="15"/>
  <c r="H157" i="15"/>
  <c r="K157" i="15" s="1"/>
  <c r="G157" i="15"/>
  <c r="F157" i="15"/>
  <c r="E157" i="15"/>
  <c r="N157" i="15" s="1"/>
  <c r="D157" i="15"/>
  <c r="C157" i="15"/>
  <c r="B157" i="15"/>
  <c r="O156" i="15"/>
  <c r="K156" i="15"/>
  <c r="J156" i="15"/>
  <c r="I156" i="15"/>
  <c r="H156" i="15"/>
  <c r="G156" i="15"/>
  <c r="F156" i="15"/>
  <c r="F163" i="15" s="1"/>
  <c r="E156" i="15"/>
  <c r="D156" i="15"/>
  <c r="C156" i="15"/>
  <c r="B156" i="15"/>
  <c r="K155" i="15"/>
  <c r="J155" i="15"/>
  <c r="J163" i="15" s="1"/>
  <c r="I155" i="15"/>
  <c r="H155" i="15"/>
  <c r="G155" i="15"/>
  <c r="F155" i="15"/>
  <c r="E155" i="15"/>
  <c r="M155" i="15" s="1"/>
  <c r="D155" i="15"/>
  <c r="C155" i="15"/>
  <c r="B155" i="15"/>
  <c r="B163" i="15" s="1"/>
  <c r="J154" i="15"/>
  <c r="I154" i="15"/>
  <c r="I163" i="15" s="1"/>
  <c r="H154" i="15"/>
  <c r="K154" i="15" s="1"/>
  <c r="G154" i="15"/>
  <c r="F154" i="15"/>
  <c r="E154" i="15"/>
  <c r="N154" i="15" s="1"/>
  <c r="D154" i="15"/>
  <c r="C154" i="15"/>
  <c r="B154" i="15"/>
  <c r="G149" i="15"/>
  <c r="D149" i="15"/>
  <c r="C149" i="15"/>
  <c r="O147" i="15"/>
  <c r="K147" i="15"/>
  <c r="J147" i="15"/>
  <c r="I147" i="15"/>
  <c r="H147" i="15"/>
  <c r="G147" i="15"/>
  <c r="F147" i="15"/>
  <c r="E147" i="15"/>
  <c r="D147" i="15"/>
  <c r="C147" i="15"/>
  <c r="B147" i="15"/>
  <c r="P146" i="15"/>
  <c r="J146" i="15"/>
  <c r="I146" i="15"/>
  <c r="I149" i="15" s="1"/>
  <c r="H146" i="15"/>
  <c r="G146" i="15"/>
  <c r="F146" i="15"/>
  <c r="E146" i="15"/>
  <c r="D146" i="15"/>
  <c r="C146" i="15"/>
  <c r="B146" i="15"/>
  <c r="P145" i="15"/>
  <c r="O145" i="15"/>
  <c r="J145" i="15"/>
  <c r="I145" i="15"/>
  <c r="H145" i="15"/>
  <c r="K145" i="15" s="1"/>
  <c r="G145" i="15"/>
  <c r="F145" i="15"/>
  <c r="E145" i="15"/>
  <c r="N145" i="15" s="1"/>
  <c r="D145" i="15"/>
  <c r="C145" i="15"/>
  <c r="B145" i="15"/>
  <c r="O144" i="15"/>
  <c r="N144" i="15"/>
  <c r="K144" i="15"/>
  <c r="J144" i="15"/>
  <c r="I144" i="15"/>
  <c r="H144" i="15"/>
  <c r="G144" i="15"/>
  <c r="F144" i="15"/>
  <c r="E144" i="15"/>
  <c r="D144" i="15"/>
  <c r="C144" i="15"/>
  <c r="B144" i="15"/>
  <c r="K143" i="15"/>
  <c r="J143" i="15"/>
  <c r="I143" i="15"/>
  <c r="H143" i="15"/>
  <c r="G143" i="15"/>
  <c r="F143" i="15"/>
  <c r="E143" i="15"/>
  <c r="N143" i="15" s="1"/>
  <c r="D143" i="15"/>
  <c r="C143" i="15"/>
  <c r="O143" i="15" s="1"/>
  <c r="B143" i="15"/>
  <c r="P142" i="15"/>
  <c r="J142" i="15"/>
  <c r="I142" i="15"/>
  <c r="H142" i="15"/>
  <c r="G142" i="15"/>
  <c r="F142" i="15"/>
  <c r="E142" i="15"/>
  <c r="N142" i="15" s="1"/>
  <c r="D142" i="15"/>
  <c r="C142" i="15"/>
  <c r="B142" i="15"/>
  <c r="P141" i="15"/>
  <c r="O141" i="15"/>
  <c r="L141" i="15"/>
  <c r="K141" i="15"/>
  <c r="J141" i="15"/>
  <c r="I141" i="15"/>
  <c r="H141" i="15"/>
  <c r="G141" i="15"/>
  <c r="F141" i="15"/>
  <c r="E141" i="15"/>
  <c r="N141" i="15" s="1"/>
  <c r="D141" i="15"/>
  <c r="C141" i="15"/>
  <c r="M141" i="15" s="1"/>
  <c r="B141" i="15"/>
  <c r="O140" i="15"/>
  <c r="K140" i="15"/>
  <c r="J140" i="15"/>
  <c r="I140" i="15"/>
  <c r="H140" i="15"/>
  <c r="G140" i="15"/>
  <c r="G148" i="15" s="1"/>
  <c r="F140" i="15"/>
  <c r="N140" i="15" s="1"/>
  <c r="E140" i="15"/>
  <c r="D140" i="15"/>
  <c r="C140" i="15"/>
  <c r="B140" i="15"/>
  <c r="B148" i="15" s="1"/>
  <c r="O139" i="15"/>
  <c r="K139" i="15"/>
  <c r="J139" i="15"/>
  <c r="J148" i="15" s="1"/>
  <c r="I139" i="15"/>
  <c r="H139" i="15"/>
  <c r="G139" i="15"/>
  <c r="F139" i="15"/>
  <c r="E139" i="15"/>
  <c r="D139" i="15"/>
  <c r="C139" i="15"/>
  <c r="B139" i="15"/>
  <c r="I134" i="15"/>
  <c r="H134" i="15"/>
  <c r="D134" i="15"/>
  <c r="O132" i="15"/>
  <c r="K132" i="15"/>
  <c r="J132" i="15"/>
  <c r="I132" i="15"/>
  <c r="H132" i="15"/>
  <c r="G132" i="15"/>
  <c r="F132" i="15"/>
  <c r="N132" i="15" s="1"/>
  <c r="E132" i="15"/>
  <c r="D132" i="15"/>
  <c r="C132" i="15"/>
  <c r="B132" i="15"/>
  <c r="K131" i="15"/>
  <c r="J131" i="15"/>
  <c r="I131" i="15"/>
  <c r="H131" i="15"/>
  <c r="G131" i="15"/>
  <c r="F131" i="15"/>
  <c r="E131" i="15"/>
  <c r="D131" i="15"/>
  <c r="C131" i="15"/>
  <c r="C134" i="15" s="1"/>
  <c r="B131" i="15"/>
  <c r="P130" i="15"/>
  <c r="J130" i="15"/>
  <c r="I130" i="15"/>
  <c r="H130" i="15"/>
  <c r="M130" i="15" s="1"/>
  <c r="G130" i="15"/>
  <c r="F130" i="15"/>
  <c r="E130" i="15"/>
  <c r="N130" i="15" s="1"/>
  <c r="D130" i="15"/>
  <c r="C130" i="15"/>
  <c r="B130" i="15"/>
  <c r="P129" i="15"/>
  <c r="L129" i="15"/>
  <c r="K129" i="15"/>
  <c r="J129" i="15"/>
  <c r="I129" i="15"/>
  <c r="H129" i="15"/>
  <c r="O129" i="15" s="1"/>
  <c r="G129" i="15"/>
  <c r="F129" i="15"/>
  <c r="E129" i="15"/>
  <c r="D129" i="15"/>
  <c r="C129" i="15"/>
  <c r="M129" i="15" s="1"/>
  <c r="B129" i="15"/>
  <c r="K128" i="15"/>
  <c r="J128" i="15"/>
  <c r="I128" i="15"/>
  <c r="H128" i="15"/>
  <c r="G128" i="15"/>
  <c r="F128" i="15"/>
  <c r="N128" i="15" s="1"/>
  <c r="E128" i="15"/>
  <c r="D128" i="15"/>
  <c r="C128" i="15"/>
  <c r="B128" i="15"/>
  <c r="O127" i="15"/>
  <c r="M127" i="15"/>
  <c r="K127" i="15"/>
  <c r="J127" i="15"/>
  <c r="I127" i="15"/>
  <c r="H127" i="15"/>
  <c r="L127" i="15" s="1"/>
  <c r="G127" i="15"/>
  <c r="F127" i="15"/>
  <c r="P127" i="15" s="1"/>
  <c r="E127" i="15"/>
  <c r="N127" i="15" s="1"/>
  <c r="D127" i="15"/>
  <c r="C127" i="15"/>
  <c r="B127" i="15"/>
  <c r="M126" i="15"/>
  <c r="L126" i="15"/>
  <c r="J126" i="15"/>
  <c r="I126" i="15"/>
  <c r="H126" i="15"/>
  <c r="G126" i="15"/>
  <c r="F126" i="15"/>
  <c r="E126" i="15"/>
  <c r="N126" i="15" s="1"/>
  <c r="D126" i="15"/>
  <c r="P126" i="15" s="1"/>
  <c r="C126" i="15"/>
  <c r="B126" i="15"/>
  <c r="J125" i="15"/>
  <c r="I125" i="15"/>
  <c r="I133" i="15" s="1"/>
  <c r="H125" i="15"/>
  <c r="O125" i="15" s="1"/>
  <c r="G125" i="15"/>
  <c r="F125" i="15"/>
  <c r="E125" i="15"/>
  <c r="N125" i="15" s="1"/>
  <c r="D125" i="15"/>
  <c r="C125" i="15"/>
  <c r="B125" i="15"/>
  <c r="O124" i="15"/>
  <c r="N124" i="15"/>
  <c r="K124" i="15"/>
  <c r="J124" i="15"/>
  <c r="I124" i="15"/>
  <c r="H124" i="15"/>
  <c r="G124" i="15"/>
  <c r="G133" i="15" s="1"/>
  <c r="F124" i="15"/>
  <c r="E124" i="15"/>
  <c r="D124" i="15"/>
  <c r="C124" i="15"/>
  <c r="B124" i="15"/>
  <c r="I119" i="15"/>
  <c r="F119" i="15"/>
  <c r="E119" i="15"/>
  <c r="B119" i="15"/>
  <c r="L117" i="15"/>
  <c r="K117" i="15"/>
  <c r="J117" i="15"/>
  <c r="I117" i="15"/>
  <c r="H117" i="15"/>
  <c r="O117" i="15" s="1"/>
  <c r="G117" i="15"/>
  <c r="F117" i="15"/>
  <c r="E117" i="15"/>
  <c r="D117" i="15"/>
  <c r="C117" i="15"/>
  <c r="M117" i="15" s="1"/>
  <c r="B117" i="15"/>
  <c r="N116" i="15"/>
  <c r="J116" i="15"/>
  <c r="J119" i="15" s="1"/>
  <c r="I116" i="15"/>
  <c r="H116" i="15"/>
  <c r="G116" i="15"/>
  <c r="F116" i="15"/>
  <c r="P116" i="15" s="1"/>
  <c r="E116" i="15"/>
  <c r="D116" i="15"/>
  <c r="C116" i="15"/>
  <c r="B116" i="15"/>
  <c r="O115" i="15"/>
  <c r="K115" i="15"/>
  <c r="J115" i="15"/>
  <c r="I115" i="15"/>
  <c r="H115" i="15"/>
  <c r="G115" i="15"/>
  <c r="F115" i="15"/>
  <c r="P115" i="15" s="1"/>
  <c r="E115" i="15"/>
  <c r="D115" i="15"/>
  <c r="C115" i="15"/>
  <c r="B115" i="15"/>
  <c r="L114" i="15"/>
  <c r="J114" i="15"/>
  <c r="I114" i="15"/>
  <c r="H114" i="15"/>
  <c r="M114" i="15" s="1"/>
  <c r="G114" i="15"/>
  <c r="F114" i="15"/>
  <c r="P114" i="15" s="1"/>
  <c r="E114" i="15"/>
  <c r="N114" i="15" s="1"/>
  <c r="D114" i="15"/>
  <c r="C114" i="15"/>
  <c r="B114" i="15"/>
  <c r="J113" i="15"/>
  <c r="I113" i="15"/>
  <c r="H113" i="15"/>
  <c r="O113" i="15" s="1"/>
  <c r="G113" i="15"/>
  <c r="F113" i="15"/>
  <c r="E113" i="15"/>
  <c r="N113" i="15" s="1"/>
  <c r="D113" i="15"/>
  <c r="P113" i="15" s="1"/>
  <c r="C113" i="15"/>
  <c r="B113" i="15"/>
  <c r="O112" i="15"/>
  <c r="K112" i="15"/>
  <c r="J112" i="15"/>
  <c r="I112" i="15"/>
  <c r="H112" i="15"/>
  <c r="G112" i="15"/>
  <c r="F112" i="15"/>
  <c r="E112" i="15"/>
  <c r="D112" i="15"/>
  <c r="C112" i="15"/>
  <c r="B112" i="15"/>
  <c r="K111" i="15"/>
  <c r="J111" i="15"/>
  <c r="J118" i="15" s="1"/>
  <c r="I111" i="15"/>
  <c r="I118" i="15" s="1"/>
  <c r="H111" i="15"/>
  <c r="G111" i="15"/>
  <c r="F111" i="15"/>
  <c r="E111" i="15"/>
  <c r="D111" i="15"/>
  <c r="C111" i="15"/>
  <c r="O111" i="15" s="1"/>
  <c r="B111" i="15"/>
  <c r="P110" i="15"/>
  <c r="J110" i="15"/>
  <c r="I110" i="15"/>
  <c r="H110" i="15"/>
  <c r="G110" i="15"/>
  <c r="F110" i="15"/>
  <c r="E110" i="15"/>
  <c r="N110" i="15" s="1"/>
  <c r="D110" i="15"/>
  <c r="C110" i="15"/>
  <c r="B110" i="15"/>
  <c r="B118" i="15" s="1"/>
  <c r="P109" i="15"/>
  <c r="K109" i="15"/>
  <c r="J109" i="15"/>
  <c r="I109" i="15"/>
  <c r="H109" i="15"/>
  <c r="H118" i="15" s="1"/>
  <c r="G109" i="15"/>
  <c r="G118" i="15" s="1"/>
  <c r="F109" i="15"/>
  <c r="E109" i="15"/>
  <c r="D109" i="15"/>
  <c r="C109" i="15"/>
  <c r="B109" i="15"/>
  <c r="G104" i="15"/>
  <c r="F104" i="15"/>
  <c r="B104" i="15"/>
  <c r="I103" i="15"/>
  <c r="M102" i="15"/>
  <c r="L102" i="15"/>
  <c r="J102" i="15"/>
  <c r="J104" i="15" s="1"/>
  <c r="I102" i="15"/>
  <c r="H102" i="15"/>
  <c r="G102" i="15"/>
  <c r="F102" i="15"/>
  <c r="E102" i="15"/>
  <c r="N102" i="15" s="1"/>
  <c r="D102" i="15"/>
  <c r="C102" i="15"/>
  <c r="B102" i="15"/>
  <c r="P101" i="15"/>
  <c r="O101" i="15"/>
  <c r="J101" i="15"/>
  <c r="I101" i="15"/>
  <c r="I104" i="15" s="1"/>
  <c r="H101" i="15"/>
  <c r="L101" i="15" s="1"/>
  <c r="G101" i="15"/>
  <c r="F101" i="15"/>
  <c r="E101" i="15"/>
  <c r="D101" i="15"/>
  <c r="C101" i="15"/>
  <c r="C104" i="15" s="1"/>
  <c r="B101" i="15"/>
  <c r="P100" i="15"/>
  <c r="J100" i="15"/>
  <c r="I100" i="15"/>
  <c r="H100" i="15"/>
  <c r="G100" i="15"/>
  <c r="F100" i="15"/>
  <c r="E100" i="15"/>
  <c r="D100" i="15"/>
  <c r="C100" i="15"/>
  <c r="B100" i="15"/>
  <c r="N99" i="15"/>
  <c r="K99" i="15"/>
  <c r="J99" i="15"/>
  <c r="I99" i="15"/>
  <c r="H99" i="15"/>
  <c r="G99" i="15"/>
  <c r="F99" i="15"/>
  <c r="E99" i="15"/>
  <c r="D99" i="15"/>
  <c r="C99" i="15"/>
  <c r="O99" i="15" s="1"/>
  <c r="B99" i="15"/>
  <c r="J98" i="15"/>
  <c r="I98" i="15"/>
  <c r="H98" i="15"/>
  <c r="M98" i="15" s="1"/>
  <c r="G98" i="15"/>
  <c r="F98" i="15"/>
  <c r="E98" i="15"/>
  <c r="N98" i="15" s="1"/>
  <c r="D98" i="15"/>
  <c r="C98" i="15"/>
  <c r="B98" i="15"/>
  <c r="P97" i="15"/>
  <c r="J97" i="15"/>
  <c r="I97" i="15"/>
  <c r="H97" i="15"/>
  <c r="G97" i="15"/>
  <c r="G103" i="15" s="1"/>
  <c r="F97" i="15"/>
  <c r="E97" i="15"/>
  <c r="D97" i="15"/>
  <c r="C97" i="15"/>
  <c r="B97" i="15"/>
  <c r="O96" i="15"/>
  <c r="K96" i="15"/>
  <c r="J96" i="15"/>
  <c r="I96" i="15"/>
  <c r="H96" i="15"/>
  <c r="G96" i="15"/>
  <c r="F96" i="15"/>
  <c r="E96" i="15"/>
  <c r="D96" i="15"/>
  <c r="C96" i="15"/>
  <c r="B96" i="15"/>
  <c r="P95" i="15"/>
  <c r="M95" i="15"/>
  <c r="K95" i="15"/>
  <c r="J95" i="15"/>
  <c r="I95" i="15"/>
  <c r="H95" i="15"/>
  <c r="L95" i="15" s="1"/>
  <c r="G95" i="15"/>
  <c r="F95" i="15"/>
  <c r="E95" i="15"/>
  <c r="N95" i="15" s="1"/>
  <c r="D95" i="15"/>
  <c r="C95" i="15"/>
  <c r="C103" i="15" s="1"/>
  <c r="B95" i="15"/>
  <c r="O94" i="15"/>
  <c r="J94" i="15"/>
  <c r="I94" i="15"/>
  <c r="H94" i="15"/>
  <c r="M94" i="15" s="1"/>
  <c r="G94" i="15"/>
  <c r="F94" i="15"/>
  <c r="F103" i="15" s="1"/>
  <c r="E94" i="15"/>
  <c r="E103" i="15" s="1"/>
  <c r="D94" i="15"/>
  <c r="C94" i="15"/>
  <c r="B94" i="15"/>
  <c r="G89" i="15"/>
  <c r="D89" i="15"/>
  <c r="K87" i="15"/>
  <c r="J87" i="15"/>
  <c r="I87" i="15"/>
  <c r="H87" i="15"/>
  <c r="G87" i="15"/>
  <c r="F87" i="15"/>
  <c r="L87" i="15" s="1"/>
  <c r="E87" i="15"/>
  <c r="D87" i="15"/>
  <c r="C87" i="15"/>
  <c r="B87" i="15"/>
  <c r="J86" i="15"/>
  <c r="I86" i="15"/>
  <c r="I89" i="15" s="1"/>
  <c r="H86" i="15"/>
  <c r="H89" i="15" s="1"/>
  <c r="G86" i="15"/>
  <c r="F86" i="15"/>
  <c r="F89" i="15" s="1"/>
  <c r="E86" i="15"/>
  <c r="D86" i="15"/>
  <c r="C86" i="15"/>
  <c r="B86" i="15"/>
  <c r="P85" i="15"/>
  <c r="O85" i="15"/>
  <c r="L85" i="15"/>
  <c r="K85" i="15"/>
  <c r="J85" i="15"/>
  <c r="I85" i="15"/>
  <c r="H85" i="15"/>
  <c r="G85" i="15"/>
  <c r="F85" i="15"/>
  <c r="E85" i="15"/>
  <c r="D85" i="15"/>
  <c r="C85" i="15"/>
  <c r="M85" i="15" s="1"/>
  <c r="B85" i="15"/>
  <c r="N84" i="15"/>
  <c r="L84" i="15"/>
  <c r="J84" i="15"/>
  <c r="I84" i="15"/>
  <c r="H84" i="15"/>
  <c r="K84" i="15" s="1"/>
  <c r="G84" i="15"/>
  <c r="F84" i="15"/>
  <c r="E84" i="15"/>
  <c r="D84" i="15"/>
  <c r="C84" i="15"/>
  <c r="B84" i="15"/>
  <c r="K83" i="15"/>
  <c r="J83" i="15"/>
  <c r="J88" i="15" s="1"/>
  <c r="I83" i="15"/>
  <c r="H83" i="15"/>
  <c r="G83" i="15"/>
  <c r="F83" i="15"/>
  <c r="E83" i="15"/>
  <c r="D83" i="15"/>
  <c r="C83" i="15"/>
  <c r="B83" i="15"/>
  <c r="P83" i="15" s="1"/>
  <c r="J82" i="15"/>
  <c r="I82" i="15"/>
  <c r="H82" i="15"/>
  <c r="G82" i="15"/>
  <c r="F82" i="15"/>
  <c r="P82" i="15" s="1"/>
  <c r="E82" i="15"/>
  <c r="N82" i="15" s="1"/>
  <c r="D82" i="15"/>
  <c r="C82" i="15"/>
  <c r="B82" i="15"/>
  <c r="P81" i="15"/>
  <c r="J81" i="15"/>
  <c r="I81" i="15"/>
  <c r="H81" i="15"/>
  <c r="K81" i="15" s="1"/>
  <c r="G81" i="15"/>
  <c r="F81" i="15"/>
  <c r="E81" i="15"/>
  <c r="N81" i="15" s="1"/>
  <c r="D81" i="15"/>
  <c r="C81" i="15"/>
  <c r="B81" i="15"/>
  <c r="O80" i="15"/>
  <c r="N80" i="15"/>
  <c r="K80" i="15"/>
  <c r="J80" i="15"/>
  <c r="I80" i="15"/>
  <c r="H80" i="15"/>
  <c r="G80" i="15"/>
  <c r="F80" i="15"/>
  <c r="E80" i="15"/>
  <c r="D80" i="15"/>
  <c r="C80" i="15"/>
  <c r="B80" i="15"/>
  <c r="K79" i="15"/>
  <c r="J79" i="15"/>
  <c r="I79" i="15"/>
  <c r="I88" i="15" s="1"/>
  <c r="H79" i="15"/>
  <c r="G79" i="15"/>
  <c r="F79" i="15"/>
  <c r="E79" i="15"/>
  <c r="N79" i="15" s="1"/>
  <c r="D79" i="15"/>
  <c r="D88" i="15" s="1"/>
  <c r="C79" i="15"/>
  <c r="B79" i="15"/>
  <c r="K74" i="15"/>
  <c r="H74" i="15"/>
  <c r="F74" i="15"/>
  <c r="K72" i="15"/>
  <c r="J72" i="15"/>
  <c r="I72" i="15"/>
  <c r="H72" i="15"/>
  <c r="G72" i="15"/>
  <c r="F72" i="15"/>
  <c r="E72" i="15"/>
  <c r="D72" i="15"/>
  <c r="C72" i="15"/>
  <c r="M72" i="15" s="1"/>
  <c r="B72" i="15"/>
  <c r="M71" i="15"/>
  <c r="K71" i="15"/>
  <c r="J71" i="15"/>
  <c r="J74" i="15" s="1"/>
  <c r="I71" i="15"/>
  <c r="I74" i="15" s="1"/>
  <c r="H71" i="15"/>
  <c r="G71" i="15"/>
  <c r="F71" i="15"/>
  <c r="E71" i="15"/>
  <c r="D71" i="15"/>
  <c r="D74" i="15" s="1"/>
  <c r="P74" i="15" s="1"/>
  <c r="C71" i="15"/>
  <c r="B71" i="15"/>
  <c r="B74" i="15" s="1"/>
  <c r="J70" i="15"/>
  <c r="I70" i="15"/>
  <c r="H70" i="15"/>
  <c r="K70" i="15" s="1"/>
  <c r="G70" i="15"/>
  <c r="F70" i="15"/>
  <c r="E70" i="15"/>
  <c r="N70" i="15" s="1"/>
  <c r="D70" i="15"/>
  <c r="P70" i="15" s="1"/>
  <c r="C70" i="15"/>
  <c r="B70" i="15"/>
  <c r="L69" i="15"/>
  <c r="K69" i="15"/>
  <c r="J69" i="15"/>
  <c r="I69" i="15"/>
  <c r="H69" i="15"/>
  <c r="G69" i="15"/>
  <c r="F69" i="15"/>
  <c r="E69" i="15"/>
  <c r="D69" i="15"/>
  <c r="P69" i="15" s="1"/>
  <c r="C69" i="15"/>
  <c r="M69" i="15" s="1"/>
  <c r="B69" i="15"/>
  <c r="O68" i="15"/>
  <c r="K68" i="15"/>
  <c r="J68" i="15"/>
  <c r="I68" i="15"/>
  <c r="H68" i="15"/>
  <c r="L68" i="15" s="1"/>
  <c r="G68" i="15"/>
  <c r="F68" i="15"/>
  <c r="P68" i="15" s="1"/>
  <c r="E68" i="15"/>
  <c r="D68" i="15"/>
  <c r="C68" i="15"/>
  <c r="M68" i="15" s="1"/>
  <c r="B68" i="15"/>
  <c r="O67" i="15"/>
  <c r="J67" i="15"/>
  <c r="I67" i="15"/>
  <c r="H67" i="15"/>
  <c r="L67" i="15" s="1"/>
  <c r="G67" i="15"/>
  <c r="F67" i="15"/>
  <c r="E67" i="15"/>
  <c r="M67" i="15" s="1"/>
  <c r="D67" i="15"/>
  <c r="C67" i="15"/>
  <c r="B67" i="15"/>
  <c r="P66" i="15"/>
  <c r="J66" i="15"/>
  <c r="I66" i="15"/>
  <c r="H66" i="15"/>
  <c r="G66" i="15"/>
  <c r="F66" i="15"/>
  <c r="E66" i="15"/>
  <c r="N66" i="15" s="1"/>
  <c r="D66" i="15"/>
  <c r="C66" i="15"/>
  <c r="B66" i="15"/>
  <c r="L65" i="15"/>
  <c r="J65" i="15"/>
  <c r="I65" i="15"/>
  <c r="H65" i="15"/>
  <c r="K65" i="15" s="1"/>
  <c r="G65" i="15"/>
  <c r="F65" i="15"/>
  <c r="E65" i="15"/>
  <c r="N65" i="15" s="1"/>
  <c r="D65" i="15"/>
  <c r="D73" i="15" s="1"/>
  <c r="C65" i="15"/>
  <c r="M65" i="15" s="1"/>
  <c r="B65" i="15"/>
  <c r="O64" i="15"/>
  <c r="N64" i="15"/>
  <c r="K64" i="15"/>
  <c r="J64" i="15"/>
  <c r="J73" i="15" s="1"/>
  <c r="I64" i="15"/>
  <c r="H64" i="15"/>
  <c r="G64" i="15"/>
  <c r="G73" i="15" s="1"/>
  <c r="F64" i="15"/>
  <c r="E64" i="15"/>
  <c r="D64" i="15"/>
  <c r="C64" i="15"/>
  <c r="B64" i="15"/>
  <c r="B73" i="15" s="1"/>
  <c r="J59" i="15"/>
  <c r="F59" i="15"/>
  <c r="E59" i="15"/>
  <c r="B59" i="15"/>
  <c r="D58" i="15"/>
  <c r="L57" i="15"/>
  <c r="K57" i="15"/>
  <c r="J57" i="15"/>
  <c r="I57" i="15"/>
  <c r="I59" i="15" s="1"/>
  <c r="H57" i="15"/>
  <c r="G57" i="15"/>
  <c r="F57" i="15"/>
  <c r="E57" i="15"/>
  <c r="D57" i="15"/>
  <c r="P57" i="15" s="1"/>
  <c r="C57" i="15"/>
  <c r="M57" i="15" s="1"/>
  <c r="B57" i="15"/>
  <c r="O56" i="15"/>
  <c r="K56" i="15"/>
  <c r="J56" i="15"/>
  <c r="I56" i="15"/>
  <c r="H56" i="15"/>
  <c r="G56" i="15"/>
  <c r="G59" i="15" s="1"/>
  <c r="F56" i="15"/>
  <c r="P56" i="15" s="1"/>
  <c r="E56" i="15"/>
  <c r="D56" i="15"/>
  <c r="D59" i="15" s="1"/>
  <c r="C56" i="15"/>
  <c r="B56" i="15"/>
  <c r="O55" i="15"/>
  <c r="J55" i="15"/>
  <c r="I55" i="15"/>
  <c r="H55" i="15"/>
  <c r="L55" i="15" s="1"/>
  <c r="G55" i="15"/>
  <c r="F55" i="15"/>
  <c r="E55" i="15"/>
  <c r="M55" i="15" s="1"/>
  <c r="D55" i="15"/>
  <c r="C55" i="15"/>
  <c r="B55" i="15"/>
  <c r="P54" i="15"/>
  <c r="J54" i="15"/>
  <c r="I54" i="15"/>
  <c r="H54" i="15"/>
  <c r="G54" i="15"/>
  <c r="F54" i="15"/>
  <c r="E54" i="15"/>
  <c r="N54" i="15" s="1"/>
  <c r="D54" i="15"/>
  <c r="C54" i="15"/>
  <c r="B54" i="15"/>
  <c r="L53" i="15"/>
  <c r="J53" i="15"/>
  <c r="I53" i="15"/>
  <c r="H53" i="15"/>
  <c r="K53" i="15" s="1"/>
  <c r="G53" i="15"/>
  <c r="F53" i="15"/>
  <c r="E53" i="15"/>
  <c r="N53" i="15" s="1"/>
  <c r="D53" i="15"/>
  <c r="P53" i="15" s="1"/>
  <c r="C53" i="15"/>
  <c r="M53" i="15" s="1"/>
  <c r="B53" i="15"/>
  <c r="O52" i="15"/>
  <c r="N52" i="15"/>
  <c r="K52" i="15"/>
  <c r="J52" i="15"/>
  <c r="I52" i="15"/>
  <c r="H52" i="15"/>
  <c r="G52" i="15"/>
  <c r="F52" i="15"/>
  <c r="E52" i="15"/>
  <c r="D52" i="15"/>
  <c r="C52" i="15"/>
  <c r="M52" i="15" s="1"/>
  <c r="B52" i="15"/>
  <c r="K51" i="15"/>
  <c r="J51" i="15"/>
  <c r="I51" i="15"/>
  <c r="H51" i="15"/>
  <c r="G51" i="15"/>
  <c r="F51" i="15"/>
  <c r="P51" i="15" s="1"/>
  <c r="E51" i="15"/>
  <c r="M51" i="15" s="1"/>
  <c r="D51" i="15"/>
  <c r="C51" i="15"/>
  <c r="O51" i="15" s="1"/>
  <c r="B51" i="15"/>
  <c r="M50" i="15"/>
  <c r="L50" i="15"/>
  <c r="J50" i="15"/>
  <c r="I50" i="15"/>
  <c r="I58" i="15" s="1"/>
  <c r="H50" i="15"/>
  <c r="K50" i="15" s="1"/>
  <c r="G50" i="15"/>
  <c r="F50" i="15"/>
  <c r="E50" i="15"/>
  <c r="N50" i="15" s="1"/>
  <c r="D50" i="15"/>
  <c r="P50" i="15" s="1"/>
  <c r="C50" i="15"/>
  <c r="B50" i="15"/>
  <c r="P49" i="15"/>
  <c r="J49" i="15"/>
  <c r="J58" i="15" s="1"/>
  <c r="I49" i="15"/>
  <c r="H49" i="15"/>
  <c r="L49" i="15" s="1"/>
  <c r="G49" i="15"/>
  <c r="F49" i="15"/>
  <c r="E49" i="15"/>
  <c r="N49" i="15" s="1"/>
  <c r="D49" i="15"/>
  <c r="C49" i="15"/>
  <c r="B49" i="15"/>
  <c r="B58" i="15" s="1"/>
  <c r="J44" i="15"/>
  <c r="C44" i="15"/>
  <c r="B44" i="15"/>
  <c r="P42" i="15"/>
  <c r="J42" i="15"/>
  <c r="I42" i="15"/>
  <c r="H42" i="15"/>
  <c r="G42" i="15"/>
  <c r="F42" i="15"/>
  <c r="F44" i="15" s="1"/>
  <c r="E42" i="15"/>
  <c r="N42" i="15" s="1"/>
  <c r="D42" i="15"/>
  <c r="C42" i="15"/>
  <c r="B42" i="15"/>
  <c r="O41" i="15"/>
  <c r="J41" i="15"/>
  <c r="I41" i="15"/>
  <c r="I44" i="15" s="1"/>
  <c r="H41" i="15"/>
  <c r="G41" i="15"/>
  <c r="G44" i="15" s="1"/>
  <c r="F41" i="15"/>
  <c r="E41" i="15"/>
  <c r="N41" i="15" s="1"/>
  <c r="D41" i="15"/>
  <c r="D44" i="15" s="1"/>
  <c r="C41" i="15"/>
  <c r="B41" i="15"/>
  <c r="O40" i="15"/>
  <c r="K40" i="15"/>
  <c r="J40" i="15"/>
  <c r="I40" i="15"/>
  <c r="H40" i="15"/>
  <c r="G40" i="15"/>
  <c r="F40" i="15"/>
  <c r="N40" i="15" s="1"/>
  <c r="E40" i="15"/>
  <c r="D40" i="15"/>
  <c r="C40" i="15"/>
  <c r="M40" i="15" s="1"/>
  <c r="B40" i="15"/>
  <c r="M39" i="15"/>
  <c r="K39" i="15"/>
  <c r="J39" i="15"/>
  <c r="I39" i="15"/>
  <c r="H39" i="15"/>
  <c r="G39" i="15"/>
  <c r="F39" i="15"/>
  <c r="E39" i="15"/>
  <c r="D39" i="15"/>
  <c r="C39" i="15"/>
  <c r="O39" i="15" s="1"/>
  <c r="B39" i="15"/>
  <c r="P38" i="15"/>
  <c r="J38" i="15"/>
  <c r="I38" i="15"/>
  <c r="H38" i="15"/>
  <c r="G38" i="15"/>
  <c r="F38" i="15"/>
  <c r="E38" i="15"/>
  <c r="N38" i="15" s="1"/>
  <c r="D38" i="15"/>
  <c r="C38" i="15"/>
  <c r="B38" i="15"/>
  <c r="P37" i="15"/>
  <c r="O37" i="15"/>
  <c r="J37" i="15"/>
  <c r="I37" i="15"/>
  <c r="H37" i="15"/>
  <c r="L37" i="15" s="1"/>
  <c r="G37" i="15"/>
  <c r="F37" i="15"/>
  <c r="E37" i="15"/>
  <c r="N37" i="15" s="1"/>
  <c r="D37" i="15"/>
  <c r="C37" i="15"/>
  <c r="B37" i="15"/>
  <c r="O36" i="15"/>
  <c r="N36" i="15"/>
  <c r="J36" i="15"/>
  <c r="J43" i="15" s="1"/>
  <c r="I36" i="15"/>
  <c r="H36" i="15"/>
  <c r="L36" i="15" s="1"/>
  <c r="G36" i="15"/>
  <c r="F36" i="15"/>
  <c r="P36" i="15" s="1"/>
  <c r="E36" i="15"/>
  <c r="D36" i="15"/>
  <c r="C36" i="15"/>
  <c r="B36" i="15"/>
  <c r="B43" i="15" s="1"/>
  <c r="O35" i="15"/>
  <c r="J35" i="15"/>
  <c r="I35" i="15"/>
  <c r="H35" i="15"/>
  <c r="G35" i="15"/>
  <c r="F35" i="15"/>
  <c r="P35" i="15" s="1"/>
  <c r="E35" i="15"/>
  <c r="D35" i="15"/>
  <c r="C35" i="15"/>
  <c r="B35" i="15"/>
  <c r="L34" i="15"/>
  <c r="J34" i="15"/>
  <c r="I34" i="15"/>
  <c r="I43" i="15" s="1"/>
  <c r="H34" i="15"/>
  <c r="M34" i="15" s="1"/>
  <c r="G34" i="15"/>
  <c r="F34" i="15"/>
  <c r="F43" i="15" s="1"/>
  <c r="E34" i="15"/>
  <c r="D34" i="15"/>
  <c r="C34" i="15"/>
  <c r="C43" i="15" s="1"/>
  <c r="B34" i="15"/>
  <c r="G29" i="15"/>
  <c r="K27" i="15"/>
  <c r="J27" i="15"/>
  <c r="I27" i="15"/>
  <c r="H27" i="15"/>
  <c r="G27" i="15"/>
  <c r="F27" i="15"/>
  <c r="P27" i="15" s="1"/>
  <c r="E27" i="15"/>
  <c r="N27" i="15" s="1"/>
  <c r="D27" i="15"/>
  <c r="C27" i="15"/>
  <c r="O27" i="15" s="1"/>
  <c r="B27" i="15"/>
  <c r="K26" i="15"/>
  <c r="J26" i="15"/>
  <c r="I26" i="15"/>
  <c r="I29" i="15" s="1"/>
  <c r="H26" i="15"/>
  <c r="H29" i="15" s="1"/>
  <c r="G26" i="15"/>
  <c r="F26" i="15"/>
  <c r="F29" i="15" s="1"/>
  <c r="E26" i="15"/>
  <c r="E29" i="15" s="1"/>
  <c r="D26" i="15"/>
  <c r="D29" i="15" s="1"/>
  <c r="C26" i="15"/>
  <c r="M26" i="15" s="1"/>
  <c r="B26" i="15"/>
  <c r="O25" i="15"/>
  <c r="L25" i="15"/>
  <c r="J25" i="15"/>
  <c r="I25" i="15"/>
  <c r="H25" i="15"/>
  <c r="K25" i="15" s="1"/>
  <c r="G25" i="15"/>
  <c r="F25" i="15"/>
  <c r="E25" i="15"/>
  <c r="N25" i="15" s="1"/>
  <c r="D25" i="15"/>
  <c r="P25" i="15" s="1"/>
  <c r="C25" i="15"/>
  <c r="B25" i="15"/>
  <c r="P24" i="15"/>
  <c r="K24" i="15"/>
  <c r="J24" i="15"/>
  <c r="I24" i="15"/>
  <c r="H24" i="15"/>
  <c r="O24" i="15" s="1"/>
  <c r="G24" i="15"/>
  <c r="F24" i="15"/>
  <c r="N24" i="15" s="1"/>
  <c r="E24" i="15"/>
  <c r="D24" i="15"/>
  <c r="C24" i="15"/>
  <c r="M24" i="15" s="1"/>
  <c r="B24" i="15"/>
  <c r="O23" i="15"/>
  <c r="J23" i="15"/>
  <c r="I23" i="15"/>
  <c r="H23" i="15"/>
  <c r="L23" i="15" s="1"/>
  <c r="G23" i="15"/>
  <c r="F23" i="15"/>
  <c r="E23" i="15"/>
  <c r="N23" i="15" s="1"/>
  <c r="D23" i="15"/>
  <c r="C23" i="15"/>
  <c r="B23" i="15"/>
  <c r="P23" i="15" s="1"/>
  <c r="O22" i="15"/>
  <c r="K22" i="15"/>
  <c r="J22" i="15"/>
  <c r="I22" i="15"/>
  <c r="H22" i="15"/>
  <c r="G22" i="15"/>
  <c r="F22" i="15"/>
  <c r="P22" i="15" s="1"/>
  <c r="E22" i="15"/>
  <c r="D22" i="15"/>
  <c r="C22" i="15"/>
  <c r="M22" i="15" s="1"/>
  <c r="B22" i="15"/>
  <c r="P21" i="15"/>
  <c r="J21" i="15"/>
  <c r="I21" i="15"/>
  <c r="H21" i="15"/>
  <c r="O21" i="15" s="1"/>
  <c r="G21" i="15"/>
  <c r="F21" i="15"/>
  <c r="E21" i="15"/>
  <c r="N21" i="15" s="1"/>
  <c r="D21" i="15"/>
  <c r="C21" i="15"/>
  <c r="B21" i="15"/>
  <c r="O20" i="15"/>
  <c r="L20" i="15"/>
  <c r="J20" i="15"/>
  <c r="I20" i="15"/>
  <c r="H20" i="15"/>
  <c r="M20" i="15" s="1"/>
  <c r="G20" i="15"/>
  <c r="G28" i="15" s="1"/>
  <c r="F20" i="15"/>
  <c r="E20" i="15"/>
  <c r="N20" i="15" s="1"/>
  <c r="D20" i="15"/>
  <c r="P20" i="15" s="1"/>
  <c r="C20" i="15"/>
  <c r="B20" i="15"/>
  <c r="K19" i="15"/>
  <c r="J19" i="15"/>
  <c r="J28" i="15" s="1"/>
  <c r="I19" i="15"/>
  <c r="H19" i="15"/>
  <c r="H28" i="15" s="1"/>
  <c r="G19" i="15"/>
  <c r="F19" i="15"/>
  <c r="L19" i="15" s="1"/>
  <c r="E19" i="15"/>
  <c r="D19" i="15"/>
  <c r="D28" i="15" s="1"/>
  <c r="C19" i="15"/>
  <c r="M19" i="15" s="1"/>
  <c r="B19" i="15"/>
  <c r="E14" i="15"/>
  <c r="P12" i="15"/>
  <c r="K12" i="15"/>
  <c r="J12" i="15"/>
  <c r="I12" i="15"/>
  <c r="I14" i="15" s="1"/>
  <c r="H12" i="15"/>
  <c r="O12" i="15" s="1"/>
  <c r="G12" i="15"/>
  <c r="F12" i="15"/>
  <c r="N12" i="15" s="1"/>
  <c r="E12" i="15"/>
  <c r="D12" i="15"/>
  <c r="C12" i="15"/>
  <c r="M12" i="15" s="1"/>
  <c r="B12" i="15"/>
  <c r="O11" i="15"/>
  <c r="J11" i="15"/>
  <c r="J14" i="15" s="1"/>
  <c r="I11" i="15"/>
  <c r="H11" i="15"/>
  <c r="H14" i="15" s="1"/>
  <c r="G11" i="15"/>
  <c r="G14" i="15" s="1"/>
  <c r="F11" i="15"/>
  <c r="E11" i="15"/>
  <c r="N11" i="15" s="1"/>
  <c r="D11" i="15"/>
  <c r="D14" i="15" s="1"/>
  <c r="C11" i="15"/>
  <c r="C14" i="15" s="1"/>
  <c r="B11" i="15"/>
  <c r="P11" i="15" s="1"/>
  <c r="O10" i="15"/>
  <c r="K10" i="15"/>
  <c r="J10" i="15"/>
  <c r="I10" i="15"/>
  <c r="H10" i="15"/>
  <c r="G10" i="15"/>
  <c r="F10" i="15"/>
  <c r="P10" i="15" s="1"/>
  <c r="E10" i="15"/>
  <c r="D10" i="15"/>
  <c r="C10" i="15"/>
  <c r="M10" i="15" s="1"/>
  <c r="B10" i="15"/>
  <c r="P9" i="15"/>
  <c r="J9" i="15"/>
  <c r="I9" i="15"/>
  <c r="H9" i="15"/>
  <c r="O9" i="15" s="1"/>
  <c r="G9" i="15"/>
  <c r="F9" i="15"/>
  <c r="E9" i="15"/>
  <c r="N9" i="15" s="1"/>
  <c r="D9" i="15"/>
  <c r="C9" i="15"/>
  <c r="B9" i="15"/>
  <c r="O8" i="15"/>
  <c r="L8" i="15"/>
  <c r="J8" i="15"/>
  <c r="I8" i="15"/>
  <c r="H8" i="15"/>
  <c r="K8" i="15" s="1"/>
  <c r="G8" i="15"/>
  <c r="F8" i="15"/>
  <c r="E8" i="15"/>
  <c r="N8" i="15" s="1"/>
  <c r="D8" i="15"/>
  <c r="P8" i="15" s="1"/>
  <c r="C8" i="15"/>
  <c r="B8" i="15"/>
  <c r="K7" i="15"/>
  <c r="J7" i="15"/>
  <c r="I7" i="15"/>
  <c r="H7" i="15"/>
  <c r="G7" i="15"/>
  <c r="F7" i="15"/>
  <c r="L7" i="15" s="1"/>
  <c r="E7" i="15"/>
  <c r="D7" i="15"/>
  <c r="C7" i="15"/>
  <c r="M7" i="15" s="1"/>
  <c r="B7" i="15"/>
  <c r="K6" i="15"/>
  <c r="J6" i="15"/>
  <c r="I6" i="15"/>
  <c r="H6" i="15"/>
  <c r="L6" i="15" s="1"/>
  <c r="G6" i="15"/>
  <c r="F6" i="15"/>
  <c r="E6" i="15"/>
  <c r="N6" i="15" s="1"/>
  <c r="D6" i="15"/>
  <c r="C6" i="15"/>
  <c r="B6" i="15"/>
  <c r="P6" i="15" s="1"/>
  <c r="O5" i="15"/>
  <c r="L5" i="15"/>
  <c r="J5" i="15"/>
  <c r="J13" i="15" s="1"/>
  <c r="I5" i="15"/>
  <c r="I13" i="15" s="1"/>
  <c r="H5" i="15"/>
  <c r="K5" i="15" s="1"/>
  <c r="G5" i="15"/>
  <c r="G13" i="15" s="1"/>
  <c r="F5" i="15"/>
  <c r="P5" i="15" s="1"/>
  <c r="E5" i="15"/>
  <c r="N5" i="15" s="1"/>
  <c r="D5" i="15"/>
  <c r="D13" i="15" s="1"/>
  <c r="C5" i="15"/>
  <c r="B5" i="15"/>
  <c r="B13" i="15" s="1"/>
  <c r="P4" i="15"/>
  <c r="K4" i="15"/>
  <c r="J4" i="15"/>
  <c r="I4" i="15"/>
  <c r="H4" i="15"/>
  <c r="H13" i="15" s="1"/>
  <c r="G4" i="15"/>
  <c r="F4" i="15"/>
  <c r="N4" i="15" s="1"/>
  <c r="E4" i="15"/>
  <c r="D4" i="15"/>
  <c r="C4" i="15"/>
  <c r="C13" i="15" s="1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K2" i="2"/>
  <c r="K14" i="15" l="1"/>
  <c r="O14" i="15"/>
  <c r="L29" i="15"/>
  <c r="K29" i="15"/>
  <c r="M13" i="15"/>
  <c r="K13" i="15"/>
  <c r="O13" i="15"/>
  <c r="O28" i="15"/>
  <c r="K28" i="15"/>
  <c r="K89" i="15"/>
  <c r="M6" i="15"/>
  <c r="N7" i="15"/>
  <c r="N19" i="15"/>
  <c r="N26" i="15"/>
  <c r="B28" i="15"/>
  <c r="K38" i="15"/>
  <c r="O38" i="15"/>
  <c r="O42" i="15"/>
  <c r="L42" i="15"/>
  <c r="K42" i="15"/>
  <c r="L79" i="15"/>
  <c r="H88" i="15"/>
  <c r="O81" i="15"/>
  <c r="K82" i="15"/>
  <c r="O82" i="15"/>
  <c r="M82" i="15"/>
  <c r="L82" i="15"/>
  <c r="O97" i="15"/>
  <c r="L97" i="15"/>
  <c r="K97" i="15"/>
  <c r="P98" i="15"/>
  <c r="L99" i="15"/>
  <c r="M99" i="15"/>
  <c r="D118" i="15"/>
  <c r="P117" i="15"/>
  <c r="L4" i="15"/>
  <c r="M5" i="15"/>
  <c r="O7" i="15"/>
  <c r="K11" i="15"/>
  <c r="L12" i="15"/>
  <c r="E13" i="15"/>
  <c r="F14" i="15"/>
  <c r="P14" i="15" s="1"/>
  <c r="O19" i="15"/>
  <c r="K23" i="15"/>
  <c r="L24" i="15"/>
  <c r="M25" i="15"/>
  <c r="P26" i="15"/>
  <c r="C28" i="15"/>
  <c r="D43" i="15"/>
  <c r="P43" i="15" s="1"/>
  <c r="M36" i="15"/>
  <c r="K36" i="15"/>
  <c r="L39" i="15"/>
  <c r="N39" i="15"/>
  <c r="P41" i="15"/>
  <c r="C58" i="15"/>
  <c r="M49" i="15"/>
  <c r="K49" i="15"/>
  <c r="O53" i="15"/>
  <c r="O54" i="15"/>
  <c r="L54" i="15"/>
  <c r="K54" i="15"/>
  <c r="E58" i="15"/>
  <c r="O65" i="15"/>
  <c r="O66" i="15"/>
  <c r="L66" i="15"/>
  <c r="K66" i="15"/>
  <c r="L70" i="15"/>
  <c r="N72" i="15"/>
  <c r="M79" i="15"/>
  <c r="O87" i="15"/>
  <c r="C89" i="15"/>
  <c r="M87" i="15"/>
  <c r="B103" i="15"/>
  <c r="J103" i="15"/>
  <c r="P102" i="15"/>
  <c r="P147" i="15"/>
  <c r="N147" i="15"/>
  <c r="M4" i="15"/>
  <c r="O6" i="15"/>
  <c r="P7" i="15"/>
  <c r="L11" i="15"/>
  <c r="F13" i="15"/>
  <c r="P13" i="15" s="1"/>
  <c r="P19" i="15"/>
  <c r="O26" i="15"/>
  <c r="E43" i="15"/>
  <c r="N43" i="15" s="1"/>
  <c r="N34" i="15"/>
  <c r="L35" i="15"/>
  <c r="P39" i="15"/>
  <c r="L51" i="15"/>
  <c r="N51" i="15"/>
  <c r="P55" i="15"/>
  <c r="C59" i="15"/>
  <c r="M56" i="15"/>
  <c r="O57" i="15"/>
  <c r="I73" i="15"/>
  <c r="P65" i="15"/>
  <c r="P67" i="15"/>
  <c r="O69" i="15"/>
  <c r="M70" i="15"/>
  <c r="O72" i="15"/>
  <c r="L74" i="15"/>
  <c r="E89" i="15"/>
  <c r="N89" i="15" s="1"/>
  <c r="N86" i="15"/>
  <c r="K118" i="15"/>
  <c r="L118" i="15"/>
  <c r="K9" i="15"/>
  <c r="L10" i="15"/>
  <c r="M11" i="15"/>
  <c r="I28" i="15"/>
  <c r="K21" i="15"/>
  <c r="L22" i="15"/>
  <c r="M23" i="15"/>
  <c r="E28" i="15"/>
  <c r="N28" i="15" s="1"/>
  <c r="P34" i="15"/>
  <c r="L38" i="15"/>
  <c r="M42" i="15"/>
  <c r="L72" i="15"/>
  <c r="P72" i="15"/>
  <c r="G88" i="15"/>
  <c r="M80" i="15"/>
  <c r="P84" i="15"/>
  <c r="P89" i="15"/>
  <c r="E88" i="15"/>
  <c r="L96" i="15"/>
  <c r="P96" i="15"/>
  <c r="N96" i="15"/>
  <c r="M97" i="15"/>
  <c r="F118" i="15"/>
  <c r="M128" i="15"/>
  <c r="C133" i="15"/>
  <c r="O128" i="15"/>
  <c r="O4" i="15"/>
  <c r="L9" i="15"/>
  <c r="K20" i="15"/>
  <c r="L21" i="15"/>
  <c r="B29" i="15"/>
  <c r="P29" i="15" s="1"/>
  <c r="J29" i="15"/>
  <c r="L27" i="15"/>
  <c r="F28" i="15"/>
  <c r="G43" i="15"/>
  <c r="M38" i="15"/>
  <c r="H44" i="15"/>
  <c r="M44" i="15" s="1"/>
  <c r="K41" i="15"/>
  <c r="F58" i="15"/>
  <c r="P58" i="15" s="1"/>
  <c r="M54" i="15"/>
  <c r="M64" i="15"/>
  <c r="C73" i="15"/>
  <c r="M66" i="15"/>
  <c r="C74" i="15"/>
  <c r="M74" i="15" s="1"/>
  <c r="N103" i="15"/>
  <c r="M103" i="15"/>
  <c r="M115" i="15"/>
  <c r="D133" i="15"/>
  <c r="L143" i="15"/>
  <c r="M143" i="15"/>
  <c r="M9" i="15"/>
  <c r="N10" i="15"/>
  <c r="B14" i="15"/>
  <c r="M21" i="15"/>
  <c r="N22" i="15"/>
  <c r="M27" i="15"/>
  <c r="C29" i="15"/>
  <c r="M29" i="15" s="1"/>
  <c r="H43" i="15"/>
  <c r="O34" i="15"/>
  <c r="K34" i="15"/>
  <c r="M35" i="15"/>
  <c r="G58" i="15"/>
  <c r="H73" i="15"/>
  <c r="O83" i="15"/>
  <c r="M83" i="15"/>
  <c r="O86" i="15"/>
  <c r="M86" i="15"/>
  <c r="L86" i="15"/>
  <c r="K86" i="15"/>
  <c r="P103" i="15"/>
  <c r="C118" i="15"/>
  <c r="M118" i="15" s="1"/>
  <c r="M109" i="15"/>
  <c r="M8" i="15"/>
  <c r="L26" i="15"/>
  <c r="N35" i="15"/>
  <c r="M37" i="15"/>
  <c r="K37" i="15"/>
  <c r="L40" i="15"/>
  <c r="P40" i="15"/>
  <c r="P44" i="15"/>
  <c r="H58" i="15"/>
  <c r="O49" i="15"/>
  <c r="E73" i="15"/>
  <c r="L71" i="15"/>
  <c r="E74" i="15"/>
  <c r="N71" i="15"/>
  <c r="B88" i="15"/>
  <c r="L80" i="15"/>
  <c r="P80" i="15"/>
  <c r="O100" i="15"/>
  <c r="L100" i="15"/>
  <c r="K100" i="15"/>
  <c r="F134" i="15"/>
  <c r="P131" i="15"/>
  <c r="M41" i="15"/>
  <c r="L41" i="15"/>
  <c r="L52" i="15"/>
  <c r="P52" i="15"/>
  <c r="N55" i="15"/>
  <c r="H59" i="15"/>
  <c r="N57" i="15"/>
  <c r="P59" i="15"/>
  <c r="F73" i="15"/>
  <c r="P73" i="15" s="1"/>
  <c r="L64" i="15"/>
  <c r="P64" i="15"/>
  <c r="N67" i="15"/>
  <c r="N69" i="15"/>
  <c r="P71" i="15"/>
  <c r="C88" i="15"/>
  <c r="M81" i="15"/>
  <c r="L81" i="15"/>
  <c r="N83" i="15"/>
  <c r="P112" i="15"/>
  <c r="L112" i="15"/>
  <c r="N112" i="15"/>
  <c r="N115" i="15"/>
  <c r="H119" i="15"/>
  <c r="L116" i="15"/>
  <c r="P119" i="15"/>
  <c r="L131" i="15"/>
  <c r="N131" i="15"/>
  <c r="H133" i="15"/>
  <c r="P139" i="15"/>
  <c r="F148" i="15"/>
  <c r="P148" i="15" s="1"/>
  <c r="K142" i="15"/>
  <c r="O142" i="15"/>
  <c r="O146" i="15"/>
  <c r="L146" i="15"/>
  <c r="K146" i="15"/>
  <c r="M147" i="15"/>
  <c r="D163" i="15"/>
  <c r="P163" i="15" s="1"/>
  <c r="P154" i="15"/>
  <c r="M154" i="15"/>
  <c r="B178" i="15"/>
  <c r="J178" i="15"/>
  <c r="M174" i="15"/>
  <c r="L156" i="15"/>
  <c r="P156" i="15"/>
  <c r="L176" i="15"/>
  <c r="P176" i="15"/>
  <c r="K35" i="15"/>
  <c r="K55" i="15"/>
  <c r="L56" i="15"/>
  <c r="K67" i="15"/>
  <c r="G74" i="15"/>
  <c r="O71" i="15"/>
  <c r="P79" i="15"/>
  <c r="O84" i="15"/>
  <c r="B89" i="15"/>
  <c r="J89" i="15"/>
  <c r="F88" i="15"/>
  <c r="P88" i="15" s="1"/>
  <c r="L94" i="15"/>
  <c r="L98" i="15"/>
  <c r="P99" i="15"/>
  <c r="K101" i="15"/>
  <c r="H104" i="15"/>
  <c r="M104" i="15" s="1"/>
  <c r="L109" i="15"/>
  <c r="N117" i="15"/>
  <c r="F133" i="15"/>
  <c r="L124" i="15"/>
  <c r="P124" i="15"/>
  <c r="L130" i="15"/>
  <c r="G134" i="15"/>
  <c r="M132" i="15"/>
  <c r="L139" i="15"/>
  <c r="M140" i="15"/>
  <c r="P143" i="15"/>
  <c r="B149" i="15"/>
  <c r="J149" i="15"/>
  <c r="C148" i="15"/>
  <c r="H149" i="15"/>
  <c r="M149" i="15" s="1"/>
  <c r="C163" i="15"/>
  <c r="M157" i="15"/>
  <c r="L157" i="15"/>
  <c r="E164" i="15"/>
  <c r="N164" i="15" s="1"/>
  <c r="P161" i="15"/>
  <c r="G179" i="15"/>
  <c r="M177" i="15"/>
  <c r="L177" i="15"/>
  <c r="E44" i="15"/>
  <c r="N44" i="15" s="1"/>
  <c r="O50" i="15"/>
  <c r="O70" i="15"/>
  <c r="O79" i="15"/>
  <c r="D103" i="15"/>
  <c r="O95" i="15"/>
  <c r="D104" i="15"/>
  <c r="P104" i="15" s="1"/>
  <c r="N109" i="15"/>
  <c r="O109" i="15"/>
  <c r="K110" i="15"/>
  <c r="O110" i="15"/>
  <c r="M111" i="15"/>
  <c r="K113" i="15"/>
  <c r="L115" i="15"/>
  <c r="M116" i="15"/>
  <c r="K116" i="15"/>
  <c r="M125" i="15"/>
  <c r="K125" i="15"/>
  <c r="I148" i="15"/>
  <c r="D148" i="15"/>
  <c r="L142" i="15"/>
  <c r="M144" i="15"/>
  <c r="M146" i="15"/>
  <c r="L147" i="15"/>
  <c r="O157" i="15"/>
  <c r="O158" i="15"/>
  <c r="L158" i="15"/>
  <c r="K158" i="15"/>
  <c r="M159" i="15"/>
  <c r="P172" i="15"/>
  <c r="M173" i="15"/>
  <c r="K173" i="15"/>
  <c r="H179" i="15"/>
  <c r="O177" i="15"/>
  <c r="N56" i="15"/>
  <c r="N68" i="15"/>
  <c r="P87" i="15"/>
  <c r="N87" i="15"/>
  <c r="N94" i="15"/>
  <c r="M100" i="15"/>
  <c r="N101" i="15"/>
  <c r="E104" i="15"/>
  <c r="N104" i="15" s="1"/>
  <c r="M101" i="15"/>
  <c r="L111" i="15"/>
  <c r="N111" i="15"/>
  <c r="L113" i="15"/>
  <c r="D119" i="15"/>
  <c r="L125" i="15"/>
  <c r="P128" i="15"/>
  <c r="M142" i="15"/>
  <c r="L155" i="15"/>
  <c r="N155" i="15"/>
  <c r="P159" i="15"/>
  <c r="F178" i="15"/>
  <c r="L173" i="15"/>
  <c r="L175" i="15"/>
  <c r="N175" i="15"/>
  <c r="F179" i="15"/>
  <c r="O102" i="15"/>
  <c r="K102" i="15"/>
  <c r="P111" i="15"/>
  <c r="M113" i="15"/>
  <c r="O116" i="15"/>
  <c r="O126" i="15"/>
  <c r="K126" i="15"/>
  <c r="B134" i="15"/>
  <c r="J134" i="15"/>
  <c r="L132" i="15"/>
  <c r="P132" i="15"/>
  <c r="P140" i="15"/>
  <c r="N146" i="15"/>
  <c r="E149" i="15"/>
  <c r="N149" i="15" s="1"/>
  <c r="P155" i="15"/>
  <c r="O161" i="15"/>
  <c r="H164" i="15"/>
  <c r="C164" i="15"/>
  <c r="P175" i="15"/>
  <c r="E178" i="15"/>
  <c r="L83" i="15"/>
  <c r="P94" i="15"/>
  <c r="M96" i="15"/>
  <c r="N97" i="15"/>
  <c r="N100" i="15"/>
  <c r="L110" i="15"/>
  <c r="M112" i="15"/>
  <c r="O114" i="15"/>
  <c r="K114" i="15"/>
  <c r="E118" i="15"/>
  <c r="C119" i="15"/>
  <c r="M119" i="15" s="1"/>
  <c r="B133" i="15"/>
  <c r="J133" i="15"/>
  <c r="P125" i="15"/>
  <c r="L128" i="15"/>
  <c r="E134" i="15"/>
  <c r="M139" i="15"/>
  <c r="L144" i="15"/>
  <c r="P144" i="15"/>
  <c r="F149" i="15"/>
  <c r="P149" i="15" s="1"/>
  <c r="G163" i="15"/>
  <c r="M156" i="15"/>
  <c r="M158" i="15"/>
  <c r="L159" i="15"/>
  <c r="O160" i="15"/>
  <c r="P164" i="15"/>
  <c r="D178" i="15"/>
  <c r="O170" i="15"/>
  <c r="L170" i="15"/>
  <c r="K170" i="15"/>
  <c r="M176" i="15"/>
  <c r="C179" i="15"/>
  <c r="H178" i="15"/>
  <c r="M84" i="15"/>
  <c r="N85" i="15"/>
  <c r="P86" i="15"/>
  <c r="H103" i="15"/>
  <c r="K94" i="15"/>
  <c r="K98" i="15"/>
  <c r="O98" i="15"/>
  <c r="M110" i="15"/>
  <c r="G119" i="15"/>
  <c r="M124" i="15"/>
  <c r="N129" i="15"/>
  <c r="K130" i="15"/>
  <c r="O130" i="15"/>
  <c r="M131" i="15"/>
  <c r="O134" i="15"/>
  <c r="K134" i="15"/>
  <c r="E148" i="15"/>
  <c r="N139" i="15"/>
  <c r="H148" i="15"/>
  <c r="M145" i="15"/>
  <c r="L145" i="15"/>
  <c r="L154" i="15"/>
  <c r="N156" i="15"/>
  <c r="E163" i="15"/>
  <c r="P169" i="15"/>
  <c r="L174" i="15"/>
  <c r="N176" i="15"/>
  <c r="O131" i="15"/>
  <c r="L140" i="15"/>
  <c r="O155" i="15"/>
  <c r="O154" i="15"/>
  <c r="N161" i="15"/>
  <c r="O162" i="15"/>
  <c r="H163" i="15"/>
  <c r="O174" i="15"/>
  <c r="C178" i="15"/>
  <c r="N160" i="15"/>
  <c r="N172" i="15"/>
  <c r="E133" i="15"/>
  <c r="N133" i="15" s="1"/>
  <c r="N119" i="15" l="1"/>
  <c r="O179" i="15"/>
  <c r="L179" i="15"/>
  <c r="K179" i="15"/>
  <c r="N73" i="15"/>
  <c r="O118" i="15"/>
  <c r="N178" i="15"/>
  <c r="M148" i="15"/>
  <c r="O133" i="15"/>
  <c r="L133" i="15"/>
  <c r="K133" i="15"/>
  <c r="O43" i="15"/>
  <c r="L43" i="15"/>
  <c r="K43" i="15"/>
  <c r="M73" i="15"/>
  <c r="P28" i="15"/>
  <c r="N13" i="15"/>
  <c r="M163" i="15"/>
  <c r="N134" i="15"/>
  <c r="L134" i="15"/>
  <c r="P178" i="15"/>
  <c r="K58" i="15"/>
  <c r="O58" i="15"/>
  <c r="L58" i="15"/>
  <c r="M134" i="15"/>
  <c r="M28" i="15"/>
  <c r="L89" i="15"/>
  <c r="O29" i="15"/>
  <c r="L104" i="15"/>
  <c r="O104" i="15"/>
  <c r="K104" i="15"/>
  <c r="L59" i="15"/>
  <c r="K59" i="15"/>
  <c r="O59" i="15"/>
  <c r="M179" i="15"/>
  <c r="O74" i="15"/>
  <c r="O149" i="15"/>
  <c r="L149" i="15"/>
  <c r="K149" i="15"/>
  <c r="L13" i="15"/>
  <c r="M178" i="15"/>
  <c r="L103" i="15"/>
  <c r="K103" i="15"/>
  <c r="O103" i="15"/>
  <c r="M164" i="15"/>
  <c r="M89" i="15"/>
  <c r="M58" i="15"/>
  <c r="M43" i="15"/>
  <c r="O89" i="15"/>
  <c r="N29" i="15"/>
  <c r="P133" i="15"/>
  <c r="O73" i="15"/>
  <c r="K73" i="15"/>
  <c r="L73" i="15"/>
  <c r="M133" i="15"/>
  <c r="N88" i="15"/>
  <c r="N58" i="15"/>
  <c r="L88" i="15"/>
  <c r="K88" i="15"/>
  <c r="O88" i="15"/>
  <c r="L163" i="15"/>
  <c r="K163" i="15"/>
  <c r="O163" i="15"/>
  <c r="M14" i="15"/>
  <c r="L14" i="15"/>
  <c r="O178" i="15"/>
  <c r="L178" i="15"/>
  <c r="K178" i="15"/>
  <c r="L148" i="15"/>
  <c r="O148" i="15"/>
  <c r="K148" i="15"/>
  <c r="L164" i="15"/>
  <c r="O164" i="15"/>
  <c r="K164" i="15"/>
  <c r="N163" i="15"/>
  <c r="N148" i="15"/>
  <c r="N118" i="15"/>
  <c r="P179" i="15"/>
  <c r="N179" i="15"/>
  <c r="L119" i="15"/>
  <c r="O119" i="15"/>
  <c r="K119" i="15"/>
  <c r="M88" i="15"/>
  <c r="P134" i="15"/>
  <c r="N74" i="15"/>
  <c r="L44" i="15"/>
  <c r="O44" i="15"/>
  <c r="K44" i="15"/>
  <c r="P118" i="15"/>
  <c r="M59" i="15"/>
  <c r="L28" i="15"/>
  <c r="N59" i="15"/>
  <c r="N14" i="15"/>
</calcChain>
</file>

<file path=xl/sharedStrings.xml><?xml version="1.0" encoding="utf-8"?>
<sst xmlns="http://schemas.openxmlformats.org/spreadsheetml/2006/main" count="2912" uniqueCount="170">
  <si>
    <t>GHANA HEALTH SERVICE</t>
  </si>
  <si>
    <t>BED UTILIZATION MANAGEMENT SYSTEM - 2026</t>
  </si>
  <si>
    <t>HOHOE MUNICIPAL HOSPITAL</t>
  </si>
  <si>
    <t>Year:</t>
  </si>
  <si>
    <t>Hospital:</t>
  </si>
  <si>
    <t>Use the buttons below to enter data and view reports.</t>
  </si>
  <si>
    <t>[ DAILY BED ENTRY ]</t>
  </si>
  <si>
    <t>Enter daily admissions, discharges, deaths, transfers for each ward</t>
  </si>
  <si>
    <t>[ RECORD ADMISSION ]</t>
  </si>
  <si>
    <t>Record individual patient admission details (for age/gender reports)</t>
  </si>
  <si>
    <t>[ RECORD DEATH ]</t>
  </si>
  <si>
    <t>Record individual death details (for deaths report)</t>
  </si>
  <si>
    <t>[ REFRESH REPORTS ]</t>
  </si>
  <si>
    <t>Update Deaths Report and COD Summary sheets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</si>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</sst>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1"/>
      <color rgb="FF1F4E79"/>
      <name val="Calibri"/>
    </font>
    <font>
      <b/>
      <sz val="10"/>
      <color rgb="FFFFFFFF"/>
      <name val="Calibri"/>
    </font>
  </fonts>
  <fills count="9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0F0F0"/>
        <bgColor rgb="FFF0F0F0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0" borderId="0" xfId="0" applyFont="1"/>
    <xf numFmtId="0" fontId="5" fillId="0" borderId="0" xfId="0" applyFont="1"/>
    <xf numFmtId="0" fontId="2" fillId="0" borderId="0" xfId="0" applyFont="1"/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4" borderId="1" xfId="0" applyFont="1" applyFill="1" applyBorder="1"/>
    <xf numFmtId="0" fontId="4" fillId="5" borderId="1" xfId="0" applyFont="1" applyFill="1" applyBorder="1"/>
    <xf numFmtId="0" fontId="7" fillId="3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2</xdr:col>
      <xdr:colOff>273050</xdr:colOff>
      <xdr:row>10</xdr:row>
      <xdr:rowOff>0</xdr:rowOff>
    </xdr:to>
    <xdr:sp macro="ShowDailyEnt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0630830-4B56-D127-8918-DF9051727C7E}"/>
            </a:ext>
          </a:extLst>
        </xdr:cNvPr>
        <xdr:cNvSpPr/>
      </xdr:nvSpPr>
      <xdr:spPr>
        <a:xfrm>
          <a:off x="0" y="1581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273050</xdr:colOff>
      <xdr:row>12</xdr:row>
      <xdr:rowOff>0</xdr:rowOff>
    </xdr:to>
    <xdr:sp macro="ShowAdmiss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C35080E-1457-84A0-A7E3-EEB9A8408580}"/>
            </a:ext>
          </a:extLst>
        </xdr:cNvPr>
        <xdr:cNvSpPr/>
      </xdr:nvSpPr>
      <xdr:spPr>
        <a:xfrm>
          <a:off x="0" y="1962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2</xdr:col>
      <xdr:colOff>273050</xdr:colOff>
      <xdr:row>14</xdr:row>
      <xdr:rowOff>0</xdr:rowOff>
    </xdr:to>
    <xdr:sp macro="ShowDea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9F48653-32C0-0C0D-4807-0C842CDF589E}"/>
            </a:ext>
          </a:extLst>
        </xdr:cNvPr>
        <xdr:cNvSpPr/>
      </xdr:nvSpPr>
      <xdr:spPr>
        <a:xfrm>
          <a:off x="0" y="2343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2</xdr:col>
      <xdr:colOff>273050</xdr:colOff>
      <xdr:row>16</xdr:row>
      <xdr:rowOff>0</xdr:rowOff>
    </xdr:to>
    <xdr:sp macro="ShowRefreshRepo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6E4F306-974D-5084-FA3F-AE74C02DB665}"/>
            </a:ext>
          </a:extLst>
        </xdr:cNvPr>
        <xdr:cNvSpPr/>
      </xdr:nvSpPr>
      <xdr:spPr>
        <a:xfrm>
          <a:off x="0" y="2724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2</xdr:col>
      <xdr:colOff>273050</xdr:colOff>
      <xdr:row>17</xdr:row>
      <xdr:rowOff>190500</xdr:rowOff>
    </xdr:to>
    <xdr:sp macro="ExportCarryForward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E9B2567-20A7-DB53-1CE0-E5EDB72D4467}"/>
            </a:ext>
          </a:extLst>
        </xdr:cNvPr>
        <xdr:cNvSpPr/>
      </xdr:nvSpPr>
      <xdr:spPr>
        <a:xfrm>
          <a:off x="0" y="3105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19:F28">
  <autoFilter ref="A19:F28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31:C43">
  <autoFilter ref="A31:C43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L2">
  <autoFilter ref="A1:L2" xr:uid="{00000000-0009-0000-0100-000003000000}"/>
  <tableColumns count="12">
    <tableColumn id="1" xr3:uid="{00000000-0010-0000-0200-000001000000}" name="EntryDate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EntryTimestamp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43"/>
  <sheetViews>
    <sheetView tabSelected="1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1</v>
      </c>
      <c r="B2" s="17"/>
      <c r="C2" s="17"/>
      <c r="D2" s="17"/>
      <c r="E2" s="17"/>
      <c r="F2" s="17"/>
      <c r="G2" s="17"/>
      <c r="H2" s="17"/>
    </row>
    <row r="3" spans="1:8" x14ac:dyDescent="0.25">
      <c r="A3" s="19" t="s">
        <v>2</v>
      </c>
      <c r="B3" s="17"/>
      <c r="C3" s="17"/>
      <c r="D3" s="17"/>
      <c r="E3" s="17"/>
      <c r="F3" s="17"/>
      <c r="G3" s="17"/>
      <c r="H3" s="17"/>
    </row>
    <row r="5" spans="1:8" x14ac:dyDescent="0.25">
      <c r="A5" s="1" t="s">
        <v>3</v>
      </c>
      <c r="B5" s="1">
        <v>2026</v>
      </c>
      <c r="D5" s="1" t="s">
        <v>4</v>
      </c>
      <c r="E5" s="2" t="s">
        <v>2</v>
      </c>
    </row>
    <row r="7" spans="1:8" x14ac:dyDescent="0.25">
      <c r="A7" s="20" t="s">
        <v>5</v>
      </c>
      <c r="B7" s="17"/>
      <c r="C7" s="17"/>
      <c r="D7" s="17"/>
      <c r="E7" s="17"/>
      <c r="F7" s="17"/>
      <c r="G7" s="17"/>
      <c r="H7" s="17"/>
    </row>
    <row r="9" spans="1:8" x14ac:dyDescent="0.25">
      <c r="A9" s="18" t="s">
        <v>6</v>
      </c>
      <c r="B9" s="17"/>
      <c r="C9" s="17"/>
      <c r="D9" s="2" t="s">
        <v>7</v>
      </c>
    </row>
    <row r="11" spans="1:8" x14ac:dyDescent="0.25">
      <c r="A11" s="18" t="s">
        <v>8</v>
      </c>
      <c r="B11" s="17"/>
      <c r="C11" s="17"/>
      <c r="D11" s="2" t="s">
        <v>9</v>
      </c>
    </row>
    <row r="13" spans="1:8" x14ac:dyDescent="0.25">
      <c r="A13" s="18" t="s">
        <v>10</v>
      </c>
      <c r="B13" s="17"/>
      <c r="C13" s="17"/>
      <c r="D13" s="2" t="s">
        <v>11</v>
      </c>
    </row>
    <row r="15" spans="1:8" x14ac:dyDescent="0.25">
      <c r="A15" s="18" t="s">
        <v>12</v>
      </c>
      <c r="B15" s="17"/>
      <c r="C15" s="17"/>
      <c r="D15" s="2" t="s">
        <v>13</v>
      </c>
    </row>
    <row r="18" spans="1:6" ht="15.75" x14ac:dyDescent="0.25">
      <c r="A18" s="3" t="s">
        <v>14</v>
      </c>
    </row>
    <row r="19" spans="1:6" x14ac:dyDescent="0.25">
      <c r="A19" s="4" t="s">
        <v>15</v>
      </c>
      <c r="B19" s="4" t="s">
        <v>16</v>
      </c>
      <c r="C19" s="4" t="s">
        <v>17</v>
      </c>
      <c r="D19" s="4" t="s">
        <v>18</v>
      </c>
      <c r="E19" s="4" t="s">
        <v>19</v>
      </c>
      <c r="F19" s="4" t="s">
        <v>20</v>
      </c>
    </row>
    <row r="20" spans="1:6" x14ac:dyDescent="0.25">
      <c r="A20" s="5" t="s">
        <v>21</v>
      </c>
      <c r="B20" s="5" t="s">
        <v>22</v>
      </c>
      <c r="C20" s="5">
        <v>32</v>
      </c>
      <c r="D20" s="5">
        <v>0</v>
      </c>
      <c r="E20" s="5" t="b">
        <v>0</v>
      </c>
      <c r="F20" s="5">
        <v>1</v>
      </c>
    </row>
    <row r="21" spans="1:6" x14ac:dyDescent="0.25">
      <c r="A21" s="5" t="s">
        <v>23</v>
      </c>
      <c r="B21" s="5" t="s">
        <v>24</v>
      </c>
      <c r="C21" s="5">
        <v>28</v>
      </c>
      <c r="D21" s="5">
        <v>0</v>
      </c>
      <c r="E21" s="5" t="b">
        <v>0</v>
      </c>
      <c r="F21" s="5">
        <v>2</v>
      </c>
    </row>
    <row r="22" spans="1:6" x14ac:dyDescent="0.25">
      <c r="A22" s="5" t="s">
        <v>25</v>
      </c>
      <c r="B22" s="5" t="s">
        <v>26</v>
      </c>
      <c r="C22" s="5">
        <v>27</v>
      </c>
      <c r="D22" s="5">
        <v>0</v>
      </c>
      <c r="E22" s="5" t="b">
        <v>0</v>
      </c>
      <c r="F22" s="5">
        <v>3</v>
      </c>
    </row>
    <row r="23" spans="1:6" x14ac:dyDescent="0.25">
      <c r="A23" s="5" t="s">
        <v>27</v>
      </c>
      <c r="B23" s="5" t="s">
        <v>28</v>
      </c>
      <c r="C23" s="5">
        <v>20</v>
      </c>
      <c r="D23" s="5">
        <v>0</v>
      </c>
      <c r="E23" s="5" t="b">
        <v>0</v>
      </c>
      <c r="F23" s="5">
        <v>4</v>
      </c>
    </row>
    <row r="24" spans="1:6" x14ac:dyDescent="0.25">
      <c r="A24" s="5" t="s">
        <v>29</v>
      </c>
      <c r="B24" s="5" t="s">
        <v>30</v>
      </c>
      <c r="C24" s="5">
        <v>14</v>
      </c>
      <c r="D24" s="5">
        <v>0</v>
      </c>
      <c r="E24" s="5" t="b">
        <v>0</v>
      </c>
      <c r="F24" s="5">
        <v>5</v>
      </c>
    </row>
    <row r="25" spans="1:6" x14ac:dyDescent="0.25">
      <c r="A25" s="5" t="s">
        <v>31</v>
      </c>
      <c r="B25" s="5" t="s">
        <v>32</v>
      </c>
      <c r="C25" s="5">
        <v>22</v>
      </c>
      <c r="D25" s="5">
        <v>0</v>
      </c>
      <c r="E25" s="5" t="b">
        <v>0</v>
      </c>
      <c r="F25" s="5">
        <v>6</v>
      </c>
    </row>
    <row r="26" spans="1:6" x14ac:dyDescent="0.25">
      <c r="A26" s="5" t="s">
        <v>33</v>
      </c>
      <c r="B26" s="5" t="s">
        <v>34</v>
      </c>
      <c r="C26" s="5">
        <v>15</v>
      </c>
      <c r="D26" s="5">
        <v>0</v>
      </c>
      <c r="E26" s="5" t="b">
        <v>0</v>
      </c>
      <c r="F26" s="5">
        <v>7</v>
      </c>
    </row>
    <row r="27" spans="1:6" x14ac:dyDescent="0.25">
      <c r="A27" s="5" t="s">
        <v>35</v>
      </c>
      <c r="B27" s="5" t="s">
        <v>36</v>
      </c>
      <c r="C27" s="5">
        <v>10</v>
      </c>
      <c r="D27" s="5">
        <v>0</v>
      </c>
      <c r="E27" s="5" t="b">
        <v>1</v>
      </c>
      <c r="F27" s="5">
        <v>8</v>
      </c>
    </row>
    <row r="28" spans="1:6" x14ac:dyDescent="0.25">
      <c r="A28" s="5" t="s">
        <v>37</v>
      </c>
      <c r="B28" s="5" t="s">
        <v>38</v>
      </c>
      <c r="C28" s="5">
        <v>10</v>
      </c>
      <c r="D28" s="5">
        <v>0</v>
      </c>
      <c r="E28" s="5" t="b">
        <v>1</v>
      </c>
      <c r="F28" s="5">
        <v>9</v>
      </c>
    </row>
    <row r="30" spans="1:6" ht="15.75" x14ac:dyDescent="0.25">
      <c r="A30" s="3" t="s">
        <v>39</v>
      </c>
    </row>
    <row r="31" spans="1:6" x14ac:dyDescent="0.25">
      <c r="A31" s="4" t="s">
        <v>40</v>
      </c>
      <c r="B31" s="4" t="s">
        <v>41</v>
      </c>
      <c r="C31" s="4" t="s">
        <v>42</v>
      </c>
    </row>
    <row r="32" spans="1:6" x14ac:dyDescent="0.25">
      <c r="A32" s="5">
        <v>1</v>
      </c>
      <c r="B32" s="5" t="s">
        <v>43</v>
      </c>
      <c r="C32" s="5">
        <v>31</v>
      </c>
    </row>
    <row r="33" spans="1:3" x14ac:dyDescent="0.25">
      <c r="A33" s="5">
        <v>2</v>
      </c>
      <c r="B33" s="5" t="s">
        <v>44</v>
      </c>
      <c r="C33" s="5">
        <v>28</v>
      </c>
    </row>
    <row r="34" spans="1:3" x14ac:dyDescent="0.25">
      <c r="A34" s="5">
        <v>3</v>
      </c>
      <c r="B34" s="5" t="s">
        <v>45</v>
      </c>
      <c r="C34" s="5">
        <v>31</v>
      </c>
    </row>
    <row r="35" spans="1:3" x14ac:dyDescent="0.25">
      <c r="A35" s="5">
        <v>4</v>
      </c>
      <c r="B35" s="5" t="s">
        <v>46</v>
      </c>
      <c r="C35" s="5">
        <v>30</v>
      </c>
    </row>
    <row r="36" spans="1:3" x14ac:dyDescent="0.25">
      <c r="A36" s="5">
        <v>5</v>
      </c>
      <c r="B36" s="5" t="s">
        <v>47</v>
      </c>
      <c r="C36" s="5">
        <v>31</v>
      </c>
    </row>
    <row r="37" spans="1:3" x14ac:dyDescent="0.25">
      <c r="A37" s="5">
        <v>6</v>
      </c>
      <c r="B37" s="5" t="s">
        <v>48</v>
      </c>
      <c r="C37" s="5">
        <v>30</v>
      </c>
    </row>
    <row r="38" spans="1:3" x14ac:dyDescent="0.25">
      <c r="A38" s="5">
        <v>7</v>
      </c>
      <c r="B38" s="5" t="s">
        <v>49</v>
      </c>
      <c r="C38" s="5">
        <v>31</v>
      </c>
    </row>
    <row r="39" spans="1:3" x14ac:dyDescent="0.25">
      <c r="A39" s="5">
        <v>8</v>
      </c>
      <c r="B39" s="5" t="s">
        <v>50</v>
      </c>
      <c r="C39" s="5">
        <v>31</v>
      </c>
    </row>
    <row r="40" spans="1:3" x14ac:dyDescent="0.25">
      <c r="A40" s="5">
        <v>9</v>
      </c>
      <c r="B40" s="5" t="s">
        <v>51</v>
      </c>
      <c r="C40" s="5">
        <v>30</v>
      </c>
    </row>
    <row r="41" spans="1:3" x14ac:dyDescent="0.25">
      <c r="A41" s="5">
        <v>10</v>
      </c>
      <c r="B41" s="5" t="s">
        <v>52</v>
      </c>
      <c r="C41" s="5">
        <v>31</v>
      </c>
    </row>
    <row r="42" spans="1:3" x14ac:dyDescent="0.25">
      <c r="A42" s="5">
        <v>11</v>
      </c>
      <c r="B42" s="5" t="s">
        <v>53</v>
      </c>
      <c r="C42" s="5">
        <v>30</v>
      </c>
    </row>
    <row r="43" spans="1:3" x14ac:dyDescent="0.25">
      <c r="A43" s="5">
        <v>12</v>
      </c>
      <c r="B43" s="5" t="s">
        <v>54</v>
      </c>
      <c r="C43" s="5">
        <v>31</v>
      </c>
    </row>
  </sheetData>
  <mergeCells count="8">
    <mergeCell ref="A1:H1"/>
    <mergeCell ref="A15:C15"/>
    <mergeCell ref="A3:H3"/>
    <mergeCell ref="A13:C13"/>
    <mergeCell ref="A11:C11"/>
    <mergeCell ref="A7:H7"/>
    <mergeCell ref="A2:H2"/>
    <mergeCell ref="A9:C9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55</v>
      </c>
      <c r="B1" t="s">
        <v>56</v>
      </c>
      <c r="C1" t="s">
        <v>15</v>
      </c>
      <c r="D1" t="s">
        <v>57</v>
      </c>
      <c r="E1" t="s">
        <v>58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L1" t="s">
        <v>65</v>
      </c>
    </row>
    <row r="2" spans="1:12" x14ac:dyDescent="0.25">
      <c r="K2" t="e">
        <f>#REF!+#REF!-#REF!-#REF!+#REF!-#REF!</f>
        <v>#REF!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66</v>
      </c>
      <c r="B1" t="s">
        <v>67</v>
      </c>
      <c r="C1" t="s">
        <v>56</v>
      </c>
      <c r="D1" t="s">
        <v>15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65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74</v>
      </c>
      <c r="B1" t="s">
        <v>75</v>
      </c>
      <c r="C1" t="s">
        <v>56</v>
      </c>
      <c r="D1" t="s">
        <v>15</v>
      </c>
      <c r="E1" t="s">
        <v>76</v>
      </c>
      <c r="F1" t="s">
        <v>77</v>
      </c>
      <c r="G1" t="s">
        <v>70</v>
      </c>
      <c r="H1" t="s">
        <v>71</v>
      </c>
      <c r="I1" t="s">
        <v>72</v>
      </c>
      <c r="J1" t="s">
        <v>73</v>
      </c>
      <c r="K1" t="s">
        <v>78</v>
      </c>
      <c r="L1" t="s">
        <v>79</v>
      </c>
      <c r="M1" t="s">
        <v>65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80</v>
      </c>
      <c r="B1" t="s">
        <v>81</v>
      </c>
      <c r="C1" t="s">
        <v>56</v>
      </c>
      <c r="D1" t="s">
        <v>82</v>
      </c>
      <c r="E1" t="s">
        <v>83</v>
      </c>
      <c r="F1" t="s">
        <v>68</v>
      </c>
      <c r="G1" t="s">
        <v>69</v>
      </c>
      <c r="H1" t="s">
        <v>65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86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IFERROR(INDEX(tblWardConfig[PrevYearRemaining],MATCH("MW",tblWardConfig[WardCode],0)),0)</f>
        <v>0</v>
      </c>
    </row>
    <row r="5" spans="1:8" x14ac:dyDescent="0.25">
      <c r="A5" s="1" t="s">
        <v>89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IFERROR(IF(SUMIFS(tblDaily[Admissions],tblDaily[EntryDate],DATE(2026,1,1),tblDaily[WardCode],"MW")=0,"",SUMIFS(tblDaily[Admissions],tblDaily[EntryDate],DATE(2026,1,1),tblDaily[WardCode],"MW")),"")</f>
        <v/>
      </c>
      <c r="C7" s="5" t="str">
        <f>IFERROR(IF(SUMIFS(tblDaily[Discharges],tblDaily[EntryDate],DATE(2026,1,1),tblDaily[WardCode],"MW")=0,"",SUMIFS(tblDaily[Discharges],tblDaily[EntryDate],DATE(2026,1,1),tblDaily[WardCode],"MW")),"")</f>
        <v/>
      </c>
      <c r="D7" s="5" t="str">
        <f>IFERROR(IF(SUMIFS(tblDaily[Deaths],tblDaily[EntryDate],DATE(2026,1,1),tblDaily[WardCode],"MW")=0,"",SUMIFS(tblDaily[Deaths],tblDaily[EntryDate],DATE(2026,1,1),tblDaily[WardCode],"MW")),"")</f>
        <v/>
      </c>
      <c r="E7" s="5" t="str">
        <f>IFERROR(IF(SUMIFS(tblDaily[DeathsUnder24Hrs],tblDaily[EntryDate],DATE(2026,1,1),tblDaily[WardCode],"MW")=0,"",SUMIFS(tblDaily[DeathsUnder24Hrs],tblDaily[EntryDate],DATE(2026,1,1),tblDaily[WardCode],"MW")),"")</f>
        <v/>
      </c>
      <c r="F7" s="5" t="str">
        <f>IFERROR(IF(SUMIFS(tblDaily[TransfersIn],tblDaily[EntryDate],DATE(2026,1,1),tblDaily[WardCode],"MW")=0,"",SUMIFS(tblDaily[TransfersIn],tblDaily[EntryDate],DATE(2026,1,1),tblDaily[WardCode],"MW")),"")</f>
        <v/>
      </c>
      <c r="G7" s="5" t="str">
        <f>IFERROR(IF(SUMIFS(tblDaily[TransfersOut],tblDaily[EntryDate],DATE(2026,1,1),tblDaily[WardCode],"MW")=0,"",SUMIFS(tblDaily[TransfersOut],tblDaily[EntryDate],DATE(2026,1,1),tblDaily[WardCode],"MW")),"")</f>
        <v/>
      </c>
      <c r="H7" s="5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IFERROR(IF(SUMIFS(tblDaily[Admissions],tblDaily[EntryDate],DATE(2026,1,2),tblDaily[WardCode],"MW")=0,"",SUMIFS(tblDaily[Admissions],tblDaily[EntryDate],DATE(2026,1,2),tblDaily[WardCode],"MW")),"")</f>
        <v/>
      </c>
      <c r="C8" s="5" t="str">
        <f>IFERROR(IF(SUMIFS(tblDaily[Discharges],tblDaily[EntryDate],DATE(2026,1,2),tblDaily[WardCode],"MW")=0,"",SUMIFS(tblDaily[Discharges],tblDaily[EntryDate],DATE(2026,1,2),tblDaily[WardCode],"MW")),"")</f>
        <v/>
      </c>
      <c r="D8" s="5" t="str">
        <f>IFERROR(IF(SUMIFS(tblDaily[Deaths],tblDaily[EntryDate],DATE(2026,1,2),tblDaily[WardCode],"MW")=0,"",SUMIFS(tblDaily[Deaths],tblDaily[EntryDate],DATE(2026,1,2),tblDaily[WardCode],"MW")),"")</f>
        <v/>
      </c>
      <c r="E8" s="5" t="str">
        <f>IFERROR(IF(SUMIFS(tblDaily[DeathsUnder24Hrs],tblDaily[EntryDate],DATE(2026,1,2),tblDaily[WardCode],"MW")=0,"",SUMIFS(tblDaily[DeathsUnder24Hrs],tblDaily[EntryDate],DATE(2026,1,2),tblDaily[WardCode],"MW")),"")</f>
        <v/>
      </c>
      <c r="F8" s="5" t="str">
        <f>IFERROR(IF(SUMIFS(tblDaily[TransfersIn],tblDaily[EntryDate],DATE(2026,1,2),tblDaily[WardCode],"MW")=0,"",SUMIFS(tblDaily[TransfersIn],tblDaily[EntryDate],DATE(2026,1,2),tblDaily[WardCode],"MW")),"")</f>
        <v/>
      </c>
      <c r="G8" s="5" t="str">
        <f>IFERROR(IF(SUMIFS(tblDaily[TransfersOut],tblDaily[EntryDate],DATE(2026,1,2),tblDaily[WardCode],"MW")=0,"",SUMIFS(tblDaily[TransfersOut],tblDaily[EntryDate],DATE(2026,1,2),tblDaily[WardCode],"MW")),"")</f>
        <v/>
      </c>
      <c r="H8" s="5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IFERROR(IF(SUMIFS(tblDaily[Admissions],tblDaily[EntryDate],DATE(2026,1,3),tblDaily[WardCode],"MW")=0,"",SUMIFS(tblDaily[Admissions],tblDaily[EntryDate],DATE(2026,1,3),tblDaily[WardCode],"MW")),"")</f>
        <v/>
      </c>
      <c r="C9" s="5" t="str">
        <f>IFERROR(IF(SUMIFS(tblDaily[Discharges],tblDaily[EntryDate],DATE(2026,1,3),tblDaily[WardCode],"MW")=0,"",SUMIFS(tblDaily[Discharges],tblDaily[EntryDate],DATE(2026,1,3),tblDaily[WardCode],"MW")),"")</f>
        <v/>
      </c>
      <c r="D9" s="5" t="str">
        <f>IFERROR(IF(SUMIFS(tblDaily[Deaths],tblDaily[EntryDate],DATE(2026,1,3),tblDaily[WardCode],"MW")=0,"",SUMIFS(tblDaily[Deaths],tblDaily[EntryDate],DATE(2026,1,3),tblDaily[WardCode],"MW")),"")</f>
        <v/>
      </c>
      <c r="E9" s="5" t="str">
        <f>IFERROR(IF(SUMIFS(tblDaily[DeathsUnder24Hrs],tblDaily[EntryDate],DATE(2026,1,3),tblDaily[WardCode],"MW")=0,"",SUMIFS(tblDaily[DeathsUnder24Hrs],tblDaily[EntryDate],DATE(2026,1,3),tblDaily[WardCode],"MW")),"")</f>
        <v/>
      </c>
      <c r="F9" s="5" t="str">
        <f>IFERROR(IF(SUMIFS(tblDaily[TransfersIn],tblDaily[EntryDate],DATE(2026,1,3),tblDaily[WardCode],"MW")=0,"",SUMIFS(tblDaily[TransfersIn],tblDaily[EntryDate],DATE(2026,1,3),tblDaily[WardCode],"MW")),"")</f>
        <v/>
      </c>
      <c r="G9" s="5" t="str">
        <f>IFERROR(IF(SUMIFS(tblDaily[TransfersOut],tblDaily[EntryDate],DATE(2026,1,3),tblDaily[WardCode],"MW")=0,"",SUMIFS(tblDaily[TransfersOut],tblDaily[EntryDate],DATE(2026,1,3),tblDaily[WardCode],"MW")),"")</f>
        <v/>
      </c>
      <c r="H9" s="5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IFERROR(IF(SUMIFS(tblDaily[Admissions],tblDaily[EntryDate],DATE(2026,1,4),tblDaily[WardCode],"MW")=0,"",SUMIFS(tblDaily[Admissions],tblDaily[EntryDate],DATE(2026,1,4),tblDaily[WardCode],"MW")),"")</f>
        <v/>
      </c>
      <c r="C10" s="5" t="str">
        <f>IFERROR(IF(SUMIFS(tblDaily[Discharges],tblDaily[EntryDate],DATE(2026,1,4),tblDaily[WardCode],"MW")=0,"",SUMIFS(tblDaily[Discharges],tblDaily[EntryDate],DATE(2026,1,4),tblDaily[WardCode],"MW")),"")</f>
        <v/>
      </c>
      <c r="D10" s="5" t="str">
        <f>IFERROR(IF(SUMIFS(tblDaily[Deaths],tblDaily[EntryDate],DATE(2026,1,4),tblDaily[WardCode],"MW")=0,"",SUMIFS(tblDaily[Deaths],tblDaily[EntryDate],DATE(2026,1,4),tblDaily[WardCode],"MW")),"")</f>
        <v/>
      </c>
      <c r="E10" s="5" t="str">
        <f>IFERROR(IF(SUMIFS(tblDaily[DeathsUnder24Hrs],tblDaily[EntryDate],DATE(2026,1,4),tblDaily[WardCode],"MW")=0,"",SUMIFS(tblDaily[DeathsUnder24Hrs],tblDaily[EntryDate],DATE(2026,1,4),tblDaily[WardCode],"MW")),"")</f>
        <v/>
      </c>
      <c r="F10" s="5" t="str">
        <f>IFERROR(IF(SUMIFS(tblDaily[TransfersIn],tblDaily[EntryDate],DATE(2026,1,4),tblDaily[WardCode],"MW")=0,"",SUMIFS(tblDaily[TransfersIn],tblDaily[EntryDate],DATE(2026,1,4),tblDaily[WardCode],"MW")),"")</f>
        <v/>
      </c>
      <c r="G10" s="5" t="str">
        <f>IFERROR(IF(SUMIFS(tblDaily[TransfersOut],tblDaily[EntryDate],DATE(2026,1,4),tblDaily[WardCode],"MW")=0,"",SUMIFS(tblDaily[TransfersOut],tblDaily[EntryDate],DATE(2026,1,4),tblDaily[WardCode],"MW")),"")</f>
        <v/>
      </c>
      <c r="H10" s="5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IFERROR(IF(SUMIFS(tblDaily[Admissions],tblDaily[EntryDate],DATE(2026,1,5),tblDaily[WardCode],"MW")=0,"",SUMIFS(tblDaily[Admissions],tblDaily[EntryDate],DATE(2026,1,5),tblDaily[WardCode],"MW")),"")</f>
        <v/>
      </c>
      <c r="C11" s="5" t="str">
        <f>IFERROR(IF(SUMIFS(tblDaily[Discharges],tblDaily[EntryDate],DATE(2026,1,5),tblDaily[WardCode],"MW")=0,"",SUMIFS(tblDaily[Discharges],tblDaily[EntryDate],DATE(2026,1,5),tblDaily[WardCode],"MW")),"")</f>
        <v/>
      </c>
      <c r="D11" s="5" t="str">
        <f>IFERROR(IF(SUMIFS(tblDaily[Deaths],tblDaily[EntryDate],DATE(2026,1,5),tblDaily[WardCode],"MW")=0,"",SUMIFS(tblDaily[Deaths],tblDaily[EntryDate],DATE(2026,1,5),tblDaily[WardCode],"MW")),"")</f>
        <v/>
      </c>
      <c r="E11" s="5" t="str">
        <f>IFERROR(IF(SUMIFS(tblDaily[DeathsUnder24Hrs],tblDaily[EntryDate],DATE(2026,1,5),tblDaily[WardCode],"MW")=0,"",SUMIFS(tblDaily[DeathsUnder24Hrs],tblDaily[EntryDate],DATE(2026,1,5),tblDaily[WardCode],"MW")),"")</f>
        <v/>
      </c>
      <c r="F11" s="5" t="str">
        <f>IFERROR(IF(SUMIFS(tblDaily[TransfersIn],tblDaily[EntryDate],DATE(2026,1,5),tblDaily[WardCode],"MW")=0,"",SUMIFS(tblDaily[TransfersIn],tblDaily[EntryDate],DATE(2026,1,5),tblDaily[WardCode],"MW")),"")</f>
        <v/>
      </c>
      <c r="G11" s="5" t="str">
        <f>IFERROR(IF(SUMIFS(tblDaily[TransfersOut],tblDaily[EntryDate],DATE(2026,1,5),tblDaily[WardCode],"MW")=0,"",SUMIFS(tblDaily[TransfersOut],tblDaily[EntryDate],DATE(2026,1,5),tblDaily[WardCode],"MW")),"")</f>
        <v/>
      </c>
      <c r="H11" s="5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IFERROR(IF(SUMIFS(tblDaily[Admissions],tblDaily[EntryDate],DATE(2026,1,6),tblDaily[WardCode],"MW")=0,"",SUMIFS(tblDaily[Admissions],tblDaily[EntryDate],DATE(2026,1,6),tblDaily[WardCode],"MW")),"")</f>
        <v/>
      </c>
      <c r="C12" s="5" t="str">
        <f>IFERROR(IF(SUMIFS(tblDaily[Discharges],tblDaily[EntryDate],DATE(2026,1,6),tblDaily[WardCode],"MW")=0,"",SUMIFS(tblDaily[Discharges],tblDaily[EntryDate],DATE(2026,1,6),tblDaily[WardCode],"MW")),"")</f>
        <v/>
      </c>
      <c r="D12" s="5" t="str">
        <f>IFERROR(IF(SUMIFS(tblDaily[Deaths],tblDaily[EntryDate],DATE(2026,1,6),tblDaily[WardCode],"MW")=0,"",SUMIFS(tblDaily[Deaths],tblDaily[EntryDate],DATE(2026,1,6),tblDaily[WardCode],"MW")),"")</f>
        <v/>
      </c>
      <c r="E12" s="5" t="str">
        <f>IFERROR(IF(SUMIFS(tblDaily[DeathsUnder24Hrs],tblDaily[EntryDate],DATE(2026,1,6),tblDaily[WardCode],"MW")=0,"",SUMIFS(tblDaily[DeathsUnder24Hrs],tblDaily[EntryDate],DATE(2026,1,6),tblDaily[WardCode],"MW")),"")</f>
        <v/>
      </c>
      <c r="F12" s="5" t="str">
        <f>IFERROR(IF(SUMIFS(tblDaily[TransfersIn],tblDaily[EntryDate],DATE(2026,1,6),tblDaily[WardCode],"MW")=0,"",SUMIFS(tblDaily[TransfersIn],tblDaily[EntryDate],DATE(2026,1,6),tblDaily[WardCode],"MW")),"")</f>
        <v/>
      </c>
      <c r="G12" s="5" t="str">
        <f>IFERROR(IF(SUMIFS(tblDaily[TransfersOut],tblDaily[EntryDate],DATE(2026,1,6),tblDaily[WardCode],"MW")=0,"",SUMIFS(tblDaily[TransfersOut],tblDaily[EntryDate],DATE(2026,1,6),tblDaily[WardCode],"MW")),"")</f>
        <v/>
      </c>
      <c r="H12" s="5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IFERROR(IF(SUMIFS(tblDaily[Admissions],tblDaily[EntryDate],DATE(2026,1,7),tblDaily[WardCode],"MW")=0,"",SUMIFS(tblDaily[Admissions],tblDaily[EntryDate],DATE(2026,1,7),tblDaily[WardCode],"MW")),"")</f>
        <v/>
      </c>
      <c r="C13" s="5" t="str">
        <f>IFERROR(IF(SUMIFS(tblDaily[Discharges],tblDaily[EntryDate],DATE(2026,1,7),tblDaily[WardCode],"MW")=0,"",SUMIFS(tblDaily[Discharges],tblDaily[EntryDate],DATE(2026,1,7),tblDaily[WardCode],"MW")),"")</f>
        <v/>
      </c>
      <c r="D13" s="5" t="str">
        <f>IFERROR(IF(SUMIFS(tblDaily[Deaths],tblDaily[EntryDate],DATE(2026,1,7),tblDaily[WardCode],"MW")=0,"",SUMIFS(tblDaily[Deaths],tblDaily[EntryDate],DATE(2026,1,7),tblDaily[WardCode],"MW")),"")</f>
        <v/>
      </c>
      <c r="E13" s="5" t="str">
        <f>IFERROR(IF(SUMIFS(tblDaily[DeathsUnder24Hrs],tblDaily[EntryDate],DATE(2026,1,7),tblDaily[WardCode],"MW")=0,"",SUMIFS(tblDaily[DeathsUnder24Hrs],tblDaily[EntryDate],DATE(2026,1,7),tblDaily[WardCode],"MW")),"")</f>
        <v/>
      </c>
      <c r="F13" s="5" t="str">
        <f>IFERROR(IF(SUMIFS(tblDaily[TransfersIn],tblDaily[EntryDate],DATE(2026,1,7),tblDaily[WardCode],"MW")=0,"",SUMIFS(tblDaily[TransfersIn],tblDaily[EntryDate],DATE(2026,1,7),tblDaily[WardCode],"MW")),"")</f>
        <v/>
      </c>
      <c r="G13" s="5" t="str">
        <f>IFERROR(IF(SUMIFS(tblDaily[TransfersOut],tblDaily[EntryDate],DATE(2026,1,7),tblDaily[WardCode],"MW")=0,"",SUMIFS(tblDaily[TransfersOut],tblDaily[EntryDate],DATE(2026,1,7),tblDaily[WardCode],"MW")),"")</f>
        <v/>
      </c>
      <c r="H13" s="5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IFERROR(IF(SUMIFS(tblDaily[Admissions],tblDaily[EntryDate],DATE(2026,1,8),tblDaily[WardCode],"MW")=0,"",SUMIFS(tblDaily[Admissions],tblDaily[EntryDate],DATE(2026,1,8),tblDaily[WardCode],"MW")),"")</f>
        <v/>
      </c>
      <c r="C14" s="5" t="str">
        <f>IFERROR(IF(SUMIFS(tblDaily[Discharges],tblDaily[EntryDate],DATE(2026,1,8),tblDaily[WardCode],"MW")=0,"",SUMIFS(tblDaily[Discharges],tblDaily[EntryDate],DATE(2026,1,8),tblDaily[WardCode],"MW")),"")</f>
        <v/>
      </c>
      <c r="D14" s="5" t="str">
        <f>IFERROR(IF(SUMIFS(tblDaily[Deaths],tblDaily[EntryDate],DATE(2026,1,8),tblDaily[WardCode],"MW")=0,"",SUMIFS(tblDaily[Deaths],tblDaily[EntryDate],DATE(2026,1,8),tblDaily[WardCode],"MW")),"")</f>
        <v/>
      </c>
      <c r="E14" s="5" t="str">
        <f>IFERROR(IF(SUMIFS(tblDaily[DeathsUnder24Hrs],tblDaily[EntryDate],DATE(2026,1,8),tblDaily[WardCode],"MW")=0,"",SUMIFS(tblDaily[DeathsUnder24Hrs],tblDaily[EntryDate],DATE(2026,1,8),tblDaily[WardCode],"MW")),"")</f>
        <v/>
      </c>
      <c r="F14" s="5" t="str">
        <f>IFERROR(IF(SUMIFS(tblDaily[TransfersIn],tblDaily[EntryDate],DATE(2026,1,8),tblDaily[WardCode],"MW")=0,"",SUMIFS(tblDaily[TransfersIn],tblDaily[EntryDate],DATE(2026,1,8),tblDaily[WardCode],"MW")),"")</f>
        <v/>
      </c>
      <c r="G14" s="5" t="str">
        <f>IFERROR(IF(SUMIFS(tblDaily[TransfersOut],tblDaily[EntryDate],DATE(2026,1,8),tblDaily[WardCode],"MW")=0,"",SUMIFS(tblDaily[TransfersOut],tblDaily[EntryDate],DATE(2026,1,8),tblDaily[WardCode],"MW")),"")</f>
        <v/>
      </c>
      <c r="H14" s="5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IFERROR(IF(SUMIFS(tblDaily[Admissions],tblDaily[EntryDate],DATE(2026,1,9),tblDaily[WardCode],"MW")=0,"",SUMIFS(tblDaily[Admissions],tblDaily[EntryDate],DATE(2026,1,9),tblDaily[WardCode],"MW")),"")</f>
        <v/>
      </c>
      <c r="C15" s="5" t="str">
        <f>IFERROR(IF(SUMIFS(tblDaily[Discharges],tblDaily[EntryDate],DATE(2026,1,9),tblDaily[WardCode],"MW")=0,"",SUMIFS(tblDaily[Discharges],tblDaily[EntryDate],DATE(2026,1,9),tblDaily[WardCode],"MW")),"")</f>
        <v/>
      </c>
      <c r="D15" s="5" t="str">
        <f>IFERROR(IF(SUMIFS(tblDaily[Deaths],tblDaily[EntryDate],DATE(2026,1,9),tblDaily[WardCode],"MW")=0,"",SUMIFS(tblDaily[Deaths],tblDaily[EntryDate],DATE(2026,1,9),tblDaily[WardCode],"MW")),"")</f>
        <v/>
      </c>
      <c r="E15" s="5" t="str">
        <f>IFERROR(IF(SUMIFS(tblDaily[DeathsUnder24Hrs],tblDaily[EntryDate],DATE(2026,1,9),tblDaily[WardCode],"MW")=0,"",SUMIFS(tblDaily[DeathsUnder24Hrs],tblDaily[EntryDate],DATE(2026,1,9),tblDaily[WardCode],"MW")),"")</f>
        <v/>
      </c>
      <c r="F15" s="5" t="str">
        <f>IFERROR(IF(SUMIFS(tblDaily[TransfersIn],tblDaily[EntryDate],DATE(2026,1,9),tblDaily[WardCode],"MW")=0,"",SUMIFS(tblDaily[TransfersIn],tblDaily[EntryDate],DATE(2026,1,9),tblDaily[WardCode],"MW")),"")</f>
        <v/>
      </c>
      <c r="G15" s="5" t="str">
        <f>IFERROR(IF(SUMIFS(tblDaily[TransfersOut],tblDaily[EntryDate],DATE(2026,1,9),tblDaily[WardCode],"MW")=0,"",SUMIFS(tblDaily[TransfersOut],tblDaily[EntryDate],DATE(2026,1,9),tblDaily[WardCode],"MW")),"")</f>
        <v/>
      </c>
      <c r="H15" s="5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IFERROR(IF(SUMIFS(tblDaily[Admissions],tblDaily[EntryDate],DATE(2026,1,10),tblDaily[WardCode],"MW")=0,"",SUMIFS(tblDaily[Admissions],tblDaily[EntryDate],DATE(2026,1,10),tblDaily[WardCode],"MW")),"")</f>
        <v/>
      </c>
      <c r="C16" s="5" t="str">
        <f>IFERROR(IF(SUMIFS(tblDaily[Discharges],tblDaily[EntryDate],DATE(2026,1,10),tblDaily[WardCode],"MW")=0,"",SUMIFS(tblDaily[Discharges],tblDaily[EntryDate],DATE(2026,1,10),tblDaily[WardCode],"MW")),"")</f>
        <v/>
      </c>
      <c r="D16" s="5" t="str">
        <f>IFERROR(IF(SUMIFS(tblDaily[Deaths],tblDaily[EntryDate],DATE(2026,1,10),tblDaily[WardCode],"MW")=0,"",SUMIFS(tblDaily[Deaths],tblDaily[EntryDate],DATE(2026,1,10),tblDaily[WardCode],"MW")),"")</f>
        <v/>
      </c>
      <c r="E16" s="5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5" t="str">
        <f>IFERROR(IF(SUMIFS(tblDaily[TransfersIn],tblDaily[EntryDate],DATE(2026,1,10),tblDaily[WardCode],"MW")=0,"",SUMIFS(tblDaily[TransfersIn],tblDaily[EntryDate],DATE(2026,1,10),tblDaily[WardCode],"MW")),"")</f>
        <v/>
      </c>
      <c r="G16" s="5" t="str">
        <f>IFERROR(IF(SUMIFS(tblDaily[TransfersOut],tblDaily[EntryDate],DATE(2026,1,10),tblDaily[WardCode],"MW")=0,"",SUMIFS(tblDaily[TransfersOut],tblDaily[EntryDate],DATE(2026,1,10),tblDaily[WardCode],"MW")),"")</f>
        <v/>
      </c>
      <c r="H16" s="5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IFERROR(IF(SUMIFS(tblDaily[Admissions],tblDaily[EntryDate],DATE(2026,1,11),tblDaily[WardCode],"MW")=0,"",SUMIFS(tblDaily[Admissions],tblDaily[EntryDate],DATE(2026,1,11),tblDaily[WardCode],"MW")),"")</f>
        <v/>
      </c>
      <c r="C17" s="5" t="str">
        <f>IFERROR(IF(SUMIFS(tblDaily[Discharges],tblDaily[EntryDate],DATE(2026,1,11),tblDaily[WardCode],"MW")=0,"",SUMIFS(tblDaily[Discharges],tblDaily[EntryDate],DATE(2026,1,11),tblDaily[WardCode],"MW")),"")</f>
        <v/>
      </c>
      <c r="D17" s="5" t="str">
        <f>IFERROR(IF(SUMIFS(tblDaily[Deaths],tblDaily[EntryDate],DATE(2026,1,11),tblDaily[WardCode],"MW")=0,"",SUMIFS(tblDaily[Deaths],tblDaily[EntryDate],DATE(2026,1,11),tblDaily[WardCode],"MW")),"")</f>
        <v/>
      </c>
      <c r="E17" s="5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5" t="str">
        <f>IFERROR(IF(SUMIFS(tblDaily[TransfersIn],tblDaily[EntryDate],DATE(2026,1,11),tblDaily[WardCode],"MW")=0,"",SUMIFS(tblDaily[TransfersIn],tblDaily[EntryDate],DATE(2026,1,11),tblDaily[WardCode],"MW")),"")</f>
        <v/>
      </c>
      <c r="G17" s="5" t="str">
        <f>IFERROR(IF(SUMIFS(tblDaily[TransfersOut],tblDaily[EntryDate],DATE(2026,1,11),tblDaily[WardCode],"MW")=0,"",SUMIFS(tblDaily[TransfersOut],tblDaily[EntryDate],DATE(2026,1,11),tblDaily[WardCode],"MW")),"")</f>
        <v/>
      </c>
      <c r="H17" s="5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IFERROR(IF(SUMIFS(tblDaily[Admissions],tblDaily[EntryDate],DATE(2026,1,12),tblDaily[WardCode],"MW")=0,"",SUMIFS(tblDaily[Admissions],tblDaily[EntryDate],DATE(2026,1,12),tblDaily[WardCode],"MW")),"")</f>
        <v/>
      </c>
      <c r="C18" s="5" t="str">
        <f>IFERROR(IF(SUMIFS(tblDaily[Discharges],tblDaily[EntryDate],DATE(2026,1,12),tblDaily[WardCode],"MW")=0,"",SUMIFS(tblDaily[Discharges],tblDaily[EntryDate],DATE(2026,1,12),tblDaily[WardCode],"MW")),"")</f>
        <v/>
      </c>
      <c r="D18" s="5" t="str">
        <f>IFERROR(IF(SUMIFS(tblDaily[Deaths],tblDaily[EntryDate],DATE(2026,1,12),tblDaily[WardCode],"MW")=0,"",SUMIFS(tblDaily[Deaths],tblDaily[EntryDate],DATE(2026,1,12),tblDaily[WardCode],"MW")),"")</f>
        <v/>
      </c>
      <c r="E18" s="5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5" t="str">
        <f>IFERROR(IF(SUMIFS(tblDaily[TransfersIn],tblDaily[EntryDate],DATE(2026,1,12),tblDaily[WardCode],"MW")=0,"",SUMIFS(tblDaily[TransfersIn],tblDaily[EntryDate],DATE(2026,1,12),tblDaily[WardCode],"MW")),"")</f>
        <v/>
      </c>
      <c r="G18" s="5" t="str">
        <f>IFERROR(IF(SUMIFS(tblDaily[TransfersOut],tblDaily[EntryDate],DATE(2026,1,12),tblDaily[WardCode],"MW")=0,"",SUMIFS(tblDaily[TransfersOut],tblDaily[EntryDate],DATE(2026,1,12),tblDaily[WardCode],"MW")),"")</f>
        <v/>
      </c>
      <c r="H18" s="5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IFERROR(IF(SUMIFS(tblDaily[Admissions],tblDaily[EntryDate],DATE(2026,1,13),tblDaily[WardCode],"MW")=0,"",SUMIFS(tblDaily[Admissions],tblDaily[EntryDate],DATE(2026,1,13),tblDaily[WardCode],"MW")),"")</f>
        <v/>
      </c>
      <c r="C19" s="5" t="str">
        <f>IFERROR(IF(SUMIFS(tblDaily[Discharges],tblDaily[EntryDate],DATE(2026,1,13),tblDaily[WardCode],"MW")=0,"",SUMIFS(tblDaily[Discharges],tblDaily[EntryDate],DATE(2026,1,13),tblDaily[WardCode],"MW")),"")</f>
        <v/>
      </c>
      <c r="D19" s="5" t="str">
        <f>IFERROR(IF(SUMIFS(tblDaily[Deaths],tblDaily[EntryDate],DATE(2026,1,13),tblDaily[WardCode],"MW")=0,"",SUMIFS(tblDaily[Deaths],tblDaily[EntryDate],DATE(2026,1,13),tblDaily[WardCode],"MW")),"")</f>
        <v/>
      </c>
      <c r="E19" s="5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5" t="str">
        <f>IFERROR(IF(SUMIFS(tblDaily[TransfersIn],tblDaily[EntryDate],DATE(2026,1,13),tblDaily[WardCode],"MW")=0,"",SUMIFS(tblDaily[TransfersIn],tblDaily[EntryDate],DATE(2026,1,13),tblDaily[WardCode],"MW")),"")</f>
        <v/>
      </c>
      <c r="G19" s="5" t="str">
        <f>IFERROR(IF(SUMIFS(tblDaily[TransfersOut],tblDaily[EntryDate],DATE(2026,1,13),tblDaily[WardCode],"MW")=0,"",SUMIFS(tblDaily[TransfersOut],tblDaily[EntryDate],DATE(2026,1,13),tblDaily[WardCode],"MW")),"")</f>
        <v/>
      </c>
      <c r="H19" s="5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IFERROR(IF(SUMIFS(tblDaily[Admissions],tblDaily[EntryDate],DATE(2026,1,14),tblDaily[WardCode],"MW")=0,"",SUMIFS(tblDaily[Admissions],tblDaily[EntryDate],DATE(2026,1,14),tblDaily[WardCode],"MW")),"")</f>
        <v/>
      </c>
      <c r="C20" s="5" t="str">
        <f>IFERROR(IF(SUMIFS(tblDaily[Discharges],tblDaily[EntryDate],DATE(2026,1,14),tblDaily[WardCode],"MW")=0,"",SUMIFS(tblDaily[Discharges],tblDaily[EntryDate],DATE(2026,1,14),tblDaily[WardCode],"MW")),"")</f>
        <v/>
      </c>
      <c r="D20" s="5" t="str">
        <f>IFERROR(IF(SUMIFS(tblDaily[Deaths],tblDaily[EntryDate],DATE(2026,1,14),tblDaily[WardCode],"MW")=0,"",SUMIFS(tblDaily[Deaths],tblDaily[EntryDate],DATE(2026,1,14),tblDaily[WardCode],"MW")),"")</f>
        <v/>
      </c>
      <c r="E20" s="5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5" t="str">
        <f>IFERROR(IF(SUMIFS(tblDaily[TransfersIn],tblDaily[EntryDate],DATE(2026,1,14),tblDaily[WardCode],"MW")=0,"",SUMIFS(tblDaily[TransfersIn],tblDaily[EntryDate],DATE(2026,1,14),tblDaily[WardCode],"MW")),"")</f>
        <v/>
      </c>
      <c r="G20" s="5" t="str">
        <f>IFERROR(IF(SUMIFS(tblDaily[TransfersOut],tblDaily[EntryDate],DATE(2026,1,14),tblDaily[WardCode],"MW")=0,"",SUMIFS(tblDaily[TransfersOut],tblDaily[EntryDate],DATE(2026,1,14),tblDaily[WardCode],"MW")),"")</f>
        <v/>
      </c>
      <c r="H20" s="5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IFERROR(IF(SUMIFS(tblDaily[Admissions],tblDaily[EntryDate],DATE(2026,1,15),tblDaily[WardCode],"MW")=0,"",SUMIFS(tblDaily[Admissions],tblDaily[EntryDate],DATE(2026,1,15),tblDaily[WardCode],"MW")),"")</f>
        <v/>
      </c>
      <c r="C21" s="5" t="str">
        <f>IFERROR(IF(SUMIFS(tblDaily[Discharges],tblDaily[EntryDate],DATE(2026,1,15),tblDaily[WardCode],"MW")=0,"",SUMIFS(tblDaily[Discharges],tblDaily[EntryDate],DATE(2026,1,15),tblDaily[WardCode],"MW")),"")</f>
        <v/>
      </c>
      <c r="D21" s="5" t="str">
        <f>IFERROR(IF(SUMIFS(tblDaily[Deaths],tblDaily[EntryDate],DATE(2026,1,15),tblDaily[WardCode],"MW")=0,"",SUMIFS(tblDaily[Deaths],tblDaily[EntryDate],DATE(2026,1,15),tblDaily[WardCode],"MW")),"")</f>
        <v/>
      </c>
      <c r="E21" s="5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5" t="str">
        <f>IFERROR(IF(SUMIFS(tblDaily[TransfersIn],tblDaily[EntryDate],DATE(2026,1,15),tblDaily[WardCode],"MW")=0,"",SUMIFS(tblDaily[TransfersIn],tblDaily[EntryDate],DATE(2026,1,15),tblDaily[WardCode],"MW")),"")</f>
        <v/>
      </c>
      <c r="G21" s="5" t="str">
        <f>IFERROR(IF(SUMIFS(tblDaily[TransfersOut],tblDaily[EntryDate],DATE(2026,1,15),tblDaily[WardCode],"MW")=0,"",SUMIFS(tblDaily[TransfersOut],tblDaily[EntryDate],DATE(2026,1,15),tblDaily[WardCode],"MW")),"")</f>
        <v/>
      </c>
      <c r="H21" s="5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IFERROR(IF(SUMIFS(tblDaily[Admissions],tblDaily[EntryDate],DATE(2026,1,16),tblDaily[WardCode],"MW")=0,"",SUMIFS(tblDaily[Admissions],tblDaily[EntryDate],DATE(2026,1,16),tblDaily[WardCode],"MW")),"")</f>
        <v/>
      </c>
      <c r="C22" s="5" t="str">
        <f>IFERROR(IF(SUMIFS(tblDaily[Discharges],tblDaily[EntryDate],DATE(2026,1,16),tblDaily[WardCode],"MW")=0,"",SUMIFS(tblDaily[Discharges],tblDaily[EntryDate],DATE(2026,1,16),tblDaily[WardCode],"MW")),"")</f>
        <v/>
      </c>
      <c r="D22" s="5" t="str">
        <f>IFERROR(IF(SUMIFS(tblDaily[Deaths],tblDaily[EntryDate],DATE(2026,1,16),tblDaily[WardCode],"MW")=0,"",SUMIFS(tblDaily[Deaths],tblDaily[EntryDate],DATE(2026,1,16),tblDaily[WardCode],"MW")),"")</f>
        <v/>
      </c>
      <c r="E22" s="5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5" t="str">
        <f>IFERROR(IF(SUMIFS(tblDaily[TransfersIn],tblDaily[EntryDate],DATE(2026,1,16),tblDaily[WardCode],"MW")=0,"",SUMIFS(tblDaily[TransfersIn],tblDaily[EntryDate],DATE(2026,1,16),tblDaily[WardCode],"MW")),"")</f>
        <v/>
      </c>
      <c r="G22" s="5" t="str">
        <f>IFERROR(IF(SUMIFS(tblDaily[TransfersOut],tblDaily[EntryDate],DATE(2026,1,16),tblDaily[WardCode],"MW")=0,"",SUMIFS(tblDaily[TransfersOut],tblDaily[EntryDate],DATE(2026,1,16),tblDaily[WardCode],"MW")),"")</f>
        <v/>
      </c>
      <c r="H22" s="5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IFERROR(IF(SUMIFS(tblDaily[Admissions],tblDaily[EntryDate],DATE(2026,1,17),tblDaily[WardCode],"MW")=0,"",SUMIFS(tblDaily[Admissions],tblDaily[EntryDate],DATE(2026,1,17),tblDaily[WardCode],"MW")),"")</f>
        <v/>
      </c>
      <c r="C23" s="5" t="str">
        <f>IFERROR(IF(SUMIFS(tblDaily[Discharges],tblDaily[EntryDate],DATE(2026,1,17),tblDaily[WardCode],"MW")=0,"",SUMIFS(tblDaily[Discharges],tblDaily[EntryDate],DATE(2026,1,17),tblDaily[WardCode],"MW")),"")</f>
        <v/>
      </c>
      <c r="D23" s="5" t="str">
        <f>IFERROR(IF(SUMIFS(tblDaily[Deaths],tblDaily[EntryDate],DATE(2026,1,17),tblDaily[WardCode],"MW")=0,"",SUMIFS(tblDaily[Deaths],tblDaily[EntryDate],DATE(2026,1,17),tblDaily[WardCode],"MW")),"")</f>
        <v/>
      </c>
      <c r="E23" s="5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5" t="str">
        <f>IFERROR(IF(SUMIFS(tblDaily[TransfersIn],tblDaily[EntryDate],DATE(2026,1,17),tblDaily[WardCode],"MW")=0,"",SUMIFS(tblDaily[TransfersIn],tblDaily[EntryDate],DATE(2026,1,17),tblDaily[WardCode],"MW")),"")</f>
        <v/>
      </c>
      <c r="G23" s="5" t="str">
        <f>IFERROR(IF(SUMIFS(tblDaily[TransfersOut],tblDaily[EntryDate],DATE(2026,1,17),tblDaily[WardCode],"MW")=0,"",SUMIFS(tblDaily[TransfersOut],tblDaily[EntryDate],DATE(2026,1,17),tblDaily[WardCode],"MW")),"")</f>
        <v/>
      </c>
      <c r="H23" s="5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IFERROR(IF(SUMIFS(tblDaily[Admissions],tblDaily[EntryDate],DATE(2026,1,18),tblDaily[WardCode],"MW")=0,"",SUMIFS(tblDaily[Admissions],tblDaily[EntryDate],DATE(2026,1,18),tblDaily[WardCode],"MW")),"")</f>
        <v/>
      </c>
      <c r="C24" s="5" t="str">
        <f>IFERROR(IF(SUMIFS(tblDaily[Discharges],tblDaily[EntryDate],DATE(2026,1,18),tblDaily[WardCode],"MW")=0,"",SUMIFS(tblDaily[Discharges],tblDaily[EntryDate],DATE(2026,1,18),tblDaily[WardCode],"MW")),"")</f>
        <v/>
      </c>
      <c r="D24" s="5" t="str">
        <f>IFERROR(IF(SUMIFS(tblDaily[Deaths],tblDaily[EntryDate],DATE(2026,1,18),tblDaily[WardCode],"MW")=0,"",SUMIFS(tblDaily[Deaths],tblDaily[EntryDate],DATE(2026,1,18),tblDaily[WardCode],"MW")),"")</f>
        <v/>
      </c>
      <c r="E24" s="5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5" t="str">
        <f>IFERROR(IF(SUMIFS(tblDaily[TransfersIn],tblDaily[EntryDate],DATE(2026,1,18),tblDaily[WardCode],"MW")=0,"",SUMIFS(tblDaily[TransfersIn],tblDaily[EntryDate],DATE(2026,1,18),tblDaily[WardCode],"MW")),"")</f>
        <v/>
      </c>
      <c r="G24" s="5" t="str">
        <f>IFERROR(IF(SUMIFS(tblDaily[TransfersOut],tblDaily[EntryDate],DATE(2026,1,18),tblDaily[WardCode],"MW")=0,"",SUMIFS(tblDaily[TransfersOut],tblDaily[EntryDate],DATE(2026,1,18),tblDaily[WardCode],"MW")),"")</f>
        <v/>
      </c>
      <c r="H24" s="5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IFERROR(IF(SUMIFS(tblDaily[Admissions],tblDaily[EntryDate],DATE(2026,1,19),tblDaily[WardCode],"MW")=0,"",SUMIFS(tblDaily[Admissions],tblDaily[EntryDate],DATE(2026,1,19),tblDaily[WardCode],"MW")),"")</f>
        <v/>
      </c>
      <c r="C25" s="5" t="str">
        <f>IFERROR(IF(SUMIFS(tblDaily[Discharges],tblDaily[EntryDate],DATE(2026,1,19),tblDaily[WardCode],"MW")=0,"",SUMIFS(tblDaily[Discharges],tblDaily[EntryDate],DATE(2026,1,19),tblDaily[WardCode],"MW")),"")</f>
        <v/>
      </c>
      <c r="D25" s="5" t="str">
        <f>IFERROR(IF(SUMIFS(tblDaily[Deaths],tblDaily[EntryDate],DATE(2026,1,19),tblDaily[WardCode],"MW")=0,"",SUMIFS(tblDaily[Deaths],tblDaily[EntryDate],DATE(2026,1,19),tblDaily[WardCode],"MW")),"")</f>
        <v/>
      </c>
      <c r="E25" s="5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5" t="str">
        <f>IFERROR(IF(SUMIFS(tblDaily[TransfersIn],tblDaily[EntryDate],DATE(2026,1,19),tblDaily[WardCode],"MW")=0,"",SUMIFS(tblDaily[TransfersIn],tblDaily[EntryDate],DATE(2026,1,19),tblDaily[WardCode],"MW")),"")</f>
        <v/>
      </c>
      <c r="G25" s="5" t="str">
        <f>IFERROR(IF(SUMIFS(tblDaily[TransfersOut],tblDaily[EntryDate],DATE(2026,1,19),tblDaily[WardCode],"MW")=0,"",SUMIFS(tblDaily[TransfersOut],tblDaily[EntryDate],DATE(2026,1,19),tblDaily[WardCode],"MW")),"")</f>
        <v/>
      </c>
      <c r="H25" s="5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IFERROR(IF(SUMIFS(tblDaily[Admissions],tblDaily[EntryDate],DATE(2026,1,20),tblDaily[WardCode],"MW")=0,"",SUMIFS(tblDaily[Admissions],tblDaily[EntryDate],DATE(2026,1,20),tblDaily[WardCode],"MW")),"")</f>
        <v/>
      </c>
      <c r="C26" s="5" t="str">
        <f>IFERROR(IF(SUMIFS(tblDaily[Discharges],tblDaily[EntryDate],DATE(2026,1,20),tblDaily[WardCode],"MW")=0,"",SUMIFS(tblDaily[Discharges],tblDaily[EntryDate],DATE(2026,1,20),tblDaily[WardCode],"MW")),"")</f>
        <v/>
      </c>
      <c r="D26" s="5" t="str">
        <f>IFERROR(IF(SUMIFS(tblDaily[Deaths],tblDaily[EntryDate],DATE(2026,1,20),tblDaily[WardCode],"MW")=0,"",SUMIFS(tblDaily[Deaths],tblDaily[EntryDate],DATE(2026,1,20),tblDaily[WardCode],"MW")),"")</f>
        <v/>
      </c>
      <c r="E26" s="5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5" t="str">
        <f>IFERROR(IF(SUMIFS(tblDaily[TransfersIn],tblDaily[EntryDate],DATE(2026,1,20),tblDaily[WardCode],"MW")=0,"",SUMIFS(tblDaily[TransfersIn],tblDaily[EntryDate],DATE(2026,1,20),tblDaily[WardCode],"MW")),"")</f>
        <v/>
      </c>
      <c r="G26" s="5" t="str">
        <f>IFERROR(IF(SUMIFS(tblDaily[TransfersOut],tblDaily[EntryDate],DATE(2026,1,20),tblDaily[WardCode],"MW")=0,"",SUMIFS(tblDaily[TransfersOut],tblDaily[EntryDate],DATE(2026,1,20),tblDaily[WardCode],"MW")),"")</f>
        <v/>
      </c>
      <c r="H26" s="5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IFERROR(IF(SUMIFS(tblDaily[Admissions],tblDaily[EntryDate],DATE(2026,1,21),tblDaily[WardCode],"MW")=0,"",SUMIFS(tblDaily[Admissions],tblDaily[EntryDate],DATE(2026,1,21),tblDaily[WardCode],"MW")),"")</f>
        <v/>
      </c>
      <c r="C27" s="5" t="str">
        <f>IFERROR(IF(SUMIFS(tblDaily[Discharges],tblDaily[EntryDate],DATE(2026,1,21),tblDaily[WardCode],"MW")=0,"",SUMIFS(tblDaily[Discharges],tblDaily[EntryDate],DATE(2026,1,21),tblDaily[WardCode],"MW")),"")</f>
        <v/>
      </c>
      <c r="D27" s="5" t="str">
        <f>IFERROR(IF(SUMIFS(tblDaily[Deaths],tblDaily[EntryDate],DATE(2026,1,21),tblDaily[WardCode],"MW")=0,"",SUMIFS(tblDaily[Deaths],tblDaily[EntryDate],DATE(2026,1,21),tblDaily[WardCode],"MW")),"")</f>
        <v/>
      </c>
      <c r="E27" s="5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5" t="str">
        <f>IFERROR(IF(SUMIFS(tblDaily[TransfersIn],tblDaily[EntryDate],DATE(2026,1,21),tblDaily[WardCode],"MW")=0,"",SUMIFS(tblDaily[TransfersIn],tblDaily[EntryDate],DATE(2026,1,21),tblDaily[WardCode],"MW")),"")</f>
        <v/>
      </c>
      <c r="G27" s="5" t="str">
        <f>IFERROR(IF(SUMIFS(tblDaily[TransfersOut],tblDaily[EntryDate],DATE(2026,1,21),tblDaily[WardCode],"MW")=0,"",SUMIFS(tblDaily[TransfersOut],tblDaily[EntryDate],DATE(2026,1,21),tblDaily[WardCode],"MW")),"")</f>
        <v/>
      </c>
      <c r="H27" s="5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IFERROR(IF(SUMIFS(tblDaily[Admissions],tblDaily[EntryDate],DATE(2026,1,22),tblDaily[WardCode],"MW")=0,"",SUMIFS(tblDaily[Admissions],tblDaily[EntryDate],DATE(2026,1,22),tblDaily[WardCode],"MW")),"")</f>
        <v/>
      </c>
      <c r="C28" s="5" t="str">
        <f>IFERROR(IF(SUMIFS(tblDaily[Discharges],tblDaily[EntryDate],DATE(2026,1,22),tblDaily[WardCode],"MW")=0,"",SUMIFS(tblDaily[Discharges],tblDaily[EntryDate],DATE(2026,1,22),tblDaily[WardCode],"MW")),"")</f>
        <v/>
      </c>
      <c r="D28" s="5" t="str">
        <f>IFERROR(IF(SUMIFS(tblDaily[Deaths],tblDaily[EntryDate],DATE(2026,1,22),tblDaily[WardCode],"MW")=0,"",SUMIFS(tblDaily[Deaths],tblDaily[EntryDate],DATE(2026,1,22),tblDaily[WardCode],"MW")),"")</f>
        <v/>
      </c>
      <c r="E28" s="5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5" t="str">
        <f>IFERROR(IF(SUMIFS(tblDaily[TransfersIn],tblDaily[EntryDate],DATE(2026,1,22),tblDaily[WardCode],"MW")=0,"",SUMIFS(tblDaily[TransfersIn],tblDaily[EntryDate],DATE(2026,1,22),tblDaily[WardCode],"MW")),"")</f>
        <v/>
      </c>
      <c r="G28" s="5" t="str">
        <f>IFERROR(IF(SUMIFS(tblDaily[TransfersOut],tblDaily[EntryDate],DATE(2026,1,22),tblDaily[WardCode],"MW")=0,"",SUMIFS(tblDaily[TransfersOut],tblDaily[EntryDate],DATE(2026,1,22),tblDaily[WardCode],"MW")),"")</f>
        <v/>
      </c>
      <c r="H28" s="5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IFERROR(IF(SUMIFS(tblDaily[Admissions],tblDaily[EntryDate],DATE(2026,1,23),tblDaily[WardCode],"MW")=0,"",SUMIFS(tblDaily[Admissions],tblDaily[EntryDate],DATE(2026,1,23),tblDaily[WardCode],"MW")),"")</f>
        <v/>
      </c>
      <c r="C29" s="5" t="str">
        <f>IFERROR(IF(SUMIFS(tblDaily[Discharges],tblDaily[EntryDate],DATE(2026,1,23),tblDaily[WardCode],"MW")=0,"",SUMIFS(tblDaily[Discharges],tblDaily[EntryDate],DATE(2026,1,23),tblDaily[WardCode],"MW")),"")</f>
        <v/>
      </c>
      <c r="D29" s="5" t="str">
        <f>IFERROR(IF(SUMIFS(tblDaily[Deaths],tblDaily[EntryDate],DATE(2026,1,23),tblDaily[WardCode],"MW")=0,"",SUMIFS(tblDaily[Deaths],tblDaily[EntryDate],DATE(2026,1,23),tblDaily[WardCode],"MW")),"")</f>
        <v/>
      </c>
      <c r="E29" s="5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5" t="str">
        <f>IFERROR(IF(SUMIFS(tblDaily[TransfersIn],tblDaily[EntryDate],DATE(2026,1,23),tblDaily[WardCode],"MW")=0,"",SUMIFS(tblDaily[TransfersIn],tblDaily[EntryDate],DATE(2026,1,23),tblDaily[WardCode],"MW")),"")</f>
        <v/>
      </c>
      <c r="G29" s="5" t="str">
        <f>IFERROR(IF(SUMIFS(tblDaily[TransfersOut],tblDaily[EntryDate],DATE(2026,1,23),tblDaily[WardCode],"MW")=0,"",SUMIFS(tblDaily[TransfersOut],tblDaily[EntryDate],DATE(2026,1,23),tblDaily[WardCode],"MW")),"")</f>
        <v/>
      </c>
      <c r="H29" s="5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IFERROR(IF(SUMIFS(tblDaily[Admissions],tblDaily[EntryDate],DATE(2026,1,24),tblDaily[WardCode],"MW")=0,"",SUMIFS(tblDaily[Admissions],tblDaily[EntryDate],DATE(2026,1,24),tblDaily[WardCode],"MW")),"")</f>
        <v/>
      </c>
      <c r="C30" s="5" t="str">
        <f>IFERROR(IF(SUMIFS(tblDaily[Discharges],tblDaily[EntryDate],DATE(2026,1,24),tblDaily[WardCode],"MW")=0,"",SUMIFS(tblDaily[Discharges],tblDaily[EntryDate],DATE(2026,1,24),tblDaily[WardCode],"MW")),"")</f>
        <v/>
      </c>
      <c r="D30" s="5" t="str">
        <f>IFERROR(IF(SUMIFS(tblDaily[Deaths],tblDaily[EntryDate],DATE(2026,1,24),tblDaily[WardCode],"MW")=0,"",SUMIFS(tblDaily[Deaths],tblDaily[EntryDate],DATE(2026,1,24),tblDaily[WardCode],"MW")),"")</f>
        <v/>
      </c>
      <c r="E30" s="5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5" t="str">
        <f>IFERROR(IF(SUMIFS(tblDaily[TransfersIn],tblDaily[EntryDate],DATE(2026,1,24),tblDaily[WardCode],"MW")=0,"",SUMIFS(tblDaily[TransfersIn],tblDaily[EntryDate],DATE(2026,1,24),tblDaily[WardCode],"MW")),"")</f>
        <v/>
      </c>
      <c r="G30" s="5" t="str">
        <f>IFERROR(IF(SUMIFS(tblDaily[TransfersOut],tblDaily[EntryDate],DATE(2026,1,24),tblDaily[WardCode],"MW")=0,"",SUMIFS(tblDaily[TransfersOut],tblDaily[EntryDate],DATE(2026,1,24),tblDaily[WardCode],"MW")),"")</f>
        <v/>
      </c>
      <c r="H30" s="5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IFERROR(IF(SUMIFS(tblDaily[Admissions],tblDaily[EntryDate],DATE(2026,1,25),tblDaily[WardCode],"MW")=0,"",SUMIFS(tblDaily[Admissions],tblDaily[EntryDate],DATE(2026,1,25),tblDaily[WardCode],"MW")),"")</f>
        <v/>
      </c>
      <c r="C31" s="5" t="str">
        <f>IFERROR(IF(SUMIFS(tblDaily[Discharges],tblDaily[EntryDate],DATE(2026,1,25),tblDaily[WardCode],"MW")=0,"",SUMIFS(tblDaily[Discharges],tblDaily[EntryDate],DATE(2026,1,25),tblDaily[WardCode],"MW")),"")</f>
        <v/>
      </c>
      <c r="D31" s="5" t="str">
        <f>IFERROR(IF(SUMIFS(tblDaily[Deaths],tblDaily[EntryDate],DATE(2026,1,25),tblDaily[WardCode],"MW")=0,"",SUMIFS(tblDaily[Deaths],tblDaily[EntryDate],DATE(2026,1,25),tblDaily[WardCode],"MW")),"")</f>
        <v/>
      </c>
      <c r="E31" s="5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5" t="str">
        <f>IFERROR(IF(SUMIFS(tblDaily[TransfersIn],tblDaily[EntryDate],DATE(2026,1,25),tblDaily[WardCode],"MW")=0,"",SUMIFS(tblDaily[TransfersIn],tblDaily[EntryDate],DATE(2026,1,25),tblDaily[WardCode],"MW")),"")</f>
        <v/>
      </c>
      <c r="G31" s="5" t="str">
        <f>IFERROR(IF(SUMIFS(tblDaily[TransfersOut],tblDaily[EntryDate],DATE(2026,1,25),tblDaily[WardCode],"MW")=0,"",SUMIFS(tblDaily[TransfersOut],tblDaily[EntryDate],DATE(2026,1,25),tblDaily[WardCode],"MW")),"")</f>
        <v/>
      </c>
      <c r="H31" s="5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IFERROR(IF(SUMIFS(tblDaily[Admissions],tblDaily[EntryDate],DATE(2026,1,26),tblDaily[WardCode],"MW")=0,"",SUMIFS(tblDaily[Admissions],tblDaily[EntryDate],DATE(2026,1,26),tblDaily[WardCode],"MW")),"")</f>
        <v/>
      </c>
      <c r="C32" s="5" t="str">
        <f>IFERROR(IF(SUMIFS(tblDaily[Discharges],tblDaily[EntryDate],DATE(2026,1,26),tblDaily[WardCode],"MW")=0,"",SUMIFS(tblDaily[Discharges],tblDaily[EntryDate],DATE(2026,1,26),tblDaily[WardCode],"MW")),"")</f>
        <v/>
      </c>
      <c r="D32" s="5" t="str">
        <f>IFERROR(IF(SUMIFS(tblDaily[Deaths],tblDaily[EntryDate],DATE(2026,1,26),tblDaily[WardCode],"MW")=0,"",SUMIFS(tblDaily[Deaths],tblDaily[EntryDate],DATE(2026,1,26),tblDaily[WardCode],"MW")),"")</f>
        <v/>
      </c>
      <c r="E32" s="5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5" t="str">
        <f>IFERROR(IF(SUMIFS(tblDaily[TransfersIn],tblDaily[EntryDate],DATE(2026,1,26),tblDaily[WardCode],"MW")=0,"",SUMIFS(tblDaily[TransfersIn],tblDaily[EntryDate],DATE(2026,1,26),tblDaily[WardCode],"MW")),"")</f>
        <v/>
      </c>
      <c r="G32" s="5" t="str">
        <f>IFERROR(IF(SUMIFS(tblDaily[TransfersOut],tblDaily[EntryDate],DATE(2026,1,26),tblDaily[WardCode],"MW")=0,"",SUMIFS(tblDaily[TransfersOut],tblDaily[EntryDate],DATE(2026,1,26),tblDaily[WardCode],"MW")),"")</f>
        <v/>
      </c>
      <c r="H32" s="5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IFERROR(IF(SUMIFS(tblDaily[Admissions],tblDaily[EntryDate],DATE(2026,1,27),tblDaily[WardCode],"MW")=0,"",SUMIFS(tblDaily[Admissions],tblDaily[EntryDate],DATE(2026,1,27),tblDaily[WardCode],"MW")),"")</f>
        <v/>
      </c>
      <c r="C33" s="5" t="str">
        <f>IFERROR(IF(SUMIFS(tblDaily[Discharges],tblDaily[EntryDate],DATE(2026,1,27),tblDaily[WardCode],"MW")=0,"",SUMIFS(tblDaily[Discharges],tblDaily[EntryDate],DATE(2026,1,27),tblDaily[WardCode],"MW")),"")</f>
        <v/>
      </c>
      <c r="D33" s="5" t="str">
        <f>IFERROR(IF(SUMIFS(tblDaily[Deaths],tblDaily[EntryDate],DATE(2026,1,27),tblDaily[WardCode],"MW")=0,"",SUMIFS(tblDaily[Deaths],tblDaily[EntryDate],DATE(2026,1,27),tblDaily[WardCode],"MW")),"")</f>
        <v/>
      </c>
      <c r="E33" s="5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5" t="str">
        <f>IFERROR(IF(SUMIFS(tblDaily[TransfersIn],tblDaily[EntryDate],DATE(2026,1,27),tblDaily[WardCode],"MW")=0,"",SUMIFS(tblDaily[TransfersIn],tblDaily[EntryDate],DATE(2026,1,27),tblDaily[WardCode],"MW")),"")</f>
        <v/>
      </c>
      <c r="G33" s="5" t="str">
        <f>IFERROR(IF(SUMIFS(tblDaily[TransfersOut],tblDaily[EntryDate],DATE(2026,1,27),tblDaily[WardCode],"MW")=0,"",SUMIFS(tblDaily[TransfersOut],tblDaily[EntryDate],DATE(2026,1,27),tblDaily[WardCode],"MW")),"")</f>
        <v/>
      </c>
      <c r="H33" s="5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IFERROR(IF(SUMIFS(tblDaily[Admissions],tblDaily[EntryDate],DATE(2026,1,28),tblDaily[WardCode],"MW")=0,"",SUMIFS(tblDaily[Admissions],tblDaily[EntryDate],DATE(2026,1,28),tblDaily[WardCode],"MW")),"")</f>
        <v/>
      </c>
      <c r="C34" s="5" t="str">
        <f>IFERROR(IF(SUMIFS(tblDaily[Discharges],tblDaily[EntryDate],DATE(2026,1,28),tblDaily[WardCode],"MW")=0,"",SUMIFS(tblDaily[Discharges],tblDaily[EntryDate],DATE(2026,1,28),tblDaily[WardCode],"MW")),"")</f>
        <v/>
      </c>
      <c r="D34" s="5" t="str">
        <f>IFERROR(IF(SUMIFS(tblDaily[Deaths],tblDaily[EntryDate],DATE(2026,1,28),tblDaily[WardCode],"MW")=0,"",SUMIFS(tblDaily[Deaths],tblDaily[EntryDate],DATE(2026,1,28),tblDaily[WardCode],"MW")),"")</f>
        <v/>
      </c>
      <c r="E34" s="5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5" t="str">
        <f>IFERROR(IF(SUMIFS(tblDaily[TransfersIn],tblDaily[EntryDate],DATE(2026,1,28),tblDaily[WardCode],"MW")=0,"",SUMIFS(tblDaily[TransfersIn],tblDaily[EntryDate],DATE(2026,1,28),tblDaily[WardCode],"MW")),"")</f>
        <v/>
      </c>
      <c r="G34" s="5" t="str">
        <f>IFERROR(IF(SUMIFS(tblDaily[TransfersOut],tblDaily[EntryDate],DATE(2026,1,28),tblDaily[WardCode],"MW")=0,"",SUMIFS(tblDaily[TransfersOut],tblDaily[EntryDate],DATE(2026,1,28),tblDaily[WardCode],"MW")),"")</f>
        <v/>
      </c>
      <c r="H34" s="5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IFERROR(IF(SUMIFS(tblDaily[Admissions],tblDaily[EntryDate],DATE(2026,1,29),tblDaily[WardCode],"MW")=0,"",SUMIFS(tblDaily[Admissions],tblDaily[EntryDate],DATE(2026,1,29),tblDaily[WardCode],"MW")),"")</f>
        <v/>
      </c>
      <c r="C35" s="5" t="str">
        <f>IFERROR(IF(SUMIFS(tblDaily[Discharges],tblDaily[EntryDate],DATE(2026,1,29),tblDaily[WardCode],"MW")=0,"",SUMIFS(tblDaily[Discharges],tblDaily[EntryDate],DATE(2026,1,29),tblDaily[WardCode],"MW")),"")</f>
        <v/>
      </c>
      <c r="D35" s="5" t="str">
        <f>IFERROR(IF(SUMIFS(tblDaily[Deaths],tblDaily[EntryDate],DATE(2026,1,29),tblDaily[WardCode],"MW")=0,"",SUMIFS(tblDaily[Deaths],tblDaily[EntryDate],DATE(2026,1,29),tblDaily[WardCode],"MW")),"")</f>
        <v/>
      </c>
      <c r="E35" s="5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5" t="str">
        <f>IFERROR(IF(SUMIFS(tblDaily[TransfersIn],tblDaily[EntryDate],DATE(2026,1,29),tblDaily[WardCode],"MW")=0,"",SUMIFS(tblDaily[TransfersIn],tblDaily[EntryDate],DATE(2026,1,29),tblDaily[WardCode],"MW")),"")</f>
        <v/>
      </c>
      <c r="G35" s="5" t="str">
        <f>IFERROR(IF(SUMIFS(tblDaily[TransfersOut],tblDaily[EntryDate],DATE(2026,1,29),tblDaily[WardCode],"MW")=0,"",SUMIFS(tblDaily[TransfersOut],tblDaily[EntryDate],DATE(2026,1,29),tblDaily[WardCode],"MW")),"")</f>
        <v/>
      </c>
      <c r="H35" s="5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IFERROR(IF(SUMIFS(tblDaily[Admissions],tblDaily[EntryDate],DATE(2026,1,30),tblDaily[WardCode],"MW")=0,"",SUMIFS(tblDaily[Admissions],tblDaily[EntryDate],DATE(2026,1,30),tblDaily[WardCode],"MW")),"")</f>
        <v/>
      </c>
      <c r="C36" s="5" t="str">
        <f>IFERROR(IF(SUMIFS(tblDaily[Discharges],tblDaily[EntryDate],DATE(2026,1,30),tblDaily[WardCode],"MW")=0,"",SUMIFS(tblDaily[Discharges],tblDaily[EntryDate],DATE(2026,1,30),tblDaily[WardCode],"MW")),"")</f>
        <v/>
      </c>
      <c r="D36" s="5" t="str">
        <f>IFERROR(IF(SUMIFS(tblDaily[Deaths],tblDaily[EntryDate],DATE(2026,1,30),tblDaily[WardCode],"MW")=0,"",SUMIFS(tblDaily[Deaths],tblDaily[EntryDate],DATE(2026,1,30),tblDaily[WardCode],"MW")),"")</f>
        <v/>
      </c>
      <c r="E36" s="5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5" t="str">
        <f>IFERROR(IF(SUMIFS(tblDaily[TransfersIn],tblDaily[EntryDate],DATE(2026,1,30),tblDaily[WardCode],"MW")=0,"",SUMIFS(tblDaily[TransfersIn],tblDaily[EntryDate],DATE(2026,1,30),tblDaily[WardCode],"MW")),"")</f>
        <v/>
      </c>
      <c r="G36" s="5" t="str">
        <f>IFERROR(IF(SUMIFS(tblDaily[TransfersOut],tblDaily[EntryDate],DATE(2026,1,30),tblDaily[WardCode],"MW")=0,"",SUMIFS(tblDaily[TransfersOut],tblDaily[EntryDate],DATE(2026,1,30),tblDaily[WardCode],"MW")),"")</f>
        <v/>
      </c>
      <c r="H36" s="5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IFERROR(IF(SUMIFS(tblDaily[Admissions],tblDaily[EntryDate],DATE(2026,1,31),tblDaily[WardCode],"MW")=0,"",SUMIFS(tblDaily[Admissions],tblDaily[EntryDate],DATE(2026,1,31),tblDaily[WardCode],"MW")),"")</f>
        <v/>
      </c>
      <c r="C37" s="5" t="str">
        <f>IFERROR(IF(SUMIFS(tblDaily[Discharges],tblDaily[EntryDate],DATE(2026,1,31),tblDaily[WardCode],"MW")=0,"",SUMIFS(tblDaily[Discharges],tblDaily[EntryDate],DATE(2026,1,31),tblDaily[WardCode],"MW")),"")</f>
        <v/>
      </c>
      <c r="D37" s="5" t="str">
        <f>IFERROR(IF(SUMIFS(tblDaily[Deaths],tblDaily[EntryDate],DATE(2026,1,31),tblDaily[WardCode],"MW")=0,"",SUMIFS(tblDaily[Deaths],tblDaily[EntryDate],DATE(2026,1,31),tblDaily[WardCode],"MW")),"")</f>
        <v/>
      </c>
      <c r="E37" s="5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5" t="str">
        <f>IFERROR(IF(SUMIFS(tblDaily[TransfersIn],tblDaily[EntryDate],DATE(2026,1,31),tblDaily[WardCode],"MW")=0,"",SUMIFS(tblDaily[TransfersIn],tblDaily[EntryDate],DATE(2026,1,31),tblDaily[WardCode],"MW")),"")</f>
        <v/>
      </c>
      <c r="G37" s="5" t="str">
        <f>IFERROR(IF(SUMIFS(tblDaily[TransfersOut],tblDaily[EntryDate],DATE(2026,1,31),tblDaily[WardCode],"MW")=0,"",SUMIFS(tblDaily[TransfersOut],tblDaily[EntryDate],DATE(2026,1,31),tblDaily[WardCode],"MW")),"")</f>
        <v/>
      </c>
      <c r="H37" s="5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9" t="s">
        <v>95</v>
      </c>
      <c r="B38" s="9">
        <f>SUMIFS(tblDaily[Admissions],tblDaily[Month],1,tblDaily[WardCode],"MW")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86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IFERROR(SUMIFS(tblDaily[Remaining],tblDaily[EntryDate],DATE(2026,1,31),tblDaily[WardCode],"MW"),0)</f>
        <v>0</v>
      </c>
    </row>
    <row r="44" spans="1:8" x14ac:dyDescent="0.25">
      <c r="A44" s="1" t="s">
        <v>89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IFERROR(IF(SUMIFS(tblDaily[Admissions],tblDaily[EntryDate],DATE(2026,2,1),tblDaily[WardCode],"MW")=0,"",SUMIFS(tblDaily[Admissions],tblDaily[EntryDate],DATE(2026,2,1),tblDaily[WardCode],"MW")),"")</f>
        <v/>
      </c>
      <c r="C46" s="5" t="str">
        <f>IFERROR(IF(SUMIFS(tblDaily[Discharges],tblDaily[EntryDate],DATE(2026,2,1),tblDaily[WardCode],"MW")=0,"",SUMIFS(tblDaily[Discharges],tblDaily[EntryDate],DATE(2026,2,1),tblDaily[WardCode],"MW")),"")</f>
        <v/>
      </c>
      <c r="D46" s="5" t="str">
        <f>IFERROR(IF(SUMIFS(tblDaily[Deaths],tblDaily[EntryDate],DATE(2026,2,1),tblDaily[WardCode],"MW")=0,"",SUMIFS(tblDaily[Deaths],tblDaily[EntryDate],DATE(2026,2,1),tblDaily[WardCode],"MW")),"")</f>
        <v/>
      </c>
      <c r="E46" s="5" t="str">
        <f>IFERROR(IF(SUMIFS(tblDaily[DeathsUnder24Hrs],tblDaily[EntryDate],DATE(2026,2,1),tblDaily[WardCode],"MW")=0,"",SUMIFS(tblDaily[DeathsUnder24Hrs],tblDaily[EntryDate],DATE(2026,2,1),tblDaily[WardCode],"MW")),"")</f>
        <v/>
      </c>
      <c r="F46" s="5" t="str">
        <f>IFERROR(IF(SUMIFS(tblDaily[TransfersIn],tblDaily[EntryDate],DATE(2026,2,1),tblDaily[WardCode],"MW")=0,"",SUMIFS(tblDaily[TransfersIn],tblDaily[EntryDate],DATE(2026,2,1),tblDaily[WardCode],"MW")),"")</f>
        <v/>
      </c>
      <c r="G46" s="5" t="str">
        <f>IFERROR(IF(SUMIFS(tblDaily[TransfersOut],tblDaily[EntryDate],DATE(2026,2,1),tblDaily[WardCode],"MW")=0,"",SUMIFS(tblDaily[TransfersOut],tblDaily[EntryDate],DATE(2026,2,1),tblDaily[WardCode],"MW")),"")</f>
        <v/>
      </c>
      <c r="H46" s="5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IFERROR(IF(SUMIFS(tblDaily[Admissions],tblDaily[EntryDate],DATE(2026,2,2),tblDaily[WardCode],"MW")=0,"",SUMIFS(tblDaily[Admissions],tblDaily[EntryDate],DATE(2026,2,2),tblDaily[WardCode],"MW")),"")</f>
        <v/>
      </c>
      <c r="C47" s="5" t="str">
        <f>IFERROR(IF(SUMIFS(tblDaily[Discharges],tblDaily[EntryDate],DATE(2026,2,2),tblDaily[WardCode],"MW")=0,"",SUMIFS(tblDaily[Discharges],tblDaily[EntryDate],DATE(2026,2,2),tblDaily[WardCode],"MW")),"")</f>
        <v/>
      </c>
      <c r="D47" s="5" t="str">
        <f>IFERROR(IF(SUMIFS(tblDaily[Deaths],tblDaily[EntryDate],DATE(2026,2,2),tblDaily[WardCode],"MW")=0,"",SUMIFS(tblDaily[Deaths],tblDaily[EntryDate],DATE(2026,2,2),tblDaily[WardCode],"MW")),"")</f>
        <v/>
      </c>
      <c r="E47" s="5" t="str">
        <f>IFERROR(IF(SUMIFS(tblDaily[DeathsUnder24Hrs],tblDaily[EntryDate],DATE(2026,2,2),tblDaily[WardCode],"MW")=0,"",SUMIFS(tblDaily[DeathsUnder24Hrs],tblDaily[EntryDate],DATE(2026,2,2),tblDaily[WardCode],"MW")),"")</f>
        <v/>
      </c>
      <c r="F47" s="5" t="str">
        <f>IFERROR(IF(SUMIFS(tblDaily[TransfersIn],tblDaily[EntryDate],DATE(2026,2,2),tblDaily[WardCode],"MW")=0,"",SUMIFS(tblDaily[TransfersIn],tblDaily[EntryDate],DATE(2026,2,2),tblDaily[WardCode],"MW")),"")</f>
        <v/>
      </c>
      <c r="G47" s="5" t="str">
        <f>IFERROR(IF(SUMIFS(tblDaily[TransfersOut],tblDaily[EntryDate],DATE(2026,2,2),tblDaily[WardCode],"MW")=0,"",SUMIFS(tblDaily[TransfersOut],tblDaily[EntryDate],DATE(2026,2,2),tblDaily[WardCode],"MW")),"")</f>
        <v/>
      </c>
      <c r="H47" s="5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IFERROR(IF(SUMIFS(tblDaily[Admissions],tblDaily[EntryDate],DATE(2026,2,3),tblDaily[WardCode],"MW")=0,"",SUMIFS(tblDaily[Admissions],tblDaily[EntryDate],DATE(2026,2,3),tblDaily[WardCode],"MW")),"")</f>
        <v/>
      </c>
      <c r="C48" s="5" t="str">
        <f>IFERROR(IF(SUMIFS(tblDaily[Discharges],tblDaily[EntryDate],DATE(2026,2,3),tblDaily[WardCode],"MW")=0,"",SUMIFS(tblDaily[Discharges],tblDaily[EntryDate],DATE(2026,2,3),tblDaily[WardCode],"MW")),"")</f>
        <v/>
      </c>
      <c r="D48" s="5" t="str">
        <f>IFERROR(IF(SUMIFS(tblDaily[Deaths],tblDaily[EntryDate],DATE(2026,2,3),tblDaily[WardCode],"MW")=0,"",SUMIFS(tblDaily[Deaths],tblDaily[EntryDate],DATE(2026,2,3),tblDaily[WardCode],"MW")),"")</f>
        <v/>
      </c>
      <c r="E48" s="5" t="str">
        <f>IFERROR(IF(SUMIFS(tblDaily[DeathsUnder24Hrs],tblDaily[EntryDate],DATE(2026,2,3),tblDaily[WardCode],"MW")=0,"",SUMIFS(tblDaily[DeathsUnder24Hrs],tblDaily[EntryDate],DATE(2026,2,3),tblDaily[WardCode],"MW")),"")</f>
        <v/>
      </c>
      <c r="F48" s="5" t="str">
        <f>IFERROR(IF(SUMIFS(tblDaily[TransfersIn],tblDaily[EntryDate],DATE(2026,2,3),tblDaily[WardCode],"MW")=0,"",SUMIFS(tblDaily[TransfersIn],tblDaily[EntryDate],DATE(2026,2,3),tblDaily[WardCode],"MW")),"")</f>
        <v/>
      </c>
      <c r="G48" s="5" t="str">
        <f>IFERROR(IF(SUMIFS(tblDaily[TransfersOut],tblDaily[EntryDate],DATE(2026,2,3),tblDaily[WardCode],"MW")=0,"",SUMIFS(tblDaily[TransfersOut],tblDaily[EntryDate],DATE(2026,2,3),tblDaily[WardCode],"MW")),"")</f>
        <v/>
      </c>
      <c r="H48" s="5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IFERROR(IF(SUMIFS(tblDaily[Admissions],tblDaily[EntryDate],DATE(2026,2,4),tblDaily[WardCode],"MW")=0,"",SUMIFS(tblDaily[Admissions],tblDaily[EntryDate],DATE(2026,2,4),tblDaily[WardCode],"MW")),"")</f>
        <v/>
      </c>
      <c r="C49" s="5" t="str">
        <f>IFERROR(IF(SUMIFS(tblDaily[Discharges],tblDaily[EntryDate],DATE(2026,2,4),tblDaily[WardCode],"MW")=0,"",SUMIFS(tblDaily[Discharges],tblDaily[EntryDate],DATE(2026,2,4),tblDaily[WardCode],"MW")),"")</f>
        <v/>
      </c>
      <c r="D49" s="5" t="str">
        <f>IFERROR(IF(SUMIFS(tblDaily[Deaths],tblDaily[EntryDate],DATE(2026,2,4),tblDaily[WardCode],"MW")=0,"",SUMIFS(tblDaily[Deaths],tblDaily[EntryDate],DATE(2026,2,4),tblDaily[WardCode],"MW")),"")</f>
        <v/>
      </c>
      <c r="E49" s="5" t="str">
        <f>IFERROR(IF(SUMIFS(tblDaily[DeathsUnder24Hrs],tblDaily[EntryDate],DATE(2026,2,4),tblDaily[WardCode],"MW")=0,"",SUMIFS(tblDaily[DeathsUnder24Hrs],tblDaily[EntryDate],DATE(2026,2,4),tblDaily[WardCode],"MW")),"")</f>
        <v/>
      </c>
      <c r="F49" s="5" t="str">
        <f>IFERROR(IF(SUMIFS(tblDaily[TransfersIn],tblDaily[EntryDate],DATE(2026,2,4),tblDaily[WardCode],"MW")=0,"",SUMIFS(tblDaily[TransfersIn],tblDaily[EntryDate],DATE(2026,2,4),tblDaily[WardCode],"MW")),"")</f>
        <v/>
      </c>
      <c r="G49" s="5" t="str">
        <f>IFERROR(IF(SUMIFS(tblDaily[TransfersOut],tblDaily[EntryDate],DATE(2026,2,4),tblDaily[WardCode],"MW")=0,"",SUMIFS(tblDaily[TransfersOut],tblDaily[EntryDate],DATE(2026,2,4),tblDaily[WardCode],"MW")),"")</f>
        <v/>
      </c>
      <c r="H49" s="5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IFERROR(IF(SUMIFS(tblDaily[Admissions],tblDaily[EntryDate],DATE(2026,2,5),tblDaily[WardCode],"MW")=0,"",SUMIFS(tblDaily[Admissions],tblDaily[EntryDate],DATE(2026,2,5),tblDaily[WardCode],"MW")),"")</f>
        <v/>
      </c>
      <c r="C50" s="5" t="str">
        <f>IFERROR(IF(SUMIFS(tblDaily[Discharges],tblDaily[EntryDate],DATE(2026,2,5),tblDaily[WardCode],"MW")=0,"",SUMIFS(tblDaily[Discharges],tblDaily[EntryDate],DATE(2026,2,5),tblDaily[WardCode],"MW")),"")</f>
        <v/>
      </c>
      <c r="D50" s="5" t="str">
        <f>IFERROR(IF(SUMIFS(tblDaily[Deaths],tblDaily[EntryDate],DATE(2026,2,5),tblDaily[WardCode],"MW")=0,"",SUMIFS(tblDaily[Deaths],tblDaily[EntryDate],DATE(2026,2,5),tblDaily[WardCode],"MW")),"")</f>
        <v/>
      </c>
      <c r="E50" s="5" t="str">
        <f>IFERROR(IF(SUMIFS(tblDaily[DeathsUnder24Hrs],tblDaily[EntryDate],DATE(2026,2,5),tblDaily[WardCode],"MW")=0,"",SUMIFS(tblDaily[DeathsUnder24Hrs],tblDaily[EntryDate],DATE(2026,2,5),tblDaily[WardCode],"MW")),"")</f>
        <v/>
      </c>
      <c r="F50" s="5" t="str">
        <f>IFERROR(IF(SUMIFS(tblDaily[TransfersIn],tblDaily[EntryDate],DATE(2026,2,5),tblDaily[WardCode],"MW")=0,"",SUMIFS(tblDaily[TransfersIn],tblDaily[EntryDate],DATE(2026,2,5),tblDaily[WardCode],"MW")),"")</f>
        <v/>
      </c>
      <c r="G50" s="5" t="str">
        <f>IFERROR(IF(SUMIFS(tblDaily[TransfersOut],tblDaily[EntryDate],DATE(2026,2,5),tblDaily[WardCode],"MW")=0,"",SUMIFS(tblDaily[TransfersOut],tblDaily[EntryDate],DATE(2026,2,5),tblDaily[WardCode],"MW")),"")</f>
        <v/>
      </c>
      <c r="H50" s="5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IFERROR(IF(SUMIFS(tblDaily[Admissions],tblDaily[EntryDate],DATE(2026,2,6),tblDaily[WardCode],"MW")=0,"",SUMIFS(tblDaily[Admissions],tblDaily[EntryDate],DATE(2026,2,6),tblDaily[WardCode],"MW")),"")</f>
        <v/>
      </c>
      <c r="C51" s="5" t="str">
        <f>IFERROR(IF(SUMIFS(tblDaily[Discharges],tblDaily[EntryDate],DATE(2026,2,6),tblDaily[WardCode],"MW")=0,"",SUMIFS(tblDaily[Discharges],tblDaily[EntryDate],DATE(2026,2,6),tblDaily[WardCode],"MW")),"")</f>
        <v/>
      </c>
      <c r="D51" s="5" t="str">
        <f>IFERROR(IF(SUMIFS(tblDaily[Deaths],tblDaily[EntryDate],DATE(2026,2,6),tblDaily[WardCode],"MW")=0,"",SUMIFS(tblDaily[Deaths],tblDaily[EntryDate],DATE(2026,2,6),tblDaily[WardCode],"MW")),"")</f>
        <v/>
      </c>
      <c r="E51" s="5" t="str">
        <f>IFERROR(IF(SUMIFS(tblDaily[DeathsUnder24Hrs],tblDaily[EntryDate],DATE(2026,2,6),tblDaily[WardCode],"MW")=0,"",SUMIFS(tblDaily[DeathsUnder24Hrs],tblDaily[EntryDate],DATE(2026,2,6),tblDaily[WardCode],"MW")),"")</f>
        <v/>
      </c>
      <c r="F51" s="5" t="str">
        <f>IFERROR(IF(SUMIFS(tblDaily[TransfersIn],tblDaily[EntryDate],DATE(2026,2,6),tblDaily[WardCode],"MW")=0,"",SUMIFS(tblDaily[TransfersIn],tblDaily[EntryDate],DATE(2026,2,6),tblDaily[WardCode],"MW")),"")</f>
        <v/>
      </c>
      <c r="G51" s="5" t="str">
        <f>IFERROR(IF(SUMIFS(tblDaily[TransfersOut],tblDaily[EntryDate],DATE(2026,2,6),tblDaily[WardCode],"MW")=0,"",SUMIFS(tblDaily[TransfersOut],tblDaily[EntryDate],DATE(2026,2,6),tblDaily[WardCode],"MW")),"")</f>
        <v/>
      </c>
      <c r="H51" s="5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IFERROR(IF(SUMIFS(tblDaily[Admissions],tblDaily[EntryDate],DATE(2026,2,7),tblDaily[WardCode],"MW")=0,"",SUMIFS(tblDaily[Admissions],tblDaily[EntryDate],DATE(2026,2,7),tblDaily[WardCode],"MW")),"")</f>
        <v/>
      </c>
      <c r="C52" s="5" t="str">
        <f>IFERROR(IF(SUMIFS(tblDaily[Discharges],tblDaily[EntryDate],DATE(2026,2,7),tblDaily[WardCode],"MW")=0,"",SUMIFS(tblDaily[Discharges],tblDaily[EntryDate],DATE(2026,2,7),tblDaily[WardCode],"MW")),"")</f>
        <v/>
      </c>
      <c r="D52" s="5" t="str">
        <f>IFERROR(IF(SUMIFS(tblDaily[Deaths],tblDaily[EntryDate],DATE(2026,2,7),tblDaily[WardCode],"MW")=0,"",SUMIFS(tblDaily[Deaths],tblDaily[EntryDate],DATE(2026,2,7),tblDaily[WardCode],"MW")),"")</f>
        <v/>
      </c>
      <c r="E52" s="5" t="str">
        <f>IFERROR(IF(SUMIFS(tblDaily[DeathsUnder24Hrs],tblDaily[EntryDate],DATE(2026,2,7),tblDaily[WardCode],"MW")=0,"",SUMIFS(tblDaily[DeathsUnder24Hrs],tblDaily[EntryDate],DATE(2026,2,7),tblDaily[WardCode],"MW")),"")</f>
        <v/>
      </c>
      <c r="F52" s="5" t="str">
        <f>IFERROR(IF(SUMIFS(tblDaily[TransfersIn],tblDaily[EntryDate],DATE(2026,2,7),tblDaily[WardCode],"MW")=0,"",SUMIFS(tblDaily[TransfersIn],tblDaily[EntryDate],DATE(2026,2,7),tblDaily[WardCode],"MW")),"")</f>
        <v/>
      </c>
      <c r="G52" s="5" t="str">
        <f>IFERROR(IF(SUMIFS(tblDaily[TransfersOut],tblDaily[EntryDate],DATE(2026,2,7),tblDaily[WardCode],"MW")=0,"",SUMIFS(tblDaily[TransfersOut],tblDaily[EntryDate],DATE(2026,2,7),tblDaily[WardCode],"MW")),"")</f>
        <v/>
      </c>
      <c r="H52" s="5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IFERROR(IF(SUMIFS(tblDaily[Admissions],tblDaily[EntryDate],DATE(2026,2,8),tblDaily[WardCode],"MW")=0,"",SUMIFS(tblDaily[Admissions],tblDaily[EntryDate],DATE(2026,2,8),tblDaily[WardCode],"MW")),"")</f>
        <v/>
      </c>
      <c r="C53" s="5" t="str">
        <f>IFERROR(IF(SUMIFS(tblDaily[Discharges],tblDaily[EntryDate],DATE(2026,2,8),tblDaily[WardCode],"MW")=0,"",SUMIFS(tblDaily[Discharges],tblDaily[EntryDate],DATE(2026,2,8),tblDaily[WardCode],"MW")),"")</f>
        <v/>
      </c>
      <c r="D53" s="5" t="str">
        <f>IFERROR(IF(SUMIFS(tblDaily[Deaths],tblDaily[EntryDate],DATE(2026,2,8),tblDaily[WardCode],"MW")=0,"",SUMIFS(tblDaily[Deaths],tblDaily[EntryDate],DATE(2026,2,8),tblDaily[WardCode],"MW")),"")</f>
        <v/>
      </c>
      <c r="E53" s="5" t="str">
        <f>IFERROR(IF(SUMIFS(tblDaily[DeathsUnder24Hrs],tblDaily[EntryDate],DATE(2026,2,8),tblDaily[WardCode],"MW")=0,"",SUMIFS(tblDaily[DeathsUnder24Hrs],tblDaily[EntryDate],DATE(2026,2,8),tblDaily[WardCode],"MW")),"")</f>
        <v/>
      </c>
      <c r="F53" s="5" t="str">
        <f>IFERROR(IF(SUMIFS(tblDaily[TransfersIn],tblDaily[EntryDate],DATE(2026,2,8),tblDaily[WardCode],"MW")=0,"",SUMIFS(tblDaily[TransfersIn],tblDaily[EntryDate],DATE(2026,2,8),tblDaily[WardCode],"MW")),"")</f>
        <v/>
      </c>
      <c r="G53" s="5" t="str">
        <f>IFERROR(IF(SUMIFS(tblDaily[TransfersOut],tblDaily[EntryDate],DATE(2026,2,8),tblDaily[WardCode],"MW")=0,"",SUMIFS(tblDaily[TransfersOut],tblDaily[EntryDate],DATE(2026,2,8),tblDaily[WardCode],"MW")),"")</f>
        <v/>
      </c>
      <c r="H53" s="5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IFERROR(IF(SUMIFS(tblDaily[Admissions],tblDaily[EntryDate],DATE(2026,2,9),tblDaily[WardCode],"MW")=0,"",SUMIFS(tblDaily[Admissions],tblDaily[EntryDate],DATE(2026,2,9),tblDaily[WardCode],"MW")),"")</f>
        <v/>
      </c>
      <c r="C54" s="5" t="str">
        <f>IFERROR(IF(SUMIFS(tblDaily[Discharges],tblDaily[EntryDate],DATE(2026,2,9),tblDaily[WardCode],"MW")=0,"",SUMIFS(tblDaily[Discharges],tblDaily[EntryDate],DATE(2026,2,9),tblDaily[WardCode],"MW")),"")</f>
        <v/>
      </c>
      <c r="D54" s="5" t="str">
        <f>IFERROR(IF(SUMIFS(tblDaily[Deaths],tblDaily[EntryDate],DATE(2026,2,9),tblDaily[WardCode],"MW")=0,"",SUMIFS(tblDaily[Deaths],tblDaily[EntryDate],DATE(2026,2,9),tblDaily[WardCode],"MW")),"")</f>
        <v/>
      </c>
      <c r="E54" s="5" t="str">
        <f>IFERROR(IF(SUMIFS(tblDaily[DeathsUnder24Hrs],tblDaily[EntryDate],DATE(2026,2,9),tblDaily[WardCode],"MW")=0,"",SUMIFS(tblDaily[DeathsUnder24Hrs],tblDaily[EntryDate],DATE(2026,2,9),tblDaily[WardCode],"MW")),"")</f>
        <v/>
      </c>
      <c r="F54" s="5" t="str">
        <f>IFERROR(IF(SUMIFS(tblDaily[TransfersIn],tblDaily[EntryDate],DATE(2026,2,9),tblDaily[WardCode],"MW")=0,"",SUMIFS(tblDaily[TransfersIn],tblDaily[EntryDate],DATE(2026,2,9),tblDaily[WardCode],"MW")),"")</f>
        <v/>
      </c>
      <c r="G54" s="5" t="str">
        <f>IFERROR(IF(SUMIFS(tblDaily[TransfersOut],tblDaily[EntryDate],DATE(2026,2,9),tblDaily[WardCode],"MW")=0,"",SUMIFS(tblDaily[TransfersOut],tblDaily[EntryDate],DATE(2026,2,9),tblDaily[WardCode],"MW")),"")</f>
        <v/>
      </c>
      <c r="H54" s="5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IFERROR(IF(SUMIFS(tblDaily[Admissions],tblDaily[EntryDate],DATE(2026,2,10),tblDaily[WardCode],"MW")=0,"",SUMIFS(tblDaily[Admissions],tblDaily[EntryDate],DATE(2026,2,10),tblDaily[WardCode],"MW")),"")</f>
        <v/>
      </c>
      <c r="C55" s="5" t="str">
        <f>IFERROR(IF(SUMIFS(tblDaily[Discharges],tblDaily[EntryDate],DATE(2026,2,10),tblDaily[WardCode],"MW")=0,"",SUMIFS(tblDaily[Discharges],tblDaily[EntryDate],DATE(2026,2,10),tblDaily[WardCode],"MW")),"")</f>
        <v/>
      </c>
      <c r="D55" s="5" t="str">
        <f>IFERROR(IF(SUMIFS(tblDaily[Deaths],tblDaily[EntryDate],DATE(2026,2,10),tblDaily[WardCode],"MW")=0,"",SUMIFS(tblDaily[Deaths],tblDaily[EntryDate],DATE(2026,2,10),tblDaily[WardCode],"MW")),"")</f>
        <v/>
      </c>
      <c r="E55" s="5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5" t="str">
        <f>IFERROR(IF(SUMIFS(tblDaily[TransfersIn],tblDaily[EntryDate],DATE(2026,2,10),tblDaily[WardCode],"MW")=0,"",SUMIFS(tblDaily[TransfersIn],tblDaily[EntryDate],DATE(2026,2,10),tblDaily[WardCode],"MW")),"")</f>
        <v/>
      </c>
      <c r="G55" s="5" t="str">
        <f>IFERROR(IF(SUMIFS(tblDaily[TransfersOut],tblDaily[EntryDate],DATE(2026,2,10),tblDaily[WardCode],"MW")=0,"",SUMIFS(tblDaily[TransfersOut],tblDaily[EntryDate],DATE(2026,2,10),tblDaily[WardCode],"MW")),"")</f>
        <v/>
      </c>
      <c r="H55" s="5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IFERROR(IF(SUMIFS(tblDaily[Admissions],tblDaily[EntryDate],DATE(2026,2,11),tblDaily[WardCode],"MW")=0,"",SUMIFS(tblDaily[Admissions],tblDaily[EntryDate],DATE(2026,2,11),tblDaily[WardCode],"MW")),"")</f>
        <v/>
      </c>
      <c r="C56" s="5" t="str">
        <f>IFERROR(IF(SUMIFS(tblDaily[Discharges],tblDaily[EntryDate],DATE(2026,2,11),tblDaily[WardCode],"MW")=0,"",SUMIFS(tblDaily[Discharges],tblDaily[EntryDate],DATE(2026,2,11),tblDaily[WardCode],"MW")),"")</f>
        <v/>
      </c>
      <c r="D56" s="5" t="str">
        <f>IFERROR(IF(SUMIFS(tblDaily[Deaths],tblDaily[EntryDate],DATE(2026,2,11),tblDaily[WardCode],"MW")=0,"",SUMIFS(tblDaily[Deaths],tblDaily[EntryDate],DATE(2026,2,11),tblDaily[WardCode],"MW")),"")</f>
        <v/>
      </c>
      <c r="E56" s="5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5" t="str">
        <f>IFERROR(IF(SUMIFS(tblDaily[TransfersIn],tblDaily[EntryDate],DATE(2026,2,11),tblDaily[WardCode],"MW")=0,"",SUMIFS(tblDaily[TransfersIn],tblDaily[EntryDate],DATE(2026,2,11),tblDaily[WardCode],"MW")),"")</f>
        <v/>
      </c>
      <c r="G56" s="5" t="str">
        <f>IFERROR(IF(SUMIFS(tblDaily[TransfersOut],tblDaily[EntryDate],DATE(2026,2,11),tblDaily[WardCode],"MW")=0,"",SUMIFS(tblDaily[TransfersOut],tblDaily[EntryDate],DATE(2026,2,11),tblDaily[WardCode],"MW")),"")</f>
        <v/>
      </c>
      <c r="H56" s="5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IFERROR(IF(SUMIFS(tblDaily[Admissions],tblDaily[EntryDate],DATE(2026,2,12),tblDaily[WardCode],"MW")=0,"",SUMIFS(tblDaily[Admissions],tblDaily[EntryDate],DATE(2026,2,12),tblDaily[WardCode],"MW")),"")</f>
        <v/>
      </c>
      <c r="C57" s="5" t="str">
        <f>IFERROR(IF(SUMIFS(tblDaily[Discharges],tblDaily[EntryDate],DATE(2026,2,12),tblDaily[WardCode],"MW")=0,"",SUMIFS(tblDaily[Discharges],tblDaily[EntryDate],DATE(2026,2,12),tblDaily[WardCode],"MW")),"")</f>
        <v/>
      </c>
      <c r="D57" s="5" t="str">
        <f>IFERROR(IF(SUMIFS(tblDaily[Deaths],tblDaily[EntryDate],DATE(2026,2,12),tblDaily[WardCode],"MW")=0,"",SUMIFS(tblDaily[Deaths],tblDaily[EntryDate],DATE(2026,2,12),tblDaily[WardCode],"MW")),"")</f>
        <v/>
      </c>
      <c r="E57" s="5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5" t="str">
        <f>IFERROR(IF(SUMIFS(tblDaily[TransfersIn],tblDaily[EntryDate],DATE(2026,2,12),tblDaily[WardCode],"MW")=0,"",SUMIFS(tblDaily[TransfersIn],tblDaily[EntryDate],DATE(2026,2,12),tblDaily[WardCode],"MW")),"")</f>
        <v/>
      </c>
      <c r="G57" s="5" t="str">
        <f>IFERROR(IF(SUMIFS(tblDaily[TransfersOut],tblDaily[EntryDate],DATE(2026,2,12),tblDaily[WardCode],"MW")=0,"",SUMIFS(tblDaily[TransfersOut],tblDaily[EntryDate],DATE(2026,2,12),tblDaily[WardCode],"MW")),"")</f>
        <v/>
      </c>
      <c r="H57" s="5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IFERROR(IF(SUMIFS(tblDaily[Admissions],tblDaily[EntryDate],DATE(2026,2,13),tblDaily[WardCode],"MW")=0,"",SUMIFS(tblDaily[Admissions],tblDaily[EntryDate],DATE(2026,2,13),tblDaily[WardCode],"MW")),"")</f>
        <v/>
      </c>
      <c r="C58" s="5" t="str">
        <f>IFERROR(IF(SUMIFS(tblDaily[Discharges],tblDaily[EntryDate],DATE(2026,2,13),tblDaily[WardCode],"MW")=0,"",SUMIFS(tblDaily[Discharges],tblDaily[EntryDate],DATE(2026,2,13),tblDaily[WardCode],"MW")),"")</f>
        <v/>
      </c>
      <c r="D58" s="5" t="str">
        <f>IFERROR(IF(SUMIFS(tblDaily[Deaths],tblDaily[EntryDate],DATE(2026,2,13),tblDaily[WardCode],"MW")=0,"",SUMIFS(tblDaily[Deaths],tblDaily[EntryDate],DATE(2026,2,13),tblDaily[WardCode],"MW")),"")</f>
        <v/>
      </c>
      <c r="E58" s="5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5" t="str">
        <f>IFERROR(IF(SUMIFS(tblDaily[TransfersIn],tblDaily[EntryDate],DATE(2026,2,13),tblDaily[WardCode],"MW")=0,"",SUMIFS(tblDaily[TransfersIn],tblDaily[EntryDate],DATE(2026,2,13),tblDaily[WardCode],"MW")),"")</f>
        <v/>
      </c>
      <c r="G58" s="5" t="str">
        <f>IFERROR(IF(SUMIFS(tblDaily[TransfersOut],tblDaily[EntryDate],DATE(2026,2,13),tblDaily[WardCode],"MW")=0,"",SUMIFS(tblDaily[TransfersOut],tblDaily[EntryDate],DATE(2026,2,13),tblDaily[WardCode],"MW")),"")</f>
        <v/>
      </c>
      <c r="H58" s="5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IFERROR(IF(SUMIFS(tblDaily[Admissions],tblDaily[EntryDate],DATE(2026,2,14),tblDaily[WardCode],"MW")=0,"",SUMIFS(tblDaily[Admissions],tblDaily[EntryDate],DATE(2026,2,14),tblDaily[WardCode],"MW")),"")</f>
        <v/>
      </c>
      <c r="C59" s="5" t="str">
        <f>IFERROR(IF(SUMIFS(tblDaily[Discharges],tblDaily[EntryDate],DATE(2026,2,14),tblDaily[WardCode],"MW")=0,"",SUMIFS(tblDaily[Discharges],tblDaily[EntryDate],DATE(2026,2,14),tblDaily[WardCode],"MW")),"")</f>
        <v/>
      </c>
      <c r="D59" s="5" t="str">
        <f>IFERROR(IF(SUMIFS(tblDaily[Deaths],tblDaily[EntryDate],DATE(2026,2,14),tblDaily[WardCode],"MW")=0,"",SUMIFS(tblDaily[Deaths],tblDaily[EntryDate],DATE(2026,2,14),tblDaily[WardCode],"MW")),"")</f>
        <v/>
      </c>
      <c r="E59" s="5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5" t="str">
        <f>IFERROR(IF(SUMIFS(tblDaily[TransfersIn],tblDaily[EntryDate],DATE(2026,2,14),tblDaily[WardCode],"MW")=0,"",SUMIFS(tblDaily[TransfersIn],tblDaily[EntryDate],DATE(2026,2,14),tblDaily[WardCode],"MW")),"")</f>
        <v/>
      </c>
      <c r="G59" s="5" t="str">
        <f>IFERROR(IF(SUMIFS(tblDaily[TransfersOut],tblDaily[EntryDate],DATE(2026,2,14),tblDaily[WardCode],"MW")=0,"",SUMIFS(tblDaily[TransfersOut],tblDaily[EntryDate],DATE(2026,2,14),tblDaily[WardCode],"MW")),"")</f>
        <v/>
      </c>
      <c r="H59" s="5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IFERROR(IF(SUMIFS(tblDaily[Admissions],tblDaily[EntryDate],DATE(2026,2,15),tblDaily[WardCode],"MW")=0,"",SUMIFS(tblDaily[Admissions],tblDaily[EntryDate],DATE(2026,2,15),tblDaily[WardCode],"MW")),"")</f>
        <v/>
      </c>
      <c r="C60" s="5" t="str">
        <f>IFERROR(IF(SUMIFS(tblDaily[Discharges],tblDaily[EntryDate],DATE(2026,2,15),tblDaily[WardCode],"MW")=0,"",SUMIFS(tblDaily[Discharges],tblDaily[EntryDate],DATE(2026,2,15),tblDaily[WardCode],"MW")),"")</f>
        <v/>
      </c>
      <c r="D60" s="5" t="str">
        <f>IFERROR(IF(SUMIFS(tblDaily[Deaths],tblDaily[EntryDate],DATE(2026,2,15),tblDaily[WardCode],"MW")=0,"",SUMIFS(tblDaily[Deaths],tblDaily[EntryDate],DATE(2026,2,15),tblDaily[WardCode],"MW")),"")</f>
        <v/>
      </c>
      <c r="E60" s="5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5" t="str">
        <f>IFERROR(IF(SUMIFS(tblDaily[TransfersIn],tblDaily[EntryDate],DATE(2026,2,15),tblDaily[WardCode],"MW")=0,"",SUMIFS(tblDaily[TransfersIn],tblDaily[EntryDate],DATE(2026,2,15),tblDaily[WardCode],"MW")),"")</f>
        <v/>
      </c>
      <c r="G60" s="5" t="str">
        <f>IFERROR(IF(SUMIFS(tblDaily[TransfersOut],tblDaily[EntryDate],DATE(2026,2,15),tblDaily[WardCode],"MW")=0,"",SUMIFS(tblDaily[TransfersOut],tblDaily[EntryDate],DATE(2026,2,15),tblDaily[WardCode],"MW")),"")</f>
        <v/>
      </c>
      <c r="H60" s="5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IFERROR(IF(SUMIFS(tblDaily[Admissions],tblDaily[EntryDate],DATE(2026,2,16),tblDaily[WardCode],"MW")=0,"",SUMIFS(tblDaily[Admissions],tblDaily[EntryDate],DATE(2026,2,16),tblDaily[WardCode],"MW")),"")</f>
        <v/>
      </c>
      <c r="C61" s="5" t="str">
        <f>IFERROR(IF(SUMIFS(tblDaily[Discharges],tblDaily[EntryDate],DATE(2026,2,16),tblDaily[WardCode],"MW")=0,"",SUMIFS(tblDaily[Discharges],tblDaily[EntryDate],DATE(2026,2,16),tblDaily[WardCode],"MW")),"")</f>
        <v/>
      </c>
      <c r="D61" s="5" t="str">
        <f>IFERROR(IF(SUMIFS(tblDaily[Deaths],tblDaily[EntryDate],DATE(2026,2,16),tblDaily[WardCode],"MW")=0,"",SUMIFS(tblDaily[Deaths],tblDaily[EntryDate],DATE(2026,2,16),tblDaily[WardCode],"MW")),"")</f>
        <v/>
      </c>
      <c r="E61" s="5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5" t="str">
        <f>IFERROR(IF(SUMIFS(tblDaily[TransfersIn],tblDaily[EntryDate],DATE(2026,2,16),tblDaily[WardCode],"MW")=0,"",SUMIFS(tblDaily[TransfersIn],tblDaily[EntryDate],DATE(2026,2,16),tblDaily[WardCode],"MW")),"")</f>
        <v/>
      </c>
      <c r="G61" s="5" t="str">
        <f>IFERROR(IF(SUMIFS(tblDaily[TransfersOut],tblDaily[EntryDate],DATE(2026,2,16),tblDaily[WardCode],"MW")=0,"",SUMIFS(tblDaily[TransfersOut],tblDaily[EntryDate],DATE(2026,2,16),tblDaily[WardCode],"MW")),"")</f>
        <v/>
      </c>
      <c r="H61" s="5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IFERROR(IF(SUMIFS(tblDaily[Admissions],tblDaily[EntryDate],DATE(2026,2,17),tblDaily[WardCode],"MW")=0,"",SUMIFS(tblDaily[Admissions],tblDaily[EntryDate],DATE(2026,2,17),tblDaily[WardCode],"MW")),"")</f>
        <v/>
      </c>
      <c r="C62" s="5" t="str">
        <f>IFERROR(IF(SUMIFS(tblDaily[Discharges],tblDaily[EntryDate],DATE(2026,2,17),tblDaily[WardCode],"MW")=0,"",SUMIFS(tblDaily[Discharges],tblDaily[EntryDate],DATE(2026,2,17),tblDaily[WardCode],"MW")),"")</f>
        <v/>
      </c>
      <c r="D62" s="5" t="str">
        <f>IFERROR(IF(SUMIFS(tblDaily[Deaths],tblDaily[EntryDate],DATE(2026,2,17),tblDaily[WardCode],"MW")=0,"",SUMIFS(tblDaily[Deaths],tblDaily[EntryDate],DATE(2026,2,17),tblDaily[WardCode],"MW")),"")</f>
        <v/>
      </c>
      <c r="E62" s="5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5" t="str">
        <f>IFERROR(IF(SUMIFS(tblDaily[TransfersIn],tblDaily[EntryDate],DATE(2026,2,17),tblDaily[WardCode],"MW")=0,"",SUMIFS(tblDaily[TransfersIn],tblDaily[EntryDate],DATE(2026,2,17),tblDaily[WardCode],"MW")),"")</f>
        <v/>
      </c>
      <c r="G62" s="5" t="str">
        <f>IFERROR(IF(SUMIFS(tblDaily[TransfersOut],tblDaily[EntryDate],DATE(2026,2,17),tblDaily[WardCode],"MW")=0,"",SUMIFS(tblDaily[TransfersOut],tblDaily[EntryDate],DATE(2026,2,17),tblDaily[WardCode],"MW")),"")</f>
        <v/>
      </c>
      <c r="H62" s="5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IFERROR(IF(SUMIFS(tblDaily[Admissions],tblDaily[EntryDate],DATE(2026,2,18),tblDaily[WardCode],"MW")=0,"",SUMIFS(tblDaily[Admissions],tblDaily[EntryDate],DATE(2026,2,18),tblDaily[WardCode],"MW")),"")</f>
        <v/>
      </c>
      <c r="C63" s="5" t="str">
        <f>IFERROR(IF(SUMIFS(tblDaily[Discharges],tblDaily[EntryDate],DATE(2026,2,18),tblDaily[WardCode],"MW")=0,"",SUMIFS(tblDaily[Discharges],tblDaily[EntryDate],DATE(2026,2,18),tblDaily[WardCode],"MW")),"")</f>
        <v/>
      </c>
      <c r="D63" s="5" t="str">
        <f>IFERROR(IF(SUMIFS(tblDaily[Deaths],tblDaily[EntryDate],DATE(2026,2,18),tblDaily[WardCode],"MW")=0,"",SUMIFS(tblDaily[Deaths],tblDaily[EntryDate],DATE(2026,2,18),tblDaily[WardCode],"MW")),"")</f>
        <v/>
      </c>
      <c r="E63" s="5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5" t="str">
        <f>IFERROR(IF(SUMIFS(tblDaily[TransfersIn],tblDaily[EntryDate],DATE(2026,2,18),tblDaily[WardCode],"MW")=0,"",SUMIFS(tblDaily[TransfersIn],tblDaily[EntryDate],DATE(2026,2,18),tblDaily[WardCode],"MW")),"")</f>
        <v/>
      </c>
      <c r="G63" s="5" t="str">
        <f>IFERROR(IF(SUMIFS(tblDaily[TransfersOut],tblDaily[EntryDate],DATE(2026,2,18),tblDaily[WardCode],"MW")=0,"",SUMIFS(tblDaily[TransfersOut],tblDaily[EntryDate],DATE(2026,2,18),tblDaily[WardCode],"MW")),"")</f>
        <v/>
      </c>
      <c r="H63" s="5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IFERROR(IF(SUMIFS(tblDaily[Admissions],tblDaily[EntryDate],DATE(2026,2,19),tblDaily[WardCode],"MW")=0,"",SUMIFS(tblDaily[Admissions],tblDaily[EntryDate],DATE(2026,2,19),tblDaily[WardCode],"MW")),"")</f>
        <v/>
      </c>
      <c r="C64" s="5" t="str">
        <f>IFERROR(IF(SUMIFS(tblDaily[Discharges],tblDaily[EntryDate],DATE(2026,2,19),tblDaily[WardCode],"MW")=0,"",SUMIFS(tblDaily[Discharges],tblDaily[EntryDate],DATE(2026,2,19),tblDaily[WardCode],"MW")),"")</f>
        <v/>
      </c>
      <c r="D64" s="5" t="str">
        <f>IFERROR(IF(SUMIFS(tblDaily[Deaths],tblDaily[EntryDate],DATE(2026,2,19),tblDaily[WardCode],"MW")=0,"",SUMIFS(tblDaily[Deaths],tblDaily[EntryDate],DATE(2026,2,19),tblDaily[WardCode],"MW")),"")</f>
        <v/>
      </c>
      <c r="E64" s="5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5" t="str">
        <f>IFERROR(IF(SUMIFS(tblDaily[TransfersIn],tblDaily[EntryDate],DATE(2026,2,19),tblDaily[WardCode],"MW")=0,"",SUMIFS(tblDaily[TransfersIn],tblDaily[EntryDate],DATE(2026,2,19),tblDaily[WardCode],"MW")),"")</f>
        <v/>
      </c>
      <c r="G64" s="5" t="str">
        <f>IFERROR(IF(SUMIFS(tblDaily[TransfersOut],tblDaily[EntryDate],DATE(2026,2,19),tblDaily[WardCode],"MW")=0,"",SUMIFS(tblDaily[TransfersOut],tblDaily[EntryDate],DATE(2026,2,19),tblDaily[WardCode],"MW")),"")</f>
        <v/>
      </c>
      <c r="H64" s="5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IFERROR(IF(SUMIFS(tblDaily[Admissions],tblDaily[EntryDate],DATE(2026,2,20),tblDaily[WardCode],"MW")=0,"",SUMIFS(tblDaily[Admissions],tblDaily[EntryDate],DATE(2026,2,20),tblDaily[WardCode],"MW")),"")</f>
        <v/>
      </c>
      <c r="C65" s="5" t="str">
        <f>IFERROR(IF(SUMIFS(tblDaily[Discharges],tblDaily[EntryDate],DATE(2026,2,20),tblDaily[WardCode],"MW")=0,"",SUMIFS(tblDaily[Discharges],tblDaily[EntryDate],DATE(2026,2,20),tblDaily[WardCode],"MW")),"")</f>
        <v/>
      </c>
      <c r="D65" s="5" t="str">
        <f>IFERROR(IF(SUMIFS(tblDaily[Deaths],tblDaily[EntryDate],DATE(2026,2,20),tblDaily[WardCode],"MW")=0,"",SUMIFS(tblDaily[Deaths],tblDaily[EntryDate],DATE(2026,2,20),tblDaily[WardCode],"MW")),"")</f>
        <v/>
      </c>
      <c r="E65" s="5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5" t="str">
        <f>IFERROR(IF(SUMIFS(tblDaily[TransfersIn],tblDaily[EntryDate],DATE(2026,2,20),tblDaily[WardCode],"MW")=0,"",SUMIFS(tblDaily[TransfersIn],tblDaily[EntryDate],DATE(2026,2,20),tblDaily[WardCode],"MW")),"")</f>
        <v/>
      </c>
      <c r="G65" s="5" t="str">
        <f>IFERROR(IF(SUMIFS(tblDaily[TransfersOut],tblDaily[EntryDate],DATE(2026,2,20),tblDaily[WardCode],"MW")=0,"",SUMIFS(tblDaily[TransfersOut],tblDaily[EntryDate],DATE(2026,2,20),tblDaily[WardCode],"MW")),"")</f>
        <v/>
      </c>
      <c r="H65" s="5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IFERROR(IF(SUMIFS(tblDaily[Admissions],tblDaily[EntryDate],DATE(2026,2,21),tblDaily[WardCode],"MW")=0,"",SUMIFS(tblDaily[Admissions],tblDaily[EntryDate],DATE(2026,2,21),tblDaily[WardCode],"MW")),"")</f>
        <v/>
      </c>
      <c r="C66" s="5" t="str">
        <f>IFERROR(IF(SUMIFS(tblDaily[Discharges],tblDaily[EntryDate],DATE(2026,2,21),tblDaily[WardCode],"MW")=0,"",SUMIFS(tblDaily[Discharges],tblDaily[EntryDate],DATE(2026,2,21),tblDaily[WardCode],"MW")),"")</f>
        <v/>
      </c>
      <c r="D66" s="5" t="str">
        <f>IFERROR(IF(SUMIFS(tblDaily[Deaths],tblDaily[EntryDate],DATE(2026,2,21),tblDaily[WardCode],"MW")=0,"",SUMIFS(tblDaily[Deaths],tblDaily[EntryDate],DATE(2026,2,21),tblDaily[WardCode],"MW")),"")</f>
        <v/>
      </c>
      <c r="E66" s="5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5" t="str">
        <f>IFERROR(IF(SUMIFS(tblDaily[TransfersIn],tblDaily[EntryDate],DATE(2026,2,21),tblDaily[WardCode],"MW")=0,"",SUMIFS(tblDaily[TransfersIn],tblDaily[EntryDate],DATE(2026,2,21),tblDaily[WardCode],"MW")),"")</f>
        <v/>
      </c>
      <c r="G66" s="5" t="str">
        <f>IFERROR(IF(SUMIFS(tblDaily[TransfersOut],tblDaily[EntryDate],DATE(2026,2,21),tblDaily[WardCode],"MW")=0,"",SUMIFS(tblDaily[TransfersOut],tblDaily[EntryDate],DATE(2026,2,21),tblDaily[WardCode],"MW")),"")</f>
        <v/>
      </c>
      <c r="H66" s="5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IFERROR(IF(SUMIFS(tblDaily[Admissions],tblDaily[EntryDate],DATE(2026,2,22),tblDaily[WardCode],"MW")=0,"",SUMIFS(tblDaily[Admissions],tblDaily[EntryDate],DATE(2026,2,22),tblDaily[WardCode],"MW")),"")</f>
        <v/>
      </c>
      <c r="C67" s="5" t="str">
        <f>IFERROR(IF(SUMIFS(tblDaily[Discharges],tblDaily[EntryDate],DATE(2026,2,22),tblDaily[WardCode],"MW")=0,"",SUMIFS(tblDaily[Discharges],tblDaily[EntryDate],DATE(2026,2,22),tblDaily[WardCode],"MW")),"")</f>
        <v/>
      </c>
      <c r="D67" s="5" t="str">
        <f>IFERROR(IF(SUMIFS(tblDaily[Deaths],tblDaily[EntryDate],DATE(2026,2,22),tblDaily[WardCode],"MW")=0,"",SUMIFS(tblDaily[Deaths],tblDaily[EntryDate],DATE(2026,2,22),tblDaily[WardCode],"MW")),"")</f>
        <v/>
      </c>
      <c r="E67" s="5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5" t="str">
        <f>IFERROR(IF(SUMIFS(tblDaily[TransfersIn],tblDaily[EntryDate],DATE(2026,2,22),tblDaily[WardCode],"MW")=0,"",SUMIFS(tblDaily[TransfersIn],tblDaily[EntryDate],DATE(2026,2,22),tblDaily[WardCode],"MW")),"")</f>
        <v/>
      </c>
      <c r="G67" s="5" t="str">
        <f>IFERROR(IF(SUMIFS(tblDaily[TransfersOut],tblDaily[EntryDate],DATE(2026,2,22),tblDaily[WardCode],"MW")=0,"",SUMIFS(tblDaily[TransfersOut],tblDaily[EntryDate],DATE(2026,2,22),tblDaily[WardCode],"MW")),"")</f>
        <v/>
      </c>
      <c r="H67" s="5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IFERROR(IF(SUMIFS(tblDaily[Admissions],tblDaily[EntryDate],DATE(2026,2,23),tblDaily[WardCode],"MW")=0,"",SUMIFS(tblDaily[Admissions],tblDaily[EntryDate],DATE(2026,2,23),tblDaily[WardCode],"MW")),"")</f>
        <v/>
      </c>
      <c r="C68" s="5" t="str">
        <f>IFERROR(IF(SUMIFS(tblDaily[Discharges],tblDaily[EntryDate],DATE(2026,2,23),tblDaily[WardCode],"MW")=0,"",SUMIFS(tblDaily[Discharges],tblDaily[EntryDate],DATE(2026,2,23),tblDaily[WardCode],"MW")),"")</f>
        <v/>
      </c>
      <c r="D68" s="5" t="str">
        <f>IFERROR(IF(SUMIFS(tblDaily[Deaths],tblDaily[EntryDate],DATE(2026,2,23),tblDaily[WardCode],"MW")=0,"",SUMIFS(tblDaily[Deaths],tblDaily[EntryDate],DATE(2026,2,23),tblDaily[WardCode],"MW")),"")</f>
        <v/>
      </c>
      <c r="E68" s="5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5" t="str">
        <f>IFERROR(IF(SUMIFS(tblDaily[TransfersIn],tblDaily[EntryDate],DATE(2026,2,23),tblDaily[WardCode],"MW")=0,"",SUMIFS(tblDaily[TransfersIn],tblDaily[EntryDate],DATE(2026,2,23),tblDaily[WardCode],"MW")),"")</f>
        <v/>
      </c>
      <c r="G68" s="5" t="str">
        <f>IFERROR(IF(SUMIFS(tblDaily[TransfersOut],tblDaily[EntryDate],DATE(2026,2,23),tblDaily[WardCode],"MW")=0,"",SUMIFS(tblDaily[TransfersOut],tblDaily[EntryDate],DATE(2026,2,23),tblDaily[WardCode],"MW")),"")</f>
        <v/>
      </c>
      <c r="H68" s="5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IFERROR(IF(SUMIFS(tblDaily[Admissions],tblDaily[EntryDate],DATE(2026,2,24),tblDaily[WardCode],"MW")=0,"",SUMIFS(tblDaily[Admissions],tblDaily[EntryDate],DATE(2026,2,24),tblDaily[WardCode],"MW")),"")</f>
        <v/>
      </c>
      <c r="C69" s="5" t="str">
        <f>IFERROR(IF(SUMIFS(tblDaily[Discharges],tblDaily[EntryDate],DATE(2026,2,24),tblDaily[WardCode],"MW")=0,"",SUMIFS(tblDaily[Discharges],tblDaily[EntryDate],DATE(2026,2,24),tblDaily[WardCode],"MW")),"")</f>
        <v/>
      </c>
      <c r="D69" s="5" t="str">
        <f>IFERROR(IF(SUMIFS(tblDaily[Deaths],tblDaily[EntryDate],DATE(2026,2,24),tblDaily[WardCode],"MW")=0,"",SUMIFS(tblDaily[Deaths],tblDaily[EntryDate],DATE(2026,2,24),tblDaily[WardCode],"MW")),"")</f>
        <v/>
      </c>
      <c r="E69" s="5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5" t="str">
        <f>IFERROR(IF(SUMIFS(tblDaily[TransfersIn],tblDaily[EntryDate],DATE(2026,2,24),tblDaily[WardCode],"MW")=0,"",SUMIFS(tblDaily[TransfersIn],tblDaily[EntryDate],DATE(2026,2,24),tblDaily[WardCode],"MW")),"")</f>
        <v/>
      </c>
      <c r="G69" s="5" t="str">
        <f>IFERROR(IF(SUMIFS(tblDaily[TransfersOut],tblDaily[EntryDate],DATE(2026,2,24),tblDaily[WardCode],"MW")=0,"",SUMIFS(tblDaily[TransfersOut],tblDaily[EntryDate],DATE(2026,2,24),tblDaily[WardCode],"MW")),"")</f>
        <v/>
      </c>
      <c r="H69" s="5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IFERROR(IF(SUMIFS(tblDaily[Admissions],tblDaily[EntryDate],DATE(2026,2,25),tblDaily[WardCode],"MW")=0,"",SUMIFS(tblDaily[Admissions],tblDaily[EntryDate],DATE(2026,2,25),tblDaily[WardCode],"MW")),"")</f>
        <v/>
      </c>
      <c r="C70" s="5" t="str">
        <f>IFERROR(IF(SUMIFS(tblDaily[Discharges],tblDaily[EntryDate],DATE(2026,2,25),tblDaily[WardCode],"MW")=0,"",SUMIFS(tblDaily[Discharges],tblDaily[EntryDate],DATE(2026,2,25),tblDaily[WardCode],"MW")),"")</f>
        <v/>
      </c>
      <c r="D70" s="5" t="str">
        <f>IFERROR(IF(SUMIFS(tblDaily[Deaths],tblDaily[EntryDate],DATE(2026,2,25),tblDaily[WardCode],"MW")=0,"",SUMIFS(tblDaily[Deaths],tblDaily[EntryDate],DATE(2026,2,25),tblDaily[WardCode],"MW")),"")</f>
        <v/>
      </c>
      <c r="E70" s="5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5" t="str">
        <f>IFERROR(IF(SUMIFS(tblDaily[TransfersIn],tblDaily[EntryDate],DATE(2026,2,25),tblDaily[WardCode],"MW")=0,"",SUMIFS(tblDaily[TransfersIn],tblDaily[EntryDate],DATE(2026,2,25),tblDaily[WardCode],"MW")),"")</f>
        <v/>
      </c>
      <c r="G70" s="5" t="str">
        <f>IFERROR(IF(SUMIFS(tblDaily[TransfersOut],tblDaily[EntryDate],DATE(2026,2,25),tblDaily[WardCode],"MW")=0,"",SUMIFS(tblDaily[TransfersOut],tblDaily[EntryDate],DATE(2026,2,25),tblDaily[WardCode],"MW")),"")</f>
        <v/>
      </c>
      <c r="H70" s="5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IFERROR(IF(SUMIFS(tblDaily[Admissions],tblDaily[EntryDate],DATE(2026,2,26),tblDaily[WardCode],"MW")=0,"",SUMIFS(tblDaily[Admissions],tblDaily[EntryDate],DATE(2026,2,26),tblDaily[WardCode],"MW")),"")</f>
        <v/>
      </c>
      <c r="C71" s="5" t="str">
        <f>IFERROR(IF(SUMIFS(tblDaily[Discharges],tblDaily[EntryDate],DATE(2026,2,26),tblDaily[WardCode],"MW")=0,"",SUMIFS(tblDaily[Discharges],tblDaily[EntryDate],DATE(2026,2,26),tblDaily[WardCode],"MW")),"")</f>
        <v/>
      </c>
      <c r="D71" s="5" t="str">
        <f>IFERROR(IF(SUMIFS(tblDaily[Deaths],tblDaily[EntryDate],DATE(2026,2,26),tblDaily[WardCode],"MW")=0,"",SUMIFS(tblDaily[Deaths],tblDaily[EntryDate],DATE(2026,2,26),tblDaily[WardCode],"MW")),"")</f>
        <v/>
      </c>
      <c r="E71" s="5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5" t="str">
        <f>IFERROR(IF(SUMIFS(tblDaily[TransfersIn],tblDaily[EntryDate],DATE(2026,2,26),tblDaily[WardCode],"MW")=0,"",SUMIFS(tblDaily[TransfersIn],tblDaily[EntryDate],DATE(2026,2,26),tblDaily[WardCode],"MW")),"")</f>
        <v/>
      </c>
      <c r="G71" s="5" t="str">
        <f>IFERROR(IF(SUMIFS(tblDaily[TransfersOut],tblDaily[EntryDate],DATE(2026,2,26),tblDaily[WardCode],"MW")=0,"",SUMIFS(tblDaily[TransfersOut],tblDaily[EntryDate],DATE(2026,2,26),tblDaily[WardCode],"MW")),"")</f>
        <v/>
      </c>
      <c r="H71" s="5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IFERROR(IF(SUMIFS(tblDaily[Admissions],tblDaily[EntryDate],DATE(2026,2,27),tblDaily[WardCode],"MW")=0,"",SUMIFS(tblDaily[Admissions],tblDaily[EntryDate],DATE(2026,2,27),tblDaily[WardCode],"MW")),"")</f>
        <v/>
      </c>
      <c r="C72" s="5" t="str">
        <f>IFERROR(IF(SUMIFS(tblDaily[Discharges],tblDaily[EntryDate],DATE(2026,2,27),tblDaily[WardCode],"MW")=0,"",SUMIFS(tblDaily[Discharges],tblDaily[EntryDate],DATE(2026,2,27),tblDaily[WardCode],"MW")),"")</f>
        <v/>
      </c>
      <c r="D72" s="5" t="str">
        <f>IFERROR(IF(SUMIFS(tblDaily[Deaths],tblDaily[EntryDate],DATE(2026,2,27),tblDaily[WardCode],"MW")=0,"",SUMIFS(tblDaily[Deaths],tblDaily[EntryDate],DATE(2026,2,27),tblDaily[WardCode],"MW")),"")</f>
        <v/>
      </c>
      <c r="E72" s="5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5" t="str">
        <f>IFERROR(IF(SUMIFS(tblDaily[TransfersIn],tblDaily[EntryDate],DATE(2026,2,27),tblDaily[WardCode],"MW")=0,"",SUMIFS(tblDaily[TransfersIn],tblDaily[EntryDate],DATE(2026,2,27),tblDaily[WardCode],"MW")),"")</f>
        <v/>
      </c>
      <c r="G72" s="5" t="str">
        <f>IFERROR(IF(SUMIFS(tblDaily[TransfersOut],tblDaily[EntryDate],DATE(2026,2,27),tblDaily[WardCode],"MW")=0,"",SUMIFS(tblDaily[TransfersOut],tblDaily[EntryDate],DATE(2026,2,27),tblDaily[WardCode],"MW")),"")</f>
        <v/>
      </c>
      <c r="H72" s="5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IFERROR(IF(SUMIFS(tblDaily[Admissions],tblDaily[EntryDate],DATE(2026,2,28),tblDaily[WardCode],"MW")=0,"",SUMIFS(tblDaily[Admissions],tblDaily[EntryDate],DATE(2026,2,28),tblDaily[WardCode],"MW")),"")</f>
        <v/>
      </c>
      <c r="C73" s="5" t="str">
        <f>IFERROR(IF(SUMIFS(tblDaily[Discharges],tblDaily[EntryDate],DATE(2026,2,28),tblDaily[WardCode],"MW")=0,"",SUMIFS(tblDaily[Discharges],tblDaily[EntryDate],DATE(2026,2,28),tblDaily[WardCode],"MW")),"")</f>
        <v/>
      </c>
      <c r="D73" s="5" t="str">
        <f>IFERROR(IF(SUMIFS(tblDaily[Deaths],tblDaily[EntryDate],DATE(2026,2,28),tblDaily[WardCode],"MW")=0,"",SUMIFS(tblDaily[Deaths],tblDaily[EntryDate],DATE(2026,2,28),tblDaily[WardCode],"MW")),"")</f>
        <v/>
      </c>
      <c r="E73" s="5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5" t="str">
        <f>IFERROR(IF(SUMIFS(tblDaily[TransfersIn],tblDaily[EntryDate],DATE(2026,2,28),tblDaily[WardCode],"MW")=0,"",SUMIFS(tblDaily[TransfersIn],tblDaily[EntryDate],DATE(2026,2,28),tblDaily[WardCode],"MW")),"")</f>
        <v/>
      </c>
      <c r="G73" s="5" t="str">
        <f>IFERROR(IF(SUMIFS(tblDaily[TransfersOut],tblDaily[EntryDate],DATE(2026,2,28),tblDaily[WardCode],"MW")=0,"",SUMIFS(tblDaily[TransfersOut],tblDaily[EntryDate],DATE(2026,2,28),tblDaily[WardCode],"MW")),"")</f>
        <v/>
      </c>
      <c r="H73" s="5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86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89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IFERROR(IF(SUMIFS(tblDaily[Admissions],tblDaily[EntryDate],DATE(2026,3,1),tblDaily[WardCode],"MW")=0,"",SUMIFS(tblDaily[Admissions],tblDaily[EntryDate],DATE(2026,3,1),tblDaily[WardCode],"MW")),"")</f>
        <v/>
      </c>
      <c r="C85" s="5" t="str">
        <f>IFERROR(IF(SUMIFS(tblDaily[Discharges],tblDaily[EntryDate],DATE(2026,3,1),tblDaily[WardCode],"MW")=0,"",SUMIFS(tblDaily[Discharges],tblDaily[EntryDate],DATE(2026,3,1),tblDaily[WardCode],"MW")),"")</f>
        <v/>
      </c>
      <c r="D85" s="5" t="str">
        <f>IFERROR(IF(SUMIFS(tblDaily[Deaths],tblDaily[EntryDate],DATE(2026,3,1),tblDaily[WardCode],"MW")=0,"",SUMIFS(tblDaily[Deaths],tblDaily[EntryDate],DATE(2026,3,1),tblDaily[WardCode],"MW")),"")</f>
        <v/>
      </c>
      <c r="E85" s="5" t="str">
        <f>IFERROR(IF(SUMIFS(tblDaily[DeathsUnder24Hrs],tblDaily[EntryDate],DATE(2026,3,1),tblDaily[WardCode],"MW")=0,"",SUMIFS(tblDaily[DeathsUnder24Hrs],tblDaily[EntryDate],DATE(2026,3,1),tblDaily[WardCode],"MW")),"")</f>
        <v/>
      </c>
      <c r="F85" s="5" t="str">
        <f>IFERROR(IF(SUMIFS(tblDaily[TransfersIn],tblDaily[EntryDate],DATE(2026,3,1),tblDaily[WardCode],"MW")=0,"",SUMIFS(tblDaily[TransfersIn],tblDaily[EntryDate],DATE(2026,3,1),tblDaily[WardCode],"MW")),"")</f>
        <v/>
      </c>
      <c r="G85" s="5" t="str">
        <f>IFERROR(IF(SUMIFS(tblDaily[TransfersOut],tblDaily[EntryDate],DATE(2026,3,1),tblDaily[WardCode],"MW")=0,"",SUMIFS(tblDaily[TransfersOut],tblDaily[EntryDate],DATE(2026,3,1),tblDaily[WardCode],"MW")),"")</f>
        <v/>
      </c>
      <c r="H85" s="5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IFERROR(IF(SUMIFS(tblDaily[Admissions],tblDaily[EntryDate],DATE(2026,3,2),tblDaily[WardCode],"MW")=0,"",SUMIFS(tblDaily[Admissions],tblDaily[EntryDate],DATE(2026,3,2),tblDaily[WardCode],"MW")),"")</f>
        <v/>
      </c>
      <c r="C86" s="5" t="str">
        <f>IFERROR(IF(SUMIFS(tblDaily[Discharges],tblDaily[EntryDate],DATE(2026,3,2),tblDaily[WardCode],"MW")=0,"",SUMIFS(tblDaily[Discharges],tblDaily[EntryDate],DATE(2026,3,2),tblDaily[WardCode],"MW")),"")</f>
        <v/>
      </c>
      <c r="D86" s="5" t="str">
        <f>IFERROR(IF(SUMIFS(tblDaily[Deaths],tblDaily[EntryDate],DATE(2026,3,2),tblDaily[WardCode],"MW")=0,"",SUMIFS(tblDaily[Deaths],tblDaily[EntryDate],DATE(2026,3,2),tblDaily[WardCode],"MW")),"")</f>
        <v/>
      </c>
      <c r="E86" s="5" t="str">
        <f>IFERROR(IF(SUMIFS(tblDaily[DeathsUnder24Hrs],tblDaily[EntryDate],DATE(2026,3,2),tblDaily[WardCode],"MW")=0,"",SUMIFS(tblDaily[DeathsUnder24Hrs],tblDaily[EntryDate],DATE(2026,3,2),tblDaily[WardCode],"MW")),"")</f>
        <v/>
      </c>
      <c r="F86" s="5" t="str">
        <f>IFERROR(IF(SUMIFS(tblDaily[TransfersIn],tblDaily[EntryDate],DATE(2026,3,2),tblDaily[WardCode],"MW")=0,"",SUMIFS(tblDaily[TransfersIn],tblDaily[EntryDate],DATE(2026,3,2),tblDaily[WardCode],"MW")),"")</f>
        <v/>
      </c>
      <c r="G86" s="5" t="str">
        <f>IFERROR(IF(SUMIFS(tblDaily[TransfersOut],tblDaily[EntryDate],DATE(2026,3,2),tblDaily[WardCode],"MW")=0,"",SUMIFS(tblDaily[TransfersOut],tblDaily[EntryDate],DATE(2026,3,2),tblDaily[WardCode],"MW")),"")</f>
        <v/>
      </c>
      <c r="H86" s="5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IFERROR(IF(SUMIFS(tblDaily[Admissions],tblDaily[EntryDate],DATE(2026,3,3),tblDaily[WardCode],"MW")=0,"",SUMIFS(tblDaily[Admissions],tblDaily[EntryDate],DATE(2026,3,3),tblDaily[WardCode],"MW")),"")</f>
        <v/>
      </c>
      <c r="C87" s="5" t="str">
        <f>IFERROR(IF(SUMIFS(tblDaily[Discharges],tblDaily[EntryDate],DATE(2026,3,3),tblDaily[WardCode],"MW")=0,"",SUMIFS(tblDaily[Discharges],tblDaily[EntryDate],DATE(2026,3,3),tblDaily[WardCode],"MW")),"")</f>
        <v/>
      </c>
      <c r="D87" s="5" t="str">
        <f>IFERROR(IF(SUMIFS(tblDaily[Deaths],tblDaily[EntryDate],DATE(2026,3,3),tblDaily[WardCode],"MW")=0,"",SUMIFS(tblDaily[Deaths],tblDaily[EntryDate],DATE(2026,3,3),tblDaily[WardCode],"MW")),"")</f>
        <v/>
      </c>
      <c r="E87" s="5" t="str">
        <f>IFERROR(IF(SUMIFS(tblDaily[DeathsUnder24Hrs],tblDaily[EntryDate],DATE(2026,3,3),tblDaily[WardCode],"MW")=0,"",SUMIFS(tblDaily[DeathsUnder24Hrs],tblDaily[EntryDate],DATE(2026,3,3),tblDaily[WardCode],"MW")),"")</f>
        <v/>
      </c>
      <c r="F87" s="5" t="str">
        <f>IFERROR(IF(SUMIFS(tblDaily[TransfersIn],tblDaily[EntryDate],DATE(2026,3,3),tblDaily[WardCode],"MW")=0,"",SUMIFS(tblDaily[TransfersIn],tblDaily[EntryDate],DATE(2026,3,3),tblDaily[WardCode],"MW")),"")</f>
        <v/>
      </c>
      <c r="G87" s="5" t="str">
        <f>IFERROR(IF(SUMIFS(tblDaily[TransfersOut],tblDaily[EntryDate],DATE(2026,3,3),tblDaily[WardCode],"MW")=0,"",SUMIFS(tblDaily[TransfersOut],tblDaily[EntryDate],DATE(2026,3,3),tblDaily[WardCode],"MW")),"")</f>
        <v/>
      </c>
      <c r="H87" s="5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IFERROR(IF(SUMIFS(tblDaily[Admissions],tblDaily[EntryDate],DATE(2026,3,4),tblDaily[WardCode],"MW")=0,"",SUMIFS(tblDaily[Admissions],tblDaily[EntryDate],DATE(2026,3,4),tblDaily[WardCode],"MW")),"")</f>
        <v/>
      </c>
      <c r="C88" s="5" t="str">
        <f>IFERROR(IF(SUMIFS(tblDaily[Discharges],tblDaily[EntryDate],DATE(2026,3,4),tblDaily[WardCode],"MW")=0,"",SUMIFS(tblDaily[Discharges],tblDaily[EntryDate],DATE(2026,3,4),tblDaily[WardCode],"MW")),"")</f>
        <v/>
      </c>
      <c r="D88" s="5" t="str">
        <f>IFERROR(IF(SUMIFS(tblDaily[Deaths],tblDaily[EntryDate],DATE(2026,3,4),tblDaily[WardCode],"MW")=0,"",SUMIFS(tblDaily[Deaths],tblDaily[EntryDate],DATE(2026,3,4),tblDaily[WardCode],"MW")),"")</f>
        <v/>
      </c>
      <c r="E88" s="5" t="str">
        <f>IFERROR(IF(SUMIFS(tblDaily[DeathsUnder24Hrs],tblDaily[EntryDate],DATE(2026,3,4),tblDaily[WardCode],"MW")=0,"",SUMIFS(tblDaily[DeathsUnder24Hrs],tblDaily[EntryDate],DATE(2026,3,4),tblDaily[WardCode],"MW")),"")</f>
        <v/>
      </c>
      <c r="F88" s="5" t="str">
        <f>IFERROR(IF(SUMIFS(tblDaily[TransfersIn],tblDaily[EntryDate],DATE(2026,3,4),tblDaily[WardCode],"MW")=0,"",SUMIFS(tblDaily[TransfersIn],tblDaily[EntryDate],DATE(2026,3,4),tblDaily[WardCode],"MW")),"")</f>
        <v/>
      </c>
      <c r="G88" s="5" t="str">
        <f>IFERROR(IF(SUMIFS(tblDaily[TransfersOut],tblDaily[EntryDate],DATE(2026,3,4),tblDaily[WardCode],"MW")=0,"",SUMIFS(tblDaily[TransfersOut],tblDaily[EntryDate],DATE(2026,3,4),tblDaily[WardCode],"MW")),"")</f>
        <v/>
      </c>
      <c r="H88" s="5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IFERROR(IF(SUMIFS(tblDaily[Admissions],tblDaily[EntryDate],DATE(2026,3,5),tblDaily[WardCode],"MW")=0,"",SUMIFS(tblDaily[Admissions],tblDaily[EntryDate],DATE(2026,3,5),tblDaily[WardCode],"MW")),"")</f>
        <v/>
      </c>
      <c r="C89" s="5" t="str">
        <f>IFERROR(IF(SUMIFS(tblDaily[Discharges],tblDaily[EntryDate],DATE(2026,3,5),tblDaily[WardCode],"MW")=0,"",SUMIFS(tblDaily[Discharges],tblDaily[EntryDate],DATE(2026,3,5),tblDaily[WardCode],"MW")),"")</f>
        <v/>
      </c>
      <c r="D89" s="5" t="str">
        <f>IFERROR(IF(SUMIFS(tblDaily[Deaths],tblDaily[EntryDate],DATE(2026,3,5),tblDaily[WardCode],"MW")=0,"",SUMIFS(tblDaily[Deaths],tblDaily[EntryDate],DATE(2026,3,5),tblDaily[WardCode],"MW")),"")</f>
        <v/>
      </c>
      <c r="E89" s="5" t="str">
        <f>IFERROR(IF(SUMIFS(tblDaily[DeathsUnder24Hrs],tblDaily[EntryDate],DATE(2026,3,5),tblDaily[WardCode],"MW")=0,"",SUMIFS(tblDaily[DeathsUnder24Hrs],tblDaily[EntryDate],DATE(2026,3,5),tblDaily[WardCode],"MW")),"")</f>
        <v/>
      </c>
      <c r="F89" s="5" t="str">
        <f>IFERROR(IF(SUMIFS(tblDaily[TransfersIn],tblDaily[EntryDate],DATE(2026,3,5),tblDaily[WardCode],"MW")=0,"",SUMIFS(tblDaily[TransfersIn],tblDaily[EntryDate],DATE(2026,3,5),tblDaily[WardCode],"MW")),"")</f>
        <v/>
      </c>
      <c r="G89" s="5" t="str">
        <f>IFERROR(IF(SUMIFS(tblDaily[TransfersOut],tblDaily[EntryDate],DATE(2026,3,5),tblDaily[WardCode],"MW")=0,"",SUMIFS(tblDaily[TransfersOut],tblDaily[EntryDate],DATE(2026,3,5),tblDaily[WardCode],"MW")),"")</f>
        <v/>
      </c>
      <c r="H89" s="5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IFERROR(IF(SUMIFS(tblDaily[Admissions],tblDaily[EntryDate],DATE(2026,3,6),tblDaily[WardCode],"MW")=0,"",SUMIFS(tblDaily[Admissions],tblDaily[EntryDate],DATE(2026,3,6),tblDaily[WardCode],"MW")),"")</f>
        <v/>
      </c>
      <c r="C90" s="5" t="str">
        <f>IFERROR(IF(SUMIFS(tblDaily[Discharges],tblDaily[EntryDate],DATE(2026,3,6),tblDaily[WardCode],"MW")=0,"",SUMIFS(tblDaily[Discharges],tblDaily[EntryDate],DATE(2026,3,6),tblDaily[WardCode],"MW")),"")</f>
        <v/>
      </c>
      <c r="D90" s="5" t="str">
        <f>IFERROR(IF(SUMIFS(tblDaily[Deaths],tblDaily[EntryDate],DATE(2026,3,6),tblDaily[WardCode],"MW")=0,"",SUMIFS(tblDaily[Deaths],tblDaily[EntryDate],DATE(2026,3,6),tblDaily[WardCode],"MW")),"")</f>
        <v/>
      </c>
      <c r="E90" s="5" t="str">
        <f>IFERROR(IF(SUMIFS(tblDaily[DeathsUnder24Hrs],tblDaily[EntryDate],DATE(2026,3,6),tblDaily[WardCode],"MW")=0,"",SUMIFS(tblDaily[DeathsUnder24Hrs],tblDaily[EntryDate],DATE(2026,3,6),tblDaily[WardCode],"MW")),"")</f>
        <v/>
      </c>
      <c r="F90" s="5" t="str">
        <f>IFERROR(IF(SUMIFS(tblDaily[TransfersIn],tblDaily[EntryDate],DATE(2026,3,6),tblDaily[WardCode],"MW")=0,"",SUMIFS(tblDaily[TransfersIn],tblDaily[EntryDate],DATE(2026,3,6),tblDaily[WardCode],"MW")),"")</f>
        <v/>
      </c>
      <c r="G90" s="5" t="str">
        <f>IFERROR(IF(SUMIFS(tblDaily[TransfersOut],tblDaily[EntryDate],DATE(2026,3,6),tblDaily[WardCode],"MW")=0,"",SUMIFS(tblDaily[TransfersOut],tblDaily[EntryDate],DATE(2026,3,6),tblDaily[WardCode],"MW")),"")</f>
        <v/>
      </c>
      <c r="H90" s="5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IFERROR(IF(SUMIFS(tblDaily[Admissions],tblDaily[EntryDate],DATE(2026,3,7),tblDaily[WardCode],"MW")=0,"",SUMIFS(tblDaily[Admissions],tblDaily[EntryDate],DATE(2026,3,7),tblDaily[WardCode],"MW")),"")</f>
        <v/>
      </c>
      <c r="C91" s="5" t="str">
        <f>IFERROR(IF(SUMIFS(tblDaily[Discharges],tblDaily[EntryDate],DATE(2026,3,7),tblDaily[WardCode],"MW")=0,"",SUMIFS(tblDaily[Discharges],tblDaily[EntryDate],DATE(2026,3,7),tblDaily[WardCode],"MW")),"")</f>
        <v/>
      </c>
      <c r="D91" s="5" t="str">
        <f>IFERROR(IF(SUMIFS(tblDaily[Deaths],tblDaily[EntryDate],DATE(2026,3,7),tblDaily[WardCode],"MW")=0,"",SUMIFS(tblDaily[Deaths],tblDaily[EntryDate],DATE(2026,3,7),tblDaily[WardCode],"MW")),"")</f>
        <v/>
      </c>
      <c r="E91" s="5" t="str">
        <f>IFERROR(IF(SUMIFS(tblDaily[DeathsUnder24Hrs],tblDaily[EntryDate],DATE(2026,3,7),tblDaily[WardCode],"MW")=0,"",SUMIFS(tblDaily[DeathsUnder24Hrs],tblDaily[EntryDate],DATE(2026,3,7),tblDaily[WardCode],"MW")),"")</f>
        <v/>
      </c>
      <c r="F91" s="5" t="str">
        <f>IFERROR(IF(SUMIFS(tblDaily[TransfersIn],tblDaily[EntryDate],DATE(2026,3,7),tblDaily[WardCode],"MW")=0,"",SUMIFS(tblDaily[TransfersIn],tblDaily[EntryDate],DATE(2026,3,7),tblDaily[WardCode],"MW")),"")</f>
        <v/>
      </c>
      <c r="G91" s="5" t="str">
        <f>IFERROR(IF(SUMIFS(tblDaily[TransfersOut],tblDaily[EntryDate],DATE(2026,3,7),tblDaily[WardCode],"MW")=0,"",SUMIFS(tblDaily[TransfersOut],tblDaily[EntryDate],DATE(2026,3,7),tblDaily[WardCode],"MW")),"")</f>
        <v/>
      </c>
      <c r="H91" s="5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IFERROR(IF(SUMIFS(tblDaily[Admissions],tblDaily[EntryDate],DATE(2026,3,8),tblDaily[WardCode],"MW")=0,"",SUMIFS(tblDaily[Admissions],tblDaily[EntryDate],DATE(2026,3,8),tblDaily[WardCode],"MW")),"")</f>
        <v/>
      </c>
      <c r="C92" s="5" t="str">
        <f>IFERROR(IF(SUMIFS(tblDaily[Discharges],tblDaily[EntryDate],DATE(2026,3,8),tblDaily[WardCode],"MW")=0,"",SUMIFS(tblDaily[Discharges],tblDaily[EntryDate],DATE(2026,3,8),tblDaily[WardCode],"MW")),"")</f>
        <v/>
      </c>
      <c r="D92" s="5" t="str">
        <f>IFERROR(IF(SUMIFS(tblDaily[Deaths],tblDaily[EntryDate],DATE(2026,3,8),tblDaily[WardCode],"MW")=0,"",SUMIFS(tblDaily[Deaths],tblDaily[EntryDate],DATE(2026,3,8),tblDaily[WardCode],"MW")),"")</f>
        <v/>
      </c>
      <c r="E92" s="5" t="str">
        <f>IFERROR(IF(SUMIFS(tblDaily[DeathsUnder24Hrs],tblDaily[EntryDate],DATE(2026,3,8),tblDaily[WardCode],"MW")=0,"",SUMIFS(tblDaily[DeathsUnder24Hrs],tblDaily[EntryDate],DATE(2026,3,8),tblDaily[WardCode],"MW")),"")</f>
        <v/>
      </c>
      <c r="F92" s="5" t="str">
        <f>IFERROR(IF(SUMIFS(tblDaily[TransfersIn],tblDaily[EntryDate],DATE(2026,3,8),tblDaily[WardCode],"MW")=0,"",SUMIFS(tblDaily[TransfersIn],tblDaily[EntryDate],DATE(2026,3,8),tblDaily[WardCode],"MW")),"")</f>
        <v/>
      </c>
      <c r="G92" s="5" t="str">
        <f>IFERROR(IF(SUMIFS(tblDaily[TransfersOut],tblDaily[EntryDate],DATE(2026,3,8),tblDaily[WardCode],"MW")=0,"",SUMIFS(tblDaily[TransfersOut],tblDaily[EntryDate],DATE(2026,3,8),tblDaily[WardCode],"MW")),"")</f>
        <v/>
      </c>
      <c r="H92" s="5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IFERROR(IF(SUMIFS(tblDaily[Admissions],tblDaily[EntryDate],DATE(2026,3,9),tblDaily[WardCode],"MW")=0,"",SUMIFS(tblDaily[Admissions],tblDaily[EntryDate],DATE(2026,3,9),tblDaily[WardCode],"MW")),"")</f>
        <v/>
      </c>
      <c r="C93" s="5" t="str">
        <f>IFERROR(IF(SUMIFS(tblDaily[Discharges],tblDaily[EntryDate],DATE(2026,3,9),tblDaily[WardCode],"MW")=0,"",SUMIFS(tblDaily[Discharges],tblDaily[EntryDate],DATE(2026,3,9),tblDaily[WardCode],"MW")),"")</f>
        <v/>
      </c>
      <c r="D93" s="5" t="str">
        <f>IFERROR(IF(SUMIFS(tblDaily[Deaths],tblDaily[EntryDate],DATE(2026,3,9),tblDaily[WardCode],"MW")=0,"",SUMIFS(tblDaily[Deaths],tblDaily[EntryDate],DATE(2026,3,9),tblDaily[WardCode],"MW")),"")</f>
        <v/>
      </c>
      <c r="E93" s="5" t="str">
        <f>IFERROR(IF(SUMIFS(tblDaily[DeathsUnder24Hrs],tblDaily[EntryDate],DATE(2026,3,9),tblDaily[WardCode],"MW")=0,"",SUMIFS(tblDaily[DeathsUnder24Hrs],tblDaily[EntryDate],DATE(2026,3,9),tblDaily[WardCode],"MW")),"")</f>
        <v/>
      </c>
      <c r="F93" s="5" t="str">
        <f>IFERROR(IF(SUMIFS(tblDaily[TransfersIn],tblDaily[EntryDate],DATE(2026,3,9),tblDaily[WardCode],"MW")=0,"",SUMIFS(tblDaily[TransfersIn],tblDaily[EntryDate],DATE(2026,3,9),tblDaily[WardCode],"MW")),"")</f>
        <v/>
      </c>
      <c r="G93" s="5" t="str">
        <f>IFERROR(IF(SUMIFS(tblDaily[TransfersOut],tblDaily[EntryDate],DATE(2026,3,9),tblDaily[WardCode],"MW")=0,"",SUMIFS(tblDaily[TransfersOut],tblDaily[EntryDate],DATE(2026,3,9),tblDaily[WardCode],"MW")),"")</f>
        <v/>
      </c>
      <c r="H93" s="5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IFERROR(IF(SUMIFS(tblDaily[Admissions],tblDaily[EntryDate],DATE(2026,3,10),tblDaily[WardCode],"MW")=0,"",SUMIFS(tblDaily[Admissions],tblDaily[EntryDate],DATE(2026,3,10),tblDaily[WardCode],"MW")),"")</f>
        <v/>
      </c>
      <c r="C94" s="5" t="str">
        <f>IFERROR(IF(SUMIFS(tblDaily[Discharges],tblDaily[EntryDate],DATE(2026,3,10),tblDaily[WardCode],"MW")=0,"",SUMIFS(tblDaily[Discharges],tblDaily[EntryDate],DATE(2026,3,10),tblDaily[WardCode],"MW")),"")</f>
        <v/>
      </c>
      <c r="D94" s="5" t="str">
        <f>IFERROR(IF(SUMIFS(tblDaily[Deaths],tblDaily[EntryDate],DATE(2026,3,10),tblDaily[WardCode],"MW")=0,"",SUMIFS(tblDaily[Deaths],tblDaily[EntryDate],DATE(2026,3,10),tblDaily[WardCode],"MW")),"")</f>
        <v/>
      </c>
      <c r="E94" s="5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5" t="str">
        <f>IFERROR(IF(SUMIFS(tblDaily[TransfersIn],tblDaily[EntryDate],DATE(2026,3,10),tblDaily[WardCode],"MW")=0,"",SUMIFS(tblDaily[TransfersIn],tblDaily[EntryDate],DATE(2026,3,10),tblDaily[WardCode],"MW")),"")</f>
        <v/>
      </c>
      <c r="G94" s="5" t="str">
        <f>IFERROR(IF(SUMIFS(tblDaily[TransfersOut],tblDaily[EntryDate],DATE(2026,3,10),tblDaily[WardCode],"MW")=0,"",SUMIFS(tblDaily[TransfersOut],tblDaily[EntryDate],DATE(2026,3,10),tblDaily[WardCode],"MW")),"")</f>
        <v/>
      </c>
      <c r="H94" s="5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IFERROR(IF(SUMIFS(tblDaily[Admissions],tblDaily[EntryDate],DATE(2026,3,11),tblDaily[WardCode],"MW")=0,"",SUMIFS(tblDaily[Admissions],tblDaily[EntryDate],DATE(2026,3,11),tblDaily[WardCode],"MW")),"")</f>
        <v/>
      </c>
      <c r="C95" s="5" t="str">
        <f>IFERROR(IF(SUMIFS(tblDaily[Discharges],tblDaily[EntryDate],DATE(2026,3,11),tblDaily[WardCode],"MW")=0,"",SUMIFS(tblDaily[Discharges],tblDaily[EntryDate],DATE(2026,3,11),tblDaily[WardCode],"MW")),"")</f>
        <v/>
      </c>
      <c r="D95" s="5" t="str">
        <f>IFERROR(IF(SUMIFS(tblDaily[Deaths],tblDaily[EntryDate],DATE(2026,3,11),tblDaily[WardCode],"MW")=0,"",SUMIFS(tblDaily[Deaths],tblDaily[EntryDate],DATE(2026,3,11),tblDaily[WardCode],"MW")),"")</f>
        <v/>
      </c>
      <c r="E95" s="5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5" t="str">
        <f>IFERROR(IF(SUMIFS(tblDaily[TransfersIn],tblDaily[EntryDate],DATE(2026,3,11),tblDaily[WardCode],"MW")=0,"",SUMIFS(tblDaily[TransfersIn],tblDaily[EntryDate],DATE(2026,3,11),tblDaily[WardCode],"MW")),"")</f>
        <v/>
      </c>
      <c r="G95" s="5" t="str">
        <f>IFERROR(IF(SUMIFS(tblDaily[TransfersOut],tblDaily[EntryDate],DATE(2026,3,11),tblDaily[WardCode],"MW")=0,"",SUMIFS(tblDaily[TransfersOut],tblDaily[EntryDate],DATE(2026,3,11),tblDaily[WardCode],"MW")),"")</f>
        <v/>
      </c>
      <c r="H95" s="5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IFERROR(IF(SUMIFS(tblDaily[Admissions],tblDaily[EntryDate],DATE(2026,3,12),tblDaily[WardCode],"MW")=0,"",SUMIFS(tblDaily[Admissions],tblDaily[EntryDate],DATE(2026,3,12),tblDaily[WardCode],"MW")),"")</f>
        <v/>
      </c>
      <c r="C96" s="5" t="str">
        <f>IFERROR(IF(SUMIFS(tblDaily[Discharges],tblDaily[EntryDate],DATE(2026,3,12),tblDaily[WardCode],"MW")=0,"",SUMIFS(tblDaily[Discharges],tblDaily[EntryDate],DATE(2026,3,12),tblDaily[WardCode],"MW")),"")</f>
        <v/>
      </c>
      <c r="D96" s="5" t="str">
        <f>IFERROR(IF(SUMIFS(tblDaily[Deaths],tblDaily[EntryDate],DATE(2026,3,12),tblDaily[WardCode],"MW")=0,"",SUMIFS(tblDaily[Deaths],tblDaily[EntryDate],DATE(2026,3,12),tblDaily[WardCode],"MW")),"")</f>
        <v/>
      </c>
      <c r="E96" s="5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5" t="str">
        <f>IFERROR(IF(SUMIFS(tblDaily[TransfersIn],tblDaily[EntryDate],DATE(2026,3,12),tblDaily[WardCode],"MW")=0,"",SUMIFS(tblDaily[TransfersIn],tblDaily[EntryDate],DATE(2026,3,12),tblDaily[WardCode],"MW")),"")</f>
        <v/>
      </c>
      <c r="G96" s="5" t="str">
        <f>IFERROR(IF(SUMIFS(tblDaily[TransfersOut],tblDaily[EntryDate],DATE(2026,3,12),tblDaily[WardCode],"MW")=0,"",SUMIFS(tblDaily[TransfersOut],tblDaily[EntryDate],DATE(2026,3,12),tblDaily[WardCode],"MW")),"")</f>
        <v/>
      </c>
      <c r="H96" s="5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IFERROR(IF(SUMIFS(tblDaily[Admissions],tblDaily[EntryDate],DATE(2026,3,13),tblDaily[WardCode],"MW")=0,"",SUMIFS(tblDaily[Admissions],tblDaily[EntryDate],DATE(2026,3,13),tblDaily[WardCode],"MW")),"")</f>
        <v/>
      </c>
      <c r="C97" s="5" t="str">
        <f>IFERROR(IF(SUMIFS(tblDaily[Discharges],tblDaily[EntryDate],DATE(2026,3,13),tblDaily[WardCode],"MW")=0,"",SUMIFS(tblDaily[Discharges],tblDaily[EntryDate],DATE(2026,3,13),tblDaily[WardCode],"MW")),"")</f>
        <v/>
      </c>
      <c r="D97" s="5" t="str">
        <f>IFERROR(IF(SUMIFS(tblDaily[Deaths],tblDaily[EntryDate],DATE(2026,3,13),tblDaily[WardCode],"MW")=0,"",SUMIFS(tblDaily[Deaths],tblDaily[EntryDate],DATE(2026,3,13),tblDaily[WardCode],"MW")),"")</f>
        <v/>
      </c>
      <c r="E97" s="5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5" t="str">
        <f>IFERROR(IF(SUMIFS(tblDaily[TransfersIn],tblDaily[EntryDate],DATE(2026,3,13),tblDaily[WardCode],"MW")=0,"",SUMIFS(tblDaily[TransfersIn],tblDaily[EntryDate],DATE(2026,3,13),tblDaily[WardCode],"MW")),"")</f>
        <v/>
      </c>
      <c r="G97" s="5" t="str">
        <f>IFERROR(IF(SUMIFS(tblDaily[TransfersOut],tblDaily[EntryDate],DATE(2026,3,13),tblDaily[WardCode],"MW")=0,"",SUMIFS(tblDaily[TransfersOut],tblDaily[EntryDate],DATE(2026,3,13),tblDaily[WardCode],"MW")),"")</f>
        <v/>
      </c>
      <c r="H97" s="5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IFERROR(IF(SUMIFS(tblDaily[Admissions],tblDaily[EntryDate],DATE(2026,3,14),tblDaily[WardCode],"MW")=0,"",SUMIFS(tblDaily[Admissions],tblDaily[EntryDate],DATE(2026,3,14),tblDaily[WardCode],"MW")),"")</f>
        <v/>
      </c>
      <c r="C98" s="5" t="str">
        <f>IFERROR(IF(SUMIFS(tblDaily[Discharges],tblDaily[EntryDate],DATE(2026,3,14),tblDaily[WardCode],"MW")=0,"",SUMIFS(tblDaily[Discharges],tblDaily[EntryDate],DATE(2026,3,14),tblDaily[WardCode],"MW")),"")</f>
        <v/>
      </c>
      <c r="D98" s="5" t="str">
        <f>IFERROR(IF(SUMIFS(tblDaily[Deaths],tblDaily[EntryDate],DATE(2026,3,14),tblDaily[WardCode],"MW")=0,"",SUMIFS(tblDaily[Deaths],tblDaily[EntryDate],DATE(2026,3,14),tblDaily[WardCode],"MW")),"")</f>
        <v/>
      </c>
      <c r="E98" s="5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5" t="str">
        <f>IFERROR(IF(SUMIFS(tblDaily[TransfersIn],tblDaily[EntryDate],DATE(2026,3,14),tblDaily[WardCode],"MW")=0,"",SUMIFS(tblDaily[TransfersIn],tblDaily[EntryDate],DATE(2026,3,14),tblDaily[WardCode],"MW")),"")</f>
        <v/>
      </c>
      <c r="G98" s="5" t="str">
        <f>IFERROR(IF(SUMIFS(tblDaily[TransfersOut],tblDaily[EntryDate],DATE(2026,3,14),tblDaily[WardCode],"MW")=0,"",SUMIFS(tblDaily[TransfersOut],tblDaily[EntryDate],DATE(2026,3,14),tblDaily[WardCode],"MW")),"")</f>
        <v/>
      </c>
      <c r="H98" s="5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IFERROR(IF(SUMIFS(tblDaily[Admissions],tblDaily[EntryDate],DATE(2026,3,15),tblDaily[WardCode],"MW")=0,"",SUMIFS(tblDaily[Admissions],tblDaily[EntryDate],DATE(2026,3,15),tblDaily[WardCode],"MW")),"")</f>
        <v/>
      </c>
      <c r="C99" s="5" t="str">
        <f>IFERROR(IF(SUMIFS(tblDaily[Discharges],tblDaily[EntryDate],DATE(2026,3,15),tblDaily[WardCode],"MW")=0,"",SUMIFS(tblDaily[Discharges],tblDaily[EntryDate],DATE(2026,3,15),tblDaily[WardCode],"MW")),"")</f>
        <v/>
      </c>
      <c r="D99" s="5" t="str">
        <f>IFERROR(IF(SUMIFS(tblDaily[Deaths],tblDaily[EntryDate],DATE(2026,3,15),tblDaily[WardCode],"MW")=0,"",SUMIFS(tblDaily[Deaths],tblDaily[EntryDate],DATE(2026,3,15),tblDaily[WardCode],"MW")),"")</f>
        <v/>
      </c>
      <c r="E99" s="5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5" t="str">
        <f>IFERROR(IF(SUMIFS(tblDaily[TransfersIn],tblDaily[EntryDate],DATE(2026,3,15),tblDaily[WardCode],"MW")=0,"",SUMIFS(tblDaily[TransfersIn],tblDaily[EntryDate],DATE(2026,3,15),tblDaily[WardCode],"MW")),"")</f>
        <v/>
      </c>
      <c r="G99" s="5" t="str">
        <f>IFERROR(IF(SUMIFS(tblDaily[TransfersOut],tblDaily[EntryDate],DATE(2026,3,15),tblDaily[WardCode],"MW")=0,"",SUMIFS(tblDaily[TransfersOut],tblDaily[EntryDate],DATE(2026,3,15),tblDaily[WardCode],"MW")),"")</f>
        <v/>
      </c>
      <c r="H99" s="5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IFERROR(IF(SUMIFS(tblDaily[Admissions],tblDaily[EntryDate],DATE(2026,3,16),tblDaily[WardCode],"MW")=0,"",SUMIFS(tblDaily[Admissions],tblDaily[EntryDate],DATE(2026,3,16),tblDaily[WardCode],"MW")),"")</f>
        <v/>
      </c>
      <c r="C100" s="5" t="str">
        <f>IFERROR(IF(SUMIFS(tblDaily[Discharges],tblDaily[EntryDate],DATE(2026,3,16),tblDaily[WardCode],"MW")=0,"",SUMIFS(tblDaily[Discharges],tblDaily[EntryDate],DATE(2026,3,16),tblDaily[WardCode],"MW")),"")</f>
        <v/>
      </c>
      <c r="D100" s="5" t="str">
        <f>IFERROR(IF(SUMIFS(tblDaily[Deaths],tblDaily[EntryDate],DATE(2026,3,16),tblDaily[WardCode],"MW")=0,"",SUMIFS(tblDaily[Deaths],tblDaily[EntryDate],DATE(2026,3,16),tblDaily[WardCode],"MW")),"")</f>
        <v/>
      </c>
      <c r="E100" s="5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5" t="str">
        <f>IFERROR(IF(SUMIFS(tblDaily[TransfersIn],tblDaily[EntryDate],DATE(2026,3,16),tblDaily[WardCode],"MW")=0,"",SUMIFS(tblDaily[TransfersIn],tblDaily[EntryDate],DATE(2026,3,16),tblDaily[WardCode],"MW")),"")</f>
        <v/>
      </c>
      <c r="G100" s="5" t="str">
        <f>IFERROR(IF(SUMIFS(tblDaily[TransfersOut],tblDaily[EntryDate],DATE(2026,3,16),tblDaily[WardCode],"MW")=0,"",SUMIFS(tblDaily[TransfersOut],tblDaily[EntryDate],DATE(2026,3,16),tblDaily[WardCode],"MW")),"")</f>
        <v/>
      </c>
      <c r="H100" s="5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IFERROR(IF(SUMIFS(tblDaily[Admissions],tblDaily[EntryDate],DATE(2026,3,17),tblDaily[WardCode],"MW")=0,"",SUMIFS(tblDaily[Admissions],tblDaily[EntryDate],DATE(2026,3,17),tblDaily[WardCode],"MW")),"")</f>
        <v/>
      </c>
      <c r="C101" s="5" t="str">
        <f>IFERROR(IF(SUMIFS(tblDaily[Discharges],tblDaily[EntryDate],DATE(2026,3,17),tblDaily[WardCode],"MW")=0,"",SUMIFS(tblDaily[Discharges],tblDaily[EntryDate],DATE(2026,3,17),tblDaily[WardCode],"MW")),"")</f>
        <v/>
      </c>
      <c r="D101" s="5" t="str">
        <f>IFERROR(IF(SUMIFS(tblDaily[Deaths],tblDaily[EntryDate],DATE(2026,3,17),tblDaily[WardCode],"MW")=0,"",SUMIFS(tblDaily[Deaths],tblDaily[EntryDate],DATE(2026,3,17),tblDaily[WardCode],"MW")),"")</f>
        <v/>
      </c>
      <c r="E101" s="5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5" t="str">
        <f>IFERROR(IF(SUMIFS(tblDaily[TransfersIn],tblDaily[EntryDate],DATE(2026,3,17),tblDaily[WardCode],"MW")=0,"",SUMIFS(tblDaily[TransfersIn],tblDaily[EntryDate],DATE(2026,3,17),tblDaily[WardCode],"MW")),"")</f>
        <v/>
      </c>
      <c r="G101" s="5" t="str">
        <f>IFERROR(IF(SUMIFS(tblDaily[TransfersOut],tblDaily[EntryDate],DATE(2026,3,17),tblDaily[WardCode],"MW")=0,"",SUMIFS(tblDaily[TransfersOut],tblDaily[EntryDate],DATE(2026,3,17),tblDaily[WardCode],"MW")),"")</f>
        <v/>
      </c>
      <c r="H101" s="5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IFERROR(IF(SUMIFS(tblDaily[Admissions],tblDaily[EntryDate],DATE(2026,3,18),tblDaily[WardCode],"MW")=0,"",SUMIFS(tblDaily[Admissions],tblDaily[EntryDate],DATE(2026,3,18),tblDaily[WardCode],"MW")),"")</f>
        <v/>
      </c>
      <c r="C102" s="5" t="str">
        <f>IFERROR(IF(SUMIFS(tblDaily[Discharges],tblDaily[EntryDate],DATE(2026,3,18),tblDaily[WardCode],"MW")=0,"",SUMIFS(tblDaily[Discharges],tblDaily[EntryDate],DATE(2026,3,18),tblDaily[WardCode],"MW")),"")</f>
        <v/>
      </c>
      <c r="D102" s="5" t="str">
        <f>IFERROR(IF(SUMIFS(tblDaily[Deaths],tblDaily[EntryDate],DATE(2026,3,18),tblDaily[WardCode],"MW")=0,"",SUMIFS(tblDaily[Deaths],tblDaily[EntryDate],DATE(2026,3,18),tblDaily[WardCode],"MW")),"")</f>
        <v/>
      </c>
      <c r="E102" s="5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5" t="str">
        <f>IFERROR(IF(SUMIFS(tblDaily[TransfersIn],tblDaily[EntryDate],DATE(2026,3,18),tblDaily[WardCode],"MW")=0,"",SUMIFS(tblDaily[TransfersIn],tblDaily[EntryDate],DATE(2026,3,18),tblDaily[WardCode],"MW")),"")</f>
        <v/>
      </c>
      <c r="G102" s="5" t="str">
        <f>IFERROR(IF(SUMIFS(tblDaily[TransfersOut],tblDaily[EntryDate],DATE(2026,3,18),tblDaily[WardCode],"MW")=0,"",SUMIFS(tblDaily[TransfersOut],tblDaily[EntryDate],DATE(2026,3,18),tblDaily[WardCode],"MW")),"")</f>
        <v/>
      </c>
      <c r="H102" s="5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IFERROR(IF(SUMIFS(tblDaily[Admissions],tblDaily[EntryDate],DATE(2026,3,19),tblDaily[WardCode],"MW")=0,"",SUMIFS(tblDaily[Admissions],tblDaily[EntryDate],DATE(2026,3,19),tblDaily[WardCode],"MW")),"")</f>
        <v/>
      </c>
      <c r="C103" s="5" t="str">
        <f>IFERROR(IF(SUMIFS(tblDaily[Discharges],tblDaily[EntryDate],DATE(2026,3,19),tblDaily[WardCode],"MW")=0,"",SUMIFS(tblDaily[Discharges],tblDaily[EntryDate],DATE(2026,3,19),tblDaily[WardCode],"MW")),"")</f>
        <v/>
      </c>
      <c r="D103" s="5" t="str">
        <f>IFERROR(IF(SUMIFS(tblDaily[Deaths],tblDaily[EntryDate],DATE(2026,3,19),tblDaily[WardCode],"MW")=0,"",SUMIFS(tblDaily[Deaths],tblDaily[EntryDate],DATE(2026,3,19),tblDaily[WardCode],"MW")),"")</f>
        <v/>
      </c>
      <c r="E103" s="5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5" t="str">
        <f>IFERROR(IF(SUMIFS(tblDaily[TransfersIn],tblDaily[EntryDate],DATE(2026,3,19),tblDaily[WardCode],"MW")=0,"",SUMIFS(tblDaily[TransfersIn],tblDaily[EntryDate],DATE(2026,3,19),tblDaily[WardCode],"MW")),"")</f>
        <v/>
      </c>
      <c r="G103" s="5" t="str">
        <f>IFERROR(IF(SUMIFS(tblDaily[TransfersOut],tblDaily[EntryDate],DATE(2026,3,19),tblDaily[WardCode],"MW")=0,"",SUMIFS(tblDaily[TransfersOut],tblDaily[EntryDate],DATE(2026,3,19),tblDaily[WardCode],"MW")),"")</f>
        <v/>
      </c>
      <c r="H103" s="5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IFERROR(IF(SUMIFS(tblDaily[Admissions],tblDaily[EntryDate],DATE(2026,3,20),tblDaily[WardCode],"MW")=0,"",SUMIFS(tblDaily[Admissions],tblDaily[EntryDate],DATE(2026,3,20),tblDaily[WardCode],"MW")),"")</f>
        <v/>
      </c>
      <c r="C104" s="5" t="str">
        <f>IFERROR(IF(SUMIFS(tblDaily[Discharges],tblDaily[EntryDate],DATE(2026,3,20),tblDaily[WardCode],"MW")=0,"",SUMIFS(tblDaily[Discharges],tblDaily[EntryDate],DATE(2026,3,20),tblDaily[WardCode],"MW")),"")</f>
        <v/>
      </c>
      <c r="D104" s="5" t="str">
        <f>IFERROR(IF(SUMIFS(tblDaily[Deaths],tblDaily[EntryDate],DATE(2026,3,20),tblDaily[WardCode],"MW")=0,"",SUMIFS(tblDaily[Deaths],tblDaily[EntryDate],DATE(2026,3,20),tblDaily[WardCode],"MW")),"")</f>
        <v/>
      </c>
      <c r="E104" s="5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5" t="str">
        <f>IFERROR(IF(SUMIFS(tblDaily[TransfersIn],tblDaily[EntryDate],DATE(2026,3,20),tblDaily[WardCode],"MW")=0,"",SUMIFS(tblDaily[TransfersIn],tblDaily[EntryDate],DATE(2026,3,20),tblDaily[WardCode],"MW")),"")</f>
        <v/>
      </c>
      <c r="G104" s="5" t="str">
        <f>IFERROR(IF(SUMIFS(tblDaily[TransfersOut],tblDaily[EntryDate],DATE(2026,3,20),tblDaily[WardCode],"MW")=0,"",SUMIFS(tblDaily[TransfersOut],tblDaily[EntryDate],DATE(2026,3,20),tblDaily[WardCode],"MW")),"")</f>
        <v/>
      </c>
      <c r="H104" s="5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IFERROR(IF(SUMIFS(tblDaily[Admissions],tblDaily[EntryDate],DATE(2026,3,21),tblDaily[WardCode],"MW")=0,"",SUMIFS(tblDaily[Admissions],tblDaily[EntryDate],DATE(2026,3,21),tblDaily[WardCode],"MW")),"")</f>
        <v/>
      </c>
      <c r="C105" s="5" t="str">
        <f>IFERROR(IF(SUMIFS(tblDaily[Discharges],tblDaily[EntryDate],DATE(2026,3,21),tblDaily[WardCode],"MW")=0,"",SUMIFS(tblDaily[Discharges],tblDaily[EntryDate],DATE(2026,3,21),tblDaily[WardCode],"MW")),"")</f>
        <v/>
      </c>
      <c r="D105" s="5" t="str">
        <f>IFERROR(IF(SUMIFS(tblDaily[Deaths],tblDaily[EntryDate],DATE(2026,3,21),tblDaily[WardCode],"MW")=0,"",SUMIFS(tblDaily[Deaths],tblDaily[EntryDate],DATE(2026,3,21),tblDaily[WardCode],"MW")),"")</f>
        <v/>
      </c>
      <c r="E105" s="5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5" t="str">
        <f>IFERROR(IF(SUMIFS(tblDaily[TransfersIn],tblDaily[EntryDate],DATE(2026,3,21),tblDaily[WardCode],"MW")=0,"",SUMIFS(tblDaily[TransfersIn],tblDaily[EntryDate],DATE(2026,3,21),tblDaily[WardCode],"MW")),"")</f>
        <v/>
      </c>
      <c r="G105" s="5" t="str">
        <f>IFERROR(IF(SUMIFS(tblDaily[TransfersOut],tblDaily[EntryDate],DATE(2026,3,21),tblDaily[WardCode],"MW")=0,"",SUMIFS(tblDaily[TransfersOut],tblDaily[EntryDate],DATE(2026,3,21),tblDaily[WardCode],"MW")),"")</f>
        <v/>
      </c>
      <c r="H105" s="5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IFERROR(IF(SUMIFS(tblDaily[Admissions],tblDaily[EntryDate],DATE(2026,3,22),tblDaily[WardCode],"MW")=0,"",SUMIFS(tblDaily[Admissions],tblDaily[EntryDate],DATE(2026,3,22),tblDaily[WardCode],"MW")),"")</f>
        <v/>
      </c>
      <c r="C106" s="5" t="str">
        <f>IFERROR(IF(SUMIFS(tblDaily[Discharges],tblDaily[EntryDate],DATE(2026,3,22),tblDaily[WardCode],"MW")=0,"",SUMIFS(tblDaily[Discharges],tblDaily[EntryDate],DATE(2026,3,22),tblDaily[WardCode],"MW")),"")</f>
        <v/>
      </c>
      <c r="D106" s="5" t="str">
        <f>IFERROR(IF(SUMIFS(tblDaily[Deaths],tblDaily[EntryDate],DATE(2026,3,22),tblDaily[WardCode],"MW")=0,"",SUMIFS(tblDaily[Deaths],tblDaily[EntryDate],DATE(2026,3,22),tblDaily[WardCode],"MW")),"")</f>
        <v/>
      </c>
      <c r="E106" s="5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5" t="str">
        <f>IFERROR(IF(SUMIFS(tblDaily[TransfersIn],tblDaily[EntryDate],DATE(2026,3,22),tblDaily[WardCode],"MW")=0,"",SUMIFS(tblDaily[TransfersIn],tblDaily[EntryDate],DATE(2026,3,22),tblDaily[WardCode],"MW")),"")</f>
        <v/>
      </c>
      <c r="G106" s="5" t="str">
        <f>IFERROR(IF(SUMIFS(tblDaily[TransfersOut],tblDaily[EntryDate],DATE(2026,3,22),tblDaily[WardCode],"MW")=0,"",SUMIFS(tblDaily[TransfersOut],tblDaily[EntryDate],DATE(2026,3,22),tblDaily[WardCode],"MW")),"")</f>
        <v/>
      </c>
      <c r="H106" s="5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IFERROR(IF(SUMIFS(tblDaily[Admissions],tblDaily[EntryDate],DATE(2026,3,23),tblDaily[WardCode],"MW")=0,"",SUMIFS(tblDaily[Admissions],tblDaily[EntryDate],DATE(2026,3,23),tblDaily[WardCode],"MW")),"")</f>
        <v/>
      </c>
      <c r="C107" s="5" t="str">
        <f>IFERROR(IF(SUMIFS(tblDaily[Discharges],tblDaily[EntryDate],DATE(2026,3,23),tblDaily[WardCode],"MW")=0,"",SUMIFS(tblDaily[Discharges],tblDaily[EntryDate],DATE(2026,3,23),tblDaily[WardCode],"MW")),"")</f>
        <v/>
      </c>
      <c r="D107" s="5" t="str">
        <f>IFERROR(IF(SUMIFS(tblDaily[Deaths],tblDaily[EntryDate],DATE(2026,3,23),tblDaily[WardCode],"MW")=0,"",SUMIFS(tblDaily[Deaths],tblDaily[EntryDate],DATE(2026,3,23),tblDaily[WardCode],"MW")),"")</f>
        <v/>
      </c>
      <c r="E107" s="5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5" t="str">
        <f>IFERROR(IF(SUMIFS(tblDaily[TransfersIn],tblDaily[EntryDate],DATE(2026,3,23),tblDaily[WardCode],"MW")=0,"",SUMIFS(tblDaily[TransfersIn],tblDaily[EntryDate],DATE(2026,3,23),tblDaily[WardCode],"MW")),"")</f>
        <v/>
      </c>
      <c r="G107" s="5" t="str">
        <f>IFERROR(IF(SUMIFS(tblDaily[TransfersOut],tblDaily[EntryDate],DATE(2026,3,23),tblDaily[WardCode],"MW")=0,"",SUMIFS(tblDaily[TransfersOut],tblDaily[EntryDate],DATE(2026,3,23),tblDaily[WardCode],"MW")),"")</f>
        <v/>
      </c>
      <c r="H107" s="5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IFERROR(IF(SUMIFS(tblDaily[Admissions],tblDaily[EntryDate],DATE(2026,3,24),tblDaily[WardCode],"MW")=0,"",SUMIFS(tblDaily[Admissions],tblDaily[EntryDate],DATE(2026,3,24),tblDaily[WardCode],"MW")),"")</f>
        <v/>
      </c>
      <c r="C108" s="5" t="str">
        <f>IFERROR(IF(SUMIFS(tblDaily[Discharges],tblDaily[EntryDate],DATE(2026,3,24),tblDaily[WardCode],"MW")=0,"",SUMIFS(tblDaily[Discharges],tblDaily[EntryDate],DATE(2026,3,24),tblDaily[WardCode],"MW")),"")</f>
        <v/>
      </c>
      <c r="D108" s="5" t="str">
        <f>IFERROR(IF(SUMIFS(tblDaily[Deaths],tblDaily[EntryDate],DATE(2026,3,24),tblDaily[WardCode],"MW")=0,"",SUMIFS(tblDaily[Deaths],tblDaily[EntryDate],DATE(2026,3,24),tblDaily[WardCode],"MW")),"")</f>
        <v/>
      </c>
      <c r="E108" s="5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5" t="str">
        <f>IFERROR(IF(SUMIFS(tblDaily[TransfersIn],tblDaily[EntryDate],DATE(2026,3,24),tblDaily[WardCode],"MW")=0,"",SUMIFS(tblDaily[TransfersIn],tblDaily[EntryDate],DATE(2026,3,24),tblDaily[WardCode],"MW")),"")</f>
        <v/>
      </c>
      <c r="G108" s="5" t="str">
        <f>IFERROR(IF(SUMIFS(tblDaily[TransfersOut],tblDaily[EntryDate],DATE(2026,3,24),tblDaily[WardCode],"MW")=0,"",SUMIFS(tblDaily[TransfersOut],tblDaily[EntryDate],DATE(2026,3,24),tblDaily[WardCode],"MW")),"")</f>
        <v/>
      </c>
      <c r="H108" s="5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IFERROR(IF(SUMIFS(tblDaily[Admissions],tblDaily[EntryDate],DATE(2026,3,25),tblDaily[WardCode],"MW")=0,"",SUMIFS(tblDaily[Admissions],tblDaily[EntryDate],DATE(2026,3,25),tblDaily[WardCode],"MW")),"")</f>
        <v/>
      </c>
      <c r="C109" s="5" t="str">
        <f>IFERROR(IF(SUMIFS(tblDaily[Discharges],tblDaily[EntryDate],DATE(2026,3,25),tblDaily[WardCode],"MW")=0,"",SUMIFS(tblDaily[Discharges],tblDaily[EntryDate],DATE(2026,3,25),tblDaily[WardCode],"MW")),"")</f>
        <v/>
      </c>
      <c r="D109" s="5" t="str">
        <f>IFERROR(IF(SUMIFS(tblDaily[Deaths],tblDaily[EntryDate],DATE(2026,3,25),tblDaily[WardCode],"MW")=0,"",SUMIFS(tblDaily[Deaths],tblDaily[EntryDate],DATE(2026,3,25),tblDaily[WardCode],"MW")),"")</f>
        <v/>
      </c>
      <c r="E109" s="5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5" t="str">
        <f>IFERROR(IF(SUMIFS(tblDaily[TransfersIn],tblDaily[EntryDate],DATE(2026,3,25),tblDaily[WardCode],"MW")=0,"",SUMIFS(tblDaily[TransfersIn],tblDaily[EntryDate],DATE(2026,3,25),tblDaily[WardCode],"MW")),"")</f>
        <v/>
      </c>
      <c r="G109" s="5" t="str">
        <f>IFERROR(IF(SUMIFS(tblDaily[TransfersOut],tblDaily[EntryDate],DATE(2026,3,25),tblDaily[WardCode],"MW")=0,"",SUMIFS(tblDaily[TransfersOut],tblDaily[EntryDate],DATE(2026,3,25),tblDaily[WardCode],"MW")),"")</f>
        <v/>
      </c>
      <c r="H109" s="5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IFERROR(IF(SUMIFS(tblDaily[Admissions],tblDaily[EntryDate],DATE(2026,3,26),tblDaily[WardCode],"MW")=0,"",SUMIFS(tblDaily[Admissions],tblDaily[EntryDate],DATE(2026,3,26),tblDaily[WardCode],"MW")),"")</f>
        <v/>
      </c>
      <c r="C110" s="5" t="str">
        <f>IFERROR(IF(SUMIFS(tblDaily[Discharges],tblDaily[EntryDate],DATE(2026,3,26),tblDaily[WardCode],"MW")=0,"",SUMIFS(tblDaily[Discharges],tblDaily[EntryDate],DATE(2026,3,26),tblDaily[WardCode],"MW")),"")</f>
        <v/>
      </c>
      <c r="D110" s="5" t="str">
        <f>IFERROR(IF(SUMIFS(tblDaily[Deaths],tblDaily[EntryDate],DATE(2026,3,26),tblDaily[WardCode],"MW")=0,"",SUMIFS(tblDaily[Deaths],tblDaily[EntryDate],DATE(2026,3,26),tblDaily[WardCode],"MW")),"")</f>
        <v/>
      </c>
      <c r="E110" s="5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5" t="str">
        <f>IFERROR(IF(SUMIFS(tblDaily[TransfersIn],tblDaily[EntryDate],DATE(2026,3,26),tblDaily[WardCode],"MW")=0,"",SUMIFS(tblDaily[TransfersIn],tblDaily[EntryDate],DATE(2026,3,26),tblDaily[WardCode],"MW")),"")</f>
        <v/>
      </c>
      <c r="G110" s="5" t="str">
        <f>IFERROR(IF(SUMIFS(tblDaily[TransfersOut],tblDaily[EntryDate],DATE(2026,3,26),tblDaily[WardCode],"MW")=0,"",SUMIFS(tblDaily[TransfersOut],tblDaily[EntryDate],DATE(2026,3,26),tblDaily[WardCode],"MW")),"")</f>
        <v/>
      </c>
      <c r="H110" s="5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IFERROR(IF(SUMIFS(tblDaily[Admissions],tblDaily[EntryDate],DATE(2026,3,27),tblDaily[WardCode],"MW")=0,"",SUMIFS(tblDaily[Admissions],tblDaily[EntryDate],DATE(2026,3,27),tblDaily[WardCode],"MW")),"")</f>
        <v/>
      </c>
      <c r="C111" s="5" t="str">
        <f>IFERROR(IF(SUMIFS(tblDaily[Discharges],tblDaily[EntryDate],DATE(2026,3,27),tblDaily[WardCode],"MW")=0,"",SUMIFS(tblDaily[Discharges],tblDaily[EntryDate],DATE(2026,3,27),tblDaily[WardCode],"MW")),"")</f>
        <v/>
      </c>
      <c r="D111" s="5" t="str">
        <f>IFERROR(IF(SUMIFS(tblDaily[Deaths],tblDaily[EntryDate],DATE(2026,3,27),tblDaily[WardCode],"MW")=0,"",SUMIFS(tblDaily[Deaths],tblDaily[EntryDate],DATE(2026,3,27),tblDaily[WardCode],"MW")),"")</f>
        <v/>
      </c>
      <c r="E111" s="5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5" t="str">
        <f>IFERROR(IF(SUMIFS(tblDaily[TransfersIn],tblDaily[EntryDate],DATE(2026,3,27),tblDaily[WardCode],"MW")=0,"",SUMIFS(tblDaily[TransfersIn],tblDaily[EntryDate],DATE(2026,3,27),tblDaily[WardCode],"MW")),"")</f>
        <v/>
      </c>
      <c r="G111" s="5" t="str">
        <f>IFERROR(IF(SUMIFS(tblDaily[TransfersOut],tblDaily[EntryDate],DATE(2026,3,27),tblDaily[WardCode],"MW")=0,"",SUMIFS(tblDaily[TransfersOut],tblDaily[EntryDate],DATE(2026,3,27),tblDaily[WardCode],"MW")),"")</f>
        <v/>
      </c>
      <c r="H111" s="5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IFERROR(IF(SUMIFS(tblDaily[Admissions],tblDaily[EntryDate],DATE(2026,3,28),tblDaily[WardCode],"MW")=0,"",SUMIFS(tblDaily[Admissions],tblDaily[EntryDate],DATE(2026,3,28),tblDaily[WardCode],"MW")),"")</f>
        <v/>
      </c>
      <c r="C112" s="5" t="str">
        <f>IFERROR(IF(SUMIFS(tblDaily[Discharges],tblDaily[EntryDate],DATE(2026,3,28),tblDaily[WardCode],"MW")=0,"",SUMIFS(tblDaily[Discharges],tblDaily[EntryDate],DATE(2026,3,28),tblDaily[WardCode],"MW")),"")</f>
        <v/>
      </c>
      <c r="D112" s="5" t="str">
        <f>IFERROR(IF(SUMIFS(tblDaily[Deaths],tblDaily[EntryDate],DATE(2026,3,28),tblDaily[WardCode],"MW")=0,"",SUMIFS(tblDaily[Deaths],tblDaily[EntryDate],DATE(2026,3,28),tblDaily[WardCode],"MW")),"")</f>
        <v/>
      </c>
      <c r="E112" s="5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5" t="str">
        <f>IFERROR(IF(SUMIFS(tblDaily[TransfersIn],tblDaily[EntryDate],DATE(2026,3,28),tblDaily[WardCode],"MW")=0,"",SUMIFS(tblDaily[TransfersIn],tblDaily[EntryDate],DATE(2026,3,28),tblDaily[WardCode],"MW")),"")</f>
        <v/>
      </c>
      <c r="G112" s="5" t="str">
        <f>IFERROR(IF(SUMIFS(tblDaily[TransfersOut],tblDaily[EntryDate],DATE(2026,3,28),tblDaily[WardCode],"MW")=0,"",SUMIFS(tblDaily[TransfersOut],tblDaily[EntryDate],DATE(2026,3,28),tblDaily[WardCode],"MW")),"")</f>
        <v/>
      </c>
      <c r="H112" s="5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IFERROR(IF(SUMIFS(tblDaily[Admissions],tblDaily[EntryDate],DATE(2026,3,29),tblDaily[WardCode],"MW")=0,"",SUMIFS(tblDaily[Admissions],tblDaily[EntryDate],DATE(2026,3,29),tblDaily[WardCode],"MW")),"")</f>
        <v/>
      </c>
      <c r="C113" s="5" t="str">
        <f>IFERROR(IF(SUMIFS(tblDaily[Discharges],tblDaily[EntryDate],DATE(2026,3,29),tblDaily[WardCode],"MW")=0,"",SUMIFS(tblDaily[Discharges],tblDaily[EntryDate],DATE(2026,3,29),tblDaily[WardCode],"MW")),"")</f>
        <v/>
      </c>
      <c r="D113" s="5" t="str">
        <f>IFERROR(IF(SUMIFS(tblDaily[Deaths],tblDaily[EntryDate],DATE(2026,3,29),tblDaily[WardCode],"MW")=0,"",SUMIFS(tblDaily[Deaths],tblDaily[EntryDate],DATE(2026,3,29),tblDaily[WardCode],"MW")),"")</f>
        <v/>
      </c>
      <c r="E113" s="5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5" t="str">
        <f>IFERROR(IF(SUMIFS(tblDaily[TransfersIn],tblDaily[EntryDate],DATE(2026,3,29),tblDaily[WardCode],"MW")=0,"",SUMIFS(tblDaily[TransfersIn],tblDaily[EntryDate],DATE(2026,3,29),tblDaily[WardCode],"MW")),"")</f>
        <v/>
      </c>
      <c r="G113" s="5" t="str">
        <f>IFERROR(IF(SUMIFS(tblDaily[TransfersOut],tblDaily[EntryDate],DATE(2026,3,29),tblDaily[WardCode],"MW")=0,"",SUMIFS(tblDaily[TransfersOut],tblDaily[EntryDate],DATE(2026,3,29),tblDaily[WardCode],"MW")),"")</f>
        <v/>
      </c>
      <c r="H113" s="5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IFERROR(IF(SUMIFS(tblDaily[Admissions],tblDaily[EntryDate],DATE(2026,3,30),tblDaily[WardCode],"MW")=0,"",SUMIFS(tblDaily[Admissions],tblDaily[EntryDate],DATE(2026,3,30),tblDaily[WardCode],"MW")),"")</f>
        <v/>
      </c>
      <c r="C114" s="5" t="str">
        <f>IFERROR(IF(SUMIFS(tblDaily[Discharges],tblDaily[EntryDate],DATE(2026,3,30),tblDaily[WardCode],"MW")=0,"",SUMIFS(tblDaily[Discharges],tblDaily[EntryDate],DATE(2026,3,30),tblDaily[WardCode],"MW")),"")</f>
        <v/>
      </c>
      <c r="D114" s="5" t="str">
        <f>IFERROR(IF(SUMIFS(tblDaily[Deaths],tblDaily[EntryDate],DATE(2026,3,30),tblDaily[WardCode],"MW")=0,"",SUMIFS(tblDaily[Deaths],tblDaily[EntryDate],DATE(2026,3,30),tblDaily[WardCode],"MW")),"")</f>
        <v/>
      </c>
      <c r="E114" s="5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5" t="str">
        <f>IFERROR(IF(SUMIFS(tblDaily[TransfersIn],tblDaily[EntryDate],DATE(2026,3,30),tblDaily[WardCode],"MW")=0,"",SUMIFS(tblDaily[TransfersIn],tblDaily[EntryDate],DATE(2026,3,30),tblDaily[WardCode],"MW")),"")</f>
        <v/>
      </c>
      <c r="G114" s="5" t="str">
        <f>IFERROR(IF(SUMIFS(tblDaily[TransfersOut],tblDaily[EntryDate],DATE(2026,3,30),tblDaily[WardCode],"MW")=0,"",SUMIFS(tblDaily[TransfersOut],tblDaily[EntryDate],DATE(2026,3,30),tblDaily[WardCode],"MW")),"")</f>
        <v/>
      </c>
      <c r="H114" s="5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IFERROR(IF(SUMIFS(tblDaily[Admissions],tblDaily[EntryDate],DATE(2026,3,31),tblDaily[WardCode],"MW")=0,"",SUMIFS(tblDaily[Admissions],tblDaily[EntryDate],DATE(2026,3,31),tblDaily[WardCode],"MW")),"")</f>
        <v/>
      </c>
      <c r="C115" s="5" t="str">
        <f>IFERROR(IF(SUMIFS(tblDaily[Discharges],tblDaily[EntryDate],DATE(2026,3,31),tblDaily[WardCode],"MW")=0,"",SUMIFS(tblDaily[Discharges],tblDaily[EntryDate],DATE(2026,3,31),tblDaily[WardCode],"MW")),"")</f>
        <v/>
      </c>
      <c r="D115" s="5" t="str">
        <f>IFERROR(IF(SUMIFS(tblDaily[Deaths],tblDaily[EntryDate],DATE(2026,3,31),tblDaily[WardCode],"MW")=0,"",SUMIFS(tblDaily[Deaths],tblDaily[EntryDate],DATE(2026,3,31),tblDaily[WardCode],"MW")),"")</f>
        <v/>
      </c>
      <c r="E115" s="5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5" t="str">
        <f>IFERROR(IF(SUMIFS(tblDaily[TransfersIn],tblDaily[EntryDate],DATE(2026,3,31),tblDaily[WardCode],"MW")=0,"",SUMIFS(tblDaily[TransfersIn],tblDaily[EntryDate],DATE(2026,3,31),tblDaily[WardCode],"MW")),"")</f>
        <v/>
      </c>
      <c r="G115" s="5" t="str">
        <f>IFERROR(IF(SUMIFS(tblDaily[TransfersOut],tblDaily[EntryDate],DATE(2026,3,31),tblDaily[WardCode],"MW")=0,"",SUMIFS(tblDaily[TransfersOut],tblDaily[EntryDate],DATE(2026,3,31),tblDaily[WardCode],"MW")),"")</f>
        <v/>
      </c>
      <c r="H115" s="5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95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86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89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IFERROR(IF(SUMIFS(tblDaily[Admissions],tblDaily[EntryDate],DATE(2026,4,1),tblDaily[WardCode],"MW")=0,"",SUMIFS(tblDaily[Admissions],tblDaily[EntryDate],DATE(2026,4,1),tblDaily[WardCode],"MW")),"")</f>
        <v/>
      </c>
      <c r="C124" s="5" t="str">
        <f>IFERROR(IF(SUMIFS(tblDaily[Discharges],tblDaily[EntryDate],DATE(2026,4,1),tblDaily[WardCode],"MW")=0,"",SUMIFS(tblDaily[Discharges],tblDaily[EntryDate],DATE(2026,4,1),tblDaily[WardCode],"MW")),"")</f>
        <v/>
      </c>
      <c r="D124" s="5" t="str">
        <f>IFERROR(IF(SUMIFS(tblDaily[Deaths],tblDaily[EntryDate],DATE(2026,4,1),tblDaily[WardCode],"MW")=0,"",SUMIFS(tblDaily[Deaths],tblDaily[EntryDate],DATE(2026,4,1),tblDaily[WardCode],"MW")),"")</f>
        <v/>
      </c>
      <c r="E124" s="5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5" t="str">
        <f>IFERROR(IF(SUMIFS(tblDaily[TransfersIn],tblDaily[EntryDate],DATE(2026,4,1),tblDaily[WardCode],"MW")=0,"",SUMIFS(tblDaily[TransfersIn],tblDaily[EntryDate],DATE(2026,4,1),tblDaily[WardCode],"MW")),"")</f>
        <v/>
      </c>
      <c r="G124" s="5" t="str">
        <f>IFERROR(IF(SUMIFS(tblDaily[TransfersOut],tblDaily[EntryDate],DATE(2026,4,1),tblDaily[WardCode],"MW")=0,"",SUMIFS(tblDaily[TransfersOut],tblDaily[EntryDate],DATE(2026,4,1),tblDaily[WardCode],"MW")),"")</f>
        <v/>
      </c>
      <c r="H124" s="5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IFERROR(IF(SUMIFS(tblDaily[Admissions],tblDaily[EntryDate],DATE(2026,4,2),tblDaily[WardCode],"MW")=0,"",SUMIFS(tblDaily[Admissions],tblDaily[EntryDate],DATE(2026,4,2),tblDaily[WardCode],"MW")),"")</f>
        <v/>
      </c>
      <c r="C125" s="5" t="str">
        <f>IFERROR(IF(SUMIFS(tblDaily[Discharges],tblDaily[EntryDate],DATE(2026,4,2),tblDaily[WardCode],"MW")=0,"",SUMIFS(tblDaily[Discharges],tblDaily[EntryDate],DATE(2026,4,2),tblDaily[WardCode],"MW")),"")</f>
        <v/>
      </c>
      <c r="D125" s="5" t="str">
        <f>IFERROR(IF(SUMIFS(tblDaily[Deaths],tblDaily[EntryDate],DATE(2026,4,2),tblDaily[WardCode],"MW")=0,"",SUMIFS(tblDaily[Deaths],tblDaily[EntryDate],DATE(2026,4,2),tblDaily[WardCode],"MW")),"")</f>
        <v/>
      </c>
      <c r="E125" s="5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5" t="str">
        <f>IFERROR(IF(SUMIFS(tblDaily[TransfersIn],tblDaily[EntryDate],DATE(2026,4,2),tblDaily[WardCode],"MW")=0,"",SUMIFS(tblDaily[TransfersIn],tblDaily[EntryDate],DATE(2026,4,2),tblDaily[WardCode],"MW")),"")</f>
        <v/>
      </c>
      <c r="G125" s="5" t="str">
        <f>IFERROR(IF(SUMIFS(tblDaily[TransfersOut],tblDaily[EntryDate],DATE(2026,4,2),tblDaily[WardCode],"MW")=0,"",SUMIFS(tblDaily[TransfersOut],tblDaily[EntryDate],DATE(2026,4,2),tblDaily[WardCode],"MW")),"")</f>
        <v/>
      </c>
      <c r="H125" s="5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IFERROR(IF(SUMIFS(tblDaily[Admissions],tblDaily[EntryDate],DATE(2026,4,3),tblDaily[WardCode],"MW")=0,"",SUMIFS(tblDaily[Admissions],tblDaily[EntryDate],DATE(2026,4,3),tblDaily[WardCode],"MW")),"")</f>
        <v/>
      </c>
      <c r="C126" s="5" t="str">
        <f>IFERROR(IF(SUMIFS(tblDaily[Discharges],tblDaily[EntryDate],DATE(2026,4,3),tblDaily[WardCode],"MW")=0,"",SUMIFS(tblDaily[Discharges],tblDaily[EntryDate],DATE(2026,4,3),tblDaily[WardCode],"MW")),"")</f>
        <v/>
      </c>
      <c r="D126" s="5" t="str">
        <f>IFERROR(IF(SUMIFS(tblDaily[Deaths],tblDaily[EntryDate],DATE(2026,4,3),tblDaily[WardCode],"MW")=0,"",SUMIFS(tblDaily[Deaths],tblDaily[EntryDate],DATE(2026,4,3),tblDaily[WardCode],"MW")),"")</f>
        <v/>
      </c>
      <c r="E126" s="5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5" t="str">
        <f>IFERROR(IF(SUMIFS(tblDaily[TransfersIn],tblDaily[EntryDate],DATE(2026,4,3),tblDaily[WardCode],"MW")=0,"",SUMIFS(tblDaily[TransfersIn],tblDaily[EntryDate],DATE(2026,4,3),tblDaily[WardCode],"MW")),"")</f>
        <v/>
      </c>
      <c r="G126" s="5" t="str">
        <f>IFERROR(IF(SUMIFS(tblDaily[TransfersOut],tblDaily[EntryDate],DATE(2026,4,3),tblDaily[WardCode],"MW")=0,"",SUMIFS(tblDaily[TransfersOut],tblDaily[EntryDate],DATE(2026,4,3),tblDaily[WardCode],"MW")),"")</f>
        <v/>
      </c>
      <c r="H126" s="5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IFERROR(IF(SUMIFS(tblDaily[Admissions],tblDaily[EntryDate],DATE(2026,4,4),tblDaily[WardCode],"MW")=0,"",SUMIFS(tblDaily[Admissions],tblDaily[EntryDate],DATE(2026,4,4),tblDaily[WardCode],"MW")),"")</f>
        <v/>
      </c>
      <c r="C127" s="5" t="str">
        <f>IFERROR(IF(SUMIFS(tblDaily[Discharges],tblDaily[EntryDate],DATE(2026,4,4),tblDaily[WardCode],"MW")=0,"",SUMIFS(tblDaily[Discharges],tblDaily[EntryDate],DATE(2026,4,4),tblDaily[WardCode],"MW")),"")</f>
        <v/>
      </c>
      <c r="D127" s="5" t="str">
        <f>IFERROR(IF(SUMIFS(tblDaily[Deaths],tblDaily[EntryDate],DATE(2026,4,4),tblDaily[WardCode],"MW")=0,"",SUMIFS(tblDaily[Deaths],tblDaily[EntryDate],DATE(2026,4,4),tblDaily[WardCode],"MW")),"")</f>
        <v/>
      </c>
      <c r="E127" s="5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5" t="str">
        <f>IFERROR(IF(SUMIFS(tblDaily[TransfersIn],tblDaily[EntryDate],DATE(2026,4,4),tblDaily[WardCode],"MW")=0,"",SUMIFS(tblDaily[TransfersIn],tblDaily[EntryDate],DATE(2026,4,4),tblDaily[WardCode],"MW")),"")</f>
        <v/>
      </c>
      <c r="G127" s="5" t="str">
        <f>IFERROR(IF(SUMIFS(tblDaily[TransfersOut],tblDaily[EntryDate],DATE(2026,4,4),tblDaily[WardCode],"MW")=0,"",SUMIFS(tblDaily[TransfersOut],tblDaily[EntryDate],DATE(2026,4,4),tblDaily[WardCode],"MW")),"")</f>
        <v/>
      </c>
      <c r="H127" s="5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IFERROR(IF(SUMIFS(tblDaily[Admissions],tblDaily[EntryDate],DATE(2026,4,5),tblDaily[WardCode],"MW")=0,"",SUMIFS(tblDaily[Admissions],tblDaily[EntryDate],DATE(2026,4,5),tblDaily[WardCode],"MW")),"")</f>
        <v/>
      </c>
      <c r="C128" s="5" t="str">
        <f>IFERROR(IF(SUMIFS(tblDaily[Discharges],tblDaily[EntryDate],DATE(2026,4,5),tblDaily[WardCode],"MW")=0,"",SUMIFS(tblDaily[Discharges],tblDaily[EntryDate],DATE(2026,4,5),tblDaily[WardCode],"MW")),"")</f>
        <v/>
      </c>
      <c r="D128" s="5" t="str">
        <f>IFERROR(IF(SUMIFS(tblDaily[Deaths],tblDaily[EntryDate],DATE(2026,4,5),tblDaily[WardCode],"MW")=0,"",SUMIFS(tblDaily[Deaths],tblDaily[EntryDate],DATE(2026,4,5),tblDaily[WardCode],"MW")),"")</f>
        <v/>
      </c>
      <c r="E128" s="5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5" t="str">
        <f>IFERROR(IF(SUMIFS(tblDaily[TransfersIn],tblDaily[EntryDate],DATE(2026,4,5),tblDaily[WardCode],"MW")=0,"",SUMIFS(tblDaily[TransfersIn],tblDaily[EntryDate],DATE(2026,4,5),tblDaily[WardCode],"MW")),"")</f>
        <v/>
      </c>
      <c r="G128" s="5" t="str">
        <f>IFERROR(IF(SUMIFS(tblDaily[TransfersOut],tblDaily[EntryDate],DATE(2026,4,5),tblDaily[WardCode],"MW")=0,"",SUMIFS(tblDaily[TransfersOut],tblDaily[EntryDate],DATE(2026,4,5),tblDaily[WardCode],"MW")),"")</f>
        <v/>
      </c>
      <c r="H128" s="5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IFERROR(IF(SUMIFS(tblDaily[Admissions],tblDaily[EntryDate],DATE(2026,4,6),tblDaily[WardCode],"MW")=0,"",SUMIFS(tblDaily[Admissions],tblDaily[EntryDate],DATE(2026,4,6),tblDaily[WardCode],"MW")),"")</f>
        <v/>
      </c>
      <c r="C129" s="5" t="str">
        <f>IFERROR(IF(SUMIFS(tblDaily[Discharges],tblDaily[EntryDate],DATE(2026,4,6),tblDaily[WardCode],"MW")=0,"",SUMIFS(tblDaily[Discharges],tblDaily[EntryDate],DATE(2026,4,6),tblDaily[WardCode],"MW")),"")</f>
        <v/>
      </c>
      <c r="D129" s="5" t="str">
        <f>IFERROR(IF(SUMIFS(tblDaily[Deaths],tblDaily[EntryDate],DATE(2026,4,6),tblDaily[WardCode],"MW")=0,"",SUMIFS(tblDaily[Deaths],tblDaily[EntryDate],DATE(2026,4,6),tblDaily[WardCode],"MW")),"")</f>
        <v/>
      </c>
      <c r="E129" s="5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5" t="str">
        <f>IFERROR(IF(SUMIFS(tblDaily[TransfersIn],tblDaily[EntryDate],DATE(2026,4,6),tblDaily[WardCode],"MW")=0,"",SUMIFS(tblDaily[TransfersIn],tblDaily[EntryDate],DATE(2026,4,6),tblDaily[WardCode],"MW")),"")</f>
        <v/>
      </c>
      <c r="G129" s="5" t="str">
        <f>IFERROR(IF(SUMIFS(tblDaily[TransfersOut],tblDaily[EntryDate],DATE(2026,4,6),tblDaily[WardCode],"MW")=0,"",SUMIFS(tblDaily[TransfersOut],tblDaily[EntryDate],DATE(2026,4,6),tblDaily[WardCode],"MW")),"")</f>
        <v/>
      </c>
      <c r="H129" s="5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IFERROR(IF(SUMIFS(tblDaily[Admissions],tblDaily[EntryDate],DATE(2026,4,7),tblDaily[WardCode],"MW")=0,"",SUMIFS(tblDaily[Admissions],tblDaily[EntryDate],DATE(2026,4,7),tblDaily[WardCode],"MW")),"")</f>
        <v/>
      </c>
      <c r="C130" s="5" t="str">
        <f>IFERROR(IF(SUMIFS(tblDaily[Discharges],tblDaily[EntryDate],DATE(2026,4,7),tblDaily[WardCode],"MW")=0,"",SUMIFS(tblDaily[Discharges],tblDaily[EntryDate],DATE(2026,4,7),tblDaily[WardCode],"MW")),"")</f>
        <v/>
      </c>
      <c r="D130" s="5" t="str">
        <f>IFERROR(IF(SUMIFS(tblDaily[Deaths],tblDaily[EntryDate],DATE(2026,4,7),tblDaily[WardCode],"MW")=0,"",SUMIFS(tblDaily[Deaths],tblDaily[EntryDate],DATE(2026,4,7),tblDaily[WardCode],"MW")),"")</f>
        <v/>
      </c>
      <c r="E130" s="5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5" t="str">
        <f>IFERROR(IF(SUMIFS(tblDaily[TransfersIn],tblDaily[EntryDate],DATE(2026,4,7),tblDaily[WardCode],"MW")=0,"",SUMIFS(tblDaily[TransfersIn],tblDaily[EntryDate],DATE(2026,4,7),tblDaily[WardCode],"MW")),"")</f>
        <v/>
      </c>
      <c r="G130" s="5" t="str">
        <f>IFERROR(IF(SUMIFS(tblDaily[TransfersOut],tblDaily[EntryDate],DATE(2026,4,7),tblDaily[WardCode],"MW")=0,"",SUMIFS(tblDaily[TransfersOut],tblDaily[EntryDate],DATE(2026,4,7),tblDaily[WardCode],"MW")),"")</f>
        <v/>
      </c>
      <c r="H130" s="5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IFERROR(IF(SUMIFS(tblDaily[Admissions],tblDaily[EntryDate],DATE(2026,4,8),tblDaily[WardCode],"MW")=0,"",SUMIFS(tblDaily[Admissions],tblDaily[EntryDate],DATE(2026,4,8),tblDaily[WardCode],"MW")),"")</f>
        <v/>
      </c>
      <c r="C131" s="5" t="str">
        <f>IFERROR(IF(SUMIFS(tblDaily[Discharges],tblDaily[EntryDate],DATE(2026,4,8),tblDaily[WardCode],"MW")=0,"",SUMIFS(tblDaily[Discharges],tblDaily[EntryDate],DATE(2026,4,8),tblDaily[WardCode],"MW")),"")</f>
        <v/>
      </c>
      <c r="D131" s="5" t="str">
        <f>IFERROR(IF(SUMIFS(tblDaily[Deaths],tblDaily[EntryDate],DATE(2026,4,8),tblDaily[WardCode],"MW")=0,"",SUMIFS(tblDaily[Deaths],tblDaily[EntryDate],DATE(2026,4,8),tblDaily[WardCode],"MW")),"")</f>
        <v/>
      </c>
      <c r="E131" s="5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5" t="str">
        <f>IFERROR(IF(SUMIFS(tblDaily[TransfersIn],tblDaily[EntryDate],DATE(2026,4,8),tblDaily[WardCode],"MW")=0,"",SUMIFS(tblDaily[TransfersIn],tblDaily[EntryDate],DATE(2026,4,8),tblDaily[WardCode],"MW")),"")</f>
        <v/>
      </c>
      <c r="G131" s="5" t="str">
        <f>IFERROR(IF(SUMIFS(tblDaily[TransfersOut],tblDaily[EntryDate],DATE(2026,4,8),tblDaily[WardCode],"MW")=0,"",SUMIFS(tblDaily[TransfersOut],tblDaily[EntryDate],DATE(2026,4,8),tblDaily[WardCode],"MW")),"")</f>
        <v/>
      </c>
      <c r="H131" s="5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IFERROR(IF(SUMIFS(tblDaily[Admissions],tblDaily[EntryDate],DATE(2026,4,9),tblDaily[WardCode],"MW")=0,"",SUMIFS(tblDaily[Admissions],tblDaily[EntryDate],DATE(2026,4,9),tblDaily[WardCode],"MW")),"")</f>
        <v/>
      </c>
      <c r="C132" s="5" t="str">
        <f>IFERROR(IF(SUMIFS(tblDaily[Discharges],tblDaily[EntryDate],DATE(2026,4,9),tblDaily[WardCode],"MW")=0,"",SUMIFS(tblDaily[Discharges],tblDaily[EntryDate],DATE(2026,4,9),tblDaily[WardCode],"MW")),"")</f>
        <v/>
      </c>
      <c r="D132" s="5" t="str">
        <f>IFERROR(IF(SUMIFS(tblDaily[Deaths],tblDaily[EntryDate],DATE(2026,4,9),tblDaily[WardCode],"MW")=0,"",SUMIFS(tblDaily[Deaths],tblDaily[EntryDate],DATE(2026,4,9),tblDaily[WardCode],"MW")),"")</f>
        <v/>
      </c>
      <c r="E132" s="5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5" t="str">
        <f>IFERROR(IF(SUMIFS(tblDaily[TransfersIn],tblDaily[EntryDate],DATE(2026,4,9),tblDaily[WardCode],"MW")=0,"",SUMIFS(tblDaily[TransfersIn],tblDaily[EntryDate],DATE(2026,4,9),tblDaily[WardCode],"MW")),"")</f>
        <v/>
      </c>
      <c r="G132" s="5" t="str">
        <f>IFERROR(IF(SUMIFS(tblDaily[TransfersOut],tblDaily[EntryDate],DATE(2026,4,9),tblDaily[WardCode],"MW")=0,"",SUMIFS(tblDaily[TransfersOut],tblDaily[EntryDate],DATE(2026,4,9),tblDaily[WardCode],"MW")),"")</f>
        <v/>
      </c>
      <c r="H132" s="5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IFERROR(IF(SUMIFS(tblDaily[Admissions],tblDaily[EntryDate],DATE(2026,4,10),tblDaily[WardCode],"MW")=0,"",SUMIFS(tblDaily[Admissions],tblDaily[EntryDate],DATE(2026,4,10),tblDaily[WardCode],"MW")),"")</f>
        <v/>
      </c>
      <c r="C133" s="5" t="str">
        <f>IFERROR(IF(SUMIFS(tblDaily[Discharges],tblDaily[EntryDate],DATE(2026,4,10),tblDaily[WardCode],"MW")=0,"",SUMIFS(tblDaily[Discharges],tblDaily[EntryDate],DATE(2026,4,10),tblDaily[WardCode],"MW")),"")</f>
        <v/>
      </c>
      <c r="D133" s="5" t="str">
        <f>IFERROR(IF(SUMIFS(tblDaily[Deaths],tblDaily[EntryDate],DATE(2026,4,10),tblDaily[WardCode],"MW")=0,"",SUMIFS(tblDaily[Deaths],tblDaily[EntryDate],DATE(2026,4,10),tblDaily[WardCode],"MW")),"")</f>
        <v/>
      </c>
      <c r="E133" s="5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5" t="str">
        <f>IFERROR(IF(SUMIFS(tblDaily[TransfersIn],tblDaily[EntryDate],DATE(2026,4,10),tblDaily[WardCode],"MW")=0,"",SUMIFS(tblDaily[TransfersIn],tblDaily[EntryDate],DATE(2026,4,10),tblDaily[WardCode],"MW")),"")</f>
        <v/>
      </c>
      <c r="G133" s="5" t="str">
        <f>IFERROR(IF(SUMIFS(tblDaily[TransfersOut],tblDaily[EntryDate],DATE(2026,4,10),tblDaily[WardCode],"MW")=0,"",SUMIFS(tblDaily[TransfersOut],tblDaily[EntryDate],DATE(2026,4,10),tblDaily[WardCode],"MW")),"")</f>
        <v/>
      </c>
      <c r="H133" s="5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IFERROR(IF(SUMIFS(tblDaily[Admissions],tblDaily[EntryDate],DATE(2026,4,11),tblDaily[WardCode],"MW")=0,"",SUMIFS(tblDaily[Admissions],tblDaily[EntryDate],DATE(2026,4,11),tblDaily[WardCode],"MW")),"")</f>
        <v/>
      </c>
      <c r="C134" s="5" t="str">
        <f>IFERROR(IF(SUMIFS(tblDaily[Discharges],tblDaily[EntryDate],DATE(2026,4,11),tblDaily[WardCode],"MW")=0,"",SUMIFS(tblDaily[Discharges],tblDaily[EntryDate],DATE(2026,4,11),tblDaily[WardCode],"MW")),"")</f>
        <v/>
      </c>
      <c r="D134" s="5" t="str">
        <f>IFERROR(IF(SUMIFS(tblDaily[Deaths],tblDaily[EntryDate],DATE(2026,4,11),tblDaily[WardCode],"MW")=0,"",SUMIFS(tblDaily[Deaths],tblDaily[EntryDate],DATE(2026,4,11),tblDaily[WardCode],"MW")),"")</f>
        <v/>
      </c>
      <c r="E134" s="5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5" t="str">
        <f>IFERROR(IF(SUMIFS(tblDaily[TransfersIn],tblDaily[EntryDate],DATE(2026,4,11),tblDaily[WardCode],"MW")=0,"",SUMIFS(tblDaily[TransfersIn],tblDaily[EntryDate],DATE(2026,4,11),tblDaily[WardCode],"MW")),"")</f>
        <v/>
      </c>
      <c r="G134" s="5" t="str">
        <f>IFERROR(IF(SUMIFS(tblDaily[TransfersOut],tblDaily[EntryDate],DATE(2026,4,11),tblDaily[WardCode],"MW")=0,"",SUMIFS(tblDaily[TransfersOut],tblDaily[EntryDate],DATE(2026,4,11),tblDaily[WardCode],"MW")),"")</f>
        <v/>
      </c>
      <c r="H134" s="5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IFERROR(IF(SUMIFS(tblDaily[Admissions],tblDaily[EntryDate],DATE(2026,4,12),tblDaily[WardCode],"MW")=0,"",SUMIFS(tblDaily[Admissions],tblDaily[EntryDate],DATE(2026,4,12),tblDaily[WardCode],"MW")),"")</f>
        <v/>
      </c>
      <c r="C135" s="5" t="str">
        <f>IFERROR(IF(SUMIFS(tblDaily[Discharges],tblDaily[EntryDate],DATE(2026,4,12),tblDaily[WardCode],"MW")=0,"",SUMIFS(tblDaily[Discharges],tblDaily[EntryDate],DATE(2026,4,12),tblDaily[WardCode],"MW")),"")</f>
        <v/>
      </c>
      <c r="D135" s="5" t="str">
        <f>IFERROR(IF(SUMIFS(tblDaily[Deaths],tblDaily[EntryDate],DATE(2026,4,12),tblDaily[WardCode],"MW")=0,"",SUMIFS(tblDaily[Deaths],tblDaily[EntryDate],DATE(2026,4,12),tblDaily[WardCode],"MW")),"")</f>
        <v/>
      </c>
      <c r="E135" s="5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5" t="str">
        <f>IFERROR(IF(SUMIFS(tblDaily[TransfersIn],tblDaily[EntryDate],DATE(2026,4,12),tblDaily[WardCode],"MW")=0,"",SUMIFS(tblDaily[TransfersIn],tblDaily[EntryDate],DATE(2026,4,12),tblDaily[WardCode],"MW")),"")</f>
        <v/>
      </c>
      <c r="G135" s="5" t="str">
        <f>IFERROR(IF(SUMIFS(tblDaily[TransfersOut],tblDaily[EntryDate],DATE(2026,4,12),tblDaily[WardCode],"MW")=0,"",SUMIFS(tblDaily[TransfersOut],tblDaily[EntryDate],DATE(2026,4,12),tblDaily[WardCode],"MW")),"")</f>
        <v/>
      </c>
      <c r="H135" s="5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IFERROR(IF(SUMIFS(tblDaily[Admissions],tblDaily[EntryDate],DATE(2026,4,13),tblDaily[WardCode],"MW")=0,"",SUMIFS(tblDaily[Admissions],tblDaily[EntryDate],DATE(2026,4,13),tblDaily[WardCode],"MW")),"")</f>
        <v/>
      </c>
      <c r="C136" s="5" t="str">
        <f>IFERROR(IF(SUMIFS(tblDaily[Discharges],tblDaily[EntryDate],DATE(2026,4,13),tblDaily[WardCode],"MW")=0,"",SUMIFS(tblDaily[Discharges],tblDaily[EntryDate],DATE(2026,4,13),tblDaily[WardCode],"MW")),"")</f>
        <v/>
      </c>
      <c r="D136" s="5" t="str">
        <f>IFERROR(IF(SUMIFS(tblDaily[Deaths],tblDaily[EntryDate],DATE(2026,4,13),tblDaily[WardCode],"MW")=0,"",SUMIFS(tblDaily[Deaths],tblDaily[EntryDate],DATE(2026,4,13),tblDaily[WardCode],"MW")),"")</f>
        <v/>
      </c>
      <c r="E136" s="5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5" t="str">
        <f>IFERROR(IF(SUMIFS(tblDaily[TransfersIn],tblDaily[EntryDate],DATE(2026,4,13),tblDaily[WardCode],"MW")=0,"",SUMIFS(tblDaily[TransfersIn],tblDaily[EntryDate],DATE(2026,4,13),tblDaily[WardCode],"MW")),"")</f>
        <v/>
      </c>
      <c r="G136" s="5" t="str">
        <f>IFERROR(IF(SUMIFS(tblDaily[TransfersOut],tblDaily[EntryDate],DATE(2026,4,13),tblDaily[WardCode],"MW")=0,"",SUMIFS(tblDaily[TransfersOut],tblDaily[EntryDate],DATE(2026,4,13),tblDaily[WardCode],"MW")),"")</f>
        <v/>
      </c>
      <c r="H136" s="5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IFERROR(IF(SUMIFS(tblDaily[Admissions],tblDaily[EntryDate],DATE(2026,4,14),tblDaily[WardCode],"MW")=0,"",SUMIFS(tblDaily[Admissions],tblDaily[EntryDate],DATE(2026,4,14),tblDaily[WardCode],"MW")),"")</f>
        <v/>
      </c>
      <c r="C137" s="5" t="str">
        <f>IFERROR(IF(SUMIFS(tblDaily[Discharges],tblDaily[EntryDate],DATE(2026,4,14),tblDaily[WardCode],"MW")=0,"",SUMIFS(tblDaily[Discharges],tblDaily[EntryDate],DATE(2026,4,14),tblDaily[WardCode],"MW")),"")</f>
        <v/>
      </c>
      <c r="D137" s="5" t="str">
        <f>IFERROR(IF(SUMIFS(tblDaily[Deaths],tblDaily[EntryDate],DATE(2026,4,14),tblDaily[WardCode],"MW")=0,"",SUMIFS(tblDaily[Deaths],tblDaily[EntryDate],DATE(2026,4,14),tblDaily[WardCode],"MW")),"")</f>
        <v/>
      </c>
      <c r="E137" s="5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5" t="str">
        <f>IFERROR(IF(SUMIFS(tblDaily[TransfersIn],tblDaily[EntryDate],DATE(2026,4,14),tblDaily[WardCode],"MW")=0,"",SUMIFS(tblDaily[TransfersIn],tblDaily[EntryDate],DATE(2026,4,14),tblDaily[WardCode],"MW")),"")</f>
        <v/>
      </c>
      <c r="G137" s="5" t="str">
        <f>IFERROR(IF(SUMIFS(tblDaily[TransfersOut],tblDaily[EntryDate],DATE(2026,4,14),tblDaily[WardCode],"MW")=0,"",SUMIFS(tblDaily[TransfersOut],tblDaily[EntryDate],DATE(2026,4,14),tblDaily[WardCode],"MW")),"")</f>
        <v/>
      </c>
      <c r="H137" s="5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IFERROR(IF(SUMIFS(tblDaily[Admissions],tblDaily[EntryDate],DATE(2026,4,15),tblDaily[WardCode],"MW")=0,"",SUMIFS(tblDaily[Admissions],tblDaily[EntryDate],DATE(2026,4,15),tblDaily[WardCode],"MW")),"")</f>
        <v/>
      </c>
      <c r="C138" s="5" t="str">
        <f>IFERROR(IF(SUMIFS(tblDaily[Discharges],tblDaily[EntryDate],DATE(2026,4,15),tblDaily[WardCode],"MW")=0,"",SUMIFS(tblDaily[Discharges],tblDaily[EntryDate],DATE(2026,4,15),tblDaily[WardCode],"MW")),"")</f>
        <v/>
      </c>
      <c r="D138" s="5" t="str">
        <f>IFERROR(IF(SUMIFS(tblDaily[Deaths],tblDaily[EntryDate],DATE(2026,4,15),tblDaily[WardCode],"MW")=0,"",SUMIFS(tblDaily[Deaths],tblDaily[EntryDate],DATE(2026,4,15),tblDaily[WardCode],"MW")),"")</f>
        <v/>
      </c>
      <c r="E138" s="5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5" t="str">
        <f>IFERROR(IF(SUMIFS(tblDaily[TransfersIn],tblDaily[EntryDate],DATE(2026,4,15),tblDaily[WardCode],"MW")=0,"",SUMIFS(tblDaily[TransfersIn],tblDaily[EntryDate],DATE(2026,4,15),tblDaily[WardCode],"MW")),"")</f>
        <v/>
      </c>
      <c r="G138" s="5" t="str">
        <f>IFERROR(IF(SUMIFS(tblDaily[TransfersOut],tblDaily[EntryDate],DATE(2026,4,15),tblDaily[WardCode],"MW")=0,"",SUMIFS(tblDaily[TransfersOut],tblDaily[EntryDate],DATE(2026,4,15),tblDaily[WardCode],"MW")),"")</f>
        <v/>
      </c>
      <c r="H138" s="5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IFERROR(IF(SUMIFS(tblDaily[Admissions],tblDaily[EntryDate],DATE(2026,4,16),tblDaily[WardCode],"MW")=0,"",SUMIFS(tblDaily[Admissions],tblDaily[EntryDate],DATE(2026,4,16),tblDaily[WardCode],"MW")),"")</f>
        <v/>
      </c>
      <c r="C139" s="5" t="str">
        <f>IFERROR(IF(SUMIFS(tblDaily[Discharges],tblDaily[EntryDate],DATE(2026,4,16),tblDaily[WardCode],"MW")=0,"",SUMIFS(tblDaily[Discharges],tblDaily[EntryDate],DATE(2026,4,16),tblDaily[WardCode],"MW")),"")</f>
        <v/>
      </c>
      <c r="D139" s="5" t="str">
        <f>IFERROR(IF(SUMIFS(tblDaily[Deaths],tblDaily[EntryDate],DATE(2026,4,16),tblDaily[WardCode],"MW")=0,"",SUMIFS(tblDaily[Deaths],tblDaily[EntryDate],DATE(2026,4,16),tblDaily[WardCode],"MW")),"")</f>
        <v/>
      </c>
      <c r="E139" s="5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5" t="str">
        <f>IFERROR(IF(SUMIFS(tblDaily[TransfersIn],tblDaily[EntryDate],DATE(2026,4,16),tblDaily[WardCode],"MW")=0,"",SUMIFS(tblDaily[TransfersIn],tblDaily[EntryDate],DATE(2026,4,16),tblDaily[WardCode],"MW")),"")</f>
        <v/>
      </c>
      <c r="G139" s="5" t="str">
        <f>IFERROR(IF(SUMIFS(tblDaily[TransfersOut],tblDaily[EntryDate],DATE(2026,4,16),tblDaily[WardCode],"MW")=0,"",SUMIFS(tblDaily[TransfersOut],tblDaily[EntryDate],DATE(2026,4,16),tblDaily[WardCode],"MW")),"")</f>
        <v/>
      </c>
      <c r="H139" s="5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IFERROR(IF(SUMIFS(tblDaily[Admissions],tblDaily[EntryDate],DATE(2026,4,17),tblDaily[WardCode],"MW")=0,"",SUMIFS(tblDaily[Admissions],tblDaily[EntryDate],DATE(2026,4,17),tblDaily[WardCode],"MW")),"")</f>
        <v/>
      </c>
      <c r="C140" s="5" t="str">
        <f>IFERROR(IF(SUMIFS(tblDaily[Discharges],tblDaily[EntryDate],DATE(2026,4,17),tblDaily[WardCode],"MW")=0,"",SUMIFS(tblDaily[Discharges],tblDaily[EntryDate],DATE(2026,4,17),tblDaily[WardCode],"MW")),"")</f>
        <v/>
      </c>
      <c r="D140" s="5" t="str">
        <f>IFERROR(IF(SUMIFS(tblDaily[Deaths],tblDaily[EntryDate],DATE(2026,4,17),tblDaily[WardCode],"MW")=0,"",SUMIFS(tblDaily[Deaths],tblDaily[EntryDate],DATE(2026,4,17),tblDaily[WardCode],"MW")),"")</f>
        <v/>
      </c>
      <c r="E140" s="5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5" t="str">
        <f>IFERROR(IF(SUMIFS(tblDaily[TransfersIn],tblDaily[EntryDate],DATE(2026,4,17),tblDaily[WardCode],"MW")=0,"",SUMIFS(tblDaily[TransfersIn],tblDaily[EntryDate],DATE(2026,4,17),tblDaily[WardCode],"MW")),"")</f>
        <v/>
      </c>
      <c r="G140" s="5" t="str">
        <f>IFERROR(IF(SUMIFS(tblDaily[TransfersOut],tblDaily[EntryDate],DATE(2026,4,17),tblDaily[WardCode],"MW")=0,"",SUMIFS(tblDaily[TransfersOut],tblDaily[EntryDate],DATE(2026,4,17),tblDaily[WardCode],"MW")),"")</f>
        <v/>
      </c>
      <c r="H140" s="5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IFERROR(IF(SUMIFS(tblDaily[Admissions],tblDaily[EntryDate],DATE(2026,4,18),tblDaily[WardCode],"MW")=0,"",SUMIFS(tblDaily[Admissions],tblDaily[EntryDate],DATE(2026,4,18),tblDaily[WardCode],"MW")),"")</f>
        <v/>
      </c>
      <c r="C141" s="5" t="str">
        <f>IFERROR(IF(SUMIFS(tblDaily[Discharges],tblDaily[EntryDate],DATE(2026,4,18),tblDaily[WardCode],"MW")=0,"",SUMIFS(tblDaily[Discharges],tblDaily[EntryDate],DATE(2026,4,18),tblDaily[WardCode],"MW")),"")</f>
        <v/>
      </c>
      <c r="D141" s="5" t="str">
        <f>IFERROR(IF(SUMIFS(tblDaily[Deaths],tblDaily[EntryDate],DATE(2026,4,18),tblDaily[WardCode],"MW")=0,"",SUMIFS(tblDaily[Deaths],tblDaily[EntryDate],DATE(2026,4,18),tblDaily[WardCode],"MW")),"")</f>
        <v/>
      </c>
      <c r="E141" s="5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5" t="str">
        <f>IFERROR(IF(SUMIFS(tblDaily[TransfersIn],tblDaily[EntryDate],DATE(2026,4,18),tblDaily[WardCode],"MW")=0,"",SUMIFS(tblDaily[TransfersIn],tblDaily[EntryDate],DATE(2026,4,18),tblDaily[WardCode],"MW")),"")</f>
        <v/>
      </c>
      <c r="G141" s="5" t="str">
        <f>IFERROR(IF(SUMIFS(tblDaily[TransfersOut],tblDaily[EntryDate],DATE(2026,4,18),tblDaily[WardCode],"MW")=0,"",SUMIFS(tblDaily[TransfersOut],tblDaily[EntryDate],DATE(2026,4,18),tblDaily[WardCode],"MW")),"")</f>
        <v/>
      </c>
      <c r="H141" s="5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IFERROR(IF(SUMIFS(tblDaily[Admissions],tblDaily[EntryDate],DATE(2026,4,19),tblDaily[WardCode],"MW")=0,"",SUMIFS(tblDaily[Admissions],tblDaily[EntryDate],DATE(2026,4,19),tblDaily[WardCode],"MW")),"")</f>
        <v/>
      </c>
      <c r="C142" s="5" t="str">
        <f>IFERROR(IF(SUMIFS(tblDaily[Discharges],tblDaily[EntryDate],DATE(2026,4,19),tblDaily[WardCode],"MW")=0,"",SUMIFS(tblDaily[Discharges],tblDaily[EntryDate],DATE(2026,4,19),tblDaily[WardCode],"MW")),"")</f>
        <v/>
      </c>
      <c r="D142" s="5" t="str">
        <f>IFERROR(IF(SUMIFS(tblDaily[Deaths],tblDaily[EntryDate],DATE(2026,4,19),tblDaily[WardCode],"MW")=0,"",SUMIFS(tblDaily[Deaths],tblDaily[EntryDate],DATE(2026,4,19),tblDaily[WardCode],"MW")),"")</f>
        <v/>
      </c>
      <c r="E142" s="5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5" t="str">
        <f>IFERROR(IF(SUMIFS(tblDaily[TransfersIn],tblDaily[EntryDate],DATE(2026,4,19),tblDaily[WardCode],"MW")=0,"",SUMIFS(tblDaily[TransfersIn],tblDaily[EntryDate],DATE(2026,4,19),tblDaily[WardCode],"MW")),"")</f>
        <v/>
      </c>
      <c r="G142" s="5" t="str">
        <f>IFERROR(IF(SUMIFS(tblDaily[TransfersOut],tblDaily[EntryDate],DATE(2026,4,19),tblDaily[WardCode],"MW")=0,"",SUMIFS(tblDaily[TransfersOut],tblDaily[EntryDate],DATE(2026,4,19),tblDaily[WardCode],"MW")),"")</f>
        <v/>
      </c>
      <c r="H142" s="5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IFERROR(IF(SUMIFS(tblDaily[Admissions],tblDaily[EntryDate],DATE(2026,4,20),tblDaily[WardCode],"MW")=0,"",SUMIFS(tblDaily[Admissions],tblDaily[EntryDate],DATE(2026,4,20),tblDaily[WardCode],"MW")),"")</f>
        <v/>
      </c>
      <c r="C143" s="5" t="str">
        <f>IFERROR(IF(SUMIFS(tblDaily[Discharges],tblDaily[EntryDate],DATE(2026,4,20),tblDaily[WardCode],"MW")=0,"",SUMIFS(tblDaily[Discharges],tblDaily[EntryDate],DATE(2026,4,20),tblDaily[WardCode],"MW")),"")</f>
        <v/>
      </c>
      <c r="D143" s="5" t="str">
        <f>IFERROR(IF(SUMIFS(tblDaily[Deaths],tblDaily[EntryDate],DATE(2026,4,20),tblDaily[WardCode],"MW")=0,"",SUMIFS(tblDaily[Deaths],tblDaily[EntryDate],DATE(2026,4,20),tblDaily[WardCode],"MW")),"")</f>
        <v/>
      </c>
      <c r="E143" s="5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5" t="str">
        <f>IFERROR(IF(SUMIFS(tblDaily[TransfersIn],tblDaily[EntryDate],DATE(2026,4,20),tblDaily[WardCode],"MW")=0,"",SUMIFS(tblDaily[TransfersIn],tblDaily[EntryDate],DATE(2026,4,20),tblDaily[WardCode],"MW")),"")</f>
        <v/>
      </c>
      <c r="G143" s="5" t="str">
        <f>IFERROR(IF(SUMIFS(tblDaily[TransfersOut],tblDaily[EntryDate],DATE(2026,4,20),tblDaily[WardCode],"MW")=0,"",SUMIFS(tblDaily[TransfersOut],tblDaily[EntryDate],DATE(2026,4,20),tblDaily[WardCode],"MW")),"")</f>
        <v/>
      </c>
      <c r="H143" s="5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IFERROR(IF(SUMIFS(tblDaily[Admissions],tblDaily[EntryDate],DATE(2026,4,21),tblDaily[WardCode],"MW")=0,"",SUMIFS(tblDaily[Admissions],tblDaily[EntryDate],DATE(2026,4,21),tblDaily[WardCode],"MW")),"")</f>
        <v/>
      </c>
      <c r="C144" s="5" t="str">
        <f>IFERROR(IF(SUMIFS(tblDaily[Discharges],tblDaily[EntryDate],DATE(2026,4,21),tblDaily[WardCode],"MW")=0,"",SUMIFS(tblDaily[Discharges],tblDaily[EntryDate],DATE(2026,4,21),tblDaily[WardCode],"MW")),"")</f>
        <v/>
      </c>
      <c r="D144" s="5" t="str">
        <f>IFERROR(IF(SUMIFS(tblDaily[Deaths],tblDaily[EntryDate],DATE(2026,4,21),tblDaily[WardCode],"MW")=0,"",SUMIFS(tblDaily[Deaths],tblDaily[EntryDate],DATE(2026,4,21),tblDaily[WardCode],"MW")),"")</f>
        <v/>
      </c>
      <c r="E144" s="5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5" t="str">
        <f>IFERROR(IF(SUMIFS(tblDaily[TransfersIn],tblDaily[EntryDate],DATE(2026,4,21),tblDaily[WardCode],"MW")=0,"",SUMIFS(tblDaily[TransfersIn],tblDaily[EntryDate],DATE(2026,4,21),tblDaily[WardCode],"MW")),"")</f>
        <v/>
      </c>
      <c r="G144" s="5" t="str">
        <f>IFERROR(IF(SUMIFS(tblDaily[TransfersOut],tblDaily[EntryDate],DATE(2026,4,21),tblDaily[WardCode],"MW")=0,"",SUMIFS(tblDaily[TransfersOut],tblDaily[EntryDate],DATE(2026,4,21),tblDaily[WardCode],"MW")),"")</f>
        <v/>
      </c>
      <c r="H144" s="5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IFERROR(IF(SUMIFS(tblDaily[Admissions],tblDaily[EntryDate],DATE(2026,4,22),tblDaily[WardCode],"MW")=0,"",SUMIFS(tblDaily[Admissions],tblDaily[EntryDate],DATE(2026,4,22),tblDaily[WardCode],"MW")),"")</f>
        <v/>
      </c>
      <c r="C145" s="5" t="str">
        <f>IFERROR(IF(SUMIFS(tblDaily[Discharges],tblDaily[EntryDate],DATE(2026,4,22),tblDaily[WardCode],"MW")=0,"",SUMIFS(tblDaily[Discharges],tblDaily[EntryDate],DATE(2026,4,22),tblDaily[WardCode],"MW")),"")</f>
        <v/>
      </c>
      <c r="D145" s="5" t="str">
        <f>IFERROR(IF(SUMIFS(tblDaily[Deaths],tblDaily[EntryDate],DATE(2026,4,22),tblDaily[WardCode],"MW")=0,"",SUMIFS(tblDaily[Deaths],tblDaily[EntryDate],DATE(2026,4,22),tblDaily[WardCode],"MW")),"")</f>
        <v/>
      </c>
      <c r="E145" s="5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5" t="str">
        <f>IFERROR(IF(SUMIFS(tblDaily[TransfersIn],tblDaily[EntryDate],DATE(2026,4,22),tblDaily[WardCode],"MW")=0,"",SUMIFS(tblDaily[TransfersIn],tblDaily[EntryDate],DATE(2026,4,22),tblDaily[WardCode],"MW")),"")</f>
        <v/>
      </c>
      <c r="G145" s="5" t="str">
        <f>IFERROR(IF(SUMIFS(tblDaily[TransfersOut],tblDaily[EntryDate],DATE(2026,4,22),tblDaily[WardCode],"MW")=0,"",SUMIFS(tblDaily[TransfersOut],tblDaily[EntryDate],DATE(2026,4,22),tblDaily[WardCode],"MW")),"")</f>
        <v/>
      </c>
      <c r="H145" s="5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IFERROR(IF(SUMIFS(tblDaily[Admissions],tblDaily[EntryDate],DATE(2026,4,23),tblDaily[WardCode],"MW")=0,"",SUMIFS(tblDaily[Admissions],tblDaily[EntryDate],DATE(2026,4,23),tblDaily[WardCode],"MW")),"")</f>
        <v/>
      </c>
      <c r="C146" s="5" t="str">
        <f>IFERROR(IF(SUMIFS(tblDaily[Discharges],tblDaily[EntryDate],DATE(2026,4,23),tblDaily[WardCode],"MW")=0,"",SUMIFS(tblDaily[Discharges],tblDaily[EntryDate],DATE(2026,4,23),tblDaily[WardCode],"MW")),"")</f>
        <v/>
      </c>
      <c r="D146" s="5" t="str">
        <f>IFERROR(IF(SUMIFS(tblDaily[Deaths],tblDaily[EntryDate],DATE(2026,4,23),tblDaily[WardCode],"MW")=0,"",SUMIFS(tblDaily[Deaths],tblDaily[EntryDate],DATE(2026,4,23),tblDaily[WardCode],"MW")),"")</f>
        <v/>
      </c>
      <c r="E146" s="5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5" t="str">
        <f>IFERROR(IF(SUMIFS(tblDaily[TransfersIn],tblDaily[EntryDate],DATE(2026,4,23),tblDaily[WardCode],"MW")=0,"",SUMIFS(tblDaily[TransfersIn],tblDaily[EntryDate],DATE(2026,4,23),tblDaily[WardCode],"MW")),"")</f>
        <v/>
      </c>
      <c r="G146" s="5" t="str">
        <f>IFERROR(IF(SUMIFS(tblDaily[TransfersOut],tblDaily[EntryDate],DATE(2026,4,23),tblDaily[WardCode],"MW")=0,"",SUMIFS(tblDaily[TransfersOut],tblDaily[EntryDate],DATE(2026,4,23),tblDaily[WardCode],"MW")),"")</f>
        <v/>
      </c>
      <c r="H146" s="5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IFERROR(IF(SUMIFS(tblDaily[Admissions],tblDaily[EntryDate],DATE(2026,4,24),tblDaily[WardCode],"MW")=0,"",SUMIFS(tblDaily[Admissions],tblDaily[EntryDate],DATE(2026,4,24),tblDaily[WardCode],"MW")),"")</f>
        <v/>
      </c>
      <c r="C147" s="5" t="str">
        <f>IFERROR(IF(SUMIFS(tblDaily[Discharges],tblDaily[EntryDate],DATE(2026,4,24),tblDaily[WardCode],"MW")=0,"",SUMIFS(tblDaily[Discharges],tblDaily[EntryDate],DATE(2026,4,24),tblDaily[WardCode],"MW")),"")</f>
        <v/>
      </c>
      <c r="D147" s="5" t="str">
        <f>IFERROR(IF(SUMIFS(tblDaily[Deaths],tblDaily[EntryDate],DATE(2026,4,24),tblDaily[WardCode],"MW")=0,"",SUMIFS(tblDaily[Deaths],tblDaily[EntryDate],DATE(2026,4,24),tblDaily[WardCode],"MW")),"")</f>
        <v/>
      </c>
      <c r="E147" s="5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5" t="str">
        <f>IFERROR(IF(SUMIFS(tblDaily[TransfersIn],tblDaily[EntryDate],DATE(2026,4,24),tblDaily[WardCode],"MW")=0,"",SUMIFS(tblDaily[TransfersIn],tblDaily[EntryDate],DATE(2026,4,24),tblDaily[WardCode],"MW")),"")</f>
        <v/>
      </c>
      <c r="G147" s="5" t="str">
        <f>IFERROR(IF(SUMIFS(tblDaily[TransfersOut],tblDaily[EntryDate],DATE(2026,4,24),tblDaily[WardCode],"MW")=0,"",SUMIFS(tblDaily[TransfersOut],tblDaily[EntryDate],DATE(2026,4,24),tblDaily[WardCode],"MW")),"")</f>
        <v/>
      </c>
      <c r="H147" s="5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IFERROR(IF(SUMIFS(tblDaily[Admissions],tblDaily[EntryDate],DATE(2026,4,25),tblDaily[WardCode],"MW")=0,"",SUMIFS(tblDaily[Admissions],tblDaily[EntryDate],DATE(2026,4,25),tblDaily[WardCode],"MW")),"")</f>
        <v/>
      </c>
      <c r="C148" s="5" t="str">
        <f>IFERROR(IF(SUMIFS(tblDaily[Discharges],tblDaily[EntryDate],DATE(2026,4,25),tblDaily[WardCode],"MW")=0,"",SUMIFS(tblDaily[Discharges],tblDaily[EntryDate],DATE(2026,4,25),tblDaily[WardCode],"MW")),"")</f>
        <v/>
      </c>
      <c r="D148" s="5" t="str">
        <f>IFERROR(IF(SUMIFS(tblDaily[Deaths],tblDaily[EntryDate],DATE(2026,4,25),tblDaily[WardCode],"MW")=0,"",SUMIFS(tblDaily[Deaths],tblDaily[EntryDate],DATE(2026,4,25),tblDaily[WardCode],"MW")),"")</f>
        <v/>
      </c>
      <c r="E148" s="5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5" t="str">
        <f>IFERROR(IF(SUMIFS(tblDaily[TransfersIn],tblDaily[EntryDate],DATE(2026,4,25),tblDaily[WardCode],"MW")=0,"",SUMIFS(tblDaily[TransfersIn],tblDaily[EntryDate],DATE(2026,4,25),tblDaily[WardCode],"MW")),"")</f>
        <v/>
      </c>
      <c r="G148" s="5" t="str">
        <f>IFERROR(IF(SUMIFS(tblDaily[TransfersOut],tblDaily[EntryDate],DATE(2026,4,25),tblDaily[WardCode],"MW")=0,"",SUMIFS(tblDaily[TransfersOut],tblDaily[EntryDate],DATE(2026,4,25),tblDaily[WardCode],"MW")),"")</f>
        <v/>
      </c>
      <c r="H148" s="5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IFERROR(IF(SUMIFS(tblDaily[Admissions],tblDaily[EntryDate],DATE(2026,4,26),tblDaily[WardCode],"MW")=0,"",SUMIFS(tblDaily[Admissions],tblDaily[EntryDate],DATE(2026,4,26),tblDaily[WardCode],"MW")),"")</f>
        <v/>
      </c>
      <c r="C149" s="5" t="str">
        <f>IFERROR(IF(SUMIFS(tblDaily[Discharges],tblDaily[EntryDate],DATE(2026,4,26),tblDaily[WardCode],"MW")=0,"",SUMIFS(tblDaily[Discharges],tblDaily[EntryDate],DATE(2026,4,26),tblDaily[WardCode],"MW")),"")</f>
        <v/>
      </c>
      <c r="D149" s="5" t="str">
        <f>IFERROR(IF(SUMIFS(tblDaily[Deaths],tblDaily[EntryDate],DATE(2026,4,26),tblDaily[WardCode],"MW")=0,"",SUMIFS(tblDaily[Deaths],tblDaily[EntryDate],DATE(2026,4,26),tblDaily[WardCode],"MW")),"")</f>
        <v/>
      </c>
      <c r="E149" s="5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5" t="str">
        <f>IFERROR(IF(SUMIFS(tblDaily[TransfersIn],tblDaily[EntryDate],DATE(2026,4,26),tblDaily[WardCode],"MW")=0,"",SUMIFS(tblDaily[TransfersIn],tblDaily[EntryDate],DATE(2026,4,26),tblDaily[WardCode],"MW")),"")</f>
        <v/>
      </c>
      <c r="G149" s="5" t="str">
        <f>IFERROR(IF(SUMIFS(tblDaily[TransfersOut],tblDaily[EntryDate],DATE(2026,4,26),tblDaily[WardCode],"MW")=0,"",SUMIFS(tblDaily[TransfersOut],tblDaily[EntryDate],DATE(2026,4,26),tblDaily[WardCode],"MW")),"")</f>
        <v/>
      </c>
      <c r="H149" s="5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IFERROR(IF(SUMIFS(tblDaily[Admissions],tblDaily[EntryDate],DATE(2026,4,27),tblDaily[WardCode],"MW")=0,"",SUMIFS(tblDaily[Admissions],tblDaily[EntryDate],DATE(2026,4,27),tblDaily[WardCode],"MW")),"")</f>
        <v/>
      </c>
      <c r="C150" s="5" t="str">
        <f>IFERROR(IF(SUMIFS(tblDaily[Discharges],tblDaily[EntryDate],DATE(2026,4,27),tblDaily[WardCode],"MW")=0,"",SUMIFS(tblDaily[Discharges],tblDaily[EntryDate],DATE(2026,4,27),tblDaily[WardCode],"MW")),"")</f>
        <v/>
      </c>
      <c r="D150" s="5" t="str">
        <f>IFERROR(IF(SUMIFS(tblDaily[Deaths],tblDaily[EntryDate],DATE(2026,4,27),tblDaily[WardCode],"MW")=0,"",SUMIFS(tblDaily[Deaths],tblDaily[EntryDate],DATE(2026,4,27),tblDaily[WardCode],"MW")),"")</f>
        <v/>
      </c>
      <c r="E150" s="5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5" t="str">
        <f>IFERROR(IF(SUMIFS(tblDaily[TransfersIn],tblDaily[EntryDate],DATE(2026,4,27),tblDaily[WardCode],"MW")=0,"",SUMIFS(tblDaily[TransfersIn],tblDaily[EntryDate],DATE(2026,4,27),tblDaily[WardCode],"MW")),"")</f>
        <v/>
      </c>
      <c r="G150" s="5" t="str">
        <f>IFERROR(IF(SUMIFS(tblDaily[TransfersOut],tblDaily[EntryDate],DATE(2026,4,27),tblDaily[WardCode],"MW")=0,"",SUMIFS(tblDaily[TransfersOut],tblDaily[EntryDate],DATE(2026,4,27),tblDaily[WardCode],"MW")),"")</f>
        <v/>
      </c>
      <c r="H150" s="5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IFERROR(IF(SUMIFS(tblDaily[Admissions],tblDaily[EntryDate],DATE(2026,4,28),tblDaily[WardCode],"MW")=0,"",SUMIFS(tblDaily[Admissions],tblDaily[EntryDate],DATE(2026,4,28),tblDaily[WardCode],"MW")),"")</f>
        <v/>
      </c>
      <c r="C151" s="5" t="str">
        <f>IFERROR(IF(SUMIFS(tblDaily[Discharges],tblDaily[EntryDate],DATE(2026,4,28),tblDaily[WardCode],"MW")=0,"",SUMIFS(tblDaily[Discharges],tblDaily[EntryDate],DATE(2026,4,28),tblDaily[WardCode],"MW")),"")</f>
        <v/>
      </c>
      <c r="D151" s="5" t="str">
        <f>IFERROR(IF(SUMIFS(tblDaily[Deaths],tblDaily[EntryDate],DATE(2026,4,28),tblDaily[WardCode],"MW")=0,"",SUMIFS(tblDaily[Deaths],tblDaily[EntryDate],DATE(2026,4,28),tblDaily[WardCode],"MW")),"")</f>
        <v/>
      </c>
      <c r="E151" s="5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5" t="str">
        <f>IFERROR(IF(SUMIFS(tblDaily[TransfersIn],tblDaily[EntryDate],DATE(2026,4,28),tblDaily[WardCode],"MW")=0,"",SUMIFS(tblDaily[TransfersIn],tblDaily[EntryDate],DATE(2026,4,28),tblDaily[WardCode],"MW")),"")</f>
        <v/>
      </c>
      <c r="G151" s="5" t="str">
        <f>IFERROR(IF(SUMIFS(tblDaily[TransfersOut],tblDaily[EntryDate],DATE(2026,4,28),tblDaily[WardCode],"MW")=0,"",SUMIFS(tblDaily[TransfersOut],tblDaily[EntryDate],DATE(2026,4,28),tblDaily[WardCode],"MW")),"")</f>
        <v/>
      </c>
      <c r="H151" s="5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IFERROR(IF(SUMIFS(tblDaily[Admissions],tblDaily[EntryDate],DATE(2026,4,29),tblDaily[WardCode],"MW")=0,"",SUMIFS(tblDaily[Admissions],tblDaily[EntryDate],DATE(2026,4,29),tblDaily[WardCode],"MW")),"")</f>
        <v/>
      </c>
      <c r="C152" s="5" t="str">
        <f>IFERROR(IF(SUMIFS(tblDaily[Discharges],tblDaily[EntryDate],DATE(2026,4,29),tblDaily[WardCode],"MW")=0,"",SUMIFS(tblDaily[Discharges],tblDaily[EntryDate],DATE(2026,4,29),tblDaily[WardCode],"MW")),"")</f>
        <v/>
      </c>
      <c r="D152" s="5" t="str">
        <f>IFERROR(IF(SUMIFS(tblDaily[Deaths],tblDaily[EntryDate],DATE(2026,4,29),tblDaily[WardCode],"MW")=0,"",SUMIFS(tblDaily[Deaths],tblDaily[EntryDate],DATE(2026,4,29),tblDaily[WardCode],"MW")),"")</f>
        <v/>
      </c>
      <c r="E152" s="5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5" t="str">
        <f>IFERROR(IF(SUMIFS(tblDaily[TransfersIn],tblDaily[EntryDate],DATE(2026,4,29),tblDaily[WardCode],"MW")=0,"",SUMIFS(tblDaily[TransfersIn],tblDaily[EntryDate],DATE(2026,4,29),tblDaily[WardCode],"MW")),"")</f>
        <v/>
      </c>
      <c r="G152" s="5" t="str">
        <f>IFERROR(IF(SUMIFS(tblDaily[TransfersOut],tblDaily[EntryDate],DATE(2026,4,29),tblDaily[WardCode],"MW")=0,"",SUMIFS(tblDaily[TransfersOut],tblDaily[EntryDate],DATE(2026,4,29),tblDaily[WardCode],"MW")),"")</f>
        <v/>
      </c>
      <c r="H152" s="5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IFERROR(IF(SUMIFS(tblDaily[Admissions],tblDaily[EntryDate],DATE(2026,4,30),tblDaily[WardCode],"MW")=0,"",SUMIFS(tblDaily[Admissions],tblDaily[EntryDate],DATE(2026,4,30),tblDaily[WardCode],"MW")),"")</f>
        <v/>
      </c>
      <c r="C153" s="5" t="str">
        <f>IFERROR(IF(SUMIFS(tblDaily[Discharges],tblDaily[EntryDate],DATE(2026,4,30),tblDaily[WardCode],"MW")=0,"",SUMIFS(tblDaily[Discharges],tblDaily[EntryDate],DATE(2026,4,30),tblDaily[WardCode],"MW")),"")</f>
        <v/>
      </c>
      <c r="D153" s="5" t="str">
        <f>IFERROR(IF(SUMIFS(tblDaily[Deaths],tblDaily[EntryDate],DATE(2026,4,30),tblDaily[WardCode],"MW")=0,"",SUMIFS(tblDaily[Deaths],tblDaily[EntryDate],DATE(2026,4,30),tblDaily[WardCode],"MW")),"")</f>
        <v/>
      </c>
      <c r="E153" s="5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5" t="str">
        <f>IFERROR(IF(SUMIFS(tblDaily[TransfersIn],tblDaily[EntryDate],DATE(2026,4,30),tblDaily[WardCode],"MW")=0,"",SUMIFS(tblDaily[TransfersIn],tblDaily[EntryDate],DATE(2026,4,30),tblDaily[WardCode],"MW")),"")</f>
        <v/>
      </c>
      <c r="G153" s="5" t="str">
        <f>IFERROR(IF(SUMIFS(tblDaily[TransfersOut],tblDaily[EntryDate],DATE(2026,4,30),tblDaily[WardCode],"MW")=0,"",SUMIFS(tblDaily[TransfersOut],tblDaily[EntryDate],DATE(2026,4,30),tblDaily[WardCode],"MW")),"")</f>
        <v/>
      </c>
      <c r="H153" s="5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86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89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IFERROR(IF(SUMIFS(tblDaily[Admissions],tblDaily[EntryDate],DATE(2026,5,1),tblDaily[WardCode],"MW")=0,"",SUMIFS(tblDaily[Admissions],tblDaily[EntryDate],DATE(2026,5,1),tblDaily[WardCode],"MW")),"")</f>
        <v/>
      </c>
      <c r="C163" s="5" t="str">
        <f>IFERROR(IF(SUMIFS(tblDaily[Discharges],tblDaily[EntryDate],DATE(2026,5,1),tblDaily[WardCode],"MW")=0,"",SUMIFS(tblDaily[Discharges],tblDaily[EntryDate],DATE(2026,5,1),tblDaily[WardCode],"MW")),"")</f>
        <v/>
      </c>
      <c r="D163" s="5" t="str">
        <f>IFERROR(IF(SUMIFS(tblDaily[Deaths],tblDaily[EntryDate],DATE(2026,5,1),tblDaily[WardCode],"MW")=0,"",SUMIFS(tblDaily[Deaths],tblDaily[EntryDate],DATE(2026,5,1),tblDaily[WardCode],"MW")),"")</f>
        <v/>
      </c>
      <c r="E163" s="5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5" t="str">
        <f>IFERROR(IF(SUMIFS(tblDaily[TransfersIn],tblDaily[EntryDate],DATE(2026,5,1),tblDaily[WardCode],"MW")=0,"",SUMIFS(tblDaily[TransfersIn],tblDaily[EntryDate],DATE(2026,5,1),tblDaily[WardCode],"MW")),"")</f>
        <v/>
      </c>
      <c r="G163" s="5" t="str">
        <f>IFERROR(IF(SUMIFS(tblDaily[TransfersOut],tblDaily[EntryDate],DATE(2026,5,1),tblDaily[WardCode],"MW")=0,"",SUMIFS(tblDaily[TransfersOut],tblDaily[EntryDate],DATE(2026,5,1),tblDaily[WardCode],"MW")),"")</f>
        <v/>
      </c>
      <c r="H163" s="5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IFERROR(IF(SUMIFS(tblDaily[Admissions],tblDaily[EntryDate],DATE(2026,5,2),tblDaily[WardCode],"MW")=0,"",SUMIFS(tblDaily[Admissions],tblDaily[EntryDate],DATE(2026,5,2),tblDaily[WardCode],"MW")),"")</f>
        <v/>
      </c>
      <c r="C164" s="5" t="str">
        <f>IFERROR(IF(SUMIFS(tblDaily[Discharges],tblDaily[EntryDate],DATE(2026,5,2),tblDaily[WardCode],"MW")=0,"",SUMIFS(tblDaily[Discharges],tblDaily[EntryDate],DATE(2026,5,2),tblDaily[WardCode],"MW")),"")</f>
        <v/>
      </c>
      <c r="D164" s="5" t="str">
        <f>IFERROR(IF(SUMIFS(tblDaily[Deaths],tblDaily[EntryDate],DATE(2026,5,2),tblDaily[WardCode],"MW")=0,"",SUMIFS(tblDaily[Deaths],tblDaily[EntryDate],DATE(2026,5,2),tblDaily[WardCode],"MW")),"")</f>
        <v/>
      </c>
      <c r="E164" s="5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5" t="str">
        <f>IFERROR(IF(SUMIFS(tblDaily[TransfersIn],tblDaily[EntryDate],DATE(2026,5,2),tblDaily[WardCode],"MW")=0,"",SUMIFS(tblDaily[TransfersIn],tblDaily[EntryDate],DATE(2026,5,2),tblDaily[WardCode],"MW")),"")</f>
        <v/>
      </c>
      <c r="G164" s="5" t="str">
        <f>IFERROR(IF(SUMIFS(tblDaily[TransfersOut],tblDaily[EntryDate],DATE(2026,5,2),tblDaily[WardCode],"MW")=0,"",SUMIFS(tblDaily[TransfersOut],tblDaily[EntryDate],DATE(2026,5,2),tblDaily[WardCode],"MW")),"")</f>
        <v/>
      </c>
      <c r="H164" s="5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IFERROR(IF(SUMIFS(tblDaily[Admissions],tblDaily[EntryDate],DATE(2026,5,3),tblDaily[WardCode],"MW")=0,"",SUMIFS(tblDaily[Admissions],tblDaily[EntryDate],DATE(2026,5,3),tblDaily[WardCode],"MW")),"")</f>
        <v/>
      </c>
      <c r="C165" s="5" t="str">
        <f>IFERROR(IF(SUMIFS(tblDaily[Discharges],tblDaily[EntryDate],DATE(2026,5,3),tblDaily[WardCode],"MW")=0,"",SUMIFS(tblDaily[Discharges],tblDaily[EntryDate],DATE(2026,5,3),tblDaily[WardCode],"MW")),"")</f>
        <v/>
      </c>
      <c r="D165" s="5" t="str">
        <f>IFERROR(IF(SUMIFS(tblDaily[Deaths],tblDaily[EntryDate],DATE(2026,5,3),tblDaily[WardCode],"MW")=0,"",SUMIFS(tblDaily[Deaths],tblDaily[EntryDate],DATE(2026,5,3),tblDaily[WardCode],"MW")),"")</f>
        <v/>
      </c>
      <c r="E165" s="5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5" t="str">
        <f>IFERROR(IF(SUMIFS(tblDaily[TransfersIn],tblDaily[EntryDate],DATE(2026,5,3),tblDaily[WardCode],"MW")=0,"",SUMIFS(tblDaily[TransfersIn],tblDaily[EntryDate],DATE(2026,5,3),tblDaily[WardCode],"MW")),"")</f>
        <v/>
      </c>
      <c r="G165" s="5" t="str">
        <f>IFERROR(IF(SUMIFS(tblDaily[TransfersOut],tblDaily[EntryDate],DATE(2026,5,3),tblDaily[WardCode],"MW")=0,"",SUMIFS(tblDaily[TransfersOut],tblDaily[EntryDate],DATE(2026,5,3),tblDaily[WardCode],"MW")),"")</f>
        <v/>
      </c>
      <c r="H165" s="5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IFERROR(IF(SUMIFS(tblDaily[Admissions],tblDaily[EntryDate],DATE(2026,5,4),tblDaily[WardCode],"MW")=0,"",SUMIFS(tblDaily[Admissions],tblDaily[EntryDate],DATE(2026,5,4),tblDaily[WardCode],"MW")),"")</f>
        <v/>
      </c>
      <c r="C166" s="5" t="str">
        <f>IFERROR(IF(SUMIFS(tblDaily[Discharges],tblDaily[EntryDate],DATE(2026,5,4),tblDaily[WardCode],"MW")=0,"",SUMIFS(tblDaily[Discharges],tblDaily[EntryDate],DATE(2026,5,4),tblDaily[WardCode],"MW")),"")</f>
        <v/>
      </c>
      <c r="D166" s="5" t="str">
        <f>IFERROR(IF(SUMIFS(tblDaily[Deaths],tblDaily[EntryDate],DATE(2026,5,4),tblDaily[WardCode],"MW")=0,"",SUMIFS(tblDaily[Deaths],tblDaily[EntryDate],DATE(2026,5,4),tblDaily[WardCode],"MW")),"")</f>
        <v/>
      </c>
      <c r="E166" s="5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5" t="str">
        <f>IFERROR(IF(SUMIFS(tblDaily[TransfersIn],tblDaily[EntryDate],DATE(2026,5,4),tblDaily[WardCode],"MW")=0,"",SUMIFS(tblDaily[TransfersIn],tblDaily[EntryDate],DATE(2026,5,4),tblDaily[WardCode],"MW")),"")</f>
        <v/>
      </c>
      <c r="G166" s="5" t="str">
        <f>IFERROR(IF(SUMIFS(tblDaily[TransfersOut],tblDaily[EntryDate],DATE(2026,5,4),tblDaily[WardCode],"MW")=0,"",SUMIFS(tblDaily[TransfersOut],tblDaily[EntryDate],DATE(2026,5,4),tblDaily[WardCode],"MW")),"")</f>
        <v/>
      </c>
      <c r="H166" s="5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IFERROR(IF(SUMIFS(tblDaily[Admissions],tblDaily[EntryDate],DATE(2026,5,5),tblDaily[WardCode],"MW")=0,"",SUMIFS(tblDaily[Admissions],tblDaily[EntryDate],DATE(2026,5,5),tblDaily[WardCode],"MW")),"")</f>
        <v/>
      </c>
      <c r="C167" s="5" t="str">
        <f>IFERROR(IF(SUMIFS(tblDaily[Discharges],tblDaily[EntryDate],DATE(2026,5,5),tblDaily[WardCode],"MW")=0,"",SUMIFS(tblDaily[Discharges],tblDaily[EntryDate],DATE(2026,5,5),tblDaily[WardCode],"MW")),"")</f>
        <v/>
      </c>
      <c r="D167" s="5" t="str">
        <f>IFERROR(IF(SUMIFS(tblDaily[Deaths],tblDaily[EntryDate],DATE(2026,5,5),tblDaily[WardCode],"MW")=0,"",SUMIFS(tblDaily[Deaths],tblDaily[EntryDate],DATE(2026,5,5),tblDaily[WardCode],"MW")),"")</f>
        <v/>
      </c>
      <c r="E167" s="5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5" t="str">
        <f>IFERROR(IF(SUMIFS(tblDaily[TransfersIn],tblDaily[EntryDate],DATE(2026,5,5),tblDaily[WardCode],"MW")=0,"",SUMIFS(tblDaily[TransfersIn],tblDaily[EntryDate],DATE(2026,5,5),tblDaily[WardCode],"MW")),"")</f>
        <v/>
      </c>
      <c r="G167" s="5" t="str">
        <f>IFERROR(IF(SUMIFS(tblDaily[TransfersOut],tblDaily[EntryDate],DATE(2026,5,5),tblDaily[WardCode],"MW")=0,"",SUMIFS(tblDaily[TransfersOut],tblDaily[EntryDate],DATE(2026,5,5),tblDaily[WardCode],"MW")),"")</f>
        <v/>
      </c>
      <c r="H167" s="5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IFERROR(IF(SUMIFS(tblDaily[Admissions],tblDaily[EntryDate],DATE(2026,5,6),tblDaily[WardCode],"MW")=0,"",SUMIFS(tblDaily[Admissions],tblDaily[EntryDate],DATE(2026,5,6),tblDaily[WardCode],"MW")),"")</f>
        <v/>
      </c>
      <c r="C168" s="5" t="str">
        <f>IFERROR(IF(SUMIFS(tblDaily[Discharges],tblDaily[EntryDate],DATE(2026,5,6),tblDaily[WardCode],"MW")=0,"",SUMIFS(tblDaily[Discharges],tblDaily[EntryDate],DATE(2026,5,6),tblDaily[WardCode],"MW")),"")</f>
        <v/>
      </c>
      <c r="D168" s="5" t="str">
        <f>IFERROR(IF(SUMIFS(tblDaily[Deaths],tblDaily[EntryDate],DATE(2026,5,6),tblDaily[WardCode],"MW")=0,"",SUMIFS(tblDaily[Deaths],tblDaily[EntryDate],DATE(2026,5,6),tblDaily[WardCode],"MW")),"")</f>
        <v/>
      </c>
      <c r="E168" s="5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5" t="str">
        <f>IFERROR(IF(SUMIFS(tblDaily[TransfersIn],tblDaily[EntryDate],DATE(2026,5,6),tblDaily[WardCode],"MW")=0,"",SUMIFS(tblDaily[TransfersIn],tblDaily[EntryDate],DATE(2026,5,6),tblDaily[WardCode],"MW")),"")</f>
        <v/>
      </c>
      <c r="G168" s="5" t="str">
        <f>IFERROR(IF(SUMIFS(tblDaily[TransfersOut],tblDaily[EntryDate],DATE(2026,5,6),tblDaily[WardCode],"MW")=0,"",SUMIFS(tblDaily[TransfersOut],tblDaily[EntryDate],DATE(2026,5,6),tblDaily[WardCode],"MW")),"")</f>
        <v/>
      </c>
      <c r="H168" s="5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IFERROR(IF(SUMIFS(tblDaily[Admissions],tblDaily[EntryDate],DATE(2026,5,7),tblDaily[WardCode],"MW")=0,"",SUMIFS(tblDaily[Admissions],tblDaily[EntryDate],DATE(2026,5,7),tblDaily[WardCode],"MW")),"")</f>
        <v/>
      </c>
      <c r="C169" s="5" t="str">
        <f>IFERROR(IF(SUMIFS(tblDaily[Discharges],tblDaily[EntryDate],DATE(2026,5,7),tblDaily[WardCode],"MW")=0,"",SUMIFS(tblDaily[Discharges],tblDaily[EntryDate],DATE(2026,5,7),tblDaily[WardCode],"MW")),"")</f>
        <v/>
      </c>
      <c r="D169" s="5" t="str">
        <f>IFERROR(IF(SUMIFS(tblDaily[Deaths],tblDaily[EntryDate],DATE(2026,5,7),tblDaily[WardCode],"MW")=0,"",SUMIFS(tblDaily[Deaths],tblDaily[EntryDate],DATE(2026,5,7),tblDaily[WardCode],"MW")),"")</f>
        <v/>
      </c>
      <c r="E169" s="5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5" t="str">
        <f>IFERROR(IF(SUMIFS(tblDaily[TransfersIn],tblDaily[EntryDate],DATE(2026,5,7),tblDaily[WardCode],"MW")=0,"",SUMIFS(tblDaily[TransfersIn],tblDaily[EntryDate],DATE(2026,5,7),tblDaily[WardCode],"MW")),"")</f>
        <v/>
      </c>
      <c r="G169" s="5" t="str">
        <f>IFERROR(IF(SUMIFS(tblDaily[TransfersOut],tblDaily[EntryDate],DATE(2026,5,7),tblDaily[WardCode],"MW")=0,"",SUMIFS(tblDaily[TransfersOut],tblDaily[EntryDate],DATE(2026,5,7),tblDaily[WardCode],"MW")),"")</f>
        <v/>
      </c>
      <c r="H169" s="5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IFERROR(IF(SUMIFS(tblDaily[Admissions],tblDaily[EntryDate],DATE(2026,5,8),tblDaily[WardCode],"MW")=0,"",SUMIFS(tblDaily[Admissions],tblDaily[EntryDate],DATE(2026,5,8),tblDaily[WardCode],"MW")),"")</f>
        <v/>
      </c>
      <c r="C170" s="5" t="str">
        <f>IFERROR(IF(SUMIFS(tblDaily[Discharges],tblDaily[EntryDate],DATE(2026,5,8),tblDaily[WardCode],"MW")=0,"",SUMIFS(tblDaily[Discharges],tblDaily[EntryDate],DATE(2026,5,8),tblDaily[WardCode],"MW")),"")</f>
        <v/>
      </c>
      <c r="D170" s="5" t="str">
        <f>IFERROR(IF(SUMIFS(tblDaily[Deaths],tblDaily[EntryDate],DATE(2026,5,8),tblDaily[WardCode],"MW")=0,"",SUMIFS(tblDaily[Deaths],tblDaily[EntryDate],DATE(2026,5,8),tblDaily[WardCode],"MW")),"")</f>
        <v/>
      </c>
      <c r="E170" s="5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5" t="str">
        <f>IFERROR(IF(SUMIFS(tblDaily[TransfersIn],tblDaily[EntryDate],DATE(2026,5,8),tblDaily[WardCode],"MW")=0,"",SUMIFS(tblDaily[TransfersIn],tblDaily[EntryDate],DATE(2026,5,8),tblDaily[WardCode],"MW")),"")</f>
        <v/>
      </c>
      <c r="G170" s="5" t="str">
        <f>IFERROR(IF(SUMIFS(tblDaily[TransfersOut],tblDaily[EntryDate],DATE(2026,5,8),tblDaily[WardCode],"MW")=0,"",SUMIFS(tblDaily[TransfersOut],tblDaily[EntryDate],DATE(2026,5,8),tblDaily[WardCode],"MW")),"")</f>
        <v/>
      </c>
      <c r="H170" s="5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IFERROR(IF(SUMIFS(tblDaily[Admissions],tblDaily[EntryDate],DATE(2026,5,9),tblDaily[WardCode],"MW")=0,"",SUMIFS(tblDaily[Admissions],tblDaily[EntryDate],DATE(2026,5,9),tblDaily[WardCode],"MW")),"")</f>
        <v/>
      </c>
      <c r="C171" s="5" t="str">
        <f>IFERROR(IF(SUMIFS(tblDaily[Discharges],tblDaily[EntryDate],DATE(2026,5,9),tblDaily[WardCode],"MW")=0,"",SUMIFS(tblDaily[Discharges],tblDaily[EntryDate],DATE(2026,5,9),tblDaily[WardCode],"MW")),"")</f>
        <v/>
      </c>
      <c r="D171" s="5" t="str">
        <f>IFERROR(IF(SUMIFS(tblDaily[Deaths],tblDaily[EntryDate],DATE(2026,5,9),tblDaily[WardCode],"MW")=0,"",SUMIFS(tblDaily[Deaths],tblDaily[EntryDate],DATE(2026,5,9),tblDaily[WardCode],"MW")),"")</f>
        <v/>
      </c>
      <c r="E171" s="5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5" t="str">
        <f>IFERROR(IF(SUMIFS(tblDaily[TransfersIn],tblDaily[EntryDate],DATE(2026,5,9),tblDaily[WardCode],"MW")=0,"",SUMIFS(tblDaily[TransfersIn],tblDaily[EntryDate],DATE(2026,5,9),tblDaily[WardCode],"MW")),"")</f>
        <v/>
      </c>
      <c r="G171" s="5" t="str">
        <f>IFERROR(IF(SUMIFS(tblDaily[TransfersOut],tblDaily[EntryDate],DATE(2026,5,9),tblDaily[WardCode],"MW")=0,"",SUMIFS(tblDaily[TransfersOut],tblDaily[EntryDate],DATE(2026,5,9),tblDaily[WardCode],"MW")),"")</f>
        <v/>
      </c>
      <c r="H171" s="5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IFERROR(IF(SUMIFS(tblDaily[Admissions],tblDaily[EntryDate],DATE(2026,5,10),tblDaily[WardCode],"MW")=0,"",SUMIFS(tblDaily[Admissions],tblDaily[EntryDate],DATE(2026,5,10),tblDaily[WardCode],"MW")),"")</f>
        <v/>
      </c>
      <c r="C172" s="5" t="str">
        <f>IFERROR(IF(SUMIFS(tblDaily[Discharges],tblDaily[EntryDate],DATE(2026,5,10),tblDaily[WardCode],"MW")=0,"",SUMIFS(tblDaily[Discharges],tblDaily[EntryDate],DATE(2026,5,10),tblDaily[WardCode],"MW")),"")</f>
        <v/>
      </c>
      <c r="D172" s="5" t="str">
        <f>IFERROR(IF(SUMIFS(tblDaily[Deaths],tblDaily[EntryDate],DATE(2026,5,10),tblDaily[WardCode],"MW")=0,"",SUMIFS(tblDaily[Deaths],tblDaily[EntryDate],DATE(2026,5,10),tblDaily[WardCode],"MW")),"")</f>
        <v/>
      </c>
      <c r="E172" s="5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5" t="str">
        <f>IFERROR(IF(SUMIFS(tblDaily[TransfersIn],tblDaily[EntryDate],DATE(2026,5,10),tblDaily[WardCode],"MW")=0,"",SUMIFS(tblDaily[TransfersIn],tblDaily[EntryDate],DATE(2026,5,10),tblDaily[WardCode],"MW")),"")</f>
        <v/>
      </c>
      <c r="G172" s="5" t="str">
        <f>IFERROR(IF(SUMIFS(tblDaily[TransfersOut],tblDaily[EntryDate],DATE(2026,5,10),tblDaily[WardCode],"MW")=0,"",SUMIFS(tblDaily[TransfersOut],tblDaily[EntryDate],DATE(2026,5,10),tblDaily[WardCode],"MW")),"")</f>
        <v/>
      </c>
      <c r="H172" s="5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IFERROR(IF(SUMIFS(tblDaily[Admissions],tblDaily[EntryDate],DATE(2026,5,11),tblDaily[WardCode],"MW")=0,"",SUMIFS(tblDaily[Admissions],tblDaily[EntryDate],DATE(2026,5,11),tblDaily[WardCode],"MW")),"")</f>
        <v/>
      </c>
      <c r="C173" s="5" t="str">
        <f>IFERROR(IF(SUMIFS(tblDaily[Discharges],tblDaily[EntryDate],DATE(2026,5,11),tblDaily[WardCode],"MW")=0,"",SUMIFS(tblDaily[Discharges],tblDaily[EntryDate],DATE(2026,5,11),tblDaily[WardCode],"MW")),"")</f>
        <v/>
      </c>
      <c r="D173" s="5" t="str">
        <f>IFERROR(IF(SUMIFS(tblDaily[Deaths],tblDaily[EntryDate],DATE(2026,5,11),tblDaily[WardCode],"MW")=0,"",SUMIFS(tblDaily[Deaths],tblDaily[EntryDate],DATE(2026,5,11),tblDaily[WardCode],"MW")),"")</f>
        <v/>
      </c>
      <c r="E173" s="5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5" t="str">
        <f>IFERROR(IF(SUMIFS(tblDaily[TransfersIn],tblDaily[EntryDate],DATE(2026,5,11),tblDaily[WardCode],"MW")=0,"",SUMIFS(tblDaily[TransfersIn],tblDaily[EntryDate],DATE(2026,5,11),tblDaily[WardCode],"MW")),"")</f>
        <v/>
      </c>
      <c r="G173" s="5" t="str">
        <f>IFERROR(IF(SUMIFS(tblDaily[TransfersOut],tblDaily[EntryDate],DATE(2026,5,11),tblDaily[WardCode],"MW")=0,"",SUMIFS(tblDaily[TransfersOut],tblDaily[EntryDate],DATE(2026,5,11),tblDaily[WardCode],"MW")),"")</f>
        <v/>
      </c>
      <c r="H173" s="5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IFERROR(IF(SUMIFS(tblDaily[Admissions],tblDaily[EntryDate],DATE(2026,5,12),tblDaily[WardCode],"MW")=0,"",SUMIFS(tblDaily[Admissions],tblDaily[EntryDate],DATE(2026,5,12),tblDaily[WardCode],"MW")),"")</f>
        <v/>
      </c>
      <c r="C174" s="5" t="str">
        <f>IFERROR(IF(SUMIFS(tblDaily[Discharges],tblDaily[EntryDate],DATE(2026,5,12),tblDaily[WardCode],"MW")=0,"",SUMIFS(tblDaily[Discharges],tblDaily[EntryDate],DATE(2026,5,12),tblDaily[WardCode],"MW")),"")</f>
        <v/>
      </c>
      <c r="D174" s="5" t="str">
        <f>IFERROR(IF(SUMIFS(tblDaily[Deaths],tblDaily[EntryDate],DATE(2026,5,12),tblDaily[WardCode],"MW")=0,"",SUMIFS(tblDaily[Deaths],tblDaily[EntryDate],DATE(2026,5,12),tblDaily[WardCode],"MW")),"")</f>
        <v/>
      </c>
      <c r="E174" s="5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5" t="str">
        <f>IFERROR(IF(SUMIFS(tblDaily[TransfersIn],tblDaily[EntryDate],DATE(2026,5,12),tblDaily[WardCode],"MW")=0,"",SUMIFS(tblDaily[TransfersIn],tblDaily[EntryDate],DATE(2026,5,12),tblDaily[WardCode],"MW")),"")</f>
        <v/>
      </c>
      <c r="G174" s="5" t="str">
        <f>IFERROR(IF(SUMIFS(tblDaily[TransfersOut],tblDaily[EntryDate],DATE(2026,5,12),tblDaily[WardCode],"MW")=0,"",SUMIFS(tblDaily[TransfersOut],tblDaily[EntryDate],DATE(2026,5,12),tblDaily[WardCode],"MW")),"")</f>
        <v/>
      </c>
      <c r="H174" s="5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IFERROR(IF(SUMIFS(tblDaily[Admissions],tblDaily[EntryDate],DATE(2026,5,13),tblDaily[WardCode],"MW")=0,"",SUMIFS(tblDaily[Admissions],tblDaily[EntryDate],DATE(2026,5,13),tblDaily[WardCode],"MW")),"")</f>
        <v/>
      </c>
      <c r="C175" s="5" t="str">
        <f>IFERROR(IF(SUMIFS(tblDaily[Discharges],tblDaily[EntryDate],DATE(2026,5,13),tblDaily[WardCode],"MW")=0,"",SUMIFS(tblDaily[Discharges],tblDaily[EntryDate],DATE(2026,5,13),tblDaily[WardCode],"MW")),"")</f>
        <v/>
      </c>
      <c r="D175" s="5" t="str">
        <f>IFERROR(IF(SUMIFS(tblDaily[Deaths],tblDaily[EntryDate],DATE(2026,5,13),tblDaily[WardCode],"MW")=0,"",SUMIFS(tblDaily[Deaths],tblDaily[EntryDate],DATE(2026,5,13),tblDaily[WardCode],"MW")),"")</f>
        <v/>
      </c>
      <c r="E175" s="5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5" t="str">
        <f>IFERROR(IF(SUMIFS(tblDaily[TransfersIn],tblDaily[EntryDate],DATE(2026,5,13),tblDaily[WardCode],"MW")=0,"",SUMIFS(tblDaily[TransfersIn],tblDaily[EntryDate],DATE(2026,5,13),tblDaily[WardCode],"MW")),"")</f>
        <v/>
      </c>
      <c r="G175" s="5" t="str">
        <f>IFERROR(IF(SUMIFS(tblDaily[TransfersOut],tblDaily[EntryDate],DATE(2026,5,13),tblDaily[WardCode],"MW")=0,"",SUMIFS(tblDaily[TransfersOut],tblDaily[EntryDate],DATE(2026,5,13),tblDaily[WardCode],"MW")),"")</f>
        <v/>
      </c>
      <c r="H175" s="5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IFERROR(IF(SUMIFS(tblDaily[Admissions],tblDaily[EntryDate],DATE(2026,5,14),tblDaily[WardCode],"MW")=0,"",SUMIFS(tblDaily[Admissions],tblDaily[EntryDate],DATE(2026,5,14),tblDaily[WardCode],"MW")),"")</f>
        <v/>
      </c>
      <c r="C176" s="5" t="str">
        <f>IFERROR(IF(SUMIFS(tblDaily[Discharges],tblDaily[EntryDate],DATE(2026,5,14),tblDaily[WardCode],"MW")=0,"",SUMIFS(tblDaily[Discharges],tblDaily[EntryDate],DATE(2026,5,14),tblDaily[WardCode],"MW")),"")</f>
        <v/>
      </c>
      <c r="D176" s="5" t="str">
        <f>IFERROR(IF(SUMIFS(tblDaily[Deaths],tblDaily[EntryDate],DATE(2026,5,14),tblDaily[WardCode],"MW")=0,"",SUMIFS(tblDaily[Deaths],tblDaily[EntryDate],DATE(2026,5,14),tblDaily[WardCode],"MW")),"")</f>
        <v/>
      </c>
      <c r="E176" s="5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5" t="str">
        <f>IFERROR(IF(SUMIFS(tblDaily[TransfersIn],tblDaily[EntryDate],DATE(2026,5,14),tblDaily[WardCode],"MW")=0,"",SUMIFS(tblDaily[TransfersIn],tblDaily[EntryDate],DATE(2026,5,14),tblDaily[WardCode],"MW")),"")</f>
        <v/>
      </c>
      <c r="G176" s="5" t="str">
        <f>IFERROR(IF(SUMIFS(tblDaily[TransfersOut],tblDaily[EntryDate],DATE(2026,5,14),tblDaily[WardCode],"MW")=0,"",SUMIFS(tblDaily[TransfersOut],tblDaily[EntryDate],DATE(2026,5,14),tblDaily[WardCode],"MW")),"")</f>
        <v/>
      </c>
      <c r="H176" s="5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IFERROR(IF(SUMIFS(tblDaily[Admissions],tblDaily[EntryDate],DATE(2026,5,15),tblDaily[WardCode],"MW")=0,"",SUMIFS(tblDaily[Admissions],tblDaily[EntryDate],DATE(2026,5,15),tblDaily[WardCode],"MW")),"")</f>
        <v/>
      </c>
      <c r="C177" s="5" t="str">
        <f>IFERROR(IF(SUMIFS(tblDaily[Discharges],tblDaily[EntryDate],DATE(2026,5,15),tblDaily[WardCode],"MW")=0,"",SUMIFS(tblDaily[Discharges],tblDaily[EntryDate],DATE(2026,5,15),tblDaily[WardCode],"MW")),"")</f>
        <v/>
      </c>
      <c r="D177" s="5" t="str">
        <f>IFERROR(IF(SUMIFS(tblDaily[Deaths],tblDaily[EntryDate],DATE(2026,5,15),tblDaily[WardCode],"MW")=0,"",SUMIFS(tblDaily[Deaths],tblDaily[EntryDate],DATE(2026,5,15),tblDaily[WardCode],"MW")),"")</f>
        <v/>
      </c>
      <c r="E177" s="5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5" t="str">
        <f>IFERROR(IF(SUMIFS(tblDaily[TransfersIn],tblDaily[EntryDate],DATE(2026,5,15),tblDaily[WardCode],"MW")=0,"",SUMIFS(tblDaily[TransfersIn],tblDaily[EntryDate],DATE(2026,5,15),tblDaily[WardCode],"MW")),"")</f>
        <v/>
      </c>
      <c r="G177" s="5" t="str">
        <f>IFERROR(IF(SUMIFS(tblDaily[TransfersOut],tblDaily[EntryDate],DATE(2026,5,15),tblDaily[WardCode],"MW")=0,"",SUMIFS(tblDaily[TransfersOut],tblDaily[EntryDate],DATE(2026,5,15),tblDaily[WardCode],"MW")),"")</f>
        <v/>
      </c>
      <c r="H177" s="5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IFERROR(IF(SUMIFS(tblDaily[Admissions],tblDaily[EntryDate],DATE(2026,5,16),tblDaily[WardCode],"MW")=0,"",SUMIFS(tblDaily[Admissions],tblDaily[EntryDate],DATE(2026,5,16),tblDaily[WardCode],"MW")),"")</f>
        <v/>
      </c>
      <c r="C178" s="5" t="str">
        <f>IFERROR(IF(SUMIFS(tblDaily[Discharges],tblDaily[EntryDate],DATE(2026,5,16),tblDaily[WardCode],"MW")=0,"",SUMIFS(tblDaily[Discharges],tblDaily[EntryDate],DATE(2026,5,16),tblDaily[WardCode],"MW")),"")</f>
        <v/>
      </c>
      <c r="D178" s="5" t="str">
        <f>IFERROR(IF(SUMIFS(tblDaily[Deaths],tblDaily[EntryDate],DATE(2026,5,16),tblDaily[WardCode],"MW")=0,"",SUMIFS(tblDaily[Deaths],tblDaily[EntryDate],DATE(2026,5,16),tblDaily[WardCode],"MW")),"")</f>
        <v/>
      </c>
      <c r="E178" s="5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5" t="str">
        <f>IFERROR(IF(SUMIFS(tblDaily[TransfersIn],tblDaily[EntryDate],DATE(2026,5,16),tblDaily[WardCode],"MW")=0,"",SUMIFS(tblDaily[TransfersIn],tblDaily[EntryDate],DATE(2026,5,16),tblDaily[WardCode],"MW")),"")</f>
        <v/>
      </c>
      <c r="G178" s="5" t="str">
        <f>IFERROR(IF(SUMIFS(tblDaily[TransfersOut],tblDaily[EntryDate],DATE(2026,5,16),tblDaily[WardCode],"MW")=0,"",SUMIFS(tblDaily[TransfersOut],tblDaily[EntryDate],DATE(2026,5,16),tblDaily[WardCode],"MW")),"")</f>
        <v/>
      </c>
      <c r="H178" s="5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IFERROR(IF(SUMIFS(tblDaily[Admissions],tblDaily[EntryDate],DATE(2026,5,17),tblDaily[WardCode],"MW")=0,"",SUMIFS(tblDaily[Admissions],tblDaily[EntryDate],DATE(2026,5,17),tblDaily[WardCode],"MW")),"")</f>
        <v/>
      </c>
      <c r="C179" s="5" t="str">
        <f>IFERROR(IF(SUMIFS(tblDaily[Discharges],tblDaily[EntryDate],DATE(2026,5,17),tblDaily[WardCode],"MW")=0,"",SUMIFS(tblDaily[Discharges],tblDaily[EntryDate],DATE(2026,5,17),tblDaily[WardCode],"MW")),"")</f>
        <v/>
      </c>
      <c r="D179" s="5" t="str">
        <f>IFERROR(IF(SUMIFS(tblDaily[Deaths],tblDaily[EntryDate],DATE(2026,5,17),tblDaily[WardCode],"MW")=0,"",SUMIFS(tblDaily[Deaths],tblDaily[EntryDate],DATE(2026,5,17),tblDaily[WardCode],"MW")),"")</f>
        <v/>
      </c>
      <c r="E179" s="5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5" t="str">
        <f>IFERROR(IF(SUMIFS(tblDaily[TransfersIn],tblDaily[EntryDate],DATE(2026,5,17),tblDaily[WardCode],"MW")=0,"",SUMIFS(tblDaily[TransfersIn],tblDaily[EntryDate],DATE(2026,5,17),tblDaily[WardCode],"MW")),"")</f>
        <v/>
      </c>
      <c r="G179" s="5" t="str">
        <f>IFERROR(IF(SUMIFS(tblDaily[TransfersOut],tblDaily[EntryDate],DATE(2026,5,17),tblDaily[WardCode],"MW")=0,"",SUMIFS(tblDaily[TransfersOut],tblDaily[EntryDate],DATE(2026,5,17),tblDaily[WardCode],"MW")),"")</f>
        <v/>
      </c>
      <c r="H179" s="5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IFERROR(IF(SUMIFS(tblDaily[Admissions],tblDaily[EntryDate],DATE(2026,5,18),tblDaily[WardCode],"MW")=0,"",SUMIFS(tblDaily[Admissions],tblDaily[EntryDate],DATE(2026,5,18),tblDaily[WardCode],"MW")),"")</f>
        <v/>
      </c>
      <c r="C180" s="5" t="str">
        <f>IFERROR(IF(SUMIFS(tblDaily[Discharges],tblDaily[EntryDate],DATE(2026,5,18),tblDaily[WardCode],"MW")=0,"",SUMIFS(tblDaily[Discharges],tblDaily[EntryDate],DATE(2026,5,18),tblDaily[WardCode],"MW")),"")</f>
        <v/>
      </c>
      <c r="D180" s="5" t="str">
        <f>IFERROR(IF(SUMIFS(tblDaily[Deaths],tblDaily[EntryDate],DATE(2026,5,18),tblDaily[WardCode],"MW")=0,"",SUMIFS(tblDaily[Deaths],tblDaily[EntryDate],DATE(2026,5,18),tblDaily[WardCode],"MW")),"")</f>
        <v/>
      </c>
      <c r="E180" s="5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5" t="str">
        <f>IFERROR(IF(SUMIFS(tblDaily[TransfersIn],tblDaily[EntryDate],DATE(2026,5,18),tblDaily[WardCode],"MW")=0,"",SUMIFS(tblDaily[TransfersIn],tblDaily[EntryDate],DATE(2026,5,18),tblDaily[WardCode],"MW")),"")</f>
        <v/>
      </c>
      <c r="G180" s="5" t="str">
        <f>IFERROR(IF(SUMIFS(tblDaily[TransfersOut],tblDaily[EntryDate],DATE(2026,5,18),tblDaily[WardCode],"MW")=0,"",SUMIFS(tblDaily[TransfersOut],tblDaily[EntryDate],DATE(2026,5,18),tblDaily[WardCode],"MW")),"")</f>
        <v/>
      </c>
      <c r="H180" s="5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IFERROR(IF(SUMIFS(tblDaily[Admissions],tblDaily[EntryDate],DATE(2026,5,19),tblDaily[WardCode],"MW")=0,"",SUMIFS(tblDaily[Admissions],tblDaily[EntryDate],DATE(2026,5,19),tblDaily[WardCode],"MW")),"")</f>
        <v/>
      </c>
      <c r="C181" s="5" t="str">
        <f>IFERROR(IF(SUMIFS(tblDaily[Discharges],tblDaily[EntryDate],DATE(2026,5,19),tblDaily[WardCode],"MW")=0,"",SUMIFS(tblDaily[Discharges],tblDaily[EntryDate],DATE(2026,5,19),tblDaily[WardCode],"MW")),"")</f>
        <v/>
      </c>
      <c r="D181" s="5" t="str">
        <f>IFERROR(IF(SUMIFS(tblDaily[Deaths],tblDaily[EntryDate],DATE(2026,5,19),tblDaily[WardCode],"MW")=0,"",SUMIFS(tblDaily[Deaths],tblDaily[EntryDate],DATE(2026,5,19),tblDaily[WardCode],"MW")),"")</f>
        <v/>
      </c>
      <c r="E181" s="5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5" t="str">
        <f>IFERROR(IF(SUMIFS(tblDaily[TransfersIn],tblDaily[EntryDate],DATE(2026,5,19),tblDaily[WardCode],"MW")=0,"",SUMIFS(tblDaily[TransfersIn],tblDaily[EntryDate],DATE(2026,5,19),tblDaily[WardCode],"MW")),"")</f>
        <v/>
      </c>
      <c r="G181" s="5" t="str">
        <f>IFERROR(IF(SUMIFS(tblDaily[TransfersOut],tblDaily[EntryDate],DATE(2026,5,19),tblDaily[WardCode],"MW")=0,"",SUMIFS(tblDaily[TransfersOut],tblDaily[EntryDate],DATE(2026,5,19),tblDaily[WardCode],"MW")),"")</f>
        <v/>
      </c>
      <c r="H181" s="5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IFERROR(IF(SUMIFS(tblDaily[Admissions],tblDaily[EntryDate],DATE(2026,5,20),tblDaily[WardCode],"MW")=0,"",SUMIFS(tblDaily[Admissions],tblDaily[EntryDate],DATE(2026,5,20),tblDaily[WardCode],"MW")),"")</f>
        <v/>
      </c>
      <c r="C182" s="5" t="str">
        <f>IFERROR(IF(SUMIFS(tblDaily[Discharges],tblDaily[EntryDate],DATE(2026,5,20),tblDaily[WardCode],"MW")=0,"",SUMIFS(tblDaily[Discharges],tblDaily[EntryDate],DATE(2026,5,20),tblDaily[WardCode],"MW")),"")</f>
        <v/>
      </c>
      <c r="D182" s="5" t="str">
        <f>IFERROR(IF(SUMIFS(tblDaily[Deaths],tblDaily[EntryDate],DATE(2026,5,20),tblDaily[WardCode],"MW")=0,"",SUMIFS(tblDaily[Deaths],tblDaily[EntryDate],DATE(2026,5,20),tblDaily[WardCode],"MW")),"")</f>
        <v/>
      </c>
      <c r="E182" s="5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5" t="str">
        <f>IFERROR(IF(SUMIFS(tblDaily[TransfersIn],tblDaily[EntryDate],DATE(2026,5,20),tblDaily[WardCode],"MW")=0,"",SUMIFS(tblDaily[TransfersIn],tblDaily[EntryDate],DATE(2026,5,20),tblDaily[WardCode],"MW")),"")</f>
        <v/>
      </c>
      <c r="G182" s="5" t="str">
        <f>IFERROR(IF(SUMIFS(tblDaily[TransfersOut],tblDaily[EntryDate],DATE(2026,5,20),tblDaily[WardCode],"MW")=0,"",SUMIFS(tblDaily[TransfersOut],tblDaily[EntryDate],DATE(2026,5,20),tblDaily[WardCode],"MW")),"")</f>
        <v/>
      </c>
      <c r="H182" s="5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IFERROR(IF(SUMIFS(tblDaily[Admissions],tblDaily[EntryDate],DATE(2026,5,21),tblDaily[WardCode],"MW")=0,"",SUMIFS(tblDaily[Admissions],tblDaily[EntryDate],DATE(2026,5,21),tblDaily[WardCode],"MW")),"")</f>
        <v/>
      </c>
      <c r="C183" s="5" t="str">
        <f>IFERROR(IF(SUMIFS(tblDaily[Discharges],tblDaily[EntryDate],DATE(2026,5,21),tblDaily[WardCode],"MW")=0,"",SUMIFS(tblDaily[Discharges],tblDaily[EntryDate],DATE(2026,5,21),tblDaily[WardCode],"MW")),"")</f>
        <v/>
      </c>
      <c r="D183" s="5" t="str">
        <f>IFERROR(IF(SUMIFS(tblDaily[Deaths],tblDaily[EntryDate],DATE(2026,5,21),tblDaily[WardCode],"MW")=0,"",SUMIFS(tblDaily[Deaths],tblDaily[EntryDate],DATE(2026,5,21),tblDaily[WardCode],"MW")),"")</f>
        <v/>
      </c>
      <c r="E183" s="5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5" t="str">
        <f>IFERROR(IF(SUMIFS(tblDaily[TransfersIn],tblDaily[EntryDate],DATE(2026,5,21),tblDaily[WardCode],"MW")=0,"",SUMIFS(tblDaily[TransfersIn],tblDaily[EntryDate],DATE(2026,5,21),tblDaily[WardCode],"MW")),"")</f>
        <v/>
      </c>
      <c r="G183" s="5" t="str">
        <f>IFERROR(IF(SUMIFS(tblDaily[TransfersOut],tblDaily[EntryDate],DATE(2026,5,21),tblDaily[WardCode],"MW")=0,"",SUMIFS(tblDaily[TransfersOut],tblDaily[EntryDate],DATE(2026,5,21),tblDaily[WardCode],"MW")),"")</f>
        <v/>
      </c>
      <c r="H183" s="5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IFERROR(IF(SUMIFS(tblDaily[Admissions],tblDaily[EntryDate],DATE(2026,5,22),tblDaily[WardCode],"MW")=0,"",SUMIFS(tblDaily[Admissions],tblDaily[EntryDate],DATE(2026,5,22),tblDaily[WardCode],"MW")),"")</f>
        <v/>
      </c>
      <c r="C184" s="5" t="str">
        <f>IFERROR(IF(SUMIFS(tblDaily[Discharges],tblDaily[EntryDate],DATE(2026,5,22),tblDaily[WardCode],"MW")=0,"",SUMIFS(tblDaily[Discharges],tblDaily[EntryDate],DATE(2026,5,22),tblDaily[WardCode],"MW")),"")</f>
        <v/>
      </c>
      <c r="D184" s="5" t="str">
        <f>IFERROR(IF(SUMIFS(tblDaily[Deaths],tblDaily[EntryDate],DATE(2026,5,22),tblDaily[WardCode],"MW")=0,"",SUMIFS(tblDaily[Deaths],tblDaily[EntryDate],DATE(2026,5,22),tblDaily[WardCode],"MW")),"")</f>
        <v/>
      </c>
      <c r="E184" s="5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5" t="str">
        <f>IFERROR(IF(SUMIFS(tblDaily[TransfersIn],tblDaily[EntryDate],DATE(2026,5,22),tblDaily[WardCode],"MW")=0,"",SUMIFS(tblDaily[TransfersIn],tblDaily[EntryDate],DATE(2026,5,22),tblDaily[WardCode],"MW")),"")</f>
        <v/>
      </c>
      <c r="G184" s="5" t="str">
        <f>IFERROR(IF(SUMIFS(tblDaily[TransfersOut],tblDaily[EntryDate],DATE(2026,5,22),tblDaily[WardCode],"MW")=0,"",SUMIFS(tblDaily[TransfersOut],tblDaily[EntryDate],DATE(2026,5,22),tblDaily[WardCode],"MW")),"")</f>
        <v/>
      </c>
      <c r="H184" s="5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IFERROR(IF(SUMIFS(tblDaily[Admissions],tblDaily[EntryDate],DATE(2026,5,23),tblDaily[WardCode],"MW")=0,"",SUMIFS(tblDaily[Admissions],tblDaily[EntryDate],DATE(2026,5,23),tblDaily[WardCode],"MW")),"")</f>
        <v/>
      </c>
      <c r="C185" s="5" t="str">
        <f>IFERROR(IF(SUMIFS(tblDaily[Discharges],tblDaily[EntryDate],DATE(2026,5,23),tblDaily[WardCode],"MW")=0,"",SUMIFS(tblDaily[Discharges],tblDaily[EntryDate],DATE(2026,5,23),tblDaily[WardCode],"MW")),"")</f>
        <v/>
      </c>
      <c r="D185" s="5" t="str">
        <f>IFERROR(IF(SUMIFS(tblDaily[Deaths],tblDaily[EntryDate],DATE(2026,5,23),tblDaily[WardCode],"MW")=0,"",SUMIFS(tblDaily[Deaths],tblDaily[EntryDate],DATE(2026,5,23),tblDaily[WardCode],"MW")),"")</f>
        <v/>
      </c>
      <c r="E185" s="5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5" t="str">
        <f>IFERROR(IF(SUMIFS(tblDaily[TransfersIn],tblDaily[EntryDate],DATE(2026,5,23),tblDaily[WardCode],"MW")=0,"",SUMIFS(tblDaily[TransfersIn],tblDaily[EntryDate],DATE(2026,5,23),tblDaily[WardCode],"MW")),"")</f>
        <v/>
      </c>
      <c r="G185" s="5" t="str">
        <f>IFERROR(IF(SUMIFS(tblDaily[TransfersOut],tblDaily[EntryDate],DATE(2026,5,23),tblDaily[WardCode],"MW")=0,"",SUMIFS(tblDaily[TransfersOut],tblDaily[EntryDate],DATE(2026,5,23),tblDaily[WardCode],"MW")),"")</f>
        <v/>
      </c>
      <c r="H185" s="5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IFERROR(IF(SUMIFS(tblDaily[Admissions],tblDaily[EntryDate],DATE(2026,5,24),tblDaily[WardCode],"MW")=0,"",SUMIFS(tblDaily[Admissions],tblDaily[EntryDate],DATE(2026,5,24),tblDaily[WardCode],"MW")),"")</f>
        <v/>
      </c>
      <c r="C186" s="5" t="str">
        <f>IFERROR(IF(SUMIFS(tblDaily[Discharges],tblDaily[EntryDate],DATE(2026,5,24),tblDaily[WardCode],"MW")=0,"",SUMIFS(tblDaily[Discharges],tblDaily[EntryDate],DATE(2026,5,24),tblDaily[WardCode],"MW")),"")</f>
        <v/>
      </c>
      <c r="D186" s="5" t="str">
        <f>IFERROR(IF(SUMIFS(tblDaily[Deaths],tblDaily[EntryDate],DATE(2026,5,24),tblDaily[WardCode],"MW")=0,"",SUMIFS(tblDaily[Deaths],tblDaily[EntryDate],DATE(2026,5,24),tblDaily[WardCode],"MW")),"")</f>
        <v/>
      </c>
      <c r="E186" s="5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5" t="str">
        <f>IFERROR(IF(SUMIFS(tblDaily[TransfersIn],tblDaily[EntryDate],DATE(2026,5,24),tblDaily[WardCode],"MW")=0,"",SUMIFS(tblDaily[TransfersIn],tblDaily[EntryDate],DATE(2026,5,24),tblDaily[WardCode],"MW")),"")</f>
        <v/>
      </c>
      <c r="G186" s="5" t="str">
        <f>IFERROR(IF(SUMIFS(tblDaily[TransfersOut],tblDaily[EntryDate],DATE(2026,5,24),tblDaily[WardCode],"MW")=0,"",SUMIFS(tblDaily[TransfersOut],tblDaily[EntryDate],DATE(2026,5,24),tblDaily[WardCode],"MW")),"")</f>
        <v/>
      </c>
      <c r="H186" s="5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IFERROR(IF(SUMIFS(tblDaily[Admissions],tblDaily[EntryDate],DATE(2026,5,25),tblDaily[WardCode],"MW")=0,"",SUMIFS(tblDaily[Admissions],tblDaily[EntryDate],DATE(2026,5,25),tblDaily[WardCode],"MW")),"")</f>
        <v/>
      </c>
      <c r="C187" s="5" t="str">
        <f>IFERROR(IF(SUMIFS(tblDaily[Discharges],tblDaily[EntryDate],DATE(2026,5,25),tblDaily[WardCode],"MW")=0,"",SUMIFS(tblDaily[Discharges],tblDaily[EntryDate],DATE(2026,5,25),tblDaily[WardCode],"MW")),"")</f>
        <v/>
      </c>
      <c r="D187" s="5" t="str">
        <f>IFERROR(IF(SUMIFS(tblDaily[Deaths],tblDaily[EntryDate],DATE(2026,5,25),tblDaily[WardCode],"MW")=0,"",SUMIFS(tblDaily[Deaths],tblDaily[EntryDate],DATE(2026,5,25),tblDaily[WardCode],"MW")),"")</f>
        <v/>
      </c>
      <c r="E187" s="5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5" t="str">
        <f>IFERROR(IF(SUMIFS(tblDaily[TransfersIn],tblDaily[EntryDate],DATE(2026,5,25),tblDaily[WardCode],"MW")=0,"",SUMIFS(tblDaily[TransfersIn],tblDaily[EntryDate],DATE(2026,5,25),tblDaily[WardCode],"MW")),"")</f>
        <v/>
      </c>
      <c r="G187" s="5" t="str">
        <f>IFERROR(IF(SUMIFS(tblDaily[TransfersOut],tblDaily[EntryDate],DATE(2026,5,25),tblDaily[WardCode],"MW")=0,"",SUMIFS(tblDaily[TransfersOut],tblDaily[EntryDate],DATE(2026,5,25),tblDaily[WardCode],"MW")),"")</f>
        <v/>
      </c>
      <c r="H187" s="5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IFERROR(IF(SUMIFS(tblDaily[Admissions],tblDaily[EntryDate],DATE(2026,5,26),tblDaily[WardCode],"MW")=0,"",SUMIFS(tblDaily[Admissions],tblDaily[EntryDate],DATE(2026,5,26),tblDaily[WardCode],"MW")),"")</f>
        <v/>
      </c>
      <c r="C188" s="5" t="str">
        <f>IFERROR(IF(SUMIFS(tblDaily[Discharges],tblDaily[EntryDate],DATE(2026,5,26),tblDaily[WardCode],"MW")=0,"",SUMIFS(tblDaily[Discharges],tblDaily[EntryDate],DATE(2026,5,26),tblDaily[WardCode],"MW")),"")</f>
        <v/>
      </c>
      <c r="D188" s="5" t="str">
        <f>IFERROR(IF(SUMIFS(tblDaily[Deaths],tblDaily[EntryDate],DATE(2026,5,26),tblDaily[WardCode],"MW")=0,"",SUMIFS(tblDaily[Deaths],tblDaily[EntryDate],DATE(2026,5,26),tblDaily[WardCode],"MW")),"")</f>
        <v/>
      </c>
      <c r="E188" s="5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5" t="str">
        <f>IFERROR(IF(SUMIFS(tblDaily[TransfersIn],tblDaily[EntryDate],DATE(2026,5,26),tblDaily[WardCode],"MW")=0,"",SUMIFS(tblDaily[TransfersIn],tblDaily[EntryDate],DATE(2026,5,26),tblDaily[WardCode],"MW")),"")</f>
        <v/>
      </c>
      <c r="G188" s="5" t="str">
        <f>IFERROR(IF(SUMIFS(tblDaily[TransfersOut],tblDaily[EntryDate],DATE(2026,5,26),tblDaily[WardCode],"MW")=0,"",SUMIFS(tblDaily[TransfersOut],tblDaily[EntryDate],DATE(2026,5,26),tblDaily[WardCode],"MW")),"")</f>
        <v/>
      </c>
      <c r="H188" s="5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IFERROR(IF(SUMIFS(tblDaily[Admissions],tblDaily[EntryDate],DATE(2026,5,27),tblDaily[WardCode],"MW")=0,"",SUMIFS(tblDaily[Admissions],tblDaily[EntryDate],DATE(2026,5,27),tblDaily[WardCode],"MW")),"")</f>
        <v/>
      </c>
      <c r="C189" s="5" t="str">
        <f>IFERROR(IF(SUMIFS(tblDaily[Discharges],tblDaily[EntryDate],DATE(2026,5,27),tblDaily[WardCode],"MW")=0,"",SUMIFS(tblDaily[Discharges],tblDaily[EntryDate],DATE(2026,5,27),tblDaily[WardCode],"MW")),"")</f>
        <v/>
      </c>
      <c r="D189" s="5" t="str">
        <f>IFERROR(IF(SUMIFS(tblDaily[Deaths],tblDaily[EntryDate],DATE(2026,5,27),tblDaily[WardCode],"MW")=0,"",SUMIFS(tblDaily[Deaths],tblDaily[EntryDate],DATE(2026,5,27),tblDaily[WardCode],"MW")),"")</f>
        <v/>
      </c>
      <c r="E189" s="5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5" t="str">
        <f>IFERROR(IF(SUMIFS(tblDaily[TransfersIn],tblDaily[EntryDate],DATE(2026,5,27),tblDaily[WardCode],"MW")=0,"",SUMIFS(tblDaily[TransfersIn],tblDaily[EntryDate],DATE(2026,5,27),tblDaily[WardCode],"MW")),"")</f>
        <v/>
      </c>
      <c r="G189" s="5" t="str">
        <f>IFERROR(IF(SUMIFS(tblDaily[TransfersOut],tblDaily[EntryDate],DATE(2026,5,27),tblDaily[WardCode],"MW")=0,"",SUMIFS(tblDaily[TransfersOut],tblDaily[EntryDate],DATE(2026,5,27),tblDaily[WardCode],"MW")),"")</f>
        <v/>
      </c>
      <c r="H189" s="5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IFERROR(IF(SUMIFS(tblDaily[Admissions],tblDaily[EntryDate],DATE(2026,5,28),tblDaily[WardCode],"MW")=0,"",SUMIFS(tblDaily[Admissions],tblDaily[EntryDate],DATE(2026,5,28),tblDaily[WardCode],"MW")),"")</f>
        <v/>
      </c>
      <c r="C190" s="5" t="str">
        <f>IFERROR(IF(SUMIFS(tblDaily[Discharges],tblDaily[EntryDate],DATE(2026,5,28),tblDaily[WardCode],"MW")=0,"",SUMIFS(tblDaily[Discharges],tblDaily[EntryDate],DATE(2026,5,28),tblDaily[WardCode],"MW")),"")</f>
        <v/>
      </c>
      <c r="D190" s="5" t="str">
        <f>IFERROR(IF(SUMIFS(tblDaily[Deaths],tblDaily[EntryDate],DATE(2026,5,28),tblDaily[WardCode],"MW")=0,"",SUMIFS(tblDaily[Deaths],tblDaily[EntryDate],DATE(2026,5,28),tblDaily[WardCode],"MW")),"")</f>
        <v/>
      </c>
      <c r="E190" s="5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5" t="str">
        <f>IFERROR(IF(SUMIFS(tblDaily[TransfersIn],tblDaily[EntryDate],DATE(2026,5,28),tblDaily[WardCode],"MW")=0,"",SUMIFS(tblDaily[TransfersIn],tblDaily[EntryDate],DATE(2026,5,28),tblDaily[WardCode],"MW")),"")</f>
        <v/>
      </c>
      <c r="G190" s="5" t="str">
        <f>IFERROR(IF(SUMIFS(tblDaily[TransfersOut],tblDaily[EntryDate],DATE(2026,5,28),tblDaily[WardCode],"MW")=0,"",SUMIFS(tblDaily[TransfersOut],tblDaily[EntryDate],DATE(2026,5,28),tblDaily[WardCode],"MW")),"")</f>
        <v/>
      </c>
      <c r="H190" s="5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IFERROR(IF(SUMIFS(tblDaily[Admissions],tblDaily[EntryDate],DATE(2026,5,29),tblDaily[WardCode],"MW")=0,"",SUMIFS(tblDaily[Admissions],tblDaily[EntryDate],DATE(2026,5,29),tblDaily[WardCode],"MW")),"")</f>
        <v/>
      </c>
      <c r="C191" s="5" t="str">
        <f>IFERROR(IF(SUMIFS(tblDaily[Discharges],tblDaily[EntryDate],DATE(2026,5,29),tblDaily[WardCode],"MW")=0,"",SUMIFS(tblDaily[Discharges],tblDaily[EntryDate],DATE(2026,5,29),tblDaily[WardCode],"MW")),"")</f>
        <v/>
      </c>
      <c r="D191" s="5" t="str">
        <f>IFERROR(IF(SUMIFS(tblDaily[Deaths],tblDaily[EntryDate],DATE(2026,5,29),tblDaily[WardCode],"MW")=0,"",SUMIFS(tblDaily[Deaths],tblDaily[EntryDate],DATE(2026,5,29),tblDaily[WardCode],"MW")),"")</f>
        <v/>
      </c>
      <c r="E191" s="5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5" t="str">
        <f>IFERROR(IF(SUMIFS(tblDaily[TransfersIn],tblDaily[EntryDate],DATE(2026,5,29),tblDaily[WardCode],"MW")=0,"",SUMIFS(tblDaily[TransfersIn],tblDaily[EntryDate],DATE(2026,5,29),tblDaily[WardCode],"MW")),"")</f>
        <v/>
      </c>
      <c r="G191" s="5" t="str">
        <f>IFERROR(IF(SUMIFS(tblDaily[TransfersOut],tblDaily[EntryDate],DATE(2026,5,29),tblDaily[WardCode],"MW")=0,"",SUMIFS(tblDaily[TransfersOut],tblDaily[EntryDate],DATE(2026,5,29),tblDaily[WardCode],"MW")),"")</f>
        <v/>
      </c>
      <c r="H191" s="5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IFERROR(IF(SUMIFS(tblDaily[Admissions],tblDaily[EntryDate],DATE(2026,5,30),tblDaily[WardCode],"MW")=0,"",SUMIFS(tblDaily[Admissions],tblDaily[EntryDate],DATE(2026,5,30),tblDaily[WardCode],"MW")),"")</f>
        <v/>
      </c>
      <c r="C192" s="5" t="str">
        <f>IFERROR(IF(SUMIFS(tblDaily[Discharges],tblDaily[EntryDate],DATE(2026,5,30),tblDaily[WardCode],"MW")=0,"",SUMIFS(tblDaily[Discharges],tblDaily[EntryDate],DATE(2026,5,30),tblDaily[WardCode],"MW")),"")</f>
        <v/>
      </c>
      <c r="D192" s="5" t="str">
        <f>IFERROR(IF(SUMIFS(tblDaily[Deaths],tblDaily[EntryDate],DATE(2026,5,30),tblDaily[WardCode],"MW")=0,"",SUMIFS(tblDaily[Deaths],tblDaily[EntryDate],DATE(2026,5,30),tblDaily[WardCode],"MW")),"")</f>
        <v/>
      </c>
      <c r="E192" s="5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5" t="str">
        <f>IFERROR(IF(SUMIFS(tblDaily[TransfersIn],tblDaily[EntryDate],DATE(2026,5,30),tblDaily[WardCode],"MW")=0,"",SUMIFS(tblDaily[TransfersIn],tblDaily[EntryDate],DATE(2026,5,30),tblDaily[WardCode],"MW")),"")</f>
        <v/>
      </c>
      <c r="G192" s="5" t="str">
        <f>IFERROR(IF(SUMIFS(tblDaily[TransfersOut],tblDaily[EntryDate],DATE(2026,5,30),tblDaily[WardCode],"MW")=0,"",SUMIFS(tblDaily[TransfersOut],tblDaily[EntryDate],DATE(2026,5,30),tblDaily[WardCode],"MW")),"")</f>
        <v/>
      </c>
      <c r="H192" s="5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IFERROR(IF(SUMIFS(tblDaily[Admissions],tblDaily[EntryDate],DATE(2026,5,31),tblDaily[WardCode],"MW")=0,"",SUMIFS(tblDaily[Admissions],tblDaily[EntryDate],DATE(2026,5,31),tblDaily[WardCode],"MW")),"")</f>
        <v/>
      </c>
      <c r="C193" s="5" t="str">
        <f>IFERROR(IF(SUMIFS(tblDaily[Discharges],tblDaily[EntryDate],DATE(2026,5,31),tblDaily[WardCode],"MW")=0,"",SUMIFS(tblDaily[Discharges],tblDaily[EntryDate],DATE(2026,5,31),tblDaily[WardCode],"MW")),"")</f>
        <v/>
      </c>
      <c r="D193" s="5" t="str">
        <f>IFERROR(IF(SUMIFS(tblDaily[Deaths],tblDaily[EntryDate],DATE(2026,5,31),tblDaily[WardCode],"MW")=0,"",SUMIFS(tblDaily[Deaths],tblDaily[EntryDate],DATE(2026,5,31),tblDaily[WardCode],"MW")),"")</f>
        <v/>
      </c>
      <c r="E193" s="5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5" t="str">
        <f>IFERROR(IF(SUMIFS(tblDaily[TransfersIn],tblDaily[EntryDate],DATE(2026,5,31),tblDaily[WardCode],"MW")=0,"",SUMIFS(tblDaily[TransfersIn],tblDaily[EntryDate],DATE(2026,5,31),tblDaily[WardCode],"MW")),"")</f>
        <v/>
      </c>
      <c r="G193" s="5" t="str">
        <f>IFERROR(IF(SUMIFS(tblDaily[TransfersOut],tblDaily[EntryDate],DATE(2026,5,31),tblDaily[WardCode],"MW")=0,"",SUMIFS(tblDaily[TransfersOut],tblDaily[EntryDate],DATE(2026,5,31),tblDaily[WardCode],"MW")),"")</f>
        <v/>
      </c>
      <c r="H193" s="5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95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86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89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IFERROR(IF(SUMIFS(tblDaily[Admissions],tblDaily[EntryDate],DATE(2026,6,1),tblDaily[WardCode],"MW")=0,"",SUMIFS(tblDaily[Admissions],tblDaily[EntryDate],DATE(2026,6,1),tblDaily[WardCode],"MW")),"")</f>
        <v/>
      </c>
      <c r="C202" s="5" t="str">
        <f>IFERROR(IF(SUMIFS(tblDaily[Discharges],tblDaily[EntryDate],DATE(2026,6,1),tblDaily[WardCode],"MW")=0,"",SUMIFS(tblDaily[Discharges],tblDaily[EntryDate],DATE(2026,6,1),tblDaily[WardCode],"MW")),"")</f>
        <v/>
      </c>
      <c r="D202" s="5" t="str">
        <f>IFERROR(IF(SUMIFS(tblDaily[Deaths],tblDaily[EntryDate],DATE(2026,6,1),tblDaily[WardCode],"MW")=0,"",SUMIFS(tblDaily[Deaths],tblDaily[EntryDate],DATE(2026,6,1),tblDaily[WardCode],"MW")),"")</f>
        <v/>
      </c>
      <c r="E202" s="5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5" t="str">
        <f>IFERROR(IF(SUMIFS(tblDaily[TransfersIn],tblDaily[EntryDate],DATE(2026,6,1),tblDaily[WardCode],"MW")=0,"",SUMIFS(tblDaily[TransfersIn],tblDaily[EntryDate],DATE(2026,6,1),tblDaily[WardCode],"MW")),"")</f>
        <v/>
      </c>
      <c r="G202" s="5" t="str">
        <f>IFERROR(IF(SUMIFS(tblDaily[TransfersOut],tblDaily[EntryDate],DATE(2026,6,1),tblDaily[WardCode],"MW")=0,"",SUMIFS(tblDaily[TransfersOut],tblDaily[EntryDate],DATE(2026,6,1),tblDaily[WardCode],"MW")),"")</f>
        <v/>
      </c>
      <c r="H202" s="5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IFERROR(IF(SUMIFS(tblDaily[Admissions],tblDaily[EntryDate],DATE(2026,6,2),tblDaily[WardCode],"MW")=0,"",SUMIFS(tblDaily[Admissions],tblDaily[EntryDate],DATE(2026,6,2),tblDaily[WardCode],"MW")),"")</f>
        <v/>
      </c>
      <c r="C203" s="5" t="str">
        <f>IFERROR(IF(SUMIFS(tblDaily[Discharges],tblDaily[EntryDate],DATE(2026,6,2),tblDaily[WardCode],"MW")=0,"",SUMIFS(tblDaily[Discharges],tblDaily[EntryDate],DATE(2026,6,2),tblDaily[WardCode],"MW")),"")</f>
        <v/>
      </c>
      <c r="D203" s="5" t="str">
        <f>IFERROR(IF(SUMIFS(tblDaily[Deaths],tblDaily[EntryDate],DATE(2026,6,2),tblDaily[WardCode],"MW")=0,"",SUMIFS(tblDaily[Deaths],tblDaily[EntryDate],DATE(2026,6,2),tblDaily[WardCode],"MW")),"")</f>
        <v/>
      </c>
      <c r="E203" s="5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5" t="str">
        <f>IFERROR(IF(SUMIFS(tblDaily[TransfersIn],tblDaily[EntryDate],DATE(2026,6,2),tblDaily[WardCode],"MW")=0,"",SUMIFS(tblDaily[TransfersIn],tblDaily[EntryDate],DATE(2026,6,2),tblDaily[WardCode],"MW")),"")</f>
        <v/>
      </c>
      <c r="G203" s="5" t="str">
        <f>IFERROR(IF(SUMIFS(tblDaily[TransfersOut],tblDaily[EntryDate],DATE(2026,6,2),tblDaily[WardCode],"MW")=0,"",SUMIFS(tblDaily[TransfersOut],tblDaily[EntryDate],DATE(2026,6,2),tblDaily[WardCode],"MW")),"")</f>
        <v/>
      </c>
      <c r="H203" s="5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IFERROR(IF(SUMIFS(tblDaily[Admissions],tblDaily[EntryDate],DATE(2026,6,3),tblDaily[WardCode],"MW")=0,"",SUMIFS(tblDaily[Admissions],tblDaily[EntryDate],DATE(2026,6,3),tblDaily[WardCode],"MW")),"")</f>
        <v/>
      </c>
      <c r="C204" s="5" t="str">
        <f>IFERROR(IF(SUMIFS(tblDaily[Discharges],tblDaily[EntryDate],DATE(2026,6,3),tblDaily[WardCode],"MW")=0,"",SUMIFS(tblDaily[Discharges],tblDaily[EntryDate],DATE(2026,6,3),tblDaily[WardCode],"MW")),"")</f>
        <v/>
      </c>
      <c r="D204" s="5" t="str">
        <f>IFERROR(IF(SUMIFS(tblDaily[Deaths],tblDaily[EntryDate],DATE(2026,6,3),tblDaily[WardCode],"MW")=0,"",SUMIFS(tblDaily[Deaths],tblDaily[EntryDate],DATE(2026,6,3),tblDaily[WardCode],"MW")),"")</f>
        <v/>
      </c>
      <c r="E204" s="5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5" t="str">
        <f>IFERROR(IF(SUMIFS(tblDaily[TransfersIn],tblDaily[EntryDate],DATE(2026,6,3),tblDaily[WardCode],"MW")=0,"",SUMIFS(tblDaily[TransfersIn],tblDaily[EntryDate],DATE(2026,6,3),tblDaily[WardCode],"MW")),"")</f>
        <v/>
      </c>
      <c r="G204" s="5" t="str">
        <f>IFERROR(IF(SUMIFS(tblDaily[TransfersOut],tblDaily[EntryDate],DATE(2026,6,3),tblDaily[WardCode],"MW")=0,"",SUMIFS(tblDaily[TransfersOut],tblDaily[EntryDate],DATE(2026,6,3),tblDaily[WardCode],"MW")),"")</f>
        <v/>
      </c>
      <c r="H204" s="5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IFERROR(IF(SUMIFS(tblDaily[Admissions],tblDaily[EntryDate],DATE(2026,6,4),tblDaily[WardCode],"MW")=0,"",SUMIFS(tblDaily[Admissions],tblDaily[EntryDate],DATE(2026,6,4),tblDaily[WardCode],"MW")),"")</f>
        <v/>
      </c>
      <c r="C205" s="5" t="str">
        <f>IFERROR(IF(SUMIFS(tblDaily[Discharges],tblDaily[EntryDate],DATE(2026,6,4),tblDaily[WardCode],"MW")=0,"",SUMIFS(tblDaily[Discharges],tblDaily[EntryDate],DATE(2026,6,4),tblDaily[WardCode],"MW")),"")</f>
        <v/>
      </c>
      <c r="D205" s="5" t="str">
        <f>IFERROR(IF(SUMIFS(tblDaily[Deaths],tblDaily[EntryDate],DATE(2026,6,4),tblDaily[WardCode],"MW")=0,"",SUMIFS(tblDaily[Deaths],tblDaily[EntryDate],DATE(2026,6,4),tblDaily[WardCode],"MW")),"")</f>
        <v/>
      </c>
      <c r="E205" s="5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5" t="str">
        <f>IFERROR(IF(SUMIFS(tblDaily[TransfersIn],tblDaily[EntryDate],DATE(2026,6,4),tblDaily[WardCode],"MW")=0,"",SUMIFS(tblDaily[TransfersIn],tblDaily[EntryDate],DATE(2026,6,4),tblDaily[WardCode],"MW")),"")</f>
        <v/>
      </c>
      <c r="G205" s="5" t="str">
        <f>IFERROR(IF(SUMIFS(tblDaily[TransfersOut],tblDaily[EntryDate],DATE(2026,6,4),tblDaily[WardCode],"MW")=0,"",SUMIFS(tblDaily[TransfersOut],tblDaily[EntryDate],DATE(2026,6,4),tblDaily[WardCode],"MW")),"")</f>
        <v/>
      </c>
      <c r="H205" s="5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IFERROR(IF(SUMIFS(tblDaily[Admissions],tblDaily[EntryDate],DATE(2026,6,5),tblDaily[WardCode],"MW")=0,"",SUMIFS(tblDaily[Admissions],tblDaily[EntryDate],DATE(2026,6,5),tblDaily[WardCode],"MW")),"")</f>
        <v/>
      </c>
      <c r="C206" s="5" t="str">
        <f>IFERROR(IF(SUMIFS(tblDaily[Discharges],tblDaily[EntryDate],DATE(2026,6,5),tblDaily[WardCode],"MW")=0,"",SUMIFS(tblDaily[Discharges],tblDaily[EntryDate],DATE(2026,6,5),tblDaily[WardCode],"MW")),"")</f>
        <v/>
      </c>
      <c r="D206" s="5" t="str">
        <f>IFERROR(IF(SUMIFS(tblDaily[Deaths],tblDaily[EntryDate],DATE(2026,6,5),tblDaily[WardCode],"MW")=0,"",SUMIFS(tblDaily[Deaths],tblDaily[EntryDate],DATE(2026,6,5),tblDaily[WardCode],"MW")),"")</f>
        <v/>
      </c>
      <c r="E206" s="5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5" t="str">
        <f>IFERROR(IF(SUMIFS(tblDaily[TransfersIn],tblDaily[EntryDate],DATE(2026,6,5),tblDaily[WardCode],"MW")=0,"",SUMIFS(tblDaily[TransfersIn],tblDaily[EntryDate],DATE(2026,6,5),tblDaily[WardCode],"MW")),"")</f>
        <v/>
      </c>
      <c r="G206" s="5" t="str">
        <f>IFERROR(IF(SUMIFS(tblDaily[TransfersOut],tblDaily[EntryDate],DATE(2026,6,5),tblDaily[WardCode],"MW")=0,"",SUMIFS(tblDaily[TransfersOut],tblDaily[EntryDate],DATE(2026,6,5),tblDaily[WardCode],"MW")),"")</f>
        <v/>
      </c>
      <c r="H206" s="5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IFERROR(IF(SUMIFS(tblDaily[Admissions],tblDaily[EntryDate],DATE(2026,6,6),tblDaily[WardCode],"MW")=0,"",SUMIFS(tblDaily[Admissions],tblDaily[EntryDate],DATE(2026,6,6),tblDaily[WardCode],"MW")),"")</f>
        <v/>
      </c>
      <c r="C207" s="5" t="str">
        <f>IFERROR(IF(SUMIFS(tblDaily[Discharges],tblDaily[EntryDate],DATE(2026,6,6),tblDaily[WardCode],"MW")=0,"",SUMIFS(tblDaily[Discharges],tblDaily[EntryDate],DATE(2026,6,6),tblDaily[WardCode],"MW")),"")</f>
        <v/>
      </c>
      <c r="D207" s="5" t="str">
        <f>IFERROR(IF(SUMIFS(tblDaily[Deaths],tblDaily[EntryDate],DATE(2026,6,6),tblDaily[WardCode],"MW")=0,"",SUMIFS(tblDaily[Deaths],tblDaily[EntryDate],DATE(2026,6,6),tblDaily[WardCode],"MW")),"")</f>
        <v/>
      </c>
      <c r="E207" s="5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5" t="str">
        <f>IFERROR(IF(SUMIFS(tblDaily[TransfersIn],tblDaily[EntryDate],DATE(2026,6,6),tblDaily[WardCode],"MW")=0,"",SUMIFS(tblDaily[TransfersIn],tblDaily[EntryDate],DATE(2026,6,6),tblDaily[WardCode],"MW")),"")</f>
        <v/>
      </c>
      <c r="G207" s="5" t="str">
        <f>IFERROR(IF(SUMIFS(tblDaily[TransfersOut],tblDaily[EntryDate],DATE(2026,6,6),tblDaily[WardCode],"MW")=0,"",SUMIFS(tblDaily[TransfersOut],tblDaily[EntryDate],DATE(2026,6,6),tblDaily[WardCode],"MW")),"")</f>
        <v/>
      </c>
      <c r="H207" s="5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IFERROR(IF(SUMIFS(tblDaily[Admissions],tblDaily[EntryDate],DATE(2026,6,7),tblDaily[WardCode],"MW")=0,"",SUMIFS(tblDaily[Admissions],tblDaily[EntryDate],DATE(2026,6,7),tblDaily[WardCode],"MW")),"")</f>
        <v/>
      </c>
      <c r="C208" s="5" t="str">
        <f>IFERROR(IF(SUMIFS(tblDaily[Discharges],tblDaily[EntryDate],DATE(2026,6,7),tblDaily[WardCode],"MW")=0,"",SUMIFS(tblDaily[Discharges],tblDaily[EntryDate],DATE(2026,6,7),tblDaily[WardCode],"MW")),"")</f>
        <v/>
      </c>
      <c r="D208" s="5" t="str">
        <f>IFERROR(IF(SUMIFS(tblDaily[Deaths],tblDaily[EntryDate],DATE(2026,6,7),tblDaily[WardCode],"MW")=0,"",SUMIFS(tblDaily[Deaths],tblDaily[EntryDate],DATE(2026,6,7),tblDaily[WardCode],"MW")),"")</f>
        <v/>
      </c>
      <c r="E208" s="5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5" t="str">
        <f>IFERROR(IF(SUMIFS(tblDaily[TransfersIn],tblDaily[EntryDate],DATE(2026,6,7),tblDaily[WardCode],"MW")=0,"",SUMIFS(tblDaily[TransfersIn],tblDaily[EntryDate],DATE(2026,6,7),tblDaily[WardCode],"MW")),"")</f>
        <v/>
      </c>
      <c r="G208" s="5" t="str">
        <f>IFERROR(IF(SUMIFS(tblDaily[TransfersOut],tblDaily[EntryDate],DATE(2026,6,7),tblDaily[WardCode],"MW")=0,"",SUMIFS(tblDaily[TransfersOut],tblDaily[EntryDate],DATE(2026,6,7),tblDaily[WardCode],"MW")),"")</f>
        <v/>
      </c>
      <c r="H208" s="5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IFERROR(IF(SUMIFS(tblDaily[Admissions],tblDaily[EntryDate],DATE(2026,6,8),tblDaily[WardCode],"MW")=0,"",SUMIFS(tblDaily[Admissions],tblDaily[EntryDate],DATE(2026,6,8),tblDaily[WardCode],"MW")),"")</f>
        <v/>
      </c>
      <c r="C209" s="5" t="str">
        <f>IFERROR(IF(SUMIFS(tblDaily[Discharges],tblDaily[EntryDate],DATE(2026,6,8),tblDaily[WardCode],"MW")=0,"",SUMIFS(tblDaily[Discharges],tblDaily[EntryDate],DATE(2026,6,8),tblDaily[WardCode],"MW")),"")</f>
        <v/>
      </c>
      <c r="D209" s="5" t="str">
        <f>IFERROR(IF(SUMIFS(tblDaily[Deaths],tblDaily[EntryDate],DATE(2026,6,8),tblDaily[WardCode],"MW")=0,"",SUMIFS(tblDaily[Deaths],tblDaily[EntryDate],DATE(2026,6,8),tblDaily[WardCode],"MW")),"")</f>
        <v/>
      </c>
      <c r="E209" s="5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5" t="str">
        <f>IFERROR(IF(SUMIFS(tblDaily[TransfersIn],tblDaily[EntryDate],DATE(2026,6,8),tblDaily[WardCode],"MW")=0,"",SUMIFS(tblDaily[TransfersIn],tblDaily[EntryDate],DATE(2026,6,8),tblDaily[WardCode],"MW")),"")</f>
        <v/>
      </c>
      <c r="G209" s="5" t="str">
        <f>IFERROR(IF(SUMIFS(tblDaily[TransfersOut],tblDaily[EntryDate],DATE(2026,6,8),tblDaily[WardCode],"MW")=0,"",SUMIFS(tblDaily[TransfersOut],tblDaily[EntryDate],DATE(2026,6,8),tblDaily[WardCode],"MW")),"")</f>
        <v/>
      </c>
      <c r="H209" s="5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IFERROR(IF(SUMIFS(tblDaily[Admissions],tblDaily[EntryDate],DATE(2026,6,9),tblDaily[WardCode],"MW")=0,"",SUMIFS(tblDaily[Admissions],tblDaily[EntryDate],DATE(2026,6,9),tblDaily[WardCode],"MW")),"")</f>
        <v/>
      </c>
      <c r="C210" s="5" t="str">
        <f>IFERROR(IF(SUMIFS(tblDaily[Discharges],tblDaily[EntryDate],DATE(2026,6,9),tblDaily[WardCode],"MW")=0,"",SUMIFS(tblDaily[Discharges],tblDaily[EntryDate],DATE(2026,6,9),tblDaily[WardCode],"MW")),"")</f>
        <v/>
      </c>
      <c r="D210" s="5" t="str">
        <f>IFERROR(IF(SUMIFS(tblDaily[Deaths],tblDaily[EntryDate],DATE(2026,6,9),tblDaily[WardCode],"MW")=0,"",SUMIFS(tblDaily[Deaths],tblDaily[EntryDate],DATE(2026,6,9),tblDaily[WardCode],"MW")),"")</f>
        <v/>
      </c>
      <c r="E210" s="5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5" t="str">
        <f>IFERROR(IF(SUMIFS(tblDaily[TransfersIn],tblDaily[EntryDate],DATE(2026,6,9),tblDaily[WardCode],"MW")=0,"",SUMIFS(tblDaily[TransfersIn],tblDaily[EntryDate],DATE(2026,6,9),tblDaily[WardCode],"MW")),"")</f>
        <v/>
      </c>
      <c r="G210" s="5" t="str">
        <f>IFERROR(IF(SUMIFS(tblDaily[TransfersOut],tblDaily[EntryDate],DATE(2026,6,9),tblDaily[WardCode],"MW")=0,"",SUMIFS(tblDaily[TransfersOut],tblDaily[EntryDate],DATE(2026,6,9),tblDaily[WardCode],"MW")),"")</f>
        <v/>
      </c>
      <c r="H210" s="5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IFERROR(IF(SUMIFS(tblDaily[Admissions],tblDaily[EntryDate],DATE(2026,6,10),tblDaily[WardCode],"MW")=0,"",SUMIFS(tblDaily[Admissions],tblDaily[EntryDate],DATE(2026,6,10),tblDaily[WardCode],"MW")),"")</f>
        <v/>
      </c>
      <c r="C211" s="5" t="str">
        <f>IFERROR(IF(SUMIFS(tblDaily[Discharges],tblDaily[EntryDate],DATE(2026,6,10),tblDaily[WardCode],"MW")=0,"",SUMIFS(tblDaily[Discharges],tblDaily[EntryDate],DATE(2026,6,10),tblDaily[WardCode],"MW")),"")</f>
        <v/>
      </c>
      <c r="D211" s="5" t="str">
        <f>IFERROR(IF(SUMIFS(tblDaily[Deaths],tblDaily[EntryDate],DATE(2026,6,10),tblDaily[WardCode],"MW")=0,"",SUMIFS(tblDaily[Deaths],tblDaily[EntryDate],DATE(2026,6,10),tblDaily[WardCode],"MW")),"")</f>
        <v/>
      </c>
      <c r="E211" s="5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5" t="str">
        <f>IFERROR(IF(SUMIFS(tblDaily[TransfersIn],tblDaily[EntryDate],DATE(2026,6,10),tblDaily[WardCode],"MW")=0,"",SUMIFS(tblDaily[TransfersIn],tblDaily[EntryDate],DATE(2026,6,10),tblDaily[WardCode],"MW")),"")</f>
        <v/>
      </c>
      <c r="G211" s="5" t="str">
        <f>IFERROR(IF(SUMIFS(tblDaily[TransfersOut],tblDaily[EntryDate],DATE(2026,6,10),tblDaily[WardCode],"MW")=0,"",SUMIFS(tblDaily[TransfersOut],tblDaily[EntryDate],DATE(2026,6,10),tblDaily[WardCode],"MW")),"")</f>
        <v/>
      </c>
      <c r="H211" s="5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IFERROR(IF(SUMIFS(tblDaily[Admissions],tblDaily[EntryDate],DATE(2026,6,11),tblDaily[WardCode],"MW")=0,"",SUMIFS(tblDaily[Admissions],tblDaily[EntryDate],DATE(2026,6,11),tblDaily[WardCode],"MW")),"")</f>
        <v/>
      </c>
      <c r="C212" s="5" t="str">
        <f>IFERROR(IF(SUMIFS(tblDaily[Discharges],tblDaily[EntryDate],DATE(2026,6,11),tblDaily[WardCode],"MW")=0,"",SUMIFS(tblDaily[Discharges],tblDaily[EntryDate],DATE(2026,6,11),tblDaily[WardCode],"MW")),"")</f>
        <v/>
      </c>
      <c r="D212" s="5" t="str">
        <f>IFERROR(IF(SUMIFS(tblDaily[Deaths],tblDaily[EntryDate],DATE(2026,6,11),tblDaily[WardCode],"MW")=0,"",SUMIFS(tblDaily[Deaths],tblDaily[EntryDate],DATE(2026,6,11),tblDaily[WardCode],"MW")),"")</f>
        <v/>
      </c>
      <c r="E212" s="5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5" t="str">
        <f>IFERROR(IF(SUMIFS(tblDaily[TransfersIn],tblDaily[EntryDate],DATE(2026,6,11),tblDaily[WardCode],"MW")=0,"",SUMIFS(tblDaily[TransfersIn],tblDaily[EntryDate],DATE(2026,6,11),tblDaily[WardCode],"MW")),"")</f>
        <v/>
      </c>
      <c r="G212" s="5" t="str">
        <f>IFERROR(IF(SUMIFS(tblDaily[TransfersOut],tblDaily[EntryDate],DATE(2026,6,11),tblDaily[WardCode],"MW")=0,"",SUMIFS(tblDaily[TransfersOut],tblDaily[EntryDate],DATE(2026,6,11),tblDaily[WardCode],"MW")),"")</f>
        <v/>
      </c>
      <c r="H212" s="5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IFERROR(IF(SUMIFS(tblDaily[Admissions],tblDaily[EntryDate],DATE(2026,6,12),tblDaily[WardCode],"MW")=0,"",SUMIFS(tblDaily[Admissions],tblDaily[EntryDate],DATE(2026,6,12),tblDaily[WardCode],"MW")),"")</f>
        <v/>
      </c>
      <c r="C213" s="5" t="str">
        <f>IFERROR(IF(SUMIFS(tblDaily[Discharges],tblDaily[EntryDate],DATE(2026,6,12),tblDaily[WardCode],"MW")=0,"",SUMIFS(tblDaily[Discharges],tblDaily[EntryDate],DATE(2026,6,12),tblDaily[WardCode],"MW")),"")</f>
        <v/>
      </c>
      <c r="D213" s="5" t="str">
        <f>IFERROR(IF(SUMIFS(tblDaily[Deaths],tblDaily[EntryDate],DATE(2026,6,12),tblDaily[WardCode],"MW")=0,"",SUMIFS(tblDaily[Deaths],tblDaily[EntryDate],DATE(2026,6,12),tblDaily[WardCode],"MW")),"")</f>
        <v/>
      </c>
      <c r="E213" s="5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5" t="str">
        <f>IFERROR(IF(SUMIFS(tblDaily[TransfersIn],tblDaily[EntryDate],DATE(2026,6,12),tblDaily[WardCode],"MW")=0,"",SUMIFS(tblDaily[TransfersIn],tblDaily[EntryDate],DATE(2026,6,12),tblDaily[WardCode],"MW")),"")</f>
        <v/>
      </c>
      <c r="G213" s="5" t="str">
        <f>IFERROR(IF(SUMIFS(tblDaily[TransfersOut],tblDaily[EntryDate],DATE(2026,6,12),tblDaily[WardCode],"MW")=0,"",SUMIFS(tblDaily[TransfersOut],tblDaily[EntryDate],DATE(2026,6,12),tblDaily[WardCode],"MW")),"")</f>
        <v/>
      </c>
      <c r="H213" s="5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IFERROR(IF(SUMIFS(tblDaily[Admissions],tblDaily[EntryDate],DATE(2026,6,13),tblDaily[WardCode],"MW")=0,"",SUMIFS(tblDaily[Admissions],tblDaily[EntryDate],DATE(2026,6,13),tblDaily[WardCode],"MW")),"")</f>
        <v/>
      </c>
      <c r="C214" s="5" t="str">
        <f>IFERROR(IF(SUMIFS(tblDaily[Discharges],tblDaily[EntryDate],DATE(2026,6,13),tblDaily[WardCode],"MW")=0,"",SUMIFS(tblDaily[Discharges],tblDaily[EntryDate],DATE(2026,6,13),tblDaily[WardCode],"MW")),"")</f>
        <v/>
      </c>
      <c r="D214" s="5" t="str">
        <f>IFERROR(IF(SUMIFS(tblDaily[Deaths],tblDaily[EntryDate],DATE(2026,6,13),tblDaily[WardCode],"MW")=0,"",SUMIFS(tblDaily[Deaths],tblDaily[EntryDate],DATE(2026,6,13),tblDaily[WardCode],"MW")),"")</f>
        <v/>
      </c>
      <c r="E214" s="5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5" t="str">
        <f>IFERROR(IF(SUMIFS(tblDaily[TransfersIn],tblDaily[EntryDate],DATE(2026,6,13),tblDaily[WardCode],"MW")=0,"",SUMIFS(tblDaily[TransfersIn],tblDaily[EntryDate],DATE(2026,6,13),tblDaily[WardCode],"MW")),"")</f>
        <v/>
      </c>
      <c r="G214" s="5" t="str">
        <f>IFERROR(IF(SUMIFS(tblDaily[TransfersOut],tblDaily[EntryDate],DATE(2026,6,13),tblDaily[WardCode],"MW")=0,"",SUMIFS(tblDaily[TransfersOut],tblDaily[EntryDate],DATE(2026,6,13),tblDaily[WardCode],"MW")),"")</f>
        <v/>
      </c>
      <c r="H214" s="5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IFERROR(IF(SUMIFS(tblDaily[Admissions],tblDaily[EntryDate],DATE(2026,6,14),tblDaily[WardCode],"MW")=0,"",SUMIFS(tblDaily[Admissions],tblDaily[EntryDate],DATE(2026,6,14),tblDaily[WardCode],"MW")),"")</f>
        <v/>
      </c>
      <c r="C215" s="5" t="str">
        <f>IFERROR(IF(SUMIFS(tblDaily[Discharges],tblDaily[EntryDate],DATE(2026,6,14),tblDaily[WardCode],"MW")=0,"",SUMIFS(tblDaily[Discharges],tblDaily[EntryDate],DATE(2026,6,14),tblDaily[WardCode],"MW")),"")</f>
        <v/>
      </c>
      <c r="D215" s="5" t="str">
        <f>IFERROR(IF(SUMIFS(tblDaily[Deaths],tblDaily[EntryDate],DATE(2026,6,14),tblDaily[WardCode],"MW")=0,"",SUMIFS(tblDaily[Deaths],tblDaily[EntryDate],DATE(2026,6,14),tblDaily[WardCode],"MW")),"")</f>
        <v/>
      </c>
      <c r="E215" s="5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5" t="str">
        <f>IFERROR(IF(SUMIFS(tblDaily[TransfersIn],tblDaily[EntryDate],DATE(2026,6,14),tblDaily[WardCode],"MW")=0,"",SUMIFS(tblDaily[TransfersIn],tblDaily[EntryDate],DATE(2026,6,14),tblDaily[WardCode],"MW")),"")</f>
        <v/>
      </c>
      <c r="G215" s="5" t="str">
        <f>IFERROR(IF(SUMIFS(tblDaily[TransfersOut],tblDaily[EntryDate],DATE(2026,6,14),tblDaily[WardCode],"MW")=0,"",SUMIFS(tblDaily[TransfersOut],tblDaily[EntryDate],DATE(2026,6,14),tblDaily[WardCode],"MW")),"")</f>
        <v/>
      </c>
      <c r="H215" s="5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IFERROR(IF(SUMIFS(tblDaily[Admissions],tblDaily[EntryDate],DATE(2026,6,15),tblDaily[WardCode],"MW")=0,"",SUMIFS(tblDaily[Admissions],tblDaily[EntryDate],DATE(2026,6,15),tblDaily[WardCode],"MW")),"")</f>
        <v/>
      </c>
      <c r="C216" s="5" t="str">
        <f>IFERROR(IF(SUMIFS(tblDaily[Discharges],tblDaily[EntryDate],DATE(2026,6,15),tblDaily[WardCode],"MW")=0,"",SUMIFS(tblDaily[Discharges],tblDaily[EntryDate],DATE(2026,6,15),tblDaily[WardCode],"MW")),"")</f>
        <v/>
      </c>
      <c r="D216" s="5" t="str">
        <f>IFERROR(IF(SUMIFS(tblDaily[Deaths],tblDaily[EntryDate],DATE(2026,6,15),tblDaily[WardCode],"MW")=0,"",SUMIFS(tblDaily[Deaths],tblDaily[EntryDate],DATE(2026,6,15),tblDaily[WardCode],"MW")),"")</f>
        <v/>
      </c>
      <c r="E216" s="5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5" t="str">
        <f>IFERROR(IF(SUMIFS(tblDaily[TransfersIn],tblDaily[EntryDate],DATE(2026,6,15),tblDaily[WardCode],"MW")=0,"",SUMIFS(tblDaily[TransfersIn],tblDaily[EntryDate],DATE(2026,6,15),tblDaily[WardCode],"MW")),"")</f>
        <v/>
      </c>
      <c r="G216" s="5" t="str">
        <f>IFERROR(IF(SUMIFS(tblDaily[TransfersOut],tblDaily[EntryDate],DATE(2026,6,15),tblDaily[WardCode],"MW")=0,"",SUMIFS(tblDaily[TransfersOut],tblDaily[EntryDate],DATE(2026,6,15),tblDaily[WardCode],"MW")),"")</f>
        <v/>
      </c>
      <c r="H216" s="5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IFERROR(IF(SUMIFS(tblDaily[Admissions],tblDaily[EntryDate],DATE(2026,6,16),tblDaily[WardCode],"MW")=0,"",SUMIFS(tblDaily[Admissions],tblDaily[EntryDate],DATE(2026,6,16),tblDaily[WardCode],"MW")),"")</f>
        <v/>
      </c>
      <c r="C217" s="5" t="str">
        <f>IFERROR(IF(SUMIFS(tblDaily[Discharges],tblDaily[EntryDate],DATE(2026,6,16),tblDaily[WardCode],"MW")=0,"",SUMIFS(tblDaily[Discharges],tblDaily[EntryDate],DATE(2026,6,16),tblDaily[WardCode],"MW")),"")</f>
        <v/>
      </c>
      <c r="D217" s="5" t="str">
        <f>IFERROR(IF(SUMIFS(tblDaily[Deaths],tblDaily[EntryDate],DATE(2026,6,16),tblDaily[WardCode],"MW")=0,"",SUMIFS(tblDaily[Deaths],tblDaily[EntryDate],DATE(2026,6,16),tblDaily[WardCode],"MW")),"")</f>
        <v/>
      </c>
      <c r="E217" s="5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5" t="str">
        <f>IFERROR(IF(SUMIFS(tblDaily[TransfersIn],tblDaily[EntryDate],DATE(2026,6,16),tblDaily[WardCode],"MW")=0,"",SUMIFS(tblDaily[TransfersIn],tblDaily[EntryDate],DATE(2026,6,16),tblDaily[WardCode],"MW")),"")</f>
        <v/>
      </c>
      <c r="G217" s="5" t="str">
        <f>IFERROR(IF(SUMIFS(tblDaily[TransfersOut],tblDaily[EntryDate],DATE(2026,6,16),tblDaily[WardCode],"MW")=0,"",SUMIFS(tblDaily[TransfersOut],tblDaily[EntryDate],DATE(2026,6,16),tblDaily[WardCode],"MW")),"")</f>
        <v/>
      </c>
      <c r="H217" s="5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IFERROR(IF(SUMIFS(tblDaily[Admissions],tblDaily[EntryDate],DATE(2026,6,17),tblDaily[WardCode],"MW")=0,"",SUMIFS(tblDaily[Admissions],tblDaily[EntryDate],DATE(2026,6,17),tblDaily[WardCode],"MW")),"")</f>
        <v/>
      </c>
      <c r="C218" s="5" t="str">
        <f>IFERROR(IF(SUMIFS(tblDaily[Discharges],tblDaily[EntryDate],DATE(2026,6,17),tblDaily[WardCode],"MW")=0,"",SUMIFS(tblDaily[Discharges],tblDaily[EntryDate],DATE(2026,6,17),tblDaily[WardCode],"MW")),"")</f>
        <v/>
      </c>
      <c r="D218" s="5" t="str">
        <f>IFERROR(IF(SUMIFS(tblDaily[Deaths],tblDaily[EntryDate],DATE(2026,6,17),tblDaily[WardCode],"MW")=0,"",SUMIFS(tblDaily[Deaths],tblDaily[EntryDate],DATE(2026,6,17),tblDaily[WardCode],"MW")),"")</f>
        <v/>
      </c>
      <c r="E218" s="5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5" t="str">
        <f>IFERROR(IF(SUMIFS(tblDaily[TransfersIn],tblDaily[EntryDate],DATE(2026,6,17),tblDaily[WardCode],"MW")=0,"",SUMIFS(tblDaily[TransfersIn],tblDaily[EntryDate],DATE(2026,6,17),tblDaily[WardCode],"MW")),"")</f>
        <v/>
      </c>
      <c r="G218" s="5" t="str">
        <f>IFERROR(IF(SUMIFS(tblDaily[TransfersOut],tblDaily[EntryDate],DATE(2026,6,17),tblDaily[WardCode],"MW")=0,"",SUMIFS(tblDaily[TransfersOut],tblDaily[EntryDate],DATE(2026,6,17),tblDaily[WardCode],"MW")),"")</f>
        <v/>
      </c>
      <c r="H218" s="5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IFERROR(IF(SUMIFS(tblDaily[Admissions],tblDaily[EntryDate],DATE(2026,6,18),tblDaily[WardCode],"MW")=0,"",SUMIFS(tblDaily[Admissions],tblDaily[EntryDate],DATE(2026,6,18),tblDaily[WardCode],"MW")),"")</f>
        <v/>
      </c>
      <c r="C219" s="5" t="str">
        <f>IFERROR(IF(SUMIFS(tblDaily[Discharges],tblDaily[EntryDate],DATE(2026,6,18),tblDaily[WardCode],"MW")=0,"",SUMIFS(tblDaily[Discharges],tblDaily[EntryDate],DATE(2026,6,18),tblDaily[WardCode],"MW")),"")</f>
        <v/>
      </c>
      <c r="D219" s="5" t="str">
        <f>IFERROR(IF(SUMIFS(tblDaily[Deaths],tblDaily[EntryDate],DATE(2026,6,18),tblDaily[WardCode],"MW")=0,"",SUMIFS(tblDaily[Deaths],tblDaily[EntryDate],DATE(2026,6,18),tblDaily[WardCode],"MW")),"")</f>
        <v/>
      </c>
      <c r="E219" s="5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5" t="str">
        <f>IFERROR(IF(SUMIFS(tblDaily[TransfersIn],tblDaily[EntryDate],DATE(2026,6,18),tblDaily[WardCode],"MW")=0,"",SUMIFS(tblDaily[TransfersIn],tblDaily[EntryDate],DATE(2026,6,18),tblDaily[WardCode],"MW")),"")</f>
        <v/>
      </c>
      <c r="G219" s="5" t="str">
        <f>IFERROR(IF(SUMIFS(tblDaily[TransfersOut],tblDaily[EntryDate],DATE(2026,6,18),tblDaily[WardCode],"MW")=0,"",SUMIFS(tblDaily[TransfersOut],tblDaily[EntryDate],DATE(2026,6,18),tblDaily[WardCode],"MW")),"")</f>
        <v/>
      </c>
      <c r="H219" s="5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IFERROR(IF(SUMIFS(tblDaily[Admissions],tblDaily[EntryDate],DATE(2026,6,19),tblDaily[WardCode],"MW")=0,"",SUMIFS(tblDaily[Admissions],tblDaily[EntryDate],DATE(2026,6,19),tblDaily[WardCode],"MW")),"")</f>
        <v/>
      </c>
      <c r="C220" s="5" t="str">
        <f>IFERROR(IF(SUMIFS(tblDaily[Discharges],tblDaily[EntryDate],DATE(2026,6,19),tblDaily[WardCode],"MW")=0,"",SUMIFS(tblDaily[Discharges],tblDaily[EntryDate],DATE(2026,6,19),tblDaily[WardCode],"MW")),"")</f>
        <v/>
      </c>
      <c r="D220" s="5" t="str">
        <f>IFERROR(IF(SUMIFS(tblDaily[Deaths],tblDaily[EntryDate],DATE(2026,6,19),tblDaily[WardCode],"MW")=0,"",SUMIFS(tblDaily[Deaths],tblDaily[EntryDate],DATE(2026,6,19),tblDaily[WardCode],"MW")),"")</f>
        <v/>
      </c>
      <c r="E220" s="5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5" t="str">
        <f>IFERROR(IF(SUMIFS(tblDaily[TransfersIn],tblDaily[EntryDate],DATE(2026,6,19),tblDaily[WardCode],"MW")=0,"",SUMIFS(tblDaily[TransfersIn],tblDaily[EntryDate],DATE(2026,6,19),tblDaily[WardCode],"MW")),"")</f>
        <v/>
      </c>
      <c r="G220" s="5" t="str">
        <f>IFERROR(IF(SUMIFS(tblDaily[TransfersOut],tblDaily[EntryDate],DATE(2026,6,19),tblDaily[WardCode],"MW")=0,"",SUMIFS(tblDaily[TransfersOut],tblDaily[EntryDate],DATE(2026,6,19),tblDaily[WardCode],"MW")),"")</f>
        <v/>
      </c>
      <c r="H220" s="5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IFERROR(IF(SUMIFS(tblDaily[Admissions],tblDaily[EntryDate],DATE(2026,6,20),tblDaily[WardCode],"MW")=0,"",SUMIFS(tblDaily[Admissions],tblDaily[EntryDate],DATE(2026,6,20),tblDaily[WardCode],"MW")),"")</f>
        <v/>
      </c>
      <c r="C221" s="5" t="str">
        <f>IFERROR(IF(SUMIFS(tblDaily[Discharges],tblDaily[EntryDate],DATE(2026,6,20),tblDaily[WardCode],"MW")=0,"",SUMIFS(tblDaily[Discharges],tblDaily[EntryDate],DATE(2026,6,20),tblDaily[WardCode],"MW")),"")</f>
        <v/>
      </c>
      <c r="D221" s="5" t="str">
        <f>IFERROR(IF(SUMIFS(tblDaily[Deaths],tblDaily[EntryDate],DATE(2026,6,20),tblDaily[WardCode],"MW")=0,"",SUMIFS(tblDaily[Deaths],tblDaily[EntryDate],DATE(2026,6,20),tblDaily[WardCode],"MW")),"")</f>
        <v/>
      </c>
      <c r="E221" s="5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5" t="str">
        <f>IFERROR(IF(SUMIFS(tblDaily[TransfersIn],tblDaily[EntryDate],DATE(2026,6,20),tblDaily[WardCode],"MW")=0,"",SUMIFS(tblDaily[TransfersIn],tblDaily[EntryDate],DATE(2026,6,20),tblDaily[WardCode],"MW")),"")</f>
        <v/>
      </c>
      <c r="G221" s="5" t="str">
        <f>IFERROR(IF(SUMIFS(tblDaily[TransfersOut],tblDaily[EntryDate],DATE(2026,6,20),tblDaily[WardCode],"MW")=0,"",SUMIFS(tblDaily[TransfersOut],tblDaily[EntryDate],DATE(2026,6,20),tblDaily[WardCode],"MW")),"")</f>
        <v/>
      </c>
      <c r="H221" s="5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IFERROR(IF(SUMIFS(tblDaily[Admissions],tblDaily[EntryDate],DATE(2026,6,21),tblDaily[WardCode],"MW")=0,"",SUMIFS(tblDaily[Admissions],tblDaily[EntryDate],DATE(2026,6,21),tblDaily[WardCode],"MW")),"")</f>
        <v/>
      </c>
      <c r="C222" s="5" t="str">
        <f>IFERROR(IF(SUMIFS(tblDaily[Discharges],tblDaily[EntryDate],DATE(2026,6,21),tblDaily[WardCode],"MW")=0,"",SUMIFS(tblDaily[Discharges],tblDaily[EntryDate],DATE(2026,6,21),tblDaily[WardCode],"MW")),"")</f>
        <v/>
      </c>
      <c r="D222" s="5" t="str">
        <f>IFERROR(IF(SUMIFS(tblDaily[Deaths],tblDaily[EntryDate],DATE(2026,6,21),tblDaily[WardCode],"MW")=0,"",SUMIFS(tblDaily[Deaths],tblDaily[EntryDate],DATE(2026,6,21),tblDaily[WardCode],"MW")),"")</f>
        <v/>
      </c>
      <c r="E222" s="5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5" t="str">
        <f>IFERROR(IF(SUMIFS(tblDaily[TransfersIn],tblDaily[EntryDate],DATE(2026,6,21),tblDaily[WardCode],"MW")=0,"",SUMIFS(tblDaily[TransfersIn],tblDaily[EntryDate],DATE(2026,6,21),tblDaily[WardCode],"MW")),"")</f>
        <v/>
      </c>
      <c r="G222" s="5" t="str">
        <f>IFERROR(IF(SUMIFS(tblDaily[TransfersOut],tblDaily[EntryDate],DATE(2026,6,21),tblDaily[WardCode],"MW")=0,"",SUMIFS(tblDaily[TransfersOut],tblDaily[EntryDate],DATE(2026,6,21),tblDaily[WardCode],"MW")),"")</f>
        <v/>
      </c>
      <c r="H222" s="5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IFERROR(IF(SUMIFS(tblDaily[Admissions],tblDaily[EntryDate],DATE(2026,6,22),tblDaily[WardCode],"MW")=0,"",SUMIFS(tblDaily[Admissions],tblDaily[EntryDate],DATE(2026,6,22),tblDaily[WardCode],"MW")),"")</f>
        <v/>
      </c>
      <c r="C223" s="5" t="str">
        <f>IFERROR(IF(SUMIFS(tblDaily[Discharges],tblDaily[EntryDate],DATE(2026,6,22),tblDaily[WardCode],"MW")=0,"",SUMIFS(tblDaily[Discharges],tblDaily[EntryDate],DATE(2026,6,22),tblDaily[WardCode],"MW")),"")</f>
        <v/>
      </c>
      <c r="D223" s="5" t="str">
        <f>IFERROR(IF(SUMIFS(tblDaily[Deaths],tblDaily[EntryDate],DATE(2026,6,22),tblDaily[WardCode],"MW")=0,"",SUMIFS(tblDaily[Deaths],tblDaily[EntryDate],DATE(2026,6,22),tblDaily[WardCode],"MW")),"")</f>
        <v/>
      </c>
      <c r="E223" s="5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5" t="str">
        <f>IFERROR(IF(SUMIFS(tblDaily[TransfersIn],tblDaily[EntryDate],DATE(2026,6,22),tblDaily[WardCode],"MW")=0,"",SUMIFS(tblDaily[TransfersIn],tblDaily[EntryDate],DATE(2026,6,22),tblDaily[WardCode],"MW")),"")</f>
        <v/>
      </c>
      <c r="G223" s="5" t="str">
        <f>IFERROR(IF(SUMIFS(tblDaily[TransfersOut],tblDaily[EntryDate],DATE(2026,6,22),tblDaily[WardCode],"MW")=0,"",SUMIFS(tblDaily[TransfersOut],tblDaily[EntryDate],DATE(2026,6,22),tblDaily[WardCode],"MW")),"")</f>
        <v/>
      </c>
      <c r="H223" s="5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IFERROR(IF(SUMIFS(tblDaily[Admissions],tblDaily[EntryDate],DATE(2026,6,23),tblDaily[WardCode],"MW")=0,"",SUMIFS(tblDaily[Admissions],tblDaily[EntryDate],DATE(2026,6,23),tblDaily[WardCode],"MW")),"")</f>
        <v/>
      </c>
      <c r="C224" s="5" t="str">
        <f>IFERROR(IF(SUMIFS(tblDaily[Discharges],tblDaily[EntryDate],DATE(2026,6,23),tblDaily[WardCode],"MW")=0,"",SUMIFS(tblDaily[Discharges],tblDaily[EntryDate],DATE(2026,6,23),tblDaily[WardCode],"MW")),"")</f>
        <v/>
      </c>
      <c r="D224" s="5" t="str">
        <f>IFERROR(IF(SUMIFS(tblDaily[Deaths],tblDaily[EntryDate],DATE(2026,6,23),tblDaily[WardCode],"MW")=0,"",SUMIFS(tblDaily[Deaths],tblDaily[EntryDate],DATE(2026,6,23),tblDaily[WardCode],"MW")),"")</f>
        <v/>
      </c>
      <c r="E224" s="5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5" t="str">
        <f>IFERROR(IF(SUMIFS(tblDaily[TransfersIn],tblDaily[EntryDate],DATE(2026,6,23),tblDaily[WardCode],"MW")=0,"",SUMIFS(tblDaily[TransfersIn],tblDaily[EntryDate],DATE(2026,6,23),tblDaily[WardCode],"MW")),"")</f>
        <v/>
      </c>
      <c r="G224" s="5" t="str">
        <f>IFERROR(IF(SUMIFS(tblDaily[TransfersOut],tblDaily[EntryDate],DATE(2026,6,23),tblDaily[WardCode],"MW")=0,"",SUMIFS(tblDaily[TransfersOut],tblDaily[EntryDate],DATE(2026,6,23),tblDaily[WardCode],"MW")),"")</f>
        <v/>
      </c>
      <c r="H224" s="5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IFERROR(IF(SUMIFS(tblDaily[Admissions],tblDaily[EntryDate],DATE(2026,6,24),tblDaily[WardCode],"MW")=0,"",SUMIFS(tblDaily[Admissions],tblDaily[EntryDate],DATE(2026,6,24),tblDaily[WardCode],"MW")),"")</f>
        <v/>
      </c>
      <c r="C225" s="5" t="str">
        <f>IFERROR(IF(SUMIFS(tblDaily[Discharges],tblDaily[EntryDate],DATE(2026,6,24),tblDaily[WardCode],"MW")=0,"",SUMIFS(tblDaily[Discharges],tblDaily[EntryDate],DATE(2026,6,24),tblDaily[WardCode],"MW")),"")</f>
        <v/>
      </c>
      <c r="D225" s="5" t="str">
        <f>IFERROR(IF(SUMIFS(tblDaily[Deaths],tblDaily[EntryDate],DATE(2026,6,24),tblDaily[WardCode],"MW")=0,"",SUMIFS(tblDaily[Deaths],tblDaily[EntryDate],DATE(2026,6,24),tblDaily[WardCode],"MW")),"")</f>
        <v/>
      </c>
      <c r="E225" s="5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5" t="str">
        <f>IFERROR(IF(SUMIFS(tblDaily[TransfersIn],tblDaily[EntryDate],DATE(2026,6,24),tblDaily[WardCode],"MW")=0,"",SUMIFS(tblDaily[TransfersIn],tblDaily[EntryDate],DATE(2026,6,24),tblDaily[WardCode],"MW")),"")</f>
        <v/>
      </c>
      <c r="G225" s="5" t="str">
        <f>IFERROR(IF(SUMIFS(tblDaily[TransfersOut],tblDaily[EntryDate],DATE(2026,6,24),tblDaily[WardCode],"MW")=0,"",SUMIFS(tblDaily[TransfersOut],tblDaily[EntryDate],DATE(2026,6,24),tblDaily[WardCode],"MW")),"")</f>
        <v/>
      </c>
      <c r="H225" s="5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IFERROR(IF(SUMIFS(tblDaily[Admissions],tblDaily[EntryDate],DATE(2026,6,25),tblDaily[WardCode],"MW")=0,"",SUMIFS(tblDaily[Admissions],tblDaily[EntryDate],DATE(2026,6,25),tblDaily[WardCode],"MW")),"")</f>
        <v/>
      </c>
      <c r="C226" s="5" t="str">
        <f>IFERROR(IF(SUMIFS(tblDaily[Discharges],tblDaily[EntryDate],DATE(2026,6,25),tblDaily[WardCode],"MW")=0,"",SUMIFS(tblDaily[Discharges],tblDaily[EntryDate],DATE(2026,6,25),tblDaily[WardCode],"MW")),"")</f>
        <v/>
      </c>
      <c r="D226" s="5" t="str">
        <f>IFERROR(IF(SUMIFS(tblDaily[Deaths],tblDaily[EntryDate],DATE(2026,6,25),tblDaily[WardCode],"MW")=0,"",SUMIFS(tblDaily[Deaths],tblDaily[EntryDate],DATE(2026,6,25),tblDaily[WardCode],"MW")),"")</f>
        <v/>
      </c>
      <c r="E226" s="5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5" t="str">
        <f>IFERROR(IF(SUMIFS(tblDaily[TransfersIn],tblDaily[EntryDate],DATE(2026,6,25),tblDaily[WardCode],"MW")=0,"",SUMIFS(tblDaily[TransfersIn],tblDaily[EntryDate],DATE(2026,6,25),tblDaily[WardCode],"MW")),"")</f>
        <v/>
      </c>
      <c r="G226" s="5" t="str">
        <f>IFERROR(IF(SUMIFS(tblDaily[TransfersOut],tblDaily[EntryDate],DATE(2026,6,25),tblDaily[WardCode],"MW")=0,"",SUMIFS(tblDaily[TransfersOut],tblDaily[EntryDate],DATE(2026,6,25),tblDaily[WardCode],"MW")),"")</f>
        <v/>
      </c>
      <c r="H226" s="5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IFERROR(IF(SUMIFS(tblDaily[Admissions],tblDaily[EntryDate],DATE(2026,6,26),tblDaily[WardCode],"MW")=0,"",SUMIFS(tblDaily[Admissions],tblDaily[EntryDate],DATE(2026,6,26),tblDaily[WardCode],"MW")),"")</f>
        <v/>
      </c>
      <c r="C227" s="5" t="str">
        <f>IFERROR(IF(SUMIFS(tblDaily[Discharges],tblDaily[EntryDate],DATE(2026,6,26),tblDaily[WardCode],"MW")=0,"",SUMIFS(tblDaily[Discharges],tblDaily[EntryDate],DATE(2026,6,26),tblDaily[WardCode],"MW")),"")</f>
        <v/>
      </c>
      <c r="D227" s="5" t="str">
        <f>IFERROR(IF(SUMIFS(tblDaily[Deaths],tblDaily[EntryDate],DATE(2026,6,26),tblDaily[WardCode],"MW")=0,"",SUMIFS(tblDaily[Deaths],tblDaily[EntryDate],DATE(2026,6,26),tblDaily[WardCode],"MW")),"")</f>
        <v/>
      </c>
      <c r="E227" s="5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5" t="str">
        <f>IFERROR(IF(SUMIFS(tblDaily[TransfersIn],tblDaily[EntryDate],DATE(2026,6,26),tblDaily[WardCode],"MW")=0,"",SUMIFS(tblDaily[TransfersIn],tblDaily[EntryDate],DATE(2026,6,26),tblDaily[WardCode],"MW")),"")</f>
        <v/>
      </c>
      <c r="G227" s="5" t="str">
        <f>IFERROR(IF(SUMIFS(tblDaily[TransfersOut],tblDaily[EntryDate],DATE(2026,6,26),tblDaily[WardCode],"MW")=0,"",SUMIFS(tblDaily[TransfersOut],tblDaily[EntryDate],DATE(2026,6,26),tblDaily[WardCode],"MW")),"")</f>
        <v/>
      </c>
      <c r="H227" s="5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IFERROR(IF(SUMIFS(tblDaily[Admissions],tblDaily[EntryDate],DATE(2026,6,27),tblDaily[WardCode],"MW")=0,"",SUMIFS(tblDaily[Admissions],tblDaily[EntryDate],DATE(2026,6,27),tblDaily[WardCode],"MW")),"")</f>
        <v/>
      </c>
      <c r="C228" s="5" t="str">
        <f>IFERROR(IF(SUMIFS(tblDaily[Discharges],tblDaily[EntryDate],DATE(2026,6,27),tblDaily[WardCode],"MW")=0,"",SUMIFS(tblDaily[Discharges],tblDaily[EntryDate],DATE(2026,6,27),tblDaily[WardCode],"MW")),"")</f>
        <v/>
      </c>
      <c r="D228" s="5" t="str">
        <f>IFERROR(IF(SUMIFS(tblDaily[Deaths],tblDaily[EntryDate],DATE(2026,6,27),tblDaily[WardCode],"MW")=0,"",SUMIFS(tblDaily[Deaths],tblDaily[EntryDate],DATE(2026,6,27),tblDaily[WardCode],"MW")),"")</f>
        <v/>
      </c>
      <c r="E228" s="5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5" t="str">
        <f>IFERROR(IF(SUMIFS(tblDaily[TransfersIn],tblDaily[EntryDate],DATE(2026,6,27),tblDaily[WardCode],"MW")=0,"",SUMIFS(tblDaily[TransfersIn],tblDaily[EntryDate],DATE(2026,6,27),tblDaily[WardCode],"MW")),"")</f>
        <v/>
      </c>
      <c r="G228" s="5" t="str">
        <f>IFERROR(IF(SUMIFS(tblDaily[TransfersOut],tblDaily[EntryDate],DATE(2026,6,27),tblDaily[WardCode],"MW")=0,"",SUMIFS(tblDaily[TransfersOut],tblDaily[EntryDate],DATE(2026,6,27),tblDaily[WardCode],"MW")),"")</f>
        <v/>
      </c>
      <c r="H228" s="5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IFERROR(IF(SUMIFS(tblDaily[Admissions],tblDaily[EntryDate],DATE(2026,6,28),tblDaily[WardCode],"MW")=0,"",SUMIFS(tblDaily[Admissions],tblDaily[EntryDate],DATE(2026,6,28),tblDaily[WardCode],"MW")),"")</f>
        <v/>
      </c>
      <c r="C229" s="5" t="str">
        <f>IFERROR(IF(SUMIFS(tblDaily[Discharges],tblDaily[EntryDate],DATE(2026,6,28),tblDaily[WardCode],"MW")=0,"",SUMIFS(tblDaily[Discharges],tblDaily[EntryDate],DATE(2026,6,28),tblDaily[WardCode],"MW")),"")</f>
        <v/>
      </c>
      <c r="D229" s="5" t="str">
        <f>IFERROR(IF(SUMIFS(tblDaily[Deaths],tblDaily[EntryDate],DATE(2026,6,28),tblDaily[WardCode],"MW")=0,"",SUMIFS(tblDaily[Deaths],tblDaily[EntryDate],DATE(2026,6,28),tblDaily[WardCode],"MW")),"")</f>
        <v/>
      </c>
      <c r="E229" s="5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5" t="str">
        <f>IFERROR(IF(SUMIFS(tblDaily[TransfersIn],tblDaily[EntryDate],DATE(2026,6,28),tblDaily[WardCode],"MW")=0,"",SUMIFS(tblDaily[TransfersIn],tblDaily[EntryDate],DATE(2026,6,28),tblDaily[WardCode],"MW")),"")</f>
        <v/>
      </c>
      <c r="G229" s="5" t="str">
        <f>IFERROR(IF(SUMIFS(tblDaily[TransfersOut],tblDaily[EntryDate],DATE(2026,6,28),tblDaily[WardCode],"MW")=0,"",SUMIFS(tblDaily[TransfersOut],tblDaily[EntryDate],DATE(2026,6,28),tblDaily[WardCode],"MW")),"")</f>
        <v/>
      </c>
      <c r="H229" s="5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IFERROR(IF(SUMIFS(tblDaily[Admissions],tblDaily[EntryDate],DATE(2026,6,29),tblDaily[WardCode],"MW")=0,"",SUMIFS(tblDaily[Admissions],tblDaily[EntryDate],DATE(2026,6,29),tblDaily[WardCode],"MW")),"")</f>
        <v/>
      </c>
      <c r="C230" s="5" t="str">
        <f>IFERROR(IF(SUMIFS(tblDaily[Discharges],tblDaily[EntryDate],DATE(2026,6,29),tblDaily[WardCode],"MW")=0,"",SUMIFS(tblDaily[Discharges],tblDaily[EntryDate],DATE(2026,6,29),tblDaily[WardCode],"MW")),"")</f>
        <v/>
      </c>
      <c r="D230" s="5" t="str">
        <f>IFERROR(IF(SUMIFS(tblDaily[Deaths],tblDaily[EntryDate],DATE(2026,6,29),tblDaily[WardCode],"MW")=0,"",SUMIFS(tblDaily[Deaths],tblDaily[EntryDate],DATE(2026,6,29),tblDaily[WardCode],"MW")),"")</f>
        <v/>
      </c>
      <c r="E230" s="5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5" t="str">
        <f>IFERROR(IF(SUMIFS(tblDaily[TransfersIn],tblDaily[EntryDate],DATE(2026,6,29),tblDaily[WardCode],"MW")=0,"",SUMIFS(tblDaily[TransfersIn],tblDaily[EntryDate],DATE(2026,6,29),tblDaily[WardCode],"MW")),"")</f>
        <v/>
      </c>
      <c r="G230" s="5" t="str">
        <f>IFERROR(IF(SUMIFS(tblDaily[TransfersOut],tblDaily[EntryDate],DATE(2026,6,29),tblDaily[WardCode],"MW")=0,"",SUMIFS(tblDaily[TransfersOut],tblDaily[EntryDate],DATE(2026,6,29),tblDaily[WardCode],"MW")),"")</f>
        <v/>
      </c>
      <c r="H230" s="5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IFERROR(IF(SUMIFS(tblDaily[Admissions],tblDaily[EntryDate],DATE(2026,6,30),tblDaily[WardCode],"MW")=0,"",SUMIFS(tblDaily[Admissions],tblDaily[EntryDate],DATE(2026,6,30),tblDaily[WardCode],"MW")),"")</f>
        <v/>
      </c>
      <c r="C231" s="5" t="str">
        <f>IFERROR(IF(SUMIFS(tblDaily[Discharges],tblDaily[EntryDate],DATE(2026,6,30),tblDaily[WardCode],"MW")=0,"",SUMIFS(tblDaily[Discharges],tblDaily[EntryDate],DATE(2026,6,30),tblDaily[WardCode],"MW")),"")</f>
        <v/>
      </c>
      <c r="D231" s="5" t="str">
        <f>IFERROR(IF(SUMIFS(tblDaily[Deaths],tblDaily[EntryDate],DATE(2026,6,30),tblDaily[WardCode],"MW")=0,"",SUMIFS(tblDaily[Deaths],tblDaily[EntryDate],DATE(2026,6,30),tblDaily[WardCode],"MW")),"")</f>
        <v/>
      </c>
      <c r="E231" s="5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5" t="str">
        <f>IFERROR(IF(SUMIFS(tblDaily[TransfersIn],tblDaily[EntryDate],DATE(2026,6,30),tblDaily[WardCode],"MW")=0,"",SUMIFS(tblDaily[TransfersIn],tblDaily[EntryDate],DATE(2026,6,30),tblDaily[WardCode],"MW")),"")</f>
        <v/>
      </c>
      <c r="G231" s="5" t="str">
        <f>IFERROR(IF(SUMIFS(tblDaily[TransfersOut],tblDaily[EntryDate],DATE(2026,6,30),tblDaily[WardCode],"MW")=0,"",SUMIFS(tblDaily[TransfersOut],tblDaily[EntryDate],DATE(2026,6,30),tblDaily[WardCode],"MW")),"")</f>
        <v/>
      </c>
      <c r="H231" s="5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86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89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IFERROR(IF(SUMIFS(tblDaily[Admissions],tblDaily[EntryDate],DATE(2026,7,1),tblDaily[WardCode],"MW")=0,"",SUMIFS(tblDaily[Admissions],tblDaily[EntryDate],DATE(2026,7,1),tblDaily[WardCode],"MW")),"")</f>
        <v/>
      </c>
      <c r="C241" s="5" t="str">
        <f>IFERROR(IF(SUMIFS(tblDaily[Discharges],tblDaily[EntryDate],DATE(2026,7,1),tblDaily[WardCode],"MW")=0,"",SUMIFS(tblDaily[Discharges],tblDaily[EntryDate],DATE(2026,7,1),tblDaily[WardCode],"MW")),"")</f>
        <v/>
      </c>
      <c r="D241" s="5" t="str">
        <f>IFERROR(IF(SUMIFS(tblDaily[Deaths],tblDaily[EntryDate],DATE(2026,7,1),tblDaily[WardCode],"MW")=0,"",SUMIFS(tblDaily[Deaths],tblDaily[EntryDate],DATE(2026,7,1),tblDaily[WardCode],"MW")),"")</f>
        <v/>
      </c>
      <c r="E241" s="5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5" t="str">
        <f>IFERROR(IF(SUMIFS(tblDaily[TransfersIn],tblDaily[EntryDate],DATE(2026,7,1),tblDaily[WardCode],"MW")=0,"",SUMIFS(tblDaily[TransfersIn],tblDaily[EntryDate],DATE(2026,7,1),tblDaily[WardCode],"MW")),"")</f>
        <v/>
      </c>
      <c r="G241" s="5" t="str">
        <f>IFERROR(IF(SUMIFS(tblDaily[TransfersOut],tblDaily[EntryDate],DATE(2026,7,1),tblDaily[WardCode],"MW")=0,"",SUMIFS(tblDaily[TransfersOut],tblDaily[EntryDate],DATE(2026,7,1),tblDaily[WardCode],"MW")),"")</f>
        <v/>
      </c>
      <c r="H241" s="5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IFERROR(IF(SUMIFS(tblDaily[Admissions],tblDaily[EntryDate],DATE(2026,7,2),tblDaily[WardCode],"MW")=0,"",SUMIFS(tblDaily[Admissions],tblDaily[EntryDate],DATE(2026,7,2),tblDaily[WardCode],"MW")),"")</f>
        <v/>
      </c>
      <c r="C242" s="5" t="str">
        <f>IFERROR(IF(SUMIFS(tblDaily[Discharges],tblDaily[EntryDate],DATE(2026,7,2),tblDaily[WardCode],"MW")=0,"",SUMIFS(tblDaily[Discharges],tblDaily[EntryDate],DATE(2026,7,2),tblDaily[WardCode],"MW")),"")</f>
        <v/>
      </c>
      <c r="D242" s="5" t="str">
        <f>IFERROR(IF(SUMIFS(tblDaily[Deaths],tblDaily[EntryDate],DATE(2026,7,2),tblDaily[WardCode],"MW")=0,"",SUMIFS(tblDaily[Deaths],tblDaily[EntryDate],DATE(2026,7,2),tblDaily[WardCode],"MW")),"")</f>
        <v/>
      </c>
      <c r="E242" s="5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5" t="str">
        <f>IFERROR(IF(SUMIFS(tblDaily[TransfersIn],tblDaily[EntryDate],DATE(2026,7,2),tblDaily[WardCode],"MW")=0,"",SUMIFS(tblDaily[TransfersIn],tblDaily[EntryDate],DATE(2026,7,2),tblDaily[WardCode],"MW")),"")</f>
        <v/>
      </c>
      <c r="G242" s="5" t="str">
        <f>IFERROR(IF(SUMIFS(tblDaily[TransfersOut],tblDaily[EntryDate],DATE(2026,7,2),tblDaily[WardCode],"MW")=0,"",SUMIFS(tblDaily[TransfersOut],tblDaily[EntryDate],DATE(2026,7,2),tblDaily[WardCode],"MW")),"")</f>
        <v/>
      </c>
      <c r="H242" s="5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IFERROR(IF(SUMIFS(tblDaily[Admissions],tblDaily[EntryDate],DATE(2026,7,3),tblDaily[WardCode],"MW")=0,"",SUMIFS(tblDaily[Admissions],tblDaily[EntryDate],DATE(2026,7,3),tblDaily[WardCode],"MW")),"")</f>
        <v/>
      </c>
      <c r="C243" s="5" t="str">
        <f>IFERROR(IF(SUMIFS(tblDaily[Discharges],tblDaily[EntryDate],DATE(2026,7,3),tblDaily[WardCode],"MW")=0,"",SUMIFS(tblDaily[Discharges],tblDaily[EntryDate],DATE(2026,7,3),tblDaily[WardCode],"MW")),"")</f>
        <v/>
      </c>
      <c r="D243" s="5" t="str">
        <f>IFERROR(IF(SUMIFS(tblDaily[Deaths],tblDaily[EntryDate],DATE(2026,7,3),tblDaily[WardCode],"MW")=0,"",SUMIFS(tblDaily[Deaths],tblDaily[EntryDate],DATE(2026,7,3),tblDaily[WardCode],"MW")),"")</f>
        <v/>
      </c>
      <c r="E243" s="5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5" t="str">
        <f>IFERROR(IF(SUMIFS(tblDaily[TransfersIn],tblDaily[EntryDate],DATE(2026,7,3),tblDaily[WardCode],"MW")=0,"",SUMIFS(tblDaily[TransfersIn],tblDaily[EntryDate],DATE(2026,7,3),tblDaily[WardCode],"MW")),"")</f>
        <v/>
      </c>
      <c r="G243" s="5" t="str">
        <f>IFERROR(IF(SUMIFS(tblDaily[TransfersOut],tblDaily[EntryDate],DATE(2026,7,3),tblDaily[WardCode],"MW")=0,"",SUMIFS(tblDaily[TransfersOut],tblDaily[EntryDate],DATE(2026,7,3),tblDaily[WardCode],"MW")),"")</f>
        <v/>
      </c>
      <c r="H243" s="5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IFERROR(IF(SUMIFS(tblDaily[Admissions],tblDaily[EntryDate],DATE(2026,7,4),tblDaily[WardCode],"MW")=0,"",SUMIFS(tblDaily[Admissions],tblDaily[EntryDate],DATE(2026,7,4),tblDaily[WardCode],"MW")),"")</f>
        <v/>
      </c>
      <c r="C244" s="5" t="str">
        <f>IFERROR(IF(SUMIFS(tblDaily[Discharges],tblDaily[EntryDate],DATE(2026,7,4),tblDaily[WardCode],"MW")=0,"",SUMIFS(tblDaily[Discharges],tblDaily[EntryDate],DATE(2026,7,4),tblDaily[WardCode],"MW")),"")</f>
        <v/>
      </c>
      <c r="D244" s="5" t="str">
        <f>IFERROR(IF(SUMIFS(tblDaily[Deaths],tblDaily[EntryDate],DATE(2026,7,4),tblDaily[WardCode],"MW")=0,"",SUMIFS(tblDaily[Deaths],tblDaily[EntryDate],DATE(2026,7,4),tblDaily[WardCode],"MW")),"")</f>
        <v/>
      </c>
      <c r="E244" s="5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5" t="str">
        <f>IFERROR(IF(SUMIFS(tblDaily[TransfersIn],tblDaily[EntryDate],DATE(2026,7,4),tblDaily[WardCode],"MW")=0,"",SUMIFS(tblDaily[TransfersIn],tblDaily[EntryDate],DATE(2026,7,4),tblDaily[WardCode],"MW")),"")</f>
        <v/>
      </c>
      <c r="G244" s="5" t="str">
        <f>IFERROR(IF(SUMIFS(tblDaily[TransfersOut],tblDaily[EntryDate],DATE(2026,7,4),tblDaily[WardCode],"MW")=0,"",SUMIFS(tblDaily[TransfersOut],tblDaily[EntryDate],DATE(2026,7,4),tblDaily[WardCode],"MW")),"")</f>
        <v/>
      </c>
      <c r="H244" s="5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IFERROR(IF(SUMIFS(tblDaily[Admissions],tblDaily[EntryDate],DATE(2026,7,5),tblDaily[WardCode],"MW")=0,"",SUMIFS(tblDaily[Admissions],tblDaily[EntryDate],DATE(2026,7,5),tblDaily[WardCode],"MW")),"")</f>
        <v/>
      </c>
      <c r="C245" s="5" t="str">
        <f>IFERROR(IF(SUMIFS(tblDaily[Discharges],tblDaily[EntryDate],DATE(2026,7,5),tblDaily[WardCode],"MW")=0,"",SUMIFS(tblDaily[Discharges],tblDaily[EntryDate],DATE(2026,7,5),tblDaily[WardCode],"MW")),"")</f>
        <v/>
      </c>
      <c r="D245" s="5" t="str">
        <f>IFERROR(IF(SUMIFS(tblDaily[Deaths],tblDaily[EntryDate],DATE(2026,7,5),tblDaily[WardCode],"MW")=0,"",SUMIFS(tblDaily[Deaths],tblDaily[EntryDate],DATE(2026,7,5),tblDaily[WardCode],"MW")),"")</f>
        <v/>
      </c>
      <c r="E245" s="5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5" t="str">
        <f>IFERROR(IF(SUMIFS(tblDaily[TransfersIn],tblDaily[EntryDate],DATE(2026,7,5),tblDaily[WardCode],"MW")=0,"",SUMIFS(tblDaily[TransfersIn],tblDaily[EntryDate],DATE(2026,7,5),tblDaily[WardCode],"MW")),"")</f>
        <v/>
      </c>
      <c r="G245" s="5" t="str">
        <f>IFERROR(IF(SUMIFS(tblDaily[TransfersOut],tblDaily[EntryDate],DATE(2026,7,5),tblDaily[WardCode],"MW")=0,"",SUMIFS(tblDaily[TransfersOut],tblDaily[EntryDate],DATE(2026,7,5),tblDaily[WardCode],"MW")),"")</f>
        <v/>
      </c>
      <c r="H245" s="5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IFERROR(IF(SUMIFS(tblDaily[Admissions],tblDaily[EntryDate],DATE(2026,7,6),tblDaily[WardCode],"MW")=0,"",SUMIFS(tblDaily[Admissions],tblDaily[EntryDate],DATE(2026,7,6),tblDaily[WardCode],"MW")),"")</f>
        <v/>
      </c>
      <c r="C246" s="5" t="str">
        <f>IFERROR(IF(SUMIFS(tblDaily[Discharges],tblDaily[EntryDate],DATE(2026,7,6),tblDaily[WardCode],"MW")=0,"",SUMIFS(tblDaily[Discharges],tblDaily[EntryDate],DATE(2026,7,6),tblDaily[WardCode],"MW")),"")</f>
        <v/>
      </c>
      <c r="D246" s="5" t="str">
        <f>IFERROR(IF(SUMIFS(tblDaily[Deaths],tblDaily[EntryDate],DATE(2026,7,6),tblDaily[WardCode],"MW")=0,"",SUMIFS(tblDaily[Deaths],tblDaily[EntryDate],DATE(2026,7,6),tblDaily[WardCode],"MW")),"")</f>
        <v/>
      </c>
      <c r="E246" s="5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5" t="str">
        <f>IFERROR(IF(SUMIFS(tblDaily[TransfersIn],tblDaily[EntryDate],DATE(2026,7,6),tblDaily[WardCode],"MW")=0,"",SUMIFS(tblDaily[TransfersIn],tblDaily[EntryDate],DATE(2026,7,6),tblDaily[WardCode],"MW")),"")</f>
        <v/>
      </c>
      <c r="G246" s="5" t="str">
        <f>IFERROR(IF(SUMIFS(tblDaily[TransfersOut],tblDaily[EntryDate],DATE(2026,7,6),tblDaily[WardCode],"MW")=0,"",SUMIFS(tblDaily[TransfersOut],tblDaily[EntryDate],DATE(2026,7,6),tblDaily[WardCode],"MW")),"")</f>
        <v/>
      </c>
      <c r="H246" s="5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IFERROR(IF(SUMIFS(tblDaily[Admissions],tblDaily[EntryDate],DATE(2026,7,7),tblDaily[WardCode],"MW")=0,"",SUMIFS(tblDaily[Admissions],tblDaily[EntryDate],DATE(2026,7,7),tblDaily[WardCode],"MW")),"")</f>
        <v/>
      </c>
      <c r="C247" s="5" t="str">
        <f>IFERROR(IF(SUMIFS(tblDaily[Discharges],tblDaily[EntryDate],DATE(2026,7,7),tblDaily[WardCode],"MW")=0,"",SUMIFS(tblDaily[Discharges],tblDaily[EntryDate],DATE(2026,7,7),tblDaily[WardCode],"MW")),"")</f>
        <v/>
      </c>
      <c r="D247" s="5" t="str">
        <f>IFERROR(IF(SUMIFS(tblDaily[Deaths],tblDaily[EntryDate],DATE(2026,7,7),tblDaily[WardCode],"MW")=0,"",SUMIFS(tblDaily[Deaths],tblDaily[EntryDate],DATE(2026,7,7),tblDaily[WardCode],"MW")),"")</f>
        <v/>
      </c>
      <c r="E247" s="5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5" t="str">
        <f>IFERROR(IF(SUMIFS(tblDaily[TransfersIn],tblDaily[EntryDate],DATE(2026,7,7),tblDaily[WardCode],"MW")=0,"",SUMIFS(tblDaily[TransfersIn],tblDaily[EntryDate],DATE(2026,7,7),tblDaily[WardCode],"MW")),"")</f>
        <v/>
      </c>
      <c r="G247" s="5" t="str">
        <f>IFERROR(IF(SUMIFS(tblDaily[TransfersOut],tblDaily[EntryDate],DATE(2026,7,7),tblDaily[WardCode],"MW")=0,"",SUMIFS(tblDaily[TransfersOut],tblDaily[EntryDate],DATE(2026,7,7),tblDaily[WardCode],"MW")),"")</f>
        <v/>
      </c>
      <c r="H247" s="5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IFERROR(IF(SUMIFS(tblDaily[Admissions],tblDaily[EntryDate],DATE(2026,7,8),tblDaily[WardCode],"MW")=0,"",SUMIFS(tblDaily[Admissions],tblDaily[EntryDate],DATE(2026,7,8),tblDaily[WardCode],"MW")),"")</f>
        <v/>
      </c>
      <c r="C248" s="5" t="str">
        <f>IFERROR(IF(SUMIFS(tblDaily[Discharges],tblDaily[EntryDate],DATE(2026,7,8),tblDaily[WardCode],"MW")=0,"",SUMIFS(tblDaily[Discharges],tblDaily[EntryDate],DATE(2026,7,8),tblDaily[WardCode],"MW")),"")</f>
        <v/>
      </c>
      <c r="D248" s="5" t="str">
        <f>IFERROR(IF(SUMIFS(tblDaily[Deaths],tblDaily[EntryDate],DATE(2026,7,8),tblDaily[WardCode],"MW")=0,"",SUMIFS(tblDaily[Deaths],tblDaily[EntryDate],DATE(2026,7,8),tblDaily[WardCode],"MW")),"")</f>
        <v/>
      </c>
      <c r="E248" s="5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5" t="str">
        <f>IFERROR(IF(SUMIFS(tblDaily[TransfersIn],tblDaily[EntryDate],DATE(2026,7,8),tblDaily[WardCode],"MW")=0,"",SUMIFS(tblDaily[TransfersIn],tblDaily[EntryDate],DATE(2026,7,8),tblDaily[WardCode],"MW")),"")</f>
        <v/>
      </c>
      <c r="G248" s="5" t="str">
        <f>IFERROR(IF(SUMIFS(tblDaily[TransfersOut],tblDaily[EntryDate],DATE(2026,7,8),tblDaily[WardCode],"MW")=0,"",SUMIFS(tblDaily[TransfersOut],tblDaily[EntryDate],DATE(2026,7,8),tblDaily[WardCode],"MW")),"")</f>
        <v/>
      </c>
      <c r="H248" s="5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IFERROR(IF(SUMIFS(tblDaily[Admissions],tblDaily[EntryDate],DATE(2026,7,9),tblDaily[WardCode],"MW")=0,"",SUMIFS(tblDaily[Admissions],tblDaily[EntryDate],DATE(2026,7,9),tblDaily[WardCode],"MW")),"")</f>
        <v/>
      </c>
      <c r="C249" s="5" t="str">
        <f>IFERROR(IF(SUMIFS(tblDaily[Discharges],tblDaily[EntryDate],DATE(2026,7,9),tblDaily[WardCode],"MW")=0,"",SUMIFS(tblDaily[Discharges],tblDaily[EntryDate],DATE(2026,7,9),tblDaily[WardCode],"MW")),"")</f>
        <v/>
      </c>
      <c r="D249" s="5" t="str">
        <f>IFERROR(IF(SUMIFS(tblDaily[Deaths],tblDaily[EntryDate],DATE(2026,7,9),tblDaily[WardCode],"MW")=0,"",SUMIFS(tblDaily[Deaths],tblDaily[EntryDate],DATE(2026,7,9),tblDaily[WardCode],"MW")),"")</f>
        <v/>
      </c>
      <c r="E249" s="5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5" t="str">
        <f>IFERROR(IF(SUMIFS(tblDaily[TransfersIn],tblDaily[EntryDate],DATE(2026,7,9),tblDaily[WardCode],"MW")=0,"",SUMIFS(tblDaily[TransfersIn],tblDaily[EntryDate],DATE(2026,7,9),tblDaily[WardCode],"MW")),"")</f>
        <v/>
      </c>
      <c r="G249" s="5" t="str">
        <f>IFERROR(IF(SUMIFS(tblDaily[TransfersOut],tblDaily[EntryDate],DATE(2026,7,9),tblDaily[WardCode],"MW")=0,"",SUMIFS(tblDaily[TransfersOut],tblDaily[EntryDate],DATE(2026,7,9),tblDaily[WardCode],"MW")),"")</f>
        <v/>
      </c>
      <c r="H249" s="5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IFERROR(IF(SUMIFS(tblDaily[Admissions],tblDaily[EntryDate],DATE(2026,7,10),tblDaily[WardCode],"MW")=0,"",SUMIFS(tblDaily[Admissions],tblDaily[EntryDate],DATE(2026,7,10),tblDaily[WardCode],"MW")),"")</f>
        <v/>
      </c>
      <c r="C250" s="5" t="str">
        <f>IFERROR(IF(SUMIFS(tblDaily[Discharges],tblDaily[EntryDate],DATE(2026,7,10),tblDaily[WardCode],"MW")=0,"",SUMIFS(tblDaily[Discharges],tblDaily[EntryDate],DATE(2026,7,10),tblDaily[WardCode],"MW")),"")</f>
        <v/>
      </c>
      <c r="D250" s="5" t="str">
        <f>IFERROR(IF(SUMIFS(tblDaily[Deaths],tblDaily[EntryDate],DATE(2026,7,10),tblDaily[WardCode],"MW")=0,"",SUMIFS(tblDaily[Deaths],tblDaily[EntryDate],DATE(2026,7,10),tblDaily[WardCode],"MW")),"")</f>
        <v/>
      </c>
      <c r="E250" s="5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5" t="str">
        <f>IFERROR(IF(SUMIFS(tblDaily[TransfersIn],tblDaily[EntryDate],DATE(2026,7,10),tblDaily[WardCode],"MW")=0,"",SUMIFS(tblDaily[TransfersIn],tblDaily[EntryDate],DATE(2026,7,10),tblDaily[WardCode],"MW")),"")</f>
        <v/>
      </c>
      <c r="G250" s="5" t="str">
        <f>IFERROR(IF(SUMIFS(tblDaily[TransfersOut],tblDaily[EntryDate],DATE(2026,7,10),tblDaily[WardCode],"MW")=0,"",SUMIFS(tblDaily[TransfersOut],tblDaily[EntryDate],DATE(2026,7,10),tblDaily[WardCode],"MW")),"")</f>
        <v/>
      </c>
      <c r="H250" s="5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IFERROR(IF(SUMIFS(tblDaily[Admissions],tblDaily[EntryDate],DATE(2026,7,11),tblDaily[WardCode],"MW")=0,"",SUMIFS(tblDaily[Admissions],tblDaily[EntryDate],DATE(2026,7,11),tblDaily[WardCode],"MW")),"")</f>
        <v/>
      </c>
      <c r="C251" s="5" t="str">
        <f>IFERROR(IF(SUMIFS(tblDaily[Discharges],tblDaily[EntryDate],DATE(2026,7,11),tblDaily[WardCode],"MW")=0,"",SUMIFS(tblDaily[Discharges],tblDaily[EntryDate],DATE(2026,7,11),tblDaily[WardCode],"MW")),"")</f>
        <v/>
      </c>
      <c r="D251" s="5" t="str">
        <f>IFERROR(IF(SUMIFS(tblDaily[Deaths],tblDaily[EntryDate],DATE(2026,7,11),tblDaily[WardCode],"MW")=0,"",SUMIFS(tblDaily[Deaths],tblDaily[EntryDate],DATE(2026,7,11),tblDaily[WardCode],"MW")),"")</f>
        <v/>
      </c>
      <c r="E251" s="5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5" t="str">
        <f>IFERROR(IF(SUMIFS(tblDaily[TransfersIn],tblDaily[EntryDate],DATE(2026,7,11),tblDaily[WardCode],"MW")=0,"",SUMIFS(tblDaily[TransfersIn],tblDaily[EntryDate],DATE(2026,7,11),tblDaily[WardCode],"MW")),"")</f>
        <v/>
      </c>
      <c r="G251" s="5" t="str">
        <f>IFERROR(IF(SUMIFS(tblDaily[TransfersOut],tblDaily[EntryDate],DATE(2026,7,11),tblDaily[WardCode],"MW")=0,"",SUMIFS(tblDaily[TransfersOut],tblDaily[EntryDate],DATE(2026,7,11),tblDaily[WardCode],"MW")),"")</f>
        <v/>
      </c>
      <c r="H251" s="5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IFERROR(IF(SUMIFS(tblDaily[Admissions],tblDaily[EntryDate],DATE(2026,7,12),tblDaily[WardCode],"MW")=0,"",SUMIFS(tblDaily[Admissions],tblDaily[EntryDate],DATE(2026,7,12),tblDaily[WardCode],"MW")),"")</f>
        <v/>
      </c>
      <c r="C252" s="5" t="str">
        <f>IFERROR(IF(SUMIFS(tblDaily[Discharges],tblDaily[EntryDate],DATE(2026,7,12),tblDaily[WardCode],"MW")=0,"",SUMIFS(tblDaily[Discharges],tblDaily[EntryDate],DATE(2026,7,12),tblDaily[WardCode],"MW")),"")</f>
        <v/>
      </c>
      <c r="D252" s="5" t="str">
        <f>IFERROR(IF(SUMIFS(tblDaily[Deaths],tblDaily[EntryDate],DATE(2026,7,12),tblDaily[WardCode],"MW")=0,"",SUMIFS(tblDaily[Deaths],tblDaily[EntryDate],DATE(2026,7,12),tblDaily[WardCode],"MW")),"")</f>
        <v/>
      </c>
      <c r="E252" s="5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5" t="str">
        <f>IFERROR(IF(SUMIFS(tblDaily[TransfersIn],tblDaily[EntryDate],DATE(2026,7,12),tblDaily[WardCode],"MW")=0,"",SUMIFS(tblDaily[TransfersIn],tblDaily[EntryDate],DATE(2026,7,12),tblDaily[WardCode],"MW")),"")</f>
        <v/>
      </c>
      <c r="G252" s="5" t="str">
        <f>IFERROR(IF(SUMIFS(tblDaily[TransfersOut],tblDaily[EntryDate],DATE(2026,7,12),tblDaily[WardCode],"MW")=0,"",SUMIFS(tblDaily[TransfersOut],tblDaily[EntryDate],DATE(2026,7,12),tblDaily[WardCode],"MW")),"")</f>
        <v/>
      </c>
      <c r="H252" s="5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IFERROR(IF(SUMIFS(tblDaily[Admissions],tblDaily[EntryDate],DATE(2026,7,13),tblDaily[WardCode],"MW")=0,"",SUMIFS(tblDaily[Admissions],tblDaily[EntryDate],DATE(2026,7,13),tblDaily[WardCode],"MW")),"")</f>
        <v/>
      </c>
      <c r="C253" s="5" t="str">
        <f>IFERROR(IF(SUMIFS(tblDaily[Discharges],tblDaily[EntryDate],DATE(2026,7,13),tblDaily[WardCode],"MW")=0,"",SUMIFS(tblDaily[Discharges],tblDaily[EntryDate],DATE(2026,7,13),tblDaily[WardCode],"MW")),"")</f>
        <v/>
      </c>
      <c r="D253" s="5" t="str">
        <f>IFERROR(IF(SUMIFS(tblDaily[Deaths],tblDaily[EntryDate],DATE(2026,7,13),tblDaily[WardCode],"MW")=0,"",SUMIFS(tblDaily[Deaths],tblDaily[EntryDate],DATE(2026,7,13),tblDaily[WardCode],"MW")),"")</f>
        <v/>
      </c>
      <c r="E253" s="5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5" t="str">
        <f>IFERROR(IF(SUMIFS(tblDaily[TransfersIn],tblDaily[EntryDate],DATE(2026,7,13),tblDaily[WardCode],"MW")=0,"",SUMIFS(tblDaily[TransfersIn],tblDaily[EntryDate],DATE(2026,7,13),tblDaily[WardCode],"MW")),"")</f>
        <v/>
      </c>
      <c r="G253" s="5" t="str">
        <f>IFERROR(IF(SUMIFS(tblDaily[TransfersOut],tblDaily[EntryDate],DATE(2026,7,13),tblDaily[WardCode],"MW")=0,"",SUMIFS(tblDaily[TransfersOut],tblDaily[EntryDate],DATE(2026,7,13),tblDaily[WardCode],"MW")),"")</f>
        <v/>
      </c>
      <c r="H253" s="5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IFERROR(IF(SUMIFS(tblDaily[Admissions],tblDaily[EntryDate],DATE(2026,7,14),tblDaily[WardCode],"MW")=0,"",SUMIFS(tblDaily[Admissions],tblDaily[EntryDate],DATE(2026,7,14),tblDaily[WardCode],"MW")),"")</f>
        <v/>
      </c>
      <c r="C254" s="5" t="str">
        <f>IFERROR(IF(SUMIFS(tblDaily[Discharges],tblDaily[EntryDate],DATE(2026,7,14),tblDaily[WardCode],"MW")=0,"",SUMIFS(tblDaily[Discharges],tblDaily[EntryDate],DATE(2026,7,14),tblDaily[WardCode],"MW")),"")</f>
        <v/>
      </c>
      <c r="D254" s="5" t="str">
        <f>IFERROR(IF(SUMIFS(tblDaily[Deaths],tblDaily[EntryDate],DATE(2026,7,14),tblDaily[WardCode],"MW")=0,"",SUMIFS(tblDaily[Deaths],tblDaily[EntryDate],DATE(2026,7,14),tblDaily[WardCode],"MW")),"")</f>
        <v/>
      </c>
      <c r="E254" s="5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5" t="str">
        <f>IFERROR(IF(SUMIFS(tblDaily[TransfersIn],tblDaily[EntryDate],DATE(2026,7,14),tblDaily[WardCode],"MW")=0,"",SUMIFS(tblDaily[TransfersIn],tblDaily[EntryDate],DATE(2026,7,14),tblDaily[WardCode],"MW")),"")</f>
        <v/>
      </c>
      <c r="G254" s="5" t="str">
        <f>IFERROR(IF(SUMIFS(tblDaily[TransfersOut],tblDaily[EntryDate],DATE(2026,7,14),tblDaily[WardCode],"MW")=0,"",SUMIFS(tblDaily[TransfersOut],tblDaily[EntryDate],DATE(2026,7,14),tblDaily[WardCode],"MW")),"")</f>
        <v/>
      </c>
      <c r="H254" s="5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IFERROR(IF(SUMIFS(tblDaily[Admissions],tblDaily[EntryDate],DATE(2026,7,15),tblDaily[WardCode],"MW")=0,"",SUMIFS(tblDaily[Admissions],tblDaily[EntryDate],DATE(2026,7,15),tblDaily[WardCode],"MW")),"")</f>
        <v/>
      </c>
      <c r="C255" s="5" t="str">
        <f>IFERROR(IF(SUMIFS(tblDaily[Discharges],tblDaily[EntryDate],DATE(2026,7,15),tblDaily[WardCode],"MW")=0,"",SUMIFS(tblDaily[Discharges],tblDaily[EntryDate],DATE(2026,7,15),tblDaily[WardCode],"MW")),"")</f>
        <v/>
      </c>
      <c r="D255" s="5" t="str">
        <f>IFERROR(IF(SUMIFS(tblDaily[Deaths],tblDaily[EntryDate],DATE(2026,7,15),tblDaily[WardCode],"MW")=0,"",SUMIFS(tblDaily[Deaths],tblDaily[EntryDate],DATE(2026,7,15),tblDaily[WardCode],"MW")),"")</f>
        <v/>
      </c>
      <c r="E255" s="5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5" t="str">
        <f>IFERROR(IF(SUMIFS(tblDaily[TransfersIn],tblDaily[EntryDate],DATE(2026,7,15),tblDaily[WardCode],"MW")=0,"",SUMIFS(tblDaily[TransfersIn],tblDaily[EntryDate],DATE(2026,7,15),tblDaily[WardCode],"MW")),"")</f>
        <v/>
      </c>
      <c r="G255" s="5" t="str">
        <f>IFERROR(IF(SUMIFS(tblDaily[TransfersOut],tblDaily[EntryDate],DATE(2026,7,15),tblDaily[WardCode],"MW")=0,"",SUMIFS(tblDaily[TransfersOut],tblDaily[EntryDate],DATE(2026,7,15),tblDaily[WardCode],"MW")),"")</f>
        <v/>
      </c>
      <c r="H255" s="5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IFERROR(IF(SUMIFS(tblDaily[Admissions],tblDaily[EntryDate],DATE(2026,7,16),tblDaily[WardCode],"MW")=0,"",SUMIFS(tblDaily[Admissions],tblDaily[EntryDate],DATE(2026,7,16),tblDaily[WardCode],"MW")),"")</f>
        <v/>
      </c>
      <c r="C256" s="5" t="str">
        <f>IFERROR(IF(SUMIFS(tblDaily[Discharges],tblDaily[EntryDate],DATE(2026,7,16),tblDaily[WardCode],"MW")=0,"",SUMIFS(tblDaily[Discharges],tblDaily[EntryDate],DATE(2026,7,16),tblDaily[WardCode],"MW")),"")</f>
        <v/>
      </c>
      <c r="D256" s="5" t="str">
        <f>IFERROR(IF(SUMIFS(tblDaily[Deaths],tblDaily[EntryDate],DATE(2026,7,16),tblDaily[WardCode],"MW")=0,"",SUMIFS(tblDaily[Deaths],tblDaily[EntryDate],DATE(2026,7,16),tblDaily[WardCode],"MW")),"")</f>
        <v/>
      </c>
      <c r="E256" s="5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5" t="str">
        <f>IFERROR(IF(SUMIFS(tblDaily[TransfersIn],tblDaily[EntryDate],DATE(2026,7,16),tblDaily[WardCode],"MW")=0,"",SUMIFS(tblDaily[TransfersIn],tblDaily[EntryDate],DATE(2026,7,16),tblDaily[WardCode],"MW")),"")</f>
        <v/>
      </c>
      <c r="G256" s="5" t="str">
        <f>IFERROR(IF(SUMIFS(tblDaily[TransfersOut],tblDaily[EntryDate],DATE(2026,7,16),tblDaily[WardCode],"MW")=0,"",SUMIFS(tblDaily[TransfersOut],tblDaily[EntryDate],DATE(2026,7,16),tblDaily[WardCode],"MW")),"")</f>
        <v/>
      </c>
      <c r="H256" s="5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IFERROR(IF(SUMIFS(tblDaily[Admissions],tblDaily[EntryDate],DATE(2026,7,17),tblDaily[WardCode],"MW")=0,"",SUMIFS(tblDaily[Admissions],tblDaily[EntryDate],DATE(2026,7,17),tblDaily[WardCode],"MW")),"")</f>
        <v/>
      </c>
      <c r="C257" s="5" t="str">
        <f>IFERROR(IF(SUMIFS(tblDaily[Discharges],tblDaily[EntryDate],DATE(2026,7,17),tblDaily[WardCode],"MW")=0,"",SUMIFS(tblDaily[Discharges],tblDaily[EntryDate],DATE(2026,7,17),tblDaily[WardCode],"MW")),"")</f>
        <v/>
      </c>
      <c r="D257" s="5" t="str">
        <f>IFERROR(IF(SUMIFS(tblDaily[Deaths],tblDaily[EntryDate],DATE(2026,7,17),tblDaily[WardCode],"MW")=0,"",SUMIFS(tblDaily[Deaths],tblDaily[EntryDate],DATE(2026,7,17),tblDaily[WardCode],"MW")),"")</f>
        <v/>
      </c>
      <c r="E257" s="5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5" t="str">
        <f>IFERROR(IF(SUMIFS(tblDaily[TransfersIn],tblDaily[EntryDate],DATE(2026,7,17),tblDaily[WardCode],"MW")=0,"",SUMIFS(tblDaily[TransfersIn],tblDaily[EntryDate],DATE(2026,7,17),tblDaily[WardCode],"MW")),"")</f>
        <v/>
      </c>
      <c r="G257" s="5" t="str">
        <f>IFERROR(IF(SUMIFS(tblDaily[TransfersOut],tblDaily[EntryDate],DATE(2026,7,17),tblDaily[WardCode],"MW")=0,"",SUMIFS(tblDaily[TransfersOut],tblDaily[EntryDate],DATE(2026,7,17),tblDaily[WardCode],"MW")),"")</f>
        <v/>
      </c>
      <c r="H257" s="5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IFERROR(IF(SUMIFS(tblDaily[Admissions],tblDaily[EntryDate],DATE(2026,7,18),tblDaily[WardCode],"MW")=0,"",SUMIFS(tblDaily[Admissions],tblDaily[EntryDate],DATE(2026,7,18),tblDaily[WardCode],"MW")),"")</f>
        <v/>
      </c>
      <c r="C258" s="5" t="str">
        <f>IFERROR(IF(SUMIFS(tblDaily[Discharges],tblDaily[EntryDate],DATE(2026,7,18),tblDaily[WardCode],"MW")=0,"",SUMIFS(tblDaily[Discharges],tblDaily[EntryDate],DATE(2026,7,18),tblDaily[WardCode],"MW")),"")</f>
        <v/>
      </c>
      <c r="D258" s="5" t="str">
        <f>IFERROR(IF(SUMIFS(tblDaily[Deaths],tblDaily[EntryDate],DATE(2026,7,18),tblDaily[WardCode],"MW")=0,"",SUMIFS(tblDaily[Deaths],tblDaily[EntryDate],DATE(2026,7,18),tblDaily[WardCode],"MW")),"")</f>
        <v/>
      </c>
      <c r="E258" s="5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5" t="str">
        <f>IFERROR(IF(SUMIFS(tblDaily[TransfersIn],tblDaily[EntryDate],DATE(2026,7,18),tblDaily[WardCode],"MW")=0,"",SUMIFS(tblDaily[TransfersIn],tblDaily[EntryDate],DATE(2026,7,18),tblDaily[WardCode],"MW")),"")</f>
        <v/>
      </c>
      <c r="G258" s="5" t="str">
        <f>IFERROR(IF(SUMIFS(tblDaily[TransfersOut],tblDaily[EntryDate],DATE(2026,7,18),tblDaily[WardCode],"MW")=0,"",SUMIFS(tblDaily[TransfersOut],tblDaily[EntryDate],DATE(2026,7,18),tblDaily[WardCode],"MW")),"")</f>
        <v/>
      </c>
      <c r="H258" s="5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IFERROR(IF(SUMIFS(tblDaily[Admissions],tblDaily[EntryDate],DATE(2026,7,19),tblDaily[WardCode],"MW")=0,"",SUMIFS(tblDaily[Admissions],tblDaily[EntryDate],DATE(2026,7,19),tblDaily[WardCode],"MW")),"")</f>
        <v/>
      </c>
      <c r="C259" s="5" t="str">
        <f>IFERROR(IF(SUMIFS(tblDaily[Discharges],tblDaily[EntryDate],DATE(2026,7,19),tblDaily[WardCode],"MW")=0,"",SUMIFS(tblDaily[Discharges],tblDaily[EntryDate],DATE(2026,7,19),tblDaily[WardCode],"MW")),"")</f>
        <v/>
      </c>
      <c r="D259" s="5" t="str">
        <f>IFERROR(IF(SUMIFS(tblDaily[Deaths],tblDaily[EntryDate],DATE(2026,7,19),tblDaily[WardCode],"MW")=0,"",SUMIFS(tblDaily[Deaths],tblDaily[EntryDate],DATE(2026,7,19),tblDaily[WardCode],"MW")),"")</f>
        <v/>
      </c>
      <c r="E259" s="5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5" t="str">
        <f>IFERROR(IF(SUMIFS(tblDaily[TransfersIn],tblDaily[EntryDate],DATE(2026,7,19),tblDaily[WardCode],"MW")=0,"",SUMIFS(tblDaily[TransfersIn],tblDaily[EntryDate],DATE(2026,7,19),tblDaily[WardCode],"MW")),"")</f>
        <v/>
      </c>
      <c r="G259" s="5" t="str">
        <f>IFERROR(IF(SUMIFS(tblDaily[TransfersOut],tblDaily[EntryDate],DATE(2026,7,19),tblDaily[WardCode],"MW")=0,"",SUMIFS(tblDaily[TransfersOut],tblDaily[EntryDate],DATE(2026,7,19),tblDaily[WardCode],"MW")),"")</f>
        <v/>
      </c>
      <c r="H259" s="5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IFERROR(IF(SUMIFS(tblDaily[Admissions],tblDaily[EntryDate],DATE(2026,7,20),tblDaily[WardCode],"MW")=0,"",SUMIFS(tblDaily[Admissions],tblDaily[EntryDate],DATE(2026,7,20),tblDaily[WardCode],"MW")),"")</f>
        <v/>
      </c>
      <c r="C260" s="5" t="str">
        <f>IFERROR(IF(SUMIFS(tblDaily[Discharges],tblDaily[EntryDate],DATE(2026,7,20),tblDaily[WardCode],"MW")=0,"",SUMIFS(tblDaily[Discharges],tblDaily[EntryDate],DATE(2026,7,20),tblDaily[WardCode],"MW")),"")</f>
        <v/>
      </c>
      <c r="D260" s="5" t="str">
        <f>IFERROR(IF(SUMIFS(tblDaily[Deaths],tblDaily[EntryDate],DATE(2026,7,20),tblDaily[WardCode],"MW")=0,"",SUMIFS(tblDaily[Deaths],tblDaily[EntryDate],DATE(2026,7,20),tblDaily[WardCode],"MW")),"")</f>
        <v/>
      </c>
      <c r="E260" s="5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5" t="str">
        <f>IFERROR(IF(SUMIFS(tblDaily[TransfersIn],tblDaily[EntryDate],DATE(2026,7,20),tblDaily[WardCode],"MW")=0,"",SUMIFS(tblDaily[TransfersIn],tblDaily[EntryDate],DATE(2026,7,20),tblDaily[WardCode],"MW")),"")</f>
        <v/>
      </c>
      <c r="G260" s="5" t="str">
        <f>IFERROR(IF(SUMIFS(tblDaily[TransfersOut],tblDaily[EntryDate],DATE(2026,7,20),tblDaily[WardCode],"MW")=0,"",SUMIFS(tblDaily[TransfersOut],tblDaily[EntryDate],DATE(2026,7,20),tblDaily[WardCode],"MW")),"")</f>
        <v/>
      </c>
      <c r="H260" s="5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IFERROR(IF(SUMIFS(tblDaily[Admissions],tblDaily[EntryDate],DATE(2026,7,21),tblDaily[WardCode],"MW")=0,"",SUMIFS(tblDaily[Admissions],tblDaily[EntryDate],DATE(2026,7,21),tblDaily[WardCode],"MW")),"")</f>
        <v/>
      </c>
      <c r="C261" s="5" t="str">
        <f>IFERROR(IF(SUMIFS(tblDaily[Discharges],tblDaily[EntryDate],DATE(2026,7,21),tblDaily[WardCode],"MW")=0,"",SUMIFS(tblDaily[Discharges],tblDaily[EntryDate],DATE(2026,7,21),tblDaily[WardCode],"MW")),"")</f>
        <v/>
      </c>
      <c r="D261" s="5" t="str">
        <f>IFERROR(IF(SUMIFS(tblDaily[Deaths],tblDaily[EntryDate],DATE(2026,7,21),tblDaily[WardCode],"MW")=0,"",SUMIFS(tblDaily[Deaths],tblDaily[EntryDate],DATE(2026,7,21),tblDaily[WardCode],"MW")),"")</f>
        <v/>
      </c>
      <c r="E261" s="5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5" t="str">
        <f>IFERROR(IF(SUMIFS(tblDaily[TransfersIn],tblDaily[EntryDate],DATE(2026,7,21),tblDaily[WardCode],"MW")=0,"",SUMIFS(tblDaily[TransfersIn],tblDaily[EntryDate],DATE(2026,7,21),tblDaily[WardCode],"MW")),"")</f>
        <v/>
      </c>
      <c r="G261" s="5" t="str">
        <f>IFERROR(IF(SUMIFS(tblDaily[TransfersOut],tblDaily[EntryDate],DATE(2026,7,21),tblDaily[WardCode],"MW")=0,"",SUMIFS(tblDaily[TransfersOut],tblDaily[EntryDate],DATE(2026,7,21),tblDaily[WardCode],"MW")),"")</f>
        <v/>
      </c>
      <c r="H261" s="5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IFERROR(IF(SUMIFS(tblDaily[Admissions],tblDaily[EntryDate],DATE(2026,7,22),tblDaily[WardCode],"MW")=0,"",SUMIFS(tblDaily[Admissions],tblDaily[EntryDate],DATE(2026,7,22),tblDaily[WardCode],"MW")),"")</f>
        <v/>
      </c>
      <c r="C262" s="5" t="str">
        <f>IFERROR(IF(SUMIFS(tblDaily[Discharges],tblDaily[EntryDate],DATE(2026,7,22),tblDaily[WardCode],"MW")=0,"",SUMIFS(tblDaily[Discharges],tblDaily[EntryDate],DATE(2026,7,22),tblDaily[WardCode],"MW")),"")</f>
        <v/>
      </c>
      <c r="D262" s="5" t="str">
        <f>IFERROR(IF(SUMIFS(tblDaily[Deaths],tblDaily[EntryDate],DATE(2026,7,22),tblDaily[WardCode],"MW")=0,"",SUMIFS(tblDaily[Deaths],tblDaily[EntryDate],DATE(2026,7,22),tblDaily[WardCode],"MW")),"")</f>
        <v/>
      </c>
      <c r="E262" s="5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5" t="str">
        <f>IFERROR(IF(SUMIFS(tblDaily[TransfersIn],tblDaily[EntryDate],DATE(2026,7,22),tblDaily[WardCode],"MW")=0,"",SUMIFS(tblDaily[TransfersIn],tblDaily[EntryDate],DATE(2026,7,22),tblDaily[WardCode],"MW")),"")</f>
        <v/>
      </c>
      <c r="G262" s="5" t="str">
        <f>IFERROR(IF(SUMIFS(tblDaily[TransfersOut],tblDaily[EntryDate],DATE(2026,7,22),tblDaily[WardCode],"MW")=0,"",SUMIFS(tblDaily[TransfersOut],tblDaily[EntryDate],DATE(2026,7,22),tblDaily[WardCode],"MW")),"")</f>
        <v/>
      </c>
      <c r="H262" s="5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IFERROR(IF(SUMIFS(tblDaily[Admissions],tblDaily[EntryDate],DATE(2026,7,23),tblDaily[WardCode],"MW")=0,"",SUMIFS(tblDaily[Admissions],tblDaily[EntryDate],DATE(2026,7,23),tblDaily[WardCode],"MW")),"")</f>
        <v/>
      </c>
      <c r="C263" s="5" t="str">
        <f>IFERROR(IF(SUMIFS(tblDaily[Discharges],tblDaily[EntryDate],DATE(2026,7,23),tblDaily[WardCode],"MW")=0,"",SUMIFS(tblDaily[Discharges],tblDaily[EntryDate],DATE(2026,7,23),tblDaily[WardCode],"MW")),"")</f>
        <v/>
      </c>
      <c r="D263" s="5" t="str">
        <f>IFERROR(IF(SUMIFS(tblDaily[Deaths],tblDaily[EntryDate],DATE(2026,7,23),tblDaily[WardCode],"MW")=0,"",SUMIFS(tblDaily[Deaths],tblDaily[EntryDate],DATE(2026,7,23),tblDaily[WardCode],"MW")),"")</f>
        <v/>
      </c>
      <c r="E263" s="5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5" t="str">
        <f>IFERROR(IF(SUMIFS(tblDaily[TransfersIn],tblDaily[EntryDate],DATE(2026,7,23),tblDaily[WardCode],"MW")=0,"",SUMIFS(tblDaily[TransfersIn],tblDaily[EntryDate],DATE(2026,7,23),tblDaily[WardCode],"MW")),"")</f>
        <v/>
      </c>
      <c r="G263" s="5" t="str">
        <f>IFERROR(IF(SUMIFS(tblDaily[TransfersOut],tblDaily[EntryDate],DATE(2026,7,23),tblDaily[WardCode],"MW")=0,"",SUMIFS(tblDaily[TransfersOut],tblDaily[EntryDate],DATE(2026,7,23),tblDaily[WardCode],"MW")),"")</f>
        <v/>
      </c>
      <c r="H263" s="5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IFERROR(IF(SUMIFS(tblDaily[Admissions],tblDaily[EntryDate],DATE(2026,7,24),tblDaily[WardCode],"MW")=0,"",SUMIFS(tblDaily[Admissions],tblDaily[EntryDate],DATE(2026,7,24),tblDaily[WardCode],"MW")),"")</f>
        <v/>
      </c>
      <c r="C264" s="5" t="str">
        <f>IFERROR(IF(SUMIFS(tblDaily[Discharges],tblDaily[EntryDate],DATE(2026,7,24),tblDaily[WardCode],"MW")=0,"",SUMIFS(tblDaily[Discharges],tblDaily[EntryDate],DATE(2026,7,24),tblDaily[WardCode],"MW")),"")</f>
        <v/>
      </c>
      <c r="D264" s="5" t="str">
        <f>IFERROR(IF(SUMIFS(tblDaily[Deaths],tblDaily[EntryDate],DATE(2026,7,24),tblDaily[WardCode],"MW")=0,"",SUMIFS(tblDaily[Deaths],tblDaily[EntryDate],DATE(2026,7,24),tblDaily[WardCode],"MW")),"")</f>
        <v/>
      </c>
      <c r="E264" s="5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5" t="str">
        <f>IFERROR(IF(SUMIFS(tblDaily[TransfersIn],tblDaily[EntryDate],DATE(2026,7,24),tblDaily[WardCode],"MW")=0,"",SUMIFS(tblDaily[TransfersIn],tblDaily[EntryDate],DATE(2026,7,24),tblDaily[WardCode],"MW")),"")</f>
        <v/>
      </c>
      <c r="G264" s="5" t="str">
        <f>IFERROR(IF(SUMIFS(tblDaily[TransfersOut],tblDaily[EntryDate],DATE(2026,7,24),tblDaily[WardCode],"MW")=0,"",SUMIFS(tblDaily[TransfersOut],tblDaily[EntryDate],DATE(2026,7,24),tblDaily[WardCode],"MW")),"")</f>
        <v/>
      </c>
      <c r="H264" s="5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IFERROR(IF(SUMIFS(tblDaily[Admissions],tblDaily[EntryDate],DATE(2026,7,25),tblDaily[WardCode],"MW")=0,"",SUMIFS(tblDaily[Admissions],tblDaily[EntryDate],DATE(2026,7,25),tblDaily[WardCode],"MW")),"")</f>
        <v/>
      </c>
      <c r="C265" s="5" t="str">
        <f>IFERROR(IF(SUMIFS(tblDaily[Discharges],tblDaily[EntryDate],DATE(2026,7,25),tblDaily[WardCode],"MW")=0,"",SUMIFS(tblDaily[Discharges],tblDaily[EntryDate],DATE(2026,7,25),tblDaily[WardCode],"MW")),"")</f>
        <v/>
      </c>
      <c r="D265" s="5" t="str">
        <f>IFERROR(IF(SUMIFS(tblDaily[Deaths],tblDaily[EntryDate],DATE(2026,7,25),tblDaily[WardCode],"MW")=0,"",SUMIFS(tblDaily[Deaths],tblDaily[EntryDate],DATE(2026,7,25),tblDaily[WardCode],"MW")),"")</f>
        <v/>
      </c>
      <c r="E265" s="5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5" t="str">
        <f>IFERROR(IF(SUMIFS(tblDaily[TransfersIn],tblDaily[EntryDate],DATE(2026,7,25),tblDaily[WardCode],"MW")=0,"",SUMIFS(tblDaily[TransfersIn],tblDaily[EntryDate],DATE(2026,7,25),tblDaily[WardCode],"MW")),"")</f>
        <v/>
      </c>
      <c r="G265" s="5" t="str">
        <f>IFERROR(IF(SUMIFS(tblDaily[TransfersOut],tblDaily[EntryDate],DATE(2026,7,25),tblDaily[WardCode],"MW")=0,"",SUMIFS(tblDaily[TransfersOut],tblDaily[EntryDate],DATE(2026,7,25),tblDaily[WardCode],"MW")),"")</f>
        <v/>
      </c>
      <c r="H265" s="5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IFERROR(IF(SUMIFS(tblDaily[Admissions],tblDaily[EntryDate],DATE(2026,7,26),tblDaily[WardCode],"MW")=0,"",SUMIFS(tblDaily[Admissions],tblDaily[EntryDate],DATE(2026,7,26),tblDaily[WardCode],"MW")),"")</f>
        <v/>
      </c>
      <c r="C266" s="5" t="str">
        <f>IFERROR(IF(SUMIFS(tblDaily[Discharges],tblDaily[EntryDate],DATE(2026,7,26),tblDaily[WardCode],"MW")=0,"",SUMIFS(tblDaily[Discharges],tblDaily[EntryDate],DATE(2026,7,26),tblDaily[WardCode],"MW")),"")</f>
        <v/>
      </c>
      <c r="D266" s="5" t="str">
        <f>IFERROR(IF(SUMIFS(tblDaily[Deaths],tblDaily[EntryDate],DATE(2026,7,26),tblDaily[WardCode],"MW")=0,"",SUMIFS(tblDaily[Deaths],tblDaily[EntryDate],DATE(2026,7,26),tblDaily[WardCode],"MW")),"")</f>
        <v/>
      </c>
      <c r="E266" s="5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5" t="str">
        <f>IFERROR(IF(SUMIFS(tblDaily[TransfersIn],tblDaily[EntryDate],DATE(2026,7,26),tblDaily[WardCode],"MW")=0,"",SUMIFS(tblDaily[TransfersIn],tblDaily[EntryDate],DATE(2026,7,26),tblDaily[WardCode],"MW")),"")</f>
        <v/>
      </c>
      <c r="G266" s="5" t="str">
        <f>IFERROR(IF(SUMIFS(tblDaily[TransfersOut],tblDaily[EntryDate],DATE(2026,7,26),tblDaily[WardCode],"MW")=0,"",SUMIFS(tblDaily[TransfersOut],tblDaily[EntryDate],DATE(2026,7,26),tblDaily[WardCode],"MW")),"")</f>
        <v/>
      </c>
      <c r="H266" s="5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IFERROR(IF(SUMIFS(tblDaily[Admissions],tblDaily[EntryDate],DATE(2026,7,27),tblDaily[WardCode],"MW")=0,"",SUMIFS(tblDaily[Admissions],tblDaily[EntryDate],DATE(2026,7,27),tblDaily[WardCode],"MW")),"")</f>
        <v/>
      </c>
      <c r="C267" s="5" t="str">
        <f>IFERROR(IF(SUMIFS(tblDaily[Discharges],tblDaily[EntryDate],DATE(2026,7,27),tblDaily[WardCode],"MW")=0,"",SUMIFS(tblDaily[Discharges],tblDaily[EntryDate],DATE(2026,7,27),tblDaily[WardCode],"MW")),"")</f>
        <v/>
      </c>
      <c r="D267" s="5" t="str">
        <f>IFERROR(IF(SUMIFS(tblDaily[Deaths],tblDaily[EntryDate],DATE(2026,7,27),tblDaily[WardCode],"MW")=0,"",SUMIFS(tblDaily[Deaths],tblDaily[EntryDate],DATE(2026,7,27),tblDaily[WardCode],"MW")),"")</f>
        <v/>
      </c>
      <c r="E267" s="5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5" t="str">
        <f>IFERROR(IF(SUMIFS(tblDaily[TransfersIn],tblDaily[EntryDate],DATE(2026,7,27),tblDaily[WardCode],"MW")=0,"",SUMIFS(tblDaily[TransfersIn],tblDaily[EntryDate],DATE(2026,7,27),tblDaily[WardCode],"MW")),"")</f>
        <v/>
      </c>
      <c r="G267" s="5" t="str">
        <f>IFERROR(IF(SUMIFS(tblDaily[TransfersOut],tblDaily[EntryDate],DATE(2026,7,27),tblDaily[WardCode],"MW")=0,"",SUMIFS(tblDaily[TransfersOut],tblDaily[EntryDate],DATE(2026,7,27),tblDaily[WardCode],"MW")),"")</f>
        <v/>
      </c>
      <c r="H267" s="5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IFERROR(IF(SUMIFS(tblDaily[Admissions],tblDaily[EntryDate],DATE(2026,7,28),tblDaily[WardCode],"MW")=0,"",SUMIFS(tblDaily[Admissions],tblDaily[EntryDate],DATE(2026,7,28),tblDaily[WardCode],"MW")),"")</f>
        <v/>
      </c>
      <c r="C268" s="5" t="str">
        <f>IFERROR(IF(SUMIFS(tblDaily[Discharges],tblDaily[EntryDate],DATE(2026,7,28),tblDaily[WardCode],"MW")=0,"",SUMIFS(tblDaily[Discharges],tblDaily[EntryDate],DATE(2026,7,28),tblDaily[WardCode],"MW")),"")</f>
        <v/>
      </c>
      <c r="D268" s="5" t="str">
        <f>IFERROR(IF(SUMIFS(tblDaily[Deaths],tblDaily[EntryDate],DATE(2026,7,28),tblDaily[WardCode],"MW")=0,"",SUMIFS(tblDaily[Deaths],tblDaily[EntryDate],DATE(2026,7,28),tblDaily[WardCode],"MW")),"")</f>
        <v/>
      </c>
      <c r="E268" s="5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5" t="str">
        <f>IFERROR(IF(SUMIFS(tblDaily[TransfersIn],tblDaily[EntryDate],DATE(2026,7,28),tblDaily[WardCode],"MW")=0,"",SUMIFS(tblDaily[TransfersIn],tblDaily[EntryDate],DATE(2026,7,28),tblDaily[WardCode],"MW")),"")</f>
        <v/>
      </c>
      <c r="G268" s="5" t="str">
        <f>IFERROR(IF(SUMIFS(tblDaily[TransfersOut],tblDaily[EntryDate],DATE(2026,7,28),tblDaily[WardCode],"MW")=0,"",SUMIFS(tblDaily[TransfersOut],tblDaily[EntryDate],DATE(2026,7,28),tblDaily[WardCode],"MW")),"")</f>
        <v/>
      </c>
      <c r="H268" s="5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IFERROR(IF(SUMIFS(tblDaily[Admissions],tblDaily[EntryDate],DATE(2026,7,29),tblDaily[WardCode],"MW")=0,"",SUMIFS(tblDaily[Admissions],tblDaily[EntryDate],DATE(2026,7,29),tblDaily[WardCode],"MW")),"")</f>
        <v/>
      </c>
      <c r="C269" s="5" t="str">
        <f>IFERROR(IF(SUMIFS(tblDaily[Discharges],tblDaily[EntryDate],DATE(2026,7,29),tblDaily[WardCode],"MW")=0,"",SUMIFS(tblDaily[Discharges],tblDaily[EntryDate],DATE(2026,7,29),tblDaily[WardCode],"MW")),"")</f>
        <v/>
      </c>
      <c r="D269" s="5" t="str">
        <f>IFERROR(IF(SUMIFS(tblDaily[Deaths],tblDaily[EntryDate],DATE(2026,7,29),tblDaily[WardCode],"MW")=0,"",SUMIFS(tblDaily[Deaths],tblDaily[EntryDate],DATE(2026,7,29),tblDaily[WardCode],"MW")),"")</f>
        <v/>
      </c>
      <c r="E269" s="5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5" t="str">
        <f>IFERROR(IF(SUMIFS(tblDaily[TransfersIn],tblDaily[EntryDate],DATE(2026,7,29),tblDaily[WardCode],"MW")=0,"",SUMIFS(tblDaily[TransfersIn],tblDaily[EntryDate],DATE(2026,7,29),tblDaily[WardCode],"MW")),"")</f>
        <v/>
      </c>
      <c r="G269" s="5" t="str">
        <f>IFERROR(IF(SUMIFS(tblDaily[TransfersOut],tblDaily[EntryDate],DATE(2026,7,29),tblDaily[WardCode],"MW")=0,"",SUMIFS(tblDaily[TransfersOut],tblDaily[EntryDate],DATE(2026,7,29),tblDaily[WardCode],"MW")),"")</f>
        <v/>
      </c>
      <c r="H269" s="5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IFERROR(IF(SUMIFS(tblDaily[Admissions],tblDaily[EntryDate],DATE(2026,7,30),tblDaily[WardCode],"MW")=0,"",SUMIFS(tblDaily[Admissions],tblDaily[EntryDate],DATE(2026,7,30),tblDaily[WardCode],"MW")),"")</f>
        <v/>
      </c>
      <c r="C270" s="5" t="str">
        <f>IFERROR(IF(SUMIFS(tblDaily[Discharges],tblDaily[EntryDate],DATE(2026,7,30),tblDaily[WardCode],"MW")=0,"",SUMIFS(tblDaily[Discharges],tblDaily[EntryDate],DATE(2026,7,30),tblDaily[WardCode],"MW")),"")</f>
        <v/>
      </c>
      <c r="D270" s="5" t="str">
        <f>IFERROR(IF(SUMIFS(tblDaily[Deaths],tblDaily[EntryDate],DATE(2026,7,30),tblDaily[WardCode],"MW")=0,"",SUMIFS(tblDaily[Deaths],tblDaily[EntryDate],DATE(2026,7,30),tblDaily[WardCode],"MW")),"")</f>
        <v/>
      </c>
      <c r="E270" s="5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5" t="str">
        <f>IFERROR(IF(SUMIFS(tblDaily[TransfersIn],tblDaily[EntryDate],DATE(2026,7,30),tblDaily[WardCode],"MW")=0,"",SUMIFS(tblDaily[TransfersIn],tblDaily[EntryDate],DATE(2026,7,30),tblDaily[WardCode],"MW")),"")</f>
        <v/>
      </c>
      <c r="G270" s="5" t="str">
        <f>IFERROR(IF(SUMIFS(tblDaily[TransfersOut],tblDaily[EntryDate],DATE(2026,7,30),tblDaily[WardCode],"MW")=0,"",SUMIFS(tblDaily[TransfersOut],tblDaily[EntryDate],DATE(2026,7,30),tblDaily[WardCode],"MW")),"")</f>
        <v/>
      </c>
      <c r="H270" s="5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IFERROR(IF(SUMIFS(tblDaily[Admissions],tblDaily[EntryDate],DATE(2026,7,31),tblDaily[WardCode],"MW")=0,"",SUMIFS(tblDaily[Admissions],tblDaily[EntryDate],DATE(2026,7,31),tblDaily[WardCode],"MW")),"")</f>
        <v/>
      </c>
      <c r="C271" s="5" t="str">
        <f>IFERROR(IF(SUMIFS(tblDaily[Discharges],tblDaily[EntryDate],DATE(2026,7,31),tblDaily[WardCode],"MW")=0,"",SUMIFS(tblDaily[Discharges],tblDaily[EntryDate],DATE(2026,7,31),tblDaily[WardCode],"MW")),"")</f>
        <v/>
      </c>
      <c r="D271" s="5" t="str">
        <f>IFERROR(IF(SUMIFS(tblDaily[Deaths],tblDaily[EntryDate],DATE(2026,7,31),tblDaily[WardCode],"MW")=0,"",SUMIFS(tblDaily[Deaths],tblDaily[EntryDate],DATE(2026,7,31),tblDaily[WardCode],"MW")),"")</f>
        <v/>
      </c>
      <c r="E271" s="5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5" t="str">
        <f>IFERROR(IF(SUMIFS(tblDaily[TransfersIn],tblDaily[EntryDate],DATE(2026,7,31),tblDaily[WardCode],"MW")=0,"",SUMIFS(tblDaily[TransfersIn],tblDaily[EntryDate],DATE(2026,7,31),tblDaily[WardCode],"MW")),"")</f>
        <v/>
      </c>
      <c r="G271" s="5" t="str">
        <f>IFERROR(IF(SUMIFS(tblDaily[TransfersOut],tblDaily[EntryDate],DATE(2026,7,31),tblDaily[WardCode],"MW")=0,"",SUMIFS(tblDaily[TransfersOut],tblDaily[EntryDate],DATE(2026,7,31),tblDaily[WardCode],"MW")),"")</f>
        <v/>
      </c>
      <c r="H271" s="5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95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86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89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IFERROR(IF(SUMIFS(tblDaily[Admissions],tblDaily[EntryDate],DATE(2026,8,1),tblDaily[WardCode],"MW")=0,"",SUMIFS(tblDaily[Admissions],tblDaily[EntryDate],DATE(2026,8,1),tblDaily[WardCode],"MW")),"")</f>
        <v/>
      </c>
      <c r="C280" s="5" t="str">
        <f>IFERROR(IF(SUMIFS(tblDaily[Discharges],tblDaily[EntryDate],DATE(2026,8,1),tblDaily[WardCode],"MW")=0,"",SUMIFS(tblDaily[Discharges],tblDaily[EntryDate],DATE(2026,8,1),tblDaily[WardCode],"MW")),"")</f>
        <v/>
      </c>
      <c r="D280" s="5" t="str">
        <f>IFERROR(IF(SUMIFS(tblDaily[Deaths],tblDaily[EntryDate],DATE(2026,8,1),tblDaily[WardCode],"MW")=0,"",SUMIFS(tblDaily[Deaths],tblDaily[EntryDate],DATE(2026,8,1),tblDaily[WardCode],"MW")),"")</f>
        <v/>
      </c>
      <c r="E280" s="5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5" t="str">
        <f>IFERROR(IF(SUMIFS(tblDaily[TransfersIn],tblDaily[EntryDate],DATE(2026,8,1),tblDaily[WardCode],"MW")=0,"",SUMIFS(tblDaily[TransfersIn],tblDaily[EntryDate],DATE(2026,8,1),tblDaily[WardCode],"MW")),"")</f>
        <v/>
      </c>
      <c r="G280" s="5" t="str">
        <f>IFERROR(IF(SUMIFS(tblDaily[TransfersOut],tblDaily[EntryDate],DATE(2026,8,1),tblDaily[WardCode],"MW")=0,"",SUMIFS(tblDaily[TransfersOut],tblDaily[EntryDate],DATE(2026,8,1),tblDaily[WardCode],"MW")),"")</f>
        <v/>
      </c>
      <c r="H280" s="5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IFERROR(IF(SUMIFS(tblDaily[Admissions],tblDaily[EntryDate],DATE(2026,8,2),tblDaily[WardCode],"MW")=0,"",SUMIFS(tblDaily[Admissions],tblDaily[EntryDate],DATE(2026,8,2),tblDaily[WardCode],"MW")),"")</f>
        <v/>
      </c>
      <c r="C281" s="5" t="str">
        <f>IFERROR(IF(SUMIFS(tblDaily[Discharges],tblDaily[EntryDate],DATE(2026,8,2),tblDaily[WardCode],"MW")=0,"",SUMIFS(tblDaily[Discharges],tblDaily[EntryDate],DATE(2026,8,2),tblDaily[WardCode],"MW")),"")</f>
        <v/>
      </c>
      <c r="D281" s="5" t="str">
        <f>IFERROR(IF(SUMIFS(tblDaily[Deaths],tblDaily[EntryDate],DATE(2026,8,2),tblDaily[WardCode],"MW")=0,"",SUMIFS(tblDaily[Deaths],tblDaily[EntryDate],DATE(2026,8,2),tblDaily[WardCode],"MW")),"")</f>
        <v/>
      </c>
      <c r="E281" s="5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5" t="str">
        <f>IFERROR(IF(SUMIFS(tblDaily[TransfersIn],tblDaily[EntryDate],DATE(2026,8,2),tblDaily[WardCode],"MW")=0,"",SUMIFS(tblDaily[TransfersIn],tblDaily[EntryDate],DATE(2026,8,2),tblDaily[WardCode],"MW")),"")</f>
        <v/>
      </c>
      <c r="G281" s="5" t="str">
        <f>IFERROR(IF(SUMIFS(tblDaily[TransfersOut],tblDaily[EntryDate],DATE(2026,8,2),tblDaily[WardCode],"MW")=0,"",SUMIFS(tblDaily[TransfersOut],tblDaily[EntryDate],DATE(2026,8,2),tblDaily[WardCode],"MW")),"")</f>
        <v/>
      </c>
      <c r="H281" s="5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IFERROR(IF(SUMIFS(tblDaily[Admissions],tblDaily[EntryDate],DATE(2026,8,3),tblDaily[WardCode],"MW")=0,"",SUMIFS(tblDaily[Admissions],tblDaily[EntryDate],DATE(2026,8,3),tblDaily[WardCode],"MW")),"")</f>
        <v/>
      </c>
      <c r="C282" s="5" t="str">
        <f>IFERROR(IF(SUMIFS(tblDaily[Discharges],tblDaily[EntryDate],DATE(2026,8,3),tblDaily[WardCode],"MW")=0,"",SUMIFS(tblDaily[Discharges],tblDaily[EntryDate],DATE(2026,8,3),tblDaily[WardCode],"MW")),"")</f>
        <v/>
      </c>
      <c r="D282" s="5" t="str">
        <f>IFERROR(IF(SUMIFS(tblDaily[Deaths],tblDaily[EntryDate],DATE(2026,8,3),tblDaily[WardCode],"MW")=0,"",SUMIFS(tblDaily[Deaths],tblDaily[EntryDate],DATE(2026,8,3),tblDaily[WardCode],"MW")),"")</f>
        <v/>
      </c>
      <c r="E282" s="5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5" t="str">
        <f>IFERROR(IF(SUMIFS(tblDaily[TransfersIn],tblDaily[EntryDate],DATE(2026,8,3),tblDaily[WardCode],"MW")=0,"",SUMIFS(tblDaily[TransfersIn],tblDaily[EntryDate],DATE(2026,8,3),tblDaily[WardCode],"MW")),"")</f>
        <v/>
      </c>
      <c r="G282" s="5" t="str">
        <f>IFERROR(IF(SUMIFS(tblDaily[TransfersOut],tblDaily[EntryDate],DATE(2026,8,3),tblDaily[WardCode],"MW")=0,"",SUMIFS(tblDaily[TransfersOut],tblDaily[EntryDate],DATE(2026,8,3),tblDaily[WardCode],"MW")),"")</f>
        <v/>
      </c>
      <c r="H282" s="5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IFERROR(IF(SUMIFS(tblDaily[Admissions],tblDaily[EntryDate],DATE(2026,8,4),tblDaily[WardCode],"MW")=0,"",SUMIFS(tblDaily[Admissions],tblDaily[EntryDate],DATE(2026,8,4),tblDaily[WardCode],"MW")),"")</f>
        <v/>
      </c>
      <c r="C283" s="5" t="str">
        <f>IFERROR(IF(SUMIFS(tblDaily[Discharges],tblDaily[EntryDate],DATE(2026,8,4),tblDaily[WardCode],"MW")=0,"",SUMIFS(tblDaily[Discharges],tblDaily[EntryDate],DATE(2026,8,4),tblDaily[WardCode],"MW")),"")</f>
        <v/>
      </c>
      <c r="D283" s="5" t="str">
        <f>IFERROR(IF(SUMIFS(tblDaily[Deaths],tblDaily[EntryDate],DATE(2026,8,4),tblDaily[WardCode],"MW")=0,"",SUMIFS(tblDaily[Deaths],tblDaily[EntryDate],DATE(2026,8,4),tblDaily[WardCode],"MW")),"")</f>
        <v/>
      </c>
      <c r="E283" s="5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5" t="str">
        <f>IFERROR(IF(SUMIFS(tblDaily[TransfersIn],tblDaily[EntryDate],DATE(2026,8,4),tblDaily[WardCode],"MW")=0,"",SUMIFS(tblDaily[TransfersIn],tblDaily[EntryDate],DATE(2026,8,4),tblDaily[WardCode],"MW")),"")</f>
        <v/>
      </c>
      <c r="G283" s="5" t="str">
        <f>IFERROR(IF(SUMIFS(tblDaily[TransfersOut],tblDaily[EntryDate],DATE(2026,8,4),tblDaily[WardCode],"MW")=0,"",SUMIFS(tblDaily[TransfersOut],tblDaily[EntryDate],DATE(2026,8,4),tblDaily[WardCode],"MW")),"")</f>
        <v/>
      </c>
      <c r="H283" s="5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IFERROR(IF(SUMIFS(tblDaily[Admissions],tblDaily[EntryDate],DATE(2026,8,5),tblDaily[WardCode],"MW")=0,"",SUMIFS(tblDaily[Admissions],tblDaily[EntryDate],DATE(2026,8,5),tblDaily[WardCode],"MW")),"")</f>
        <v/>
      </c>
      <c r="C284" s="5" t="str">
        <f>IFERROR(IF(SUMIFS(tblDaily[Discharges],tblDaily[EntryDate],DATE(2026,8,5),tblDaily[WardCode],"MW")=0,"",SUMIFS(tblDaily[Discharges],tblDaily[EntryDate],DATE(2026,8,5),tblDaily[WardCode],"MW")),"")</f>
        <v/>
      </c>
      <c r="D284" s="5" t="str">
        <f>IFERROR(IF(SUMIFS(tblDaily[Deaths],tblDaily[EntryDate],DATE(2026,8,5),tblDaily[WardCode],"MW")=0,"",SUMIFS(tblDaily[Deaths],tblDaily[EntryDate],DATE(2026,8,5),tblDaily[WardCode],"MW")),"")</f>
        <v/>
      </c>
      <c r="E284" s="5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5" t="str">
        <f>IFERROR(IF(SUMIFS(tblDaily[TransfersIn],tblDaily[EntryDate],DATE(2026,8,5),tblDaily[WardCode],"MW")=0,"",SUMIFS(tblDaily[TransfersIn],tblDaily[EntryDate],DATE(2026,8,5),tblDaily[WardCode],"MW")),"")</f>
        <v/>
      </c>
      <c r="G284" s="5" t="str">
        <f>IFERROR(IF(SUMIFS(tblDaily[TransfersOut],tblDaily[EntryDate],DATE(2026,8,5),tblDaily[WardCode],"MW")=0,"",SUMIFS(tblDaily[TransfersOut],tblDaily[EntryDate],DATE(2026,8,5),tblDaily[WardCode],"MW")),"")</f>
        <v/>
      </c>
      <c r="H284" s="5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IFERROR(IF(SUMIFS(tblDaily[Admissions],tblDaily[EntryDate],DATE(2026,8,6),tblDaily[WardCode],"MW")=0,"",SUMIFS(tblDaily[Admissions],tblDaily[EntryDate],DATE(2026,8,6),tblDaily[WardCode],"MW")),"")</f>
        <v/>
      </c>
      <c r="C285" s="5" t="str">
        <f>IFERROR(IF(SUMIFS(tblDaily[Discharges],tblDaily[EntryDate],DATE(2026,8,6),tblDaily[WardCode],"MW")=0,"",SUMIFS(tblDaily[Discharges],tblDaily[EntryDate],DATE(2026,8,6),tblDaily[WardCode],"MW")),"")</f>
        <v/>
      </c>
      <c r="D285" s="5" t="str">
        <f>IFERROR(IF(SUMIFS(tblDaily[Deaths],tblDaily[EntryDate],DATE(2026,8,6),tblDaily[WardCode],"MW")=0,"",SUMIFS(tblDaily[Deaths],tblDaily[EntryDate],DATE(2026,8,6),tblDaily[WardCode],"MW")),"")</f>
        <v/>
      </c>
      <c r="E285" s="5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5" t="str">
        <f>IFERROR(IF(SUMIFS(tblDaily[TransfersIn],tblDaily[EntryDate],DATE(2026,8,6),tblDaily[WardCode],"MW")=0,"",SUMIFS(tblDaily[TransfersIn],tblDaily[EntryDate],DATE(2026,8,6),tblDaily[WardCode],"MW")),"")</f>
        <v/>
      </c>
      <c r="G285" s="5" t="str">
        <f>IFERROR(IF(SUMIFS(tblDaily[TransfersOut],tblDaily[EntryDate],DATE(2026,8,6),tblDaily[WardCode],"MW")=0,"",SUMIFS(tblDaily[TransfersOut],tblDaily[EntryDate],DATE(2026,8,6),tblDaily[WardCode],"MW")),"")</f>
        <v/>
      </c>
      <c r="H285" s="5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IFERROR(IF(SUMIFS(tblDaily[Admissions],tblDaily[EntryDate],DATE(2026,8,7),tblDaily[WardCode],"MW")=0,"",SUMIFS(tblDaily[Admissions],tblDaily[EntryDate],DATE(2026,8,7),tblDaily[WardCode],"MW")),"")</f>
        <v/>
      </c>
      <c r="C286" s="5" t="str">
        <f>IFERROR(IF(SUMIFS(tblDaily[Discharges],tblDaily[EntryDate],DATE(2026,8,7),tblDaily[WardCode],"MW")=0,"",SUMIFS(tblDaily[Discharges],tblDaily[EntryDate],DATE(2026,8,7),tblDaily[WardCode],"MW")),"")</f>
        <v/>
      </c>
      <c r="D286" s="5" t="str">
        <f>IFERROR(IF(SUMIFS(tblDaily[Deaths],tblDaily[EntryDate],DATE(2026,8,7),tblDaily[WardCode],"MW")=0,"",SUMIFS(tblDaily[Deaths],tblDaily[EntryDate],DATE(2026,8,7),tblDaily[WardCode],"MW")),"")</f>
        <v/>
      </c>
      <c r="E286" s="5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5" t="str">
        <f>IFERROR(IF(SUMIFS(tblDaily[TransfersIn],tblDaily[EntryDate],DATE(2026,8,7),tblDaily[WardCode],"MW")=0,"",SUMIFS(tblDaily[TransfersIn],tblDaily[EntryDate],DATE(2026,8,7),tblDaily[WardCode],"MW")),"")</f>
        <v/>
      </c>
      <c r="G286" s="5" t="str">
        <f>IFERROR(IF(SUMIFS(tblDaily[TransfersOut],tblDaily[EntryDate],DATE(2026,8,7),tblDaily[WardCode],"MW")=0,"",SUMIFS(tblDaily[TransfersOut],tblDaily[EntryDate],DATE(2026,8,7),tblDaily[WardCode],"MW")),"")</f>
        <v/>
      </c>
      <c r="H286" s="5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IFERROR(IF(SUMIFS(tblDaily[Admissions],tblDaily[EntryDate],DATE(2026,8,8),tblDaily[WardCode],"MW")=0,"",SUMIFS(tblDaily[Admissions],tblDaily[EntryDate],DATE(2026,8,8),tblDaily[WardCode],"MW")),"")</f>
        <v/>
      </c>
      <c r="C287" s="5" t="str">
        <f>IFERROR(IF(SUMIFS(tblDaily[Discharges],tblDaily[EntryDate],DATE(2026,8,8),tblDaily[WardCode],"MW")=0,"",SUMIFS(tblDaily[Discharges],tblDaily[EntryDate],DATE(2026,8,8),tblDaily[WardCode],"MW")),"")</f>
        <v/>
      </c>
      <c r="D287" s="5" t="str">
        <f>IFERROR(IF(SUMIFS(tblDaily[Deaths],tblDaily[EntryDate],DATE(2026,8,8),tblDaily[WardCode],"MW")=0,"",SUMIFS(tblDaily[Deaths],tblDaily[EntryDate],DATE(2026,8,8),tblDaily[WardCode],"MW")),"")</f>
        <v/>
      </c>
      <c r="E287" s="5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5" t="str">
        <f>IFERROR(IF(SUMIFS(tblDaily[TransfersIn],tblDaily[EntryDate],DATE(2026,8,8),tblDaily[WardCode],"MW")=0,"",SUMIFS(tblDaily[TransfersIn],tblDaily[EntryDate],DATE(2026,8,8),tblDaily[WardCode],"MW")),"")</f>
        <v/>
      </c>
      <c r="G287" s="5" t="str">
        <f>IFERROR(IF(SUMIFS(tblDaily[TransfersOut],tblDaily[EntryDate],DATE(2026,8,8),tblDaily[WardCode],"MW")=0,"",SUMIFS(tblDaily[TransfersOut],tblDaily[EntryDate],DATE(2026,8,8),tblDaily[WardCode],"MW")),"")</f>
        <v/>
      </c>
      <c r="H287" s="5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IFERROR(IF(SUMIFS(tblDaily[Admissions],tblDaily[EntryDate],DATE(2026,8,9),tblDaily[WardCode],"MW")=0,"",SUMIFS(tblDaily[Admissions],tblDaily[EntryDate],DATE(2026,8,9),tblDaily[WardCode],"MW")),"")</f>
        <v/>
      </c>
      <c r="C288" s="5" t="str">
        <f>IFERROR(IF(SUMIFS(tblDaily[Discharges],tblDaily[EntryDate],DATE(2026,8,9),tblDaily[WardCode],"MW")=0,"",SUMIFS(tblDaily[Discharges],tblDaily[EntryDate],DATE(2026,8,9),tblDaily[WardCode],"MW")),"")</f>
        <v/>
      </c>
      <c r="D288" s="5" t="str">
        <f>IFERROR(IF(SUMIFS(tblDaily[Deaths],tblDaily[EntryDate],DATE(2026,8,9),tblDaily[WardCode],"MW")=0,"",SUMIFS(tblDaily[Deaths],tblDaily[EntryDate],DATE(2026,8,9),tblDaily[WardCode],"MW")),"")</f>
        <v/>
      </c>
      <c r="E288" s="5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5" t="str">
        <f>IFERROR(IF(SUMIFS(tblDaily[TransfersIn],tblDaily[EntryDate],DATE(2026,8,9),tblDaily[WardCode],"MW")=0,"",SUMIFS(tblDaily[TransfersIn],tblDaily[EntryDate],DATE(2026,8,9),tblDaily[WardCode],"MW")),"")</f>
        <v/>
      </c>
      <c r="G288" s="5" t="str">
        <f>IFERROR(IF(SUMIFS(tblDaily[TransfersOut],tblDaily[EntryDate],DATE(2026,8,9),tblDaily[WardCode],"MW")=0,"",SUMIFS(tblDaily[TransfersOut],tblDaily[EntryDate],DATE(2026,8,9),tblDaily[WardCode],"MW")),"")</f>
        <v/>
      </c>
      <c r="H288" s="5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IFERROR(IF(SUMIFS(tblDaily[Admissions],tblDaily[EntryDate],DATE(2026,8,10),tblDaily[WardCode],"MW")=0,"",SUMIFS(tblDaily[Admissions],tblDaily[EntryDate],DATE(2026,8,10),tblDaily[WardCode],"MW")),"")</f>
        <v/>
      </c>
      <c r="C289" s="5" t="str">
        <f>IFERROR(IF(SUMIFS(tblDaily[Discharges],tblDaily[EntryDate],DATE(2026,8,10),tblDaily[WardCode],"MW")=0,"",SUMIFS(tblDaily[Discharges],tblDaily[EntryDate],DATE(2026,8,10),tblDaily[WardCode],"MW")),"")</f>
        <v/>
      </c>
      <c r="D289" s="5" t="str">
        <f>IFERROR(IF(SUMIFS(tblDaily[Deaths],tblDaily[EntryDate],DATE(2026,8,10),tblDaily[WardCode],"MW")=0,"",SUMIFS(tblDaily[Deaths],tblDaily[EntryDate],DATE(2026,8,10),tblDaily[WardCode],"MW")),"")</f>
        <v/>
      </c>
      <c r="E289" s="5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5" t="str">
        <f>IFERROR(IF(SUMIFS(tblDaily[TransfersIn],tblDaily[EntryDate],DATE(2026,8,10),tblDaily[WardCode],"MW")=0,"",SUMIFS(tblDaily[TransfersIn],tblDaily[EntryDate],DATE(2026,8,10),tblDaily[WardCode],"MW")),"")</f>
        <v/>
      </c>
      <c r="G289" s="5" t="str">
        <f>IFERROR(IF(SUMIFS(tblDaily[TransfersOut],tblDaily[EntryDate],DATE(2026,8,10),tblDaily[WardCode],"MW")=0,"",SUMIFS(tblDaily[TransfersOut],tblDaily[EntryDate],DATE(2026,8,10),tblDaily[WardCode],"MW")),"")</f>
        <v/>
      </c>
      <c r="H289" s="5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IFERROR(IF(SUMIFS(tblDaily[Admissions],tblDaily[EntryDate],DATE(2026,8,11),tblDaily[WardCode],"MW")=0,"",SUMIFS(tblDaily[Admissions],tblDaily[EntryDate],DATE(2026,8,11),tblDaily[WardCode],"MW")),"")</f>
        <v/>
      </c>
      <c r="C290" s="5" t="str">
        <f>IFERROR(IF(SUMIFS(tblDaily[Discharges],tblDaily[EntryDate],DATE(2026,8,11),tblDaily[WardCode],"MW")=0,"",SUMIFS(tblDaily[Discharges],tblDaily[EntryDate],DATE(2026,8,11),tblDaily[WardCode],"MW")),"")</f>
        <v/>
      </c>
      <c r="D290" s="5" t="str">
        <f>IFERROR(IF(SUMIFS(tblDaily[Deaths],tblDaily[EntryDate],DATE(2026,8,11),tblDaily[WardCode],"MW")=0,"",SUMIFS(tblDaily[Deaths],tblDaily[EntryDate],DATE(2026,8,11),tblDaily[WardCode],"MW")),"")</f>
        <v/>
      </c>
      <c r="E290" s="5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5" t="str">
        <f>IFERROR(IF(SUMIFS(tblDaily[TransfersIn],tblDaily[EntryDate],DATE(2026,8,11),tblDaily[WardCode],"MW")=0,"",SUMIFS(tblDaily[TransfersIn],tblDaily[EntryDate],DATE(2026,8,11),tblDaily[WardCode],"MW")),"")</f>
        <v/>
      </c>
      <c r="G290" s="5" t="str">
        <f>IFERROR(IF(SUMIFS(tblDaily[TransfersOut],tblDaily[EntryDate],DATE(2026,8,11),tblDaily[WardCode],"MW")=0,"",SUMIFS(tblDaily[TransfersOut],tblDaily[EntryDate],DATE(2026,8,11),tblDaily[WardCode],"MW")),"")</f>
        <v/>
      </c>
      <c r="H290" s="5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IFERROR(IF(SUMIFS(tblDaily[Admissions],tblDaily[EntryDate],DATE(2026,8,12),tblDaily[WardCode],"MW")=0,"",SUMIFS(tblDaily[Admissions],tblDaily[EntryDate],DATE(2026,8,12),tblDaily[WardCode],"MW")),"")</f>
        <v/>
      </c>
      <c r="C291" s="5" t="str">
        <f>IFERROR(IF(SUMIFS(tblDaily[Discharges],tblDaily[EntryDate],DATE(2026,8,12),tblDaily[WardCode],"MW")=0,"",SUMIFS(tblDaily[Discharges],tblDaily[EntryDate],DATE(2026,8,12),tblDaily[WardCode],"MW")),"")</f>
        <v/>
      </c>
      <c r="D291" s="5" t="str">
        <f>IFERROR(IF(SUMIFS(tblDaily[Deaths],tblDaily[EntryDate],DATE(2026,8,12),tblDaily[WardCode],"MW")=0,"",SUMIFS(tblDaily[Deaths],tblDaily[EntryDate],DATE(2026,8,12),tblDaily[WardCode],"MW")),"")</f>
        <v/>
      </c>
      <c r="E291" s="5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5" t="str">
        <f>IFERROR(IF(SUMIFS(tblDaily[TransfersIn],tblDaily[EntryDate],DATE(2026,8,12),tblDaily[WardCode],"MW")=0,"",SUMIFS(tblDaily[TransfersIn],tblDaily[EntryDate],DATE(2026,8,12),tblDaily[WardCode],"MW")),"")</f>
        <v/>
      </c>
      <c r="G291" s="5" t="str">
        <f>IFERROR(IF(SUMIFS(tblDaily[TransfersOut],tblDaily[EntryDate],DATE(2026,8,12),tblDaily[WardCode],"MW")=0,"",SUMIFS(tblDaily[TransfersOut],tblDaily[EntryDate],DATE(2026,8,12),tblDaily[WardCode],"MW")),"")</f>
        <v/>
      </c>
      <c r="H291" s="5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IFERROR(IF(SUMIFS(tblDaily[Admissions],tblDaily[EntryDate],DATE(2026,8,13),tblDaily[WardCode],"MW")=0,"",SUMIFS(tblDaily[Admissions],tblDaily[EntryDate],DATE(2026,8,13),tblDaily[WardCode],"MW")),"")</f>
        <v/>
      </c>
      <c r="C292" s="5" t="str">
        <f>IFERROR(IF(SUMIFS(tblDaily[Discharges],tblDaily[EntryDate],DATE(2026,8,13),tblDaily[WardCode],"MW")=0,"",SUMIFS(tblDaily[Discharges],tblDaily[EntryDate],DATE(2026,8,13),tblDaily[WardCode],"MW")),"")</f>
        <v/>
      </c>
      <c r="D292" s="5" t="str">
        <f>IFERROR(IF(SUMIFS(tblDaily[Deaths],tblDaily[EntryDate],DATE(2026,8,13),tblDaily[WardCode],"MW")=0,"",SUMIFS(tblDaily[Deaths],tblDaily[EntryDate],DATE(2026,8,13),tblDaily[WardCode],"MW")),"")</f>
        <v/>
      </c>
      <c r="E292" s="5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5" t="str">
        <f>IFERROR(IF(SUMIFS(tblDaily[TransfersIn],tblDaily[EntryDate],DATE(2026,8,13),tblDaily[WardCode],"MW")=0,"",SUMIFS(tblDaily[TransfersIn],tblDaily[EntryDate],DATE(2026,8,13),tblDaily[WardCode],"MW")),"")</f>
        <v/>
      </c>
      <c r="G292" s="5" t="str">
        <f>IFERROR(IF(SUMIFS(tblDaily[TransfersOut],tblDaily[EntryDate],DATE(2026,8,13),tblDaily[WardCode],"MW")=0,"",SUMIFS(tblDaily[TransfersOut],tblDaily[EntryDate],DATE(2026,8,13),tblDaily[WardCode],"MW")),"")</f>
        <v/>
      </c>
      <c r="H292" s="5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IFERROR(IF(SUMIFS(tblDaily[Admissions],tblDaily[EntryDate],DATE(2026,8,14),tblDaily[WardCode],"MW")=0,"",SUMIFS(tblDaily[Admissions],tblDaily[EntryDate],DATE(2026,8,14),tblDaily[WardCode],"MW")),"")</f>
        <v/>
      </c>
      <c r="C293" s="5" t="str">
        <f>IFERROR(IF(SUMIFS(tblDaily[Discharges],tblDaily[EntryDate],DATE(2026,8,14),tblDaily[WardCode],"MW")=0,"",SUMIFS(tblDaily[Discharges],tblDaily[EntryDate],DATE(2026,8,14),tblDaily[WardCode],"MW")),"")</f>
        <v/>
      </c>
      <c r="D293" s="5" t="str">
        <f>IFERROR(IF(SUMIFS(tblDaily[Deaths],tblDaily[EntryDate],DATE(2026,8,14),tblDaily[WardCode],"MW")=0,"",SUMIFS(tblDaily[Deaths],tblDaily[EntryDate],DATE(2026,8,14),tblDaily[WardCode],"MW")),"")</f>
        <v/>
      </c>
      <c r="E293" s="5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5" t="str">
        <f>IFERROR(IF(SUMIFS(tblDaily[TransfersIn],tblDaily[EntryDate],DATE(2026,8,14),tblDaily[WardCode],"MW")=0,"",SUMIFS(tblDaily[TransfersIn],tblDaily[EntryDate],DATE(2026,8,14),tblDaily[WardCode],"MW")),"")</f>
        <v/>
      </c>
      <c r="G293" s="5" t="str">
        <f>IFERROR(IF(SUMIFS(tblDaily[TransfersOut],tblDaily[EntryDate],DATE(2026,8,14),tblDaily[WardCode],"MW")=0,"",SUMIFS(tblDaily[TransfersOut],tblDaily[EntryDate],DATE(2026,8,14),tblDaily[WardCode],"MW")),"")</f>
        <v/>
      </c>
      <c r="H293" s="5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IFERROR(IF(SUMIFS(tblDaily[Admissions],tblDaily[EntryDate],DATE(2026,8,15),tblDaily[WardCode],"MW")=0,"",SUMIFS(tblDaily[Admissions],tblDaily[EntryDate],DATE(2026,8,15),tblDaily[WardCode],"MW")),"")</f>
        <v/>
      </c>
      <c r="C294" s="5" t="str">
        <f>IFERROR(IF(SUMIFS(tblDaily[Discharges],tblDaily[EntryDate],DATE(2026,8,15),tblDaily[WardCode],"MW")=0,"",SUMIFS(tblDaily[Discharges],tblDaily[EntryDate],DATE(2026,8,15),tblDaily[WardCode],"MW")),"")</f>
        <v/>
      </c>
      <c r="D294" s="5" t="str">
        <f>IFERROR(IF(SUMIFS(tblDaily[Deaths],tblDaily[EntryDate],DATE(2026,8,15),tblDaily[WardCode],"MW")=0,"",SUMIFS(tblDaily[Deaths],tblDaily[EntryDate],DATE(2026,8,15),tblDaily[WardCode],"MW")),"")</f>
        <v/>
      </c>
      <c r="E294" s="5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5" t="str">
        <f>IFERROR(IF(SUMIFS(tblDaily[TransfersIn],tblDaily[EntryDate],DATE(2026,8,15),tblDaily[WardCode],"MW")=0,"",SUMIFS(tblDaily[TransfersIn],tblDaily[EntryDate],DATE(2026,8,15),tblDaily[WardCode],"MW")),"")</f>
        <v/>
      </c>
      <c r="G294" s="5" t="str">
        <f>IFERROR(IF(SUMIFS(tblDaily[TransfersOut],tblDaily[EntryDate],DATE(2026,8,15),tblDaily[WardCode],"MW")=0,"",SUMIFS(tblDaily[TransfersOut],tblDaily[EntryDate],DATE(2026,8,15),tblDaily[WardCode],"MW")),"")</f>
        <v/>
      </c>
      <c r="H294" s="5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IFERROR(IF(SUMIFS(tblDaily[Admissions],tblDaily[EntryDate],DATE(2026,8,16),tblDaily[WardCode],"MW")=0,"",SUMIFS(tblDaily[Admissions],tblDaily[EntryDate],DATE(2026,8,16),tblDaily[WardCode],"MW")),"")</f>
        <v/>
      </c>
      <c r="C295" s="5" t="str">
        <f>IFERROR(IF(SUMIFS(tblDaily[Discharges],tblDaily[EntryDate],DATE(2026,8,16),tblDaily[WardCode],"MW")=0,"",SUMIFS(tblDaily[Discharges],tblDaily[EntryDate],DATE(2026,8,16),tblDaily[WardCode],"MW")),"")</f>
        <v/>
      </c>
      <c r="D295" s="5" t="str">
        <f>IFERROR(IF(SUMIFS(tblDaily[Deaths],tblDaily[EntryDate],DATE(2026,8,16),tblDaily[WardCode],"MW")=0,"",SUMIFS(tblDaily[Deaths],tblDaily[EntryDate],DATE(2026,8,16),tblDaily[WardCode],"MW")),"")</f>
        <v/>
      </c>
      <c r="E295" s="5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5" t="str">
        <f>IFERROR(IF(SUMIFS(tblDaily[TransfersIn],tblDaily[EntryDate],DATE(2026,8,16),tblDaily[WardCode],"MW")=0,"",SUMIFS(tblDaily[TransfersIn],tblDaily[EntryDate],DATE(2026,8,16),tblDaily[WardCode],"MW")),"")</f>
        <v/>
      </c>
      <c r="G295" s="5" t="str">
        <f>IFERROR(IF(SUMIFS(tblDaily[TransfersOut],tblDaily[EntryDate],DATE(2026,8,16),tblDaily[WardCode],"MW")=0,"",SUMIFS(tblDaily[TransfersOut],tblDaily[EntryDate],DATE(2026,8,16),tblDaily[WardCode],"MW")),"")</f>
        <v/>
      </c>
      <c r="H295" s="5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IFERROR(IF(SUMIFS(tblDaily[Admissions],tblDaily[EntryDate],DATE(2026,8,17),tblDaily[WardCode],"MW")=0,"",SUMIFS(tblDaily[Admissions],tblDaily[EntryDate],DATE(2026,8,17),tblDaily[WardCode],"MW")),"")</f>
        <v/>
      </c>
      <c r="C296" s="5" t="str">
        <f>IFERROR(IF(SUMIFS(tblDaily[Discharges],tblDaily[EntryDate],DATE(2026,8,17),tblDaily[WardCode],"MW")=0,"",SUMIFS(tblDaily[Discharges],tblDaily[EntryDate],DATE(2026,8,17),tblDaily[WardCode],"MW")),"")</f>
        <v/>
      </c>
      <c r="D296" s="5" t="str">
        <f>IFERROR(IF(SUMIFS(tblDaily[Deaths],tblDaily[EntryDate],DATE(2026,8,17),tblDaily[WardCode],"MW")=0,"",SUMIFS(tblDaily[Deaths],tblDaily[EntryDate],DATE(2026,8,17),tblDaily[WardCode],"MW")),"")</f>
        <v/>
      </c>
      <c r="E296" s="5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5" t="str">
        <f>IFERROR(IF(SUMIFS(tblDaily[TransfersIn],tblDaily[EntryDate],DATE(2026,8,17),tblDaily[WardCode],"MW")=0,"",SUMIFS(tblDaily[TransfersIn],tblDaily[EntryDate],DATE(2026,8,17),tblDaily[WardCode],"MW")),"")</f>
        <v/>
      </c>
      <c r="G296" s="5" t="str">
        <f>IFERROR(IF(SUMIFS(tblDaily[TransfersOut],tblDaily[EntryDate],DATE(2026,8,17),tblDaily[WardCode],"MW")=0,"",SUMIFS(tblDaily[TransfersOut],tblDaily[EntryDate],DATE(2026,8,17),tblDaily[WardCode],"MW")),"")</f>
        <v/>
      </c>
      <c r="H296" s="5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IFERROR(IF(SUMIFS(tblDaily[Admissions],tblDaily[EntryDate],DATE(2026,8,18),tblDaily[WardCode],"MW")=0,"",SUMIFS(tblDaily[Admissions],tblDaily[EntryDate],DATE(2026,8,18),tblDaily[WardCode],"MW")),"")</f>
        <v/>
      </c>
      <c r="C297" s="5" t="str">
        <f>IFERROR(IF(SUMIFS(tblDaily[Discharges],tblDaily[EntryDate],DATE(2026,8,18),tblDaily[WardCode],"MW")=0,"",SUMIFS(tblDaily[Discharges],tblDaily[EntryDate],DATE(2026,8,18),tblDaily[WardCode],"MW")),"")</f>
        <v/>
      </c>
      <c r="D297" s="5" t="str">
        <f>IFERROR(IF(SUMIFS(tblDaily[Deaths],tblDaily[EntryDate],DATE(2026,8,18),tblDaily[WardCode],"MW")=0,"",SUMIFS(tblDaily[Deaths],tblDaily[EntryDate],DATE(2026,8,18),tblDaily[WardCode],"MW")),"")</f>
        <v/>
      </c>
      <c r="E297" s="5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5" t="str">
        <f>IFERROR(IF(SUMIFS(tblDaily[TransfersIn],tblDaily[EntryDate],DATE(2026,8,18),tblDaily[WardCode],"MW")=0,"",SUMIFS(tblDaily[TransfersIn],tblDaily[EntryDate],DATE(2026,8,18),tblDaily[WardCode],"MW")),"")</f>
        <v/>
      </c>
      <c r="G297" s="5" t="str">
        <f>IFERROR(IF(SUMIFS(tblDaily[TransfersOut],tblDaily[EntryDate],DATE(2026,8,18),tblDaily[WardCode],"MW")=0,"",SUMIFS(tblDaily[TransfersOut],tblDaily[EntryDate],DATE(2026,8,18),tblDaily[WardCode],"MW")),"")</f>
        <v/>
      </c>
      <c r="H297" s="5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IFERROR(IF(SUMIFS(tblDaily[Admissions],tblDaily[EntryDate],DATE(2026,8,19),tblDaily[WardCode],"MW")=0,"",SUMIFS(tblDaily[Admissions],tblDaily[EntryDate],DATE(2026,8,19),tblDaily[WardCode],"MW")),"")</f>
        <v/>
      </c>
      <c r="C298" s="5" t="str">
        <f>IFERROR(IF(SUMIFS(tblDaily[Discharges],tblDaily[EntryDate],DATE(2026,8,19),tblDaily[WardCode],"MW")=0,"",SUMIFS(tblDaily[Discharges],tblDaily[EntryDate],DATE(2026,8,19),tblDaily[WardCode],"MW")),"")</f>
        <v/>
      </c>
      <c r="D298" s="5" t="str">
        <f>IFERROR(IF(SUMIFS(tblDaily[Deaths],tblDaily[EntryDate],DATE(2026,8,19),tblDaily[WardCode],"MW")=0,"",SUMIFS(tblDaily[Deaths],tblDaily[EntryDate],DATE(2026,8,19),tblDaily[WardCode],"MW")),"")</f>
        <v/>
      </c>
      <c r="E298" s="5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5" t="str">
        <f>IFERROR(IF(SUMIFS(tblDaily[TransfersIn],tblDaily[EntryDate],DATE(2026,8,19),tblDaily[WardCode],"MW")=0,"",SUMIFS(tblDaily[TransfersIn],tblDaily[EntryDate],DATE(2026,8,19),tblDaily[WardCode],"MW")),"")</f>
        <v/>
      </c>
      <c r="G298" s="5" t="str">
        <f>IFERROR(IF(SUMIFS(tblDaily[TransfersOut],tblDaily[EntryDate],DATE(2026,8,19),tblDaily[WardCode],"MW")=0,"",SUMIFS(tblDaily[TransfersOut],tblDaily[EntryDate],DATE(2026,8,19),tblDaily[WardCode],"MW")),"")</f>
        <v/>
      </c>
      <c r="H298" s="5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IFERROR(IF(SUMIFS(tblDaily[Admissions],tblDaily[EntryDate],DATE(2026,8,20),tblDaily[WardCode],"MW")=0,"",SUMIFS(tblDaily[Admissions],tblDaily[EntryDate],DATE(2026,8,20),tblDaily[WardCode],"MW")),"")</f>
        <v/>
      </c>
      <c r="C299" s="5" t="str">
        <f>IFERROR(IF(SUMIFS(tblDaily[Discharges],tblDaily[EntryDate],DATE(2026,8,20),tblDaily[WardCode],"MW")=0,"",SUMIFS(tblDaily[Discharges],tblDaily[EntryDate],DATE(2026,8,20),tblDaily[WardCode],"MW")),"")</f>
        <v/>
      </c>
      <c r="D299" s="5" t="str">
        <f>IFERROR(IF(SUMIFS(tblDaily[Deaths],tblDaily[EntryDate],DATE(2026,8,20),tblDaily[WardCode],"MW")=0,"",SUMIFS(tblDaily[Deaths],tblDaily[EntryDate],DATE(2026,8,20),tblDaily[WardCode],"MW")),"")</f>
        <v/>
      </c>
      <c r="E299" s="5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5" t="str">
        <f>IFERROR(IF(SUMIFS(tblDaily[TransfersIn],tblDaily[EntryDate],DATE(2026,8,20),tblDaily[WardCode],"MW")=0,"",SUMIFS(tblDaily[TransfersIn],tblDaily[EntryDate],DATE(2026,8,20),tblDaily[WardCode],"MW")),"")</f>
        <v/>
      </c>
      <c r="G299" s="5" t="str">
        <f>IFERROR(IF(SUMIFS(tblDaily[TransfersOut],tblDaily[EntryDate],DATE(2026,8,20),tblDaily[WardCode],"MW")=0,"",SUMIFS(tblDaily[TransfersOut],tblDaily[EntryDate],DATE(2026,8,20),tblDaily[WardCode],"MW")),"")</f>
        <v/>
      </c>
      <c r="H299" s="5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IFERROR(IF(SUMIFS(tblDaily[Admissions],tblDaily[EntryDate],DATE(2026,8,21),tblDaily[WardCode],"MW")=0,"",SUMIFS(tblDaily[Admissions],tblDaily[EntryDate],DATE(2026,8,21),tblDaily[WardCode],"MW")),"")</f>
        <v/>
      </c>
      <c r="C300" s="5" t="str">
        <f>IFERROR(IF(SUMIFS(tblDaily[Discharges],tblDaily[EntryDate],DATE(2026,8,21),tblDaily[WardCode],"MW")=0,"",SUMIFS(tblDaily[Discharges],tblDaily[EntryDate],DATE(2026,8,21),tblDaily[WardCode],"MW")),"")</f>
        <v/>
      </c>
      <c r="D300" s="5" t="str">
        <f>IFERROR(IF(SUMIFS(tblDaily[Deaths],tblDaily[EntryDate],DATE(2026,8,21),tblDaily[WardCode],"MW")=0,"",SUMIFS(tblDaily[Deaths],tblDaily[EntryDate],DATE(2026,8,21),tblDaily[WardCode],"MW")),"")</f>
        <v/>
      </c>
      <c r="E300" s="5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5" t="str">
        <f>IFERROR(IF(SUMIFS(tblDaily[TransfersIn],tblDaily[EntryDate],DATE(2026,8,21),tblDaily[WardCode],"MW")=0,"",SUMIFS(tblDaily[TransfersIn],tblDaily[EntryDate],DATE(2026,8,21),tblDaily[WardCode],"MW")),"")</f>
        <v/>
      </c>
      <c r="G300" s="5" t="str">
        <f>IFERROR(IF(SUMIFS(tblDaily[TransfersOut],tblDaily[EntryDate],DATE(2026,8,21),tblDaily[WardCode],"MW")=0,"",SUMIFS(tblDaily[TransfersOut],tblDaily[EntryDate],DATE(2026,8,21),tblDaily[WardCode],"MW")),"")</f>
        <v/>
      </c>
      <c r="H300" s="5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IFERROR(IF(SUMIFS(tblDaily[Admissions],tblDaily[EntryDate],DATE(2026,8,22),tblDaily[WardCode],"MW")=0,"",SUMIFS(tblDaily[Admissions],tblDaily[EntryDate],DATE(2026,8,22),tblDaily[WardCode],"MW")),"")</f>
        <v/>
      </c>
      <c r="C301" s="5" t="str">
        <f>IFERROR(IF(SUMIFS(tblDaily[Discharges],tblDaily[EntryDate],DATE(2026,8,22),tblDaily[WardCode],"MW")=0,"",SUMIFS(tblDaily[Discharges],tblDaily[EntryDate],DATE(2026,8,22),tblDaily[WardCode],"MW")),"")</f>
        <v/>
      </c>
      <c r="D301" s="5" t="str">
        <f>IFERROR(IF(SUMIFS(tblDaily[Deaths],tblDaily[EntryDate],DATE(2026,8,22),tblDaily[WardCode],"MW")=0,"",SUMIFS(tblDaily[Deaths],tblDaily[EntryDate],DATE(2026,8,22),tblDaily[WardCode],"MW")),"")</f>
        <v/>
      </c>
      <c r="E301" s="5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5" t="str">
        <f>IFERROR(IF(SUMIFS(tblDaily[TransfersIn],tblDaily[EntryDate],DATE(2026,8,22),tblDaily[WardCode],"MW")=0,"",SUMIFS(tblDaily[TransfersIn],tblDaily[EntryDate],DATE(2026,8,22),tblDaily[WardCode],"MW")),"")</f>
        <v/>
      </c>
      <c r="G301" s="5" t="str">
        <f>IFERROR(IF(SUMIFS(tblDaily[TransfersOut],tblDaily[EntryDate],DATE(2026,8,22),tblDaily[WardCode],"MW")=0,"",SUMIFS(tblDaily[TransfersOut],tblDaily[EntryDate],DATE(2026,8,22),tblDaily[WardCode],"MW")),"")</f>
        <v/>
      </c>
      <c r="H301" s="5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IFERROR(IF(SUMIFS(tblDaily[Admissions],tblDaily[EntryDate],DATE(2026,8,23),tblDaily[WardCode],"MW")=0,"",SUMIFS(tblDaily[Admissions],tblDaily[EntryDate],DATE(2026,8,23),tblDaily[WardCode],"MW")),"")</f>
        <v/>
      </c>
      <c r="C302" s="5" t="str">
        <f>IFERROR(IF(SUMIFS(tblDaily[Discharges],tblDaily[EntryDate],DATE(2026,8,23),tblDaily[WardCode],"MW")=0,"",SUMIFS(tblDaily[Discharges],tblDaily[EntryDate],DATE(2026,8,23),tblDaily[WardCode],"MW")),"")</f>
        <v/>
      </c>
      <c r="D302" s="5" t="str">
        <f>IFERROR(IF(SUMIFS(tblDaily[Deaths],tblDaily[EntryDate],DATE(2026,8,23),tblDaily[WardCode],"MW")=0,"",SUMIFS(tblDaily[Deaths],tblDaily[EntryDate],DATE(2026,8,23),tblDaily[WardCode],"MW")),"")</f>
        <v/>
      </c>
      <c r="E302" s="5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5" t="str">
        <f>IFERROR(IF(SUMIFS(tblDaily[TransfersIn],tblDaily[EntryDate],DATE(2026,8,23),tblDaily[WardCode],"MW")=0,"",SUMIFS(tblDaily[TransfersIn],tblDaily[EntryDate],DATE(2026,8,23),tblDaily[WardCode],"MW")),"")</f>
        <v/>
      </c>
      <c r="G302" s="5" t="str">
        <f>IFERROR(IF(SUMIFS(tblDaily[TransfersOut],tblDaily[EntryDate],DATE(2026,8,23),tblDaily[WardCode],"MW")=0,"",SUMIFS(tblDaily[TransfersOut],tblDaily[EntryDate],DATE(2026,8,23),tblDaily[WardCode],"MW")),"")</f>
        <v/>
      </c>
      <c r="H302" s="5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IFERROR(IF(SUMIFS(tblDaily[Admissions],tblDaily[EntryDate],DATE(2026,8,24),tblDaily[WardCode],"MW")=0,"",SUMIFS(tblDaily[Admissions],tblDaily[EntryDate],DATE(2026,8,24),tblDaily[WardCode],"MW")),"")</f>
        <v/>
      </c>
      <c r="C303" s="5" t="str">
        <f>IFERROR(IF(SUMIFS(tblDaily[Discharges],tblDaily[EntryDate],DATE(2026,8,24),tblDaily[WardCode],"MW")=0,"",SUMIFS(tblDaily[Discharges],tblDaily[EntryDate],DATE(2026,8,24),tblDaily[WardCode],"MW")),"")</f>
        <v/>
      </c>
      <c r="D303" s="5" t="str">
        <f>IFERROR(IF(SUMIFS(tblDaily[Deaths],tblDaily[EntryDate],DATE(2026,8,24),tblDaily[WardCode],"MW")=0,"",SUMIFS(tblDaily[Deaths],tblDaily[EntryDate],DATE(2026,8,24),tblDaily[WardCode],"MW")),"")</f>
        <v/>
      </c>
      <c r="E303" s="5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5" t="str">
        <f>IFERROR(IF(SUMIFS(tblDaily[TransfersIn],tblDaily[EntryDate],DATE(2026,8,24),tblDaily[WardCode],"MW")=0,"",SUMIFS(tblDaily[TransfersIn],tblDaily[EntryDate],DATE(2026,8,24),tblDaily[WardCode],"MW")),"")</f>
        <v/>
      </c>
      <c r="G303" s="5" t="str">
        <f>IFERROR(IF(SUMIFS(tblDaily[TransfersOut],tblDaily[EntryDate],DATE(2026,8,24),tblDaily[WardCode],"MW")=0,"",SUMIFS(tblDaily[TransfersOut],tblDaily[EntryDate],DATE(2026,8,24),tblDaily[WardCode],"MW")),"")</f>
        <v/>
      </c>
      <c r="H303" s="5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IFERROR(IF(SUMIFS(tblDaily[Admissions],tblDaily[EntryDate],DATE(2026,8,25),tblDaily[WardCode],"MW")=0,"",SUMIFS(tblDaily[Admissions],tblDaily[EntryDate],DATE(2026,8,25),tblDaily[WardCode],"MW")),"")</f>
        <v/>
      </c>
      <c r="C304" s="5" t="str">
        <f>IFERROR(IF(SUMIFS(tblDaily[Discharges],tblDaily[EntryDate],DATE(2026,8,25),tblDaily[WardCode],"MW")=0,"",SUMIFS(tblDaily[Discharges],tblDaily[EntryDate],DATE(2026,8,25),tblDaily[WardCode],"MW")),"")</f>
        <v/>
      </c>
      <c r="D304" s="5" t="str">
        <f>IFERROR(IF(SUMIFS(tblDaily[Deaths],tblDaily[EntryDate],DATE(2026,8,25),tblDaily[WardCode],"MW")=0,"",SUMIFS(tblDaily[Deaths],tblDaily[EntryDate],DATE(2026,8,25),tblDaily[WardCode],"MW")),"")</f>
        <v/>
      </c>
      <c r="E304" s="5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5" t="str">
        <f>IFERROR(IF(SUMIFS(tblDaily[TransfersIn],tblDaily[EntryDate],DATE(2026,8,25),tblDaily[WardCode],"MW")=0,"",SUMIFS(tblDaily[TransfersIn],tblDaily[EntryDate],DATE(2026,8,25),tblDaily[WardCode],"MW")),"")</f>
        <v/>
      </c>
      <c r="G304" s="5" t="str">
        <f>IFERROR(IF(SUMIFS(tblDaily[TransfersOut],tblDaily[EntryDate],DATE(2026,8,25),tblDaily[WardCode],"MW")=0,"",SUMIFS(tblDaily[TransfersOut],tblDaily[EntryDate],DATE(2026,8,25),tblDaily[WardCode],"MW")),"")</f>
        <v/>
      </c>
      <c r="H304" s="5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IFERROR(IF(SUMIFS(tblDaily[Admissions],tblDaily[EntryDate],DATE(2026,8,26),tblDaily[WardCode],"MW")=0,"",SUMIFS(tblDaily[Admissions],tblDaily[EntryDate],DATE(2026,8,26),tblDaily[WardCode],"MW")),"")</f>
        <v/>
      </c>
      <c r="C305" s="5" t="str">
        <f>IFERROR(IF(SUMIFS(tblDaily[Discharges],tblDaily[EntryDate],DATE(2026,8,26),tblDaily[WardCode],"MW")=0,"",SUMIFS(tblDaily[Discharges],tblDaily[EntryDate],DATE(2026,8,26),tblDaily[WardCode],"MW")),"")</f>
        <v/>
      </c>
      <c r="D305" s="5" t="str">
        <f>IFERROR(IF(SUMIFS(tblDaily[Deaths],tblDaily[EntryDate],DATE(2026,8,26),tblDaily[WardCode],"MW")=0,"",SUMIFS(tblDaily[Deaths],tblDaily[EntryDate],DATE(2026,8,26),tblDaily[WardCode],"MW")),"")</f>
        <v/>
      </c>
      <c r="E305" s="5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5" t="str">
        <f>IFERROR(IF(SUMIFS(tblDaily[TransfersIn],tblDaily[EntryDate],DATE(2026,8,26),tblDaily[WardCode],"MW")=0,"",SUMIFS(tblDaily[TransfersIn],tblDaily[EntryDate],DATE(2026,8,26),tblDaily[WardCode],"MW")),"")</f>
        <v/>
      </c>
      <c r="G305" s="5" t="str">
        <f>IFERROR(IF(SUMIFS(tblDaily[TransfersOut],tblDaily[EntryDate],DATE(2026,8,26),tblDaily[WardCode],"MW")=0,"",SUMIFS(tblDaily[TransfersOut],tblDaily[EntryDate],DATE(2026,8,26),tblDaily[WardCode],"MW")),"")</f>
        <v/>
      </c>
      <c r="H305" s="5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IFERROR(IF(SUMIFS(tblDaily[Admissions],tblDaily[EntryDate],DATE(2026,8,27),tblDaily[WardCode],"MW")=0,"",SUMIFS(tblDaily[Admissions],tblDaily[EntryDate],DATE(2026,8,27),tblDaily[WardCode],"MW")),"")</f>
        <v/>
      </c>
      <c r="C306" s="5" t="str">
        <f>IFERROR(IF(SUMIFS(tblDaily[Discharges],tblDaily[EntryDate],DATE(2026,8,27),tblDaily[WardCode],"MW")=0,"",SUMIFS(tblDaily[Discharges],tblDaily[EntryDate],DATE(2026,8,27),tblDaily[WardCode],"MW")),"")</f>
        <v/>
      </c>
      <c r="D306" s="5" t="str">
        <f>IFERROR(IF(SUMIFS(tblDaily[Deaths],tblDaily[EntryDate],DATE(2026,8,27),tblDaily[WardCode],"MW")=0,"",SUMIFS(tblDaily[Deaths],tblDaily[EntryDate],DATE(2026,8,27),tblDaily[WardCode],"MW")),"")</f>
        <v/>
      </c>
      <c r="E306" s="5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5" t="str">
        <f>IFERROR(IF(SUMIFS(tblDaily[TransfersIn],tblDaily[EntryDate],DATE(2026,8,27),tblDaily[WardCode],"MW")=0,"",SUMIFS(tblDaily[TransfersIn],tblDaily[EntryDate],DATE(2026,8,27),tblDaily[WardCode],"MW")),"")</f>
        <v/>
      </c>
      <c r="G306" s="5" t="str">
        <f>IFERROR(IF(SUMIFS(tblDaily[TransfersOut],tblDaily[EntryDate],DATE(2026,8,27),tblDaily[WardCode],"MW")=0,"",SUMIFS(tblDaily[TransfersOut],tblDaily[EntryDate],DATE(2026,8,27),tblDaily[WardCode],"MW")),"")</f>
        <v/>
      </c>
      <c r="H306" s="5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IFERROR(IF(SUMIFS(tblDaily[Admissions],tblDaily[EntryDate],DATE(2026,8,28),tblDaily[WardCode],"MW")=0,"",SUMIFS(tblDaily[Admissions],tblDaily[EntryDate],DATE(2026,8,28),tblDaily[WardCode],"MW")),"")</f>
        <v/>
      </c>
      <c r="C307" s="5" t="str">
        <f>IFERROR(IF(SUMIFS(tblDaily[Discharges],tblDaily[EntryDate],DATE(2026,8,28),tblDaily[WardCode],"MW")=0,"",SUMIFS(tblDaily[Discharges],tblDaily[EntryDate],DATE(2026,8,28),tblDaily[WardCode],"MW")),"")</f>
        <v/>
      </c>
      <c r="D307" s="5" t="str">
        <f>IFERROR(IF(SUMIFS(tblDaily[Deaths],tblDaily[EntryDate],DATE(2026,8,28),tblDaily[WardCode],"MW")=0,"",SUMIFS(tblDaily[Deaths],tblDaily[EntryDate],DATE(2026,8,28),tblDaily[WardCode],"MW")),"")</f>
        <v/>
      </c>
      <c r="E307" s="5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5" t="str">
        <f>IFERROR(IF(SUMIFS(tblDaily[TransfersIn],tblDaily[EntryDate],DATE(2026,8,28),tblDaily[WardCode],"MW")=0,"",SUMIFS(tblDaily[TransfersIn],tblDaily[EntryDate],DATE(2026,8,28),tblDaily[WardCode],"MW")),"")</f>
        <v/>
      </c>
      <c r="G307" s="5" t="str">
        <f>IFERROR(IF(SUMIFS(tblDaily[TransfersOut],tblDaily[EntryDate],DATE(2026,8,28),tblDaily[WardCode],"MW")=0,"",SUMIFS(tblDaily[TransfersOut],tblDaily[EntryDate],DATE(2026,8,28),tblDaily[WardCode],"MW")),"")</f>
        <v/>
      </c>
      <c r="H307" s="5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IFERROR(IF(SUMIFS(tblDaily[Admissions],tblDaily[EntryDate],DATE(2026,8,29),tblDaily[WardCode],"MW")=0,"",SUMIFS(tblDaily[Admissions],tblDaily[EntryDate],DATE(2026,8,29),tblDaily[WardCode],"MW")),"")</f>
        <v/>
      </c>
      <c r="C308" s="5" t="str">
        <f>IFERROR(IF(SUMIFS(tblDaily[Discharges],tblDaily[EntryDate],DATE(2026,8,29),tblDaily[WardCode],"MW")=0,"",SUMIFS(tblDaily[Discharges],tblDaily[EntryDate],DATE(2026,8,29),tblDaily[WardCode],"MW")),"")</f>
        <v/>
      </c>
      <c r="D308" s="5" t="str">
        <f>IFERROR(IF(SUMIFS(tblDaily[Deaths],tblDaily[EntryDate],DATE(2026,8,29),tblDaily[WardCode],"MW")=0,"",SUMIFS(tblDaily[Deaths],tblDaily[EntryDate],DATE(2026,8,29),tblDaily[WardCode],"MW")),"")</f>
        <v/>
      </c>
      <c r="E308" s="5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5" t="str">
        <f>IFERROR(IF(SUMIFS(tblDaily[TransfersIn],tblDaily[EntryDate],DATE(2026,8,29),tblDaily[WardCode],"MW")=0,"",SUMIFS(tblDaily[TransfersIn],tblDaily[EntryDate],DATE(2026,8,29),tblDaily[WardCode],"MW")),"")</f>
        <v/>
      </c>
      <c r="G308" s="5" t="str">
        <f>IFERROR(IF(SUMIFS(tblDaily[TransfersOut],tblDaily[EntryDate],DATE(2026,8,29),tblDaily[WardCode],"MW")=0,"",SUMIFS(tblDaily[TransfersOut],tblDaily[EntryDate],DATE(2026,8,29),tblDaily[WardCode],"MW")),"")</f>
        <v/>
      </c>
      <c r="H308" s="5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IFERROR(IF(SUMIFS(tblDaily[Admissions],tblDaily[EntryDate],DATE(2026,8,30),tblDaily[WardCode],"MW")=0,"",SUMIFS(tblDaily[Admissions],tblDaily[EntryDate],DATE(2026,8,30),tblDaily[WardCode],"MW")),"")</f>
        <v/>
      </c>
      <c r="C309" s="5" t="str">
        <f>IFERROR(IF(SUMIFS(tblDaily[Discharges],tblDaily[EntryDate],DATE(2026,8,30),tblDaily[WardCode],"MW")=0,"",SUMIFS(tblDaily[Discharges],tblDaily[EntryDate],DATE(2026,8,30),tblDaily[WardCode],"MW")),"")</f>
        <v/>
      </c>
      <c r="D309" s="5" t="str">
        <f>IFERROR(IF(SUMIFS(tblDaily[Deaths],tblDaily[EntryDate],DATE(2026,8,30),tblDaily[WardCode],"MW")=0,"",SUMIFS(tblDaily[Deaths],tblDaily[EntryDate],DATE(2026,8,30),tblDaily[WardCode],"MW")),"")</f>
        <v/>
      </c>
      <c r="E309" s="5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5" t="str">
        <f>IFERROR(IF(SUMIFS(tblDaily[TransfersIn],tblDaily[EntryDate],DATE(2026,8,30),tblDaily[WardCode],"MW")=0,"",SUMIFS(tblDaily[TransfersIn],tblDaily[EntryDate],DATE(2026,8,30),tblDaily[WardCode],"MW")),"")</f>
        <v/>
      </c>
      <c r="G309" s="5" t="str">
        <f>IFERROR(IF(SUMIFS(tblDaily[TransfersOut],tblDaily[EntryDate],DATE(2026,8,30),tblDaily[WardCode],"MW")=0,"",SUMIFS(tblDaily[TransfersOut],tblDaily[EntryDate],DATE(2026,8,30),tblDaily[WardCode],"MW")),"")</f>
        <v/>
      </c>
      <c r="H309" s="5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IFERROR(IF(SUMIFS(tblDaily[Admissions],tblDaily[EntryDate],DATE(2026,8,31),tblDaily[WardCode],"MW")=0,"",SUMIFS(tblDaily[Admissions],tblDaily[EntryDate],DATE(2026,8,31),tblDaily[WardCode],"MW")),"")</f>
        <v/>
      </c>
      <c r="C310" s="5" t="str">
        <f>IFERROR(IF(SUMIFS(tblDaily[Discharges],tblDaily[EntryDate],DATE(2026,8,31),tblDaily[WardCode],"MW")=0,"",SUMIFS(tblDaily[Discharges],tblDaily[EntryDate],DATE(2026,8,31),tblDaily[WardCode],"MW")),"")</f>
        <v/>
      </c>
      <c r="D310" s="5" t="str">
        <f>IFERROR(IF(SUMIFS(tblDaily[Deaths],tblDaily[EntryDate],DATE(2026,8,31),tblDaily[WardCode],"MW")=0,"",SUMIFS(tblDaily[Deaths],tblDaily[EntryDate],DATE(2026,8,31),tblDaily[WardCode],"MW")),"")</f>
        <v/>
      </c>
      <c r="E310" s="5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5" t="str">
        <f>IFERROR(IF(SUMIFS(tblDaily[TransfersIn],tblDaily[EntryDate],DATE(2026,8,31),tblDaily[WardCode],"MW")=0,"",SUMIFS(tblDaily[TransfersIn],tblDaily[EntryDate],DATE(2026,8,31),tblDaily[WardCode],"MW")),"")</f>
        <v/>
      </c>
      <c r="G310" s="5" t="str">
        <f>IFERROR(IF(SUMIFS(tblDaily[TransfersOut],tblDaily[EntryDate],DATE(2026,8,31),tblDaily[WardCode],"MW")=0,"",SUMIFS(tblDaily[TransfersOut],tblDaily[EntryDate],DATE(2026,8,31),tblDaily[WardCode],"MW")),"")</f>
        <v/>
      </c>
      <c r="H310" s="5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95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86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89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IFERROR(IF(SUMIFS(tblDaily[Admissions],tblDaily[EntryDate],DATE(2026,9,1),tblDaily[WardCode],"MW")=0,"",SUMIFS(tblDaily[Admissions],tblDaily[EntryDate],DATE(2026,9,1),tblDaily[WardCode],"MW")),"")</f>
        <v/>
      </c>
      <c r="C319" s="5" t="str">
        <f>IFERROR(IF(SUMIFS(tblDaily[Discharges],tblDaily[EntryDate],DATE(2026,9,1),tblDaily[WardCode],"MW")=0,"",SUMIFS(tblDaily[Discharges],tblDaily[EntryDate],DATE(2026,9,1),tblDaily[WardCode],"MW")),"")</f>
        <v/>
      </c>
      <c r="D319" s="5" t="str">
        <f>IFERROR(IF(SUMIFS(tblDaily[Deaths],tblDaily[EntryDate],DATE(2026,9,1),tblDaily[WardCode],"MW")=0,"",SUMIFS(tblDaily[Deaths],tblDaily[EntryDate],DATE(2026,9,1),tblDaily[WardCode],"MW")),"")</f>
        <v/>
      </c>
      <c r="E319" s="5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5" t="str">
        <f>IFERROR(IF(SUMIFS(tblDaily[TransfersIn],tblDaily[EntryDate],DATE(2026,9,1),tblDaily[WardCode],"MW")=0,"",SUMIFS(tblDaily[TransfersIn],tblDaily[EntryDate],DATE(2026,9,1),tblDaily[WardCode],"MW")),"")</f>
        <v/>
      </c>
      <c r="G319" s="5" t="str">
        <f>IFERROR(IF(SUMIFS(tblDaily[TransfersOut],tblDaily[EntryDate],DATE(2026,9,1),tblDaily[WardCode],"MW")=0,"",SUMIFS(tblDaily[TransfersOut],tblDaily[EntryDate],DATE(2026,9,1),tblDaily[WardCode],"MW")),"")</f>
        <v/>
      </c>
      <c r="H319" s="5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IFERROR(IF(SUMIFS(tblDaily[Admissions],tblDaily[EntryDate],DATE(2026,9,2),tblDaily[WardCode],"MW")=0,"",SUMIFS(tblDaily[Admissions],tblDaily[EntryDate],DATE(2026,9,2),tblDaily[WardCode],"MW")),"")</f>
        <v/>
      </c>
      <c r="C320" s="5" t="str">
        <f>IFERROR(IF(SUMIFS(tblDaily[Discharges],tblDaily[EntryDate],DATE(2026,9,2),tblDaily[WardCode],"MW")=0,"",SUMIFS(tblDaily[Discharges],tblDaily[EntryDate],DATE(2026,9,2),tblDaily[WardCode],"MW")),"")</f>
        <v/>
      </c>
      <c r="D320" s="5" t="str">
        <f>IFERROR(IF(SUMIFS(tblDaily[Deaths],tblDaily[EntryDate],DATE(2026,9,2),tblDaily[WardCode],"MW")=0,"",SUMIFS(tblDaily[Deaths],tblDaily[EntryDate],DATE(2026,9,2),tblDaily[WardCode],"MW")),"")</f>
        <v/>
      </c>
      <c r="E320" s="5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5" t="str">
        <f>IFERROR(IF(SUMIFS(tblDaily[TransfersIn],tblDaily[EntryDate],DATE(2026,9,2),tblDaily[WardCode],"MW")=0,"",SUMIFS(tblDaily[TransfersIn],tblDaily[EntryDate],DATE(2026,9,2),tblDaily[WardCode],"MW")),"")</f>
        <v/>
      </c>
      <c r="G320" s="5" t="str">
        <f>IFERROR(IF(SUMIFS(tblDaily[TransfersOut],tblDaily[EntryDate],DATE(2026,9,2),tblDaily[WardCode],"MW")=0,"",SUMIFS(tblDaily[TransfersOut],tblDaily[EntryDate],DATE(2026,9,2),tblDaily[WardCode],"MW")),"")</f>
        <v/>
      </c>
      <c r="H320" s="5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IFERROR(IF(SUMIFS(tblDaily[Admissions],tblDaily[EntryDate],DATE(2026,9,3),tblDaily[WardCode],"MW")=0,"",SUMIFS(tblDaily[Admissions],tblDaily[EntryDate],DATE(2026,9,3),tblDaily[WardCode],"MW")),"")</f>
        <v/>
      </c>
      <c r="C321" s="5" t="str">
        <f>IFERROR(IF(SUMIFS(tblDaily[Discharges],tblDaily[EntryDate],DATE(2026,9,3),tblDaily[WardCode],"MW")=0,"",SUMIFS(tblDaily[Discharges],tblDaily[EntryDate],DATE(2026,9,3),tblDaily[WardCode],"MW")),"")</f>
        <v/>
      </c>
      <c r="D321" s="5" t="str">
        <f>IFERROR(IF(SUMIFS(tblDaily[Deaths],tblDaily[EntryDate],DATE(2026,9,3),tblDaily[WardCode],"MW")=0,"",SUMIFS(tblDaily[Deaths],tblDaily[EntryDate],DATE(2026,9,3),tblDaily[WardCode],"MW")),"")</f>
        <v/>
      </c>
      <c r="E321" s="5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5" t="str">
        <f>IFERROR(IF(SUMIFS(tblDaily[TransfersIn],tblDaily[EntryDate],DATE(2026,9,3),tblDaily[WardCode],"MW")=0,"",SUMIFS(tblDaily[TransfersIn],tblDaily[EntryDate],DATE(2026,9,3),tblDaily[WardCode],"MW")),"")</f>
        <v/>
      </c>
      <c r="G321" s="5" t="str">
        <f>IFERROR(IF(SUMIFS(tblDaily[TransfersOut],tblDaily[EntryDate],DATE(2026,9,3),tblDaily[WardCode],"MW")=0,"",SUMIFS(tblDaily[TransfersOut],tblDaily[EntryDate],DATE(2026,9,3),tblDaily[WardCode],"MW")),"")</f>
        <v/>
      </c>
      <c r="H321" s="5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IFERROR(IF(SUMIFS(tblDaily[Admissions],tblDaily[EntryDate],DATE(2026,9,4),tblDaily[WardCode],"MW")=0,"",SUMIFS(tblDaily[Admissions],tblDaily[EntryDate],DATE(2026,9,4),tblDaily[WardCode],"MW")),"")</f>
        <v/>
      </c>
      <c r="C322" s="5" t="str">
        <f>IFERROR(IF(SUMIFS(tblDaily[Discharges],tblDaily[EntryDate],DATE(2026,9,4),tblDaily[WardCode],"MW")=0,"",SUMIFS(tblDaily[Discharges],tblDaily[EntryDate],DATE(2026,9,4),tblDaily[WardCode],"MW")),"")</f>
        <v/>
      </c>
      <c r="D322" s="5" t="str">
        <f>IFERROR(IF(SUMIFS(tblDaily[Deaths],tblDaily[EntryDate],DATE(2026,9,4),tblDaily[WardCode],"MW")=0,"",SUMIFS(tblDaily[Deaths],tblDaily[EntryDate],DATE(2026,9,4),tblDaily[WardCode],"MW")),"")</f>
        <v/>
      </c>
      <c r="E322" s="5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5" t="str">
        <f>IFERROR(IF(SUMIFS(tblDaily[TransfersIn],tblDaily[EntryDate],DATE(2026,9,4),tblDaily[WardCode],"MW")=0,"",SUMIFS(tblDaily[TransfersIn],tblDaily[EntryDate],DATE(2026,9,4),tblDaily[WardCode],"MW")),"")</f>
        <v/>
      </c>
      <c r="G322" s="5" t="str">
        <f>IFERROR(IF(SUMIFS(tblDaily[TransfersOut],tblDaily[EntryDate],DATE(2026,9,4),tblDaily[WardCode],"MW")=0,"",SUMIFS(tblDaily[TransfersOut],tblDaily[EntryDate],DATE(2026,9,4),tblDaily[WardCode],"MW")),"")</f>
        <v/>
      </c>
      <c r="H322" s="5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IFERROR(IF(SUMIFS(tblDaily[Admissions],tblDaily[EntryDate],DATE(2026,9,5),tblDaily[WardCode],"MW")=0,"",SUMIFS(tblDaily[Admissions],tblDaily[EntryDate],DATE(2026,9,5),tblDaily[WardCode],"MW")),"")</f>
        <v/>
      </c>
      <c r="C323" s="5" t="str">
        <f>IFERROR(IF(SUMIFS(tblDaily[Discharges],tblDaily[EntryDate],DATE(2026,9,5),tblDaily[WardCode],"MW")=0,"",SUMIFS(tblDaily[Discharges],tblDaily[EntryDate],DATE(2026,9,5),tblDaily[WardCode],"MW")),"")</f>
        <v/>
      </c>
      <c r="D323" s="5" t="str">
        <f>IFERROR(IF(SUMIFS(tblDaily[Deaths],tblDaily[EntryDate],DATE(2026,9,5),tblDaily[WardCode],"MW")=0,"",SUMIFS(tblDaily[Deaths],tblDaily[EntryDate],DATE(2026,9,5),tblDaily[WardCode],"MW")),"")</f>
        <v/>
      </c>
      <c r="E323" s="5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5" t="str">
        <f>IFERROR(IF(SUMIFS(tblDaily[TransfersIn],tblDaily[EntryDate],DATE(2026,9,5),tblDaily[WardCode],"MW")=0,"",SUMIFS(tblDaily[TransfersIn],tblDaily[EntryDate],DATE(2026,9,5),tblDaily[WardCode],"MW")),"")</f>
        <v/>
      </c>
      <c r="G323" s="5" t="str">
        <f>IFERROR(IF(SUMIFS(tblDaily[TransfersOut],tblDaily[EntryDate],DATE(2026,9,5),tblDaily[WardCode],"MW")=0,"",SUMIFS(tblDaily[TransfersOut],tblDaily[EntryDate],DATE(2026,9,5),tblDaily[WardCode],"MW")),"")</f>
        <v/>
      </c>
      <c r="H323" s="5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IFERROR(IF(SUMIFS(tblDaily[Admissions],tblDaily[EntryDate],DATE(2026,9,6),tblDaily[WardCode],"MW")=0,"",SUMIFS(tblDaily[Admissions],tblDaily[EntryDate],DATE(2026,9,6),tblDaily[WardCode],"MW")),"")</f>
        <v/>
      </c>
      <c r="C324" s="5" t="str">
        <f>IFERROR(IF(SUMIFS(tblDaily[Discharges],tblDaily[EntryDate],DATE(2026,9,6),tblDaily[WardCode],"MW")=0,"",SUMIFS(tblDaily[Discharges],tblDaily[EntryDate],DATE(2026,9,6),tblDaily[WardCode],"MW")),"")</f>
        <v/>
      </c>
      <c r="D324" s="5" t="str">
        <f>IFERROR(IF(SUMIFS(tblDaily[Deaths],tblDaily[EntryDate],DATE(2026,9,6),tblDaily[WardCode],"MW")=0,"",SUMIFS(tblDaily[Deaths],tblDaily[EntryDate],DATE(2026,9,6),tblDaily[WardCode],"MW")),"")</f>
        <v/>
      </c>
      <c r="E324" s="5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5" t="str">
        <f>IFERROR(IF(SUMIFS(tblDaily[TransfersIn],tblDaily[EntryDate],DATE(2026,9,6),tblDaily[WardCode],"MW")=0,"",SUMIFS(tblDaily[TransfersIn],tblDaily[EntryDate],DATE(2026,9,6),tblDaily[WardCode],"MW")),"")</f>
        <v/>
      </c>
      <c r="G324" s="5" t="str">
        <f>IFERROR(IF(SUMIFS(tblDaily[TransfersOut],tblDaily[EntryDate],DATE(2026,9,6),tblDaily[WardCode],"MW")=0,"",SUMIFS(tblDaily[TransfersOut],tblDaily[EntryDate],DATE(2026,9,6),tblDaily[WardCode],"MW")),"")</f>
        <v/>
      </c>
      <c r="H324" s="5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IFERROR(IF(SUMIFS(tblDaily[Admissions],tblDaily[EntryDate],DATE(2026,9,7),tblDaily[WardCode],"MW")=0,"",SUMIFS(tblDaily[Admissions],tblDaily[EntryDate],DATE(2026,9,7),tblDaily[WardCode],"MW")),"")</f>
        <v/>
      </c>
      <c r="C325" s="5" t="str">
        <f>IFERROR(IF(SUMIFS(tblDaily[Discharges],tblDaily[EntryDate],DATE(2026,9,7),tblDaily[WardCode],"MW")=0,"",SUMIFS(tblDaily[Discharges],tblDaily[EntryDate],DATE(2026,9,7),tblDaily[WardCode],"MW")),"")</f>
        <v/>
      </c>
      <c r="D325" s="5" t="str">
        <f>IFERROR(IF(SUMIFS(tblDaily[Deaths],tblDaily[EntryDate],DATE(2026,9,7),tblDaily[WardCode],"MW")=0,"",SUMIFS(tblDaily[Deaths],tblDaily[EntryDate],DATE(2026,9,7),tblDaily[WardCode],"MW")),"")</f>
        <v/>
      </c>
      <c r="E325" s="5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5" t="str">
        <f>IFERROR(IF(SUMIFS(tblDaily[TransfersIn],tblDaily[EntryDate],DATE(2026,9,7),tblDaily[WardCode],"MW")=0,"",SUMIFS(tblDaily[TransfersIn],tblDaily[EntryDate],DATE(2026,9,7),tblDaily[WardCode],"MW")),"")</f>
        <v/>
      </c>
      <c r="G325" s="5" t="str">
        <f>IFERROR(IF(SUMIFS(tblDaily[TransfersOut],tblDaily[EntryDate],DATE(2026,9,7),tblDaily[WardCode],"MW")=0,"",SUMIFS(tblDaily[TransfersOut],tblDaily[EntryDate],DATE(2026,9,7),tblDaily[WardCode],"MW")),"")</f>
        <v/>
      </c>
      <c r="H325" s="5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IFERROR(IF(SUMIFS(tblDaily[Admissions],tblDaily[EntryDate],DATE(2026,9,8),tblDaily[WardCode],"MW")=0,"",SUMIFS(tblDaily[Admissions],tblDaily[EntryDate],DATE(2026,9,8),tblDaily[WardCode],"MW")),"")</f>
        <v/>
      </c>
      <c r="C326" s="5" t="str">
        <f>IFERROR(IF(SUMIFS(tblDaily[Discharges],tblDaily[EntryDate],DATE(2026,9,8),tblDaily[WardCode],"MW")=0,"",SUMIFS(tblDaily[Discharges],tblDaily[EntryDate],DATE(2026,9,8),tblDaily[WardCode],"MW")),"")</f>
        <v/>
      </c>
      <c r="D326" s="5" t="str">
        <f>IFERROR(IF(SUMIFS(tblDaily[Deaths],tblDaily[EntryDate],DATE(2026,9,8),tblDaily[WardCode],"MW")=0,"",SUMIFS(tblDaily[Deaths],tblDaily[EntryDate],DATE(2026,9,8),tblDaily[WardCode],"MW")),"")</f>
        <v/>
      </c>
      <c r="E326" s="5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5" t="str">
        <f>IFERROR(IF(SUMIFS(tblDaily[TransfersIn],tblDaily[EntryDate],DATE(2026,9,8),tblDaily[WardCode],"MW")=0,"",SUMIFS(tblDaily[TransfersIn],tblDaily[EntryDate],DATE(2026,9,8),tblDaily[WardCode],"MW")),"")</f>
        <v/>
      </c>
      <c r="G326" s="5" t="str">
        <f>IFERROR(IF(SUMIFS(tblDaily[TransfersOut],tblDaily[EntryDate],DATE(2026,9,8),tblDaily[WardCode],"MW")=0,"",SUMIFS(tblDaily[TransfersOut],tblDaily[EntryDate],DATE(2026,9,8),tblDaily[WardCode],"MW")),"")</f>
        <v/>
      </c>
      <c r="H326" s="5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IFERROR(IF(SUMIFS(tblDaily[Admissions],tblDaily[EntryDate],DATE(2026,9,9),tblDaily[WardCode],"MW")=0,"",SUMIFS(tblDaily[Admissions],tblDaily[EntryDate],DATE(2026,9,9),tblDaily[WardCode],"MW")),"")</f>
        <v/>
      </c>
      <c r="C327" s="5" t="str">
        <f>IFERROR(IF(SUMIFS(tblDaily[Discharges],tblDaily[EntryDate],DATE(2026,9,9),tblDaily[WardCode],"MW")=0,"",SUMIFS(tblDaily[Discharges],tblDaily[EntryDate],DATE(2026,9,9),tblDaily[WardCode],"MW")),"")</f>
        <v/>
      </c>
      <c r="D327" s="5" t="str">
        <f>IFERROR(IF(SUMIFS(tblDaily[Deaths],tblDaily[EntryDate],DATE(2026,9,9),tblDaily[WardCode],"MW")=0,"",SUMIFS(tblDaily[Deaths],tblDaily[EntryDate],DATE(2026,9,9),tblDaily[WardCode],"MW")),"")</f>
        <v/>
      </c>
      <c r="E327" s="5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5" t="str">
        <f>IFERROR(IF(SUMIFS(tblDaily[TransfersIn],tblDaily[EntryDate],DATE(2026,9,9),tblDaily[WardCode],"MW")=0,"",SUMIFS(tblDaily[TransfersIn],tblDaily[EntryDate],DATE(2026,9,9),tblDaily[WardCode],"MW")),"")</f>
        <v/>
      </c>
      <c r="G327" s="5" t="str">
        <f>IFERROR(IF(SUMIFS(tblDaily[TransfersOut],tblDaily[EntryDate],DATE(2026,9,9),tblDaily[WardCode],"MW")=0,"",SUMIFS(tblDaily[TransfersOut],tblDaily[EntryDate],DATE(2026,9,9),tblDaily[WardCode],"MW")),"")</f>
        <v/>
      </c>
      <c r="H327" s="5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IFERROR(IF(SUMIFS(tblDaily[Admissions],tblDaily[EntryDate],DATE(2026,9,10),tblDaily[WardCode],"MW")=0,"",SUMIFS(tblDaily[Admissions],tblDaily[EntryDate],DATE(2026,9,10),tblDaily[WardCode],"MW")),"")</f>
        <v/>
      </c>
      <c r="C328" s="5" t="str">
        <f>IFERROR(IF(SUMIFS(tblDaily[Discharges],tblDaily[EntryDate],DATE(2026,9,10),tblDaily[WardCode],"MW")=0,"",SUMIFS(tblDaily[Discharges],tblDaily[EntryDate],DATE(2026,9,10),tblDaily[WardCode],"MW")),"")</f>
        <v/>
      </c>
      <c r="D328" s="5" t="str">
        <f>IFERROR(IF(SUMIFS(tblDaily[Deaths],tblDaily[EntryDate],DATE(2026,9,10),tblDaily[WardCode],"MW")=0,"",SUMIFS(tblDaily[Deaths],tblDaily[EntryDate],DATE(2026,9,10),tblDaily[WardCode],"MW")),"")</f>
        <v/>
      </c>
      <c r="E328" s="5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5" t="str">
        <f>IFERROR(IF(SUMIFS(tblDaily[TransfersIn],tblDaily[EntryDate],DATE(2026,9,10),tblDaily[WardCode],"MW")=0,"",SUMIFS(tblDaily[TransfersIn],tblDaily[EntryDate],DATE(2026,9,10),tblDaily[WardCode],"MW")),"")</f>
        <v/>
      </c>
      <c r="G328" s="5" t="str">
        <f>IFERROR(IF(SUMIFS(tblDaily[TransfersOut],tblDaily[EntryDate],DATE(2026,9,10),tblDaily[WardCode],"MW")=0,"",SUMIFS(tblDaily[TransfersOut],tblDaily[EntryDate],DATE(2026,9,10),tblDaily[WardCode],"MW")),"")</f>
        <v/>
      </c>
      <c r="H328" s="5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IFERROR(IF(SUMIFS(tblDaily[Admissions],tblDaily[EntryDate],DATE(2026,9,11),tblDaily[WardCode],"MW")=0,"",SUMIFS(tblDaily[Admissions],tblDaily[EntryDate],DATE(2026,9,11),tblDaily[WardCode],"MW")),"")</f>
        <v/>
      </c>
      <c r="C329" s="5" t="str">
        <f>IFERROR(IF(SUMIFS(tblDaily[Discharges],tblDaily[EntryDate],DATE(2026,9,11),tblDaily[WardCode],"MW")=0,"",SUMIFS(tblDaily[Discharges],tblDaily[EntryDate],DATE(2026,9,11),tblDaily[WardCode],"MW")),"")</f>
        <v/>
      </c>
      <c r="D329" s="5" t="str">
        <f>IFERROR(IF(SUMIFS(tblDaily[Deaths],tblDaily[EntryDate],DATE(2026,9,11),tblDaily[WardCode],"MW")=0,"",SUMIFS(tblDaily[Deaths],tblDaily[EntryDate],DATE(2026,9,11),tblDaily[WardCode],"MW")),"")</f>
        <v/>
      </c>
      <c r="E329" s="5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5" t="str">
        <f>IFERROR(IF(SUMIFS(tblDaily[TransfersIn],tblDaily[EntryDate],DATE(2026,9,11),tblDaily[WardCode],"MW")=0,"",SUMIFS(tblDaily[TransfersIn],tblDaily[EntryDate],DATE(2026,9,11),tblDaily[WardCode],"MW")),"")</f>
        <v/>
      </c>
      <c r="G329" s="5" t="str">
        <f>IFERROR(IF(SUMIFS(tblDaily[TransfersOut],tblDaily[EntryDate],DATE(2026,9,11),tblDaily[WardCode],"MW")=0,"",SUMIFS(tblDaily[TransfersOut],tblDaily[EntryDate],DATE(2026,9,11),tblDaily[WardCode],"MW")),"")</f>
        <v/>
      </c>
      <c r="H329" s="5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IFERROR(IF(SUMIFS(tblDaily[Admissions],tblDaily[EntryDate],DATE(2026,9,12),tblDaily[WardCode],"MW")=0,"",SUMIFS(tblDaily[Admissions],tblDaily[EntryDate],DATE(2026,9,12),tblDaily[WardCode],"MW")),"")</f>
        <v/>
      </c>
      <c r="C330" s="5" t="str">
        <f>IFERROR(IF(SUMIFS(tblDaily[Discharges],tblDaily[EntryDate],DATE(2026,9,12),tblDaily[WardCode],"MW")=0,"",SUMIFS(tblDaily[Discharges],tblDaily[EntryDate],DATE(2026,9,12),tblDaily[WardCode],"MW")),"")</f>
        <v/>
      </c>
      <c r="D330" s="5" t="str">
        <f>IFERROR(IF(SUMIFS(tblDaily[Deaths],tblDaily[EntryDate],DATE(2026,9,12),tblDaily[WardCode],"MW")=0,"",SUMIFS(tblDaily[Deaths],tblDaily[EntryDate],DATE(2026,9,12),tblDaily[WardCode],"MW")),"")</f>
        <v/>
      </c>
      <c r="E330" s="5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5" t="str">
        <f>IFERROR(IF(SUMIFS(tblDaily[TransfersIn],tblDaily[EntryDate],DATE(2026,9,12),tblDaily[WardCode],"MW")=0,"",SUMIFS(tblDaily[TransfersIn],tblDaily[EntryDate],DATE(2026,9,12),tblDaily[WardCode],"MW")),"")</f>
        <v/>
      </c>
      <c r="G330" s="5" t="str">
        <f>IFERROR(IF(SUMIFS(tblDaily[TransfersOut],tblDaily[EntryDate],DATE(2026,9,12),tblDaily[WardCode],"MW")=0,"",SUMIFS(tblDaily[TransfersOut],tblDaily[EntryDate],DATE(2026,9,12),tblDaily[WardCode],"MW")),"")</f>
        <v/>
      </c>
      <c r="H330" s="5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IFERROR(IF(SUMIFS(tblDaily[Admissions],tblDaily[EntryDate],DATE(2026,9,13),tblDaily[WardCode],"MW")=0,"",SUMIFS(tblDaily[Admissions],tblDaily[EntryDate],DATE(2026,9,13),tblDaily[WardCode],"MW")),"")</f>
        <v/>
      </c>
      <c r="C331" s="5" t="str">
        <f>IFERROR(IF(SUMIFS(tblDaily[Discharges],tblDaily[EntryDate],DATE(2026,9,13),tblDaily[WardCode],"MW")=0,"",SUMIFS(tblDaily[Discharges],tblDaily[EntryDate],DATE(2026,9,13),tblDaily[WardCode],"MW")),"")</f>
        <v/>
      </c>
      <c r="D331" s="5" t="str">
        <f>IFERROR(IF(SUMIFS(tblDaily[Deaths],tblDaily[EntryDate],DATE(2026,9,13),tblDaily[WardCode],"MW")=0,"",SUMIFS(tblDaily[Deaths],tblDaily[EntryDate],DATE(2026,9,13),tblDaily[WardCode],"MW")),"")</f>
        <v/>
      </c>
      <c r="E331" s="5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5" t="str">
        <f>IFERROR(IF(SUMIFS(tblDaily[TransfersIn],tblDaily[EntryDate],DATE(2026,9,13),tblDaily[WardCode],"MW")=0,"",SUMIFS(tblDaily[TransfersIn],tblDaily[EntryDate],DATE(2026,9,13),tblDaily[WardCode],"MW")),"")</f>
        <v/>
      </c>
      <c r="G331" s="5" t="str">
        <f>IFERROR(IF(SUMIFS(tblDaily[TransfersOut],tblDaily[EntryDate],DATE(2026,9,13),tblDaily[WardCode],"MW")=0,"",SUMIFS(tblDaily[TransfersOut],tblDaily[EntryDate],DATE(2026,9,13),tblDaily[WardCode],"MW")),"")</f>
        <v/>
      </c>
      <c r="H331" s="5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IFERROR(IF(SUMIFS(tblDaily[Admissions],tblDaily[EntryDate],DATE(2026,9,14),tblDaily[WardCode],"MW")=0,"",SUMIFS(tblDaily[Admissions],tblDaily[EntryDate],DATE(2026,9,14),tblDaily[WardCode],"MW")),"")</f>
        <v/>
      </c>
      <c r="C332" s="5" t="str">
        <f>IFERROR(IF(SUMIFS(tblDaily[Discharges],tblDaily[EntryDate],DATE(2026,9,14),tblDaily[WardCode],"MW")=0,"",SUMIFS(tblDaily[Discharges],tblDaily[EntryDate],DATE(2026,9,14),tblDaily[WardCode],"MW")),"")</f>
        <v/>
      </c>
      <c r="D332" s="5" t="str">
        <f>IFERROR(IF(SUMIFS(tblDaily[Deaths],tblDaily[EntryDate],DATE(2026,9,14),tblDaily[WardCode],"MW")=0,"",SUMIFS(tblDaily[Deaths],tblDaily[EntryDate],DATE(2026,9,14),tblDaily[WardCode],"MW")),"")</f>
        <v/>
      </c>
      <c r="E332" s="5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5" t="str">
        <f>IFERROR(IF(SUMIFS(tblDaily[TransfersIn],tblDaily[EntryDate],DATE(2026,9,14),tblDaily[WardCode],"MW")=0,"",SUMIFS(tblDaily[TransfersIn],tblDaily[EntryDate],DATE(2026,9,14),tblDaily[WardCode],"MW")),"")</f>
        <v/>
      </c>
      <c r="G332" s="5" t="str">
        <f>IFERROR(IF(SUMIFS(tblDaily[TransfersOut],tblDaily[EntryDate],DATE(2026,9,14),tblDaily[WardCode],"MW")=0,"",SUMIFS(tblDaily[TransfersOut],tblDaily[EntryDate],DATE(2026,9,14),tblDaily[WardCode],"MW")),"")</f>
        <v/>
      </c>
      <c r="H332" s="5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IFERROR(IF(SUMIFS(tblDaily[Admissions],tblDaily[EntryDate],DATE(2026,9,15),tblDaily[WardCode],"MW")=0,"",SUMIFS(tblDaily[Admissions],tblDaily[EntryDate],DATE(2026,9,15),tblDaily[WardCode],"MW")),"")</f>
        <v/>
      </c>
      <c r="C333" s="5" t="str">
        <f>IFERROR(IF(SUMIFS(tblDaily[Discharges],tblDaily[EntryDate],DATE(2026,9,15),tblDaily[WardCode],"MW")=0,"",SUMIFS(tblDaily[Discharges],tblDaily[EntryDate],DATE(2026,9,15),tblDaily[WardCode],"MW")),"")</f>
        <v/>
      </c>
      <c r="D333" s="5" t="str">
        <f>IFERROR(IF(SUMIFS(tblDaily[Deaths],tblDaily[EntryDate],DATE(2026,9,15),tblDaily[WardCode],"MW")=0,"",SUMIFS(tblDaily[Deaths],tblDaily[EntryDate],DATE(2026,9,15),tblDaily[WardCode],"MW")),"")</f>
        <v/>
      </c>
      <c r="E333" s="5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5" t="str">
        <f>IFERROR(IF(SUMIFS(tblDaily[TransfersIn],tblDaily[EntryDate],DATE(2026,9,15),tblDaily[WardCode],"MW")=0,"",SUMIFS(tblDaily[TransfersIn],tblDaily[EntryDate],DATE(2026,9,15),tblDaily[WardCode],"MW")),"")</f>
        <v/>
      </c>
      <c r="G333" s="5" t="str">
        <f>IFERROR(IF(SUMIFS(tblDaily[TransfersOut],tblDaily[EntryDate],DATE(2026,9,15),tblDaily[WardCode],"MW")=0,"",SUMIFS(tblDaily[TransfersOut],tblDaily[EntryDate],DATE(2026,9,15),tblDaily[WardCode],"MW")),"")</f>
        <v/>
      </c>
      <c r="H333" s="5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IFERROR(IF(SUMIFS(tblDaily[Admissions],tblDaily[EntryDate],DATE(2026,9,16),tblDaily[WardCode],"MW")=0,"",SUMIFS(tblDaily[Admissions],tblDaily[EntryDate],DATE(2026,9,16),tblDaily[WardCode],"MW")),"")</f>
        <v/>
      </c>
      <c r="C334" s="5" t="str">
        <f>IFERROR(IF(SUMIFS(tblDaily[Discharges],tblDaily[EntryDate],DATE(2026,9,16),tblDaily[WardCode],"MW")=0,"",SUMIFS(tblDaily[Discharges],tblDaily[EntryDate],DATE(2026,9,16),tblDaily[WardCode],"MW")),"")</f>
        <v/>
      </c>
      <c r="D334" s="5" t="str">
        <f>IFERROR(IF(SUMIFS(tblDaily[Deaths],tblDaily[EntryDate],DATE(2026,9,16),tblDaily[WardCode],"MW")=0,"",SUMIFS(tblDaily[Deaths],tblDaily[EntryDate],DATE(2026,9,16),tblDaily[WardCode],"MW")),"")</f>
        <v/>
      </c>
      <c r="E334" s="5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5" t="str">
        <f>IFERROR(IF(SUMIFS(tblDaily[TransfersIn],tblDaily[EntryDate],DATE(2026,9,16),tblDaily[WardCode],"MW")=0,"",SUMIFS(tblDaily[TransfersIn],tblDaily[EntryDate],DATE(2026,9,16),tblDaily[WardCode],"MW")),"")</f>
        <v/>
      </c>
      <c r="G334" s="5" t="str">
        <f>IFERROR(IF(SUMIFS(tblDaily[TransfersOut],tblDaily[EntryDate],DATE(2026,9,16),tblDaily[WardCode],"MW")=0,"",SUMIFS(tblDaily[TransfersOut],tblDaily[EntryDate],DATE(2026,9,16),tblDaily[WardCode],"MW")),"")</f>
        <v/>
      </c>
      <c r="H334" s="5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IFERROR(IF(SUMIFS(tblDaily[Admissions],tblDaily[EntryDate],DATE(2026,9,17),tblDaily[WardCode],"MW")=0,"",SUMIFS(tblDaily[Admissions],tblDaily[EntryDate],DATE(2026,9,17),tblDaily[WardCode],"MW")),"")</f>
        <v/>
      </c>
      <c r="C335" s="5" t="str">
        <f>IFERROR(IF(SUMIFS(tblDaily[Discharges],tblDaily[EntryDate],DATE(2026,9,17),tblDaily[WardCode],"MW")=0,"",SUMIFS(tblDaily[Discharges],tblDaily[EntryDate],DATE(2026,9,17),tblDaily[WardCode],"MW")),"")</f>
        <v/>
      </c>
      <c r="D335" s="5" t="str">
        <f>IFERROR(IF(SUMIFS(tblDaily[Deaths],tblDaily[EntryDate],DATE(2026,9,17),tblDaily[WardCode],"MW")=0,"",SUMIFS(tblDaily[Deaths],tblDaily[EntryDate],DATE(2026,9,17),tblDaily[WardCode],"MW")),"")</f>
        <v/>
      </c>
      <c r="E335" s="5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5" t="str">
        <f>IFERROR(IF(SUMIFS(tblDaily[TransfersIn],tblDaily[EntryDate],DATE(2026,9,17),tblDaily[WardCode],"MW")=0,"",SUMIFS(tblDaily[TransfersIn],tblDaily[EntryDate],DATE(2026,9,17),tblDaily[WardCode],"MW")),"")</f>
        <v/>
      </c>
      <c r="G335" s="5" t="str">
        <f>IFERROR(IF(SUMIFS(tblDaily[TransfersOut],tblDaily[EntryDate],DATE(2026,9,17),tblDaily[WardCode],"MW")=0,"",SUMIFS(tblDaily[TransfersOut],tblDaily[EntryDate],DATE(2026,9,17),tblDaily[WardCode],"MW")),"")</f>
        <v/>
      </c>
      <c r="H335" s="5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IFERROR(IF(SUMIFS(tblDaily[Admissions],tblDaily[EntryDate],DATE(2026,9,18),tblDaily[WardCode],"MW")=0,"",SUMIFS(tblDaily[Admissions],tblDaily[EntryDate],DATE(2026,9,18),tblDaily[WardCode],"MW")),"")</f>
        <v/>
      </c>
      <c r="C336" s="5" t="str">
        <f>IFERROR(IF(SUMIFS(tblDaily[Discharges],tblDaily[EntryDate],DATE(2026,9,18),tblDaily[WardCode],"MW")=0,"",SUMIFS(tblDaily[Discharges],tblDaily[EntryDate],DATE(2026,9,18),tblDaily[WardCode],"MW")),"")</f>
        <v/>
      </c>
      <c r="D336" s="5" t="str">
        <f>IFERROR(IF(SUMIFS(tblDaily[Deaths],tblDaily[EntryDate],DATE(2026,9,18),tblDaily[WardCode],"MW")=0,"",SUMIFS(tblDaily[Deaths],tblDaily[EntryDate],DATE(2026,9,18),tblDaily[WardCode],"MW")),"")</f>
        <v/>
      </c>
      <c r="E336" s="5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5" t="str">
        <f>IFERROR(IF(SUMIFS(tblDaily[TransfersIn],tblDaily[EntryDate],DATE(2026,9,18),tblDaily[WardCode],"MW")=0,"",SUMIFS(tblDaily[TransfersIn],tblDaily[EntryDate],DATE(2026,9,18),tblDaily[WardCode],"MW")),"")</f>
        <v/>
      </c>
      <c r="G336" s="5" t="str">
        <f>IFERROR(IF(SUMIFS(tblDaily[TransfersOut],tblDaily[EntryDate],DATE(2026,9,18),tblDaily[WardCode],"MW")=0,"",SUMIFS(tblDaily[TransfersOut],tblDaily[EntryDate],DATE(2026,9,18),tblDaily[WardCode],"MW")),"")</f>
        <v/>
      </c>
      <c r="H336" s="5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IFERROR(IF(SUMIFS(tblDaily[Admissions],tblDaily[EntryDate],DATE(2026,9,19),tblDaily[WardCode],"MW")=0,"",SUMIFS(tblDaily[Admissions],tblDaily[EntryDate],DATE(2026,9,19),tblDaily[WardCode],"MW")),"")</f>
        <v/>
      </c>
      <c r="C337" s="5" t="str">
        <f>IFERROR(IF(SUMIFS(tblDaily[Discharges],tblDaily[EntryDate],DATE(2026,9,19),tblDaily[WardCode],"MW")=0,"",SUMIFS(tblDaily[Discharges],tblDaily[EntryDate],DATE(2026,9,19),tblDaily[WardCode],"MW")),"")</f>
        <v/>
      </c>
      <c r="D337" s="5" t="str">
        <f>IFERROR(IF(SUMIFS(tblDaily[Deaths],tblDaily[EntryDate],DATE(2026,9,19),tblDaily[WardCode],"MW")=0,"",SUMIFS(tblDaily[Deaths],tblDaily[EntryDate],DATE(2026,9,19),tblDaily[WardCode],"MW")),"")</f>
        <v/>
      </c>
      <c r="E337" s="5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5" t="str">
        <f>IFERROR(IF(SUMIFS(tblDaily[TransfersIn],tblDaily[EntryDate],DATE(2026,9,19),tblDaily[WardCode],"MW")=0,"",SUMIFS(tblDaily[TransfersIn],tblDaily[EntryDate],DATE(2026,9,19),tblDaily[WardCode],"MW")),"")</f>
        <v/>
      </c>
      <c r="G337" s="5" t="str">
        <f>IFERROR(IF(SUMIFS(tblDaily[TransfersOut],tblDaily[EntryDate],DATE(2026,9,19),tblDaily[WardCode],"MW")=0,"",SUMIFS(tblDaily[TransfersOut],tblDaily[EntryDate],DATE(2026,9,19),tblDaily[WardCode],"MW")),"")</f>
        <v/>
      </c>
      <c r="H337" s="5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IFERROR(IF(SUMIFS(tblDaily[Admissions],tblDaily[EntryDate],DATE(2026,9,20),tblDaily[WardCode],"MW")=0,"",SUMIFS(tblDaily[Admissions],tblDaily[EntryDate],DATE(2026,9,20),tblDaily[WardCode],"MW")),"")</f>
        <v/>
      </c>
      <c r="C338" s="5" t="str">
        <f>IFERROR(IF(SUMIFS(tblDaily[Discharges],tblDaily[EntryDate],DATE(2026,9,20),tblDaily[WardCode],"MW")=0,"",SUMIFS(tblDaily[Discharges],tblDaily[EntryDate],DATE(2026,9,20),tblDaily[WardCode],"MW")),"")</f>
        <v/>
      </c>
      <c r="D338" s="5" t="str">
        <f>IFERROR(IF(SUMIFS(tblDaily[Deaths],tblDaily[EntryDate],DATE(2026,9,20),tblDaily[WardCode],"MW")=0,"",SUMIFS(tblDaily[Deaths],tblDaily[EntryDate],DATE(2026,9,20),tblDaily[WardCode],"MW")),"")</f>
        <v/>
      </c>
      <c r="E338" s="5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5" t="str">
        <f>IFERROR(IF(SUMIFS(tblDaily[TransfersIn],tblDaily[EntryDate],DATE(2026,9,20),tblDaily[WardCode],"MW")=0,"",SUMIFS(tblDaily[TransfersIn],tblDaily[EntryDate],DATE(2026,9,20),tblDaily[WardCode],"MW")),"")</f>
        <v/>
      </c>
      <c r="G338" s="5" t="str">
        <f>IFERROR(IF(SUMIFS(tblDaily[TransfersOut],tblDaily[EntryDate],DATE(2026,9,20),tblDaily[WardCode],"MW")=0,"",SUMIFS(tblDaily[TransfersOut],tblDaily[EntryDate],DATE(2026,9,20),tblDaily[WardCode],"MW")),"")</f>
        <v/>
      </c>
      <c r="H338" s="5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IFERROR(IF(SUMIFS(tblDaily[Admissions],tblDaily[EntryDate],DATE(2026,9,21),tblDaily[WardCode],"MW")=0,"",SUMIFS(tblDaily[Admissions],tblDaily[EntryDate],DATE(2026,9,21),tblDaily[WardCode],"MW")),"")</f>
        <v/>
      </c>
      <c r="C339" s="5" t="str">
        <f>IFERROR(IF(SUMIFS(tblDaily[Discharges],tblDaily[EntryDate],DATE(2026,9,21),tblDaily[WardCode],"MW")=0,"",SUMIFS(tblDaily[Discharges],tblDaily[EntryDate],DATE(2026,9,21),tblDaily[WardCode],"MW")),"")</f>
        <v/>
      </c>
      <c r="D339" s="5" t="str">
        <f>IFERROR(IF(SUMIFS(tblDaily[Deaths],tblDaily[EntryDate],DATE(2026,9,21),tblDaily[WardCode],"MW")=0,"",SUMIFS(tblDaily[Deaths],tblDaily[EntryDate],DATE(2026,9,21),tblDaily[WardCode],"MW")),"")</f>
        <v/>
      </c>
      <c r="E339" s="5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5" t="str">
        <f>IFERROR(IF(SUMIFS(tblDaily[TransfersIn],tblDaily[EntryDate],DATE(2026,9,21),tblDaily[WardCode],"MW")=0,"",SUMIFS(tblDaily[TransfersIn],tblDaily[EntryDate],DATE(2026,9,21),tblDaily[WardCode],"MW")),"")</f>
        <v/>
      </c>
      <c r="G339" s="5" t="str">
        <f>IFERROR(IF(SUMIFS(tblDaily[TransfersOut],tblDaily[EntryDate],DATE(2026,9,21),tblDaily[WardCode],"MW")=0,"",SUMIFS(tblDaily[TransfersOut],tblDaily[EntryDate],DATE(2026,9,21),tblDaily[WardCode],"MW")),"")</f>
        <v/>
      </c>
      <c r="H339" s="5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IFERROR(IF(SUMIFS(tblDaily[Admissions],tblDaily[EntryDate],DATE(2026,9,22),tblDaily[WardCode],"MW")=0,"",SUMIFS(tblDaily[Admissions],tblDaily[EntryDate],DATE(2026,9,22),tblDaily[WardCode],"MW")),"")</f>
        <v/>
      </c>
      <c r="C340" s="5" t="str">
        <f>IFERROR(IF(SUMIFS(tblDaily[Discharges],tblDaily[EntryDate],DATE(2026,9,22),tblDaily[WardCode],"MW")=0,"",SUMIFS(tblDaily[Discharges],tblDaily[EntryDate],DATE(2026,9,22),tblDaily[WardCode],"MW")),"")</f>
        <v/>
      </c>
      <c r="D340" s="5" t="str">
        <f>IFERROR(IF(SUMIFS(tblDaily[Deaths],tblDaily[EntryDate],DATE(2026,9,22),tblDaily[WardCode],"MW")=0,"",SUMIFS(tblDaily[Deaths],tblDaily[EntryDate],DATE(2026,9,22),tblDaily[WardCode],"MW")),"")</f>
        <v/>
      </c>
      <c r="E340" s="5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5" t="str">
        <f>IFERROR(IF(SUMIFS(tblDaily[TransfersIn],tblDaily[EntryDate],DATE(2026,9,22),tblDaily[WardCode],"MW")=0,"",SUMIFS(tblDaily[TransfersIn],tblDaily[EntryDate],DATE(2026,9,22),tblDaily[WardCode],"MW")),"")</f>
        <v/>
      </c>
      <c r="G340" s="5" t="str">
        <f>IFERROR(IF(SUMIFS(tblDaily[TransfersOut],tblDaily[EntryDate],DATE(2026,9,22),tblDaily[WardCode],"MW")=0,"",SUMIFS(tblDaily[TransfersOut],tblDaily[EntryDate],DATE(2026,9,22),tblDaily[WardCode],"MW")),"")</f>
        <v/>
      </c>
      <c r="H340" s="5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IFERROR(IF(SUMIFS(tblDaily[Admissions],tblDaily[EntryDate],DATE(2026,9,23),tblDaily[WardCode],"MW")=0,"",SUMIFS(tblDaily[Admissions],tblDaily[EntryDate],DATE(2026,9,23),tblDaily[WardCode],"MW")),"")</f>
        <v/>
      </c>
      <c r="C341" s="5" t="str">
        <f>IFERROR(IF(SUMIFS(tblDaily[Discharges],tblDaily[EntryDate],DATE(2026,9,23),tblDaily[WardCode],"MW")=0,"",SUMIFS(tblDaily[Discharges],tblDaily[EntryDate],DATE(2026,9,23),tblDaily[WardCode],"MW")),"")</f>
        <v/>
      </c>
      <c r="D341" s="5" t="str">
        <f>IFERROR(IF(SUMIFS(tblDaily[Deaths],tblDaily[EntryDate],DATE(2026,9,23),tblDaily[WardCode],"MW")=0,"",SUMIFS(tblDaily[Deaths],tblDaily[EntryDate],DATE(2026,9,23),tblDaily[WardCode],"MW")),"")</f>
        <v/>
      </c>
      <c r="E341" s="5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5" t="str">
        <f>IFERROR(IF(SUMIFS(tblDaily[TransfersIn],tblDaily[EntryDate],DATE(2026,9,23),tblDaily[WardCode],"MW")=0,"",SUMIFS(tblDaily[TransfersIn],tblDaily[EntryDate],DATE(2026,9,23),tblDaily[WardCode],"MW")),"")</f>
        <v/>
      </c>
      <c r="G341" s="5" t="str">
        <f>IFERROR(IF(SUMIFS(tblDaily[TransfersOut],tblDaily[EntryDate],DATE(2026,9,23),tblDaily[WardCode],"MW")=0,"",SUMIFS(tblDaily[TransfersOut],tblDaily[EntryDate],DATE(2026,9,23),tblDaily[WardCode],"MW")),"")</f>
        <v/>
      </c>
      <c r="H341" s="5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IFERROR(IF(SUMIFS(tblDaily[Admissions],tblDaily[EntryDate],DATE(2026,9,24),tblDaily[WardCode],"MW")=0,"",SUMIFS(tblDaily[Admissions],tblDaily[EntryDate],DATE(2026,9,24),tblDaily[WardCode],"MW")),"")</f>
        <v/>
      </c>
      <c r="C342" s="5" t="str">
        <f>IFERROR(IF(SUMIFS(tblDaily[Discharges],tblDaily[EntryDate],DATE(2026,9,24),tblDaily[WardCode],"MW")=0,"",SUMIFS(tblDaily[Discharges],tblDaily[EntryDate],DATE(2026,9,24),tblDaily[WardCode],"MW")),"")</f>
        <v/>
      </c>
      <c r="D342" s="5" t="str">
        <f>IFERROR(IF(SUMIFS(tblDaily[Deaths],tblDaily[EntryDate],DATE(2026,9,24),tblDaily[WardCode],"MW")=0,"",SUMIFS(tblDaily[Deaths],tblDaily[EntryDate],DATE(2026,9,24),tblDaily[WardCode],"MW")),"")</f>
        <v/>
      </c>
      <c r="E342" s="5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5" t="str">
        <f>IFERROR(IF(SUMIFS(tblDaily[TransfersIn],tblDaily[EntryDate],DATE(2026,9,24),tblDaily[WardCode],"MW")=0,"",SUMIFS(tblDaily[TransfersIn],tblDaily[EntryDate],DATE(2026,9,24),tblDaily[WardCode],"MW")),"")</f>
        <v/>
      </c>
      <c r="G342" s="5" t="str">
        <f>IFERROR(IF(SUMIFS(tblDaily[TransfersOut],tblDaily[EntryDate],DATE(2026,9,24),tblDaily[WardCode],"MW")=0,"",SUMIFS(tblDaily[TransfersOut],tblDaily[EntryDate],DATE(2026,9,24),tblDaily[WardCode],"MW")),"")</f>
        <v/>
      </c>
      <c r="H342" s="5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IFERROR(IF(SUMIFS(tblDaily[Admissions],tblDaily[EntryDate],DATE(2026,9,25),tblDaily[WardCode],"MW")=0,"",SUMIFS(tblDaily[Admissions],tblDaily[EntryDate],DATE(2026,9,25),tblDaily[WardCode],"MW")),"")</f>
        <v/>
      </c>
      <c r="C343" s="5" t="str">
        <f>IFERROR(IF(SUMIFS(tblDaily[Discharges],tblDaily[EntryDate],DATE(2026,9,25),tblDaily[WardCode],"MW")=0,"",SUMIFS(tblDaily[Discharges],tblDaily[EntryDate],DATE(2026,9,25),tblDaily[WardCode],"MW")),"")</f>
        <v/>
      </c>
      <c r="D343" s="5" t="str">
        <f>IFERROR(IF(SUMIFS(tblDaily[Deaths],tblDaily[EntryDate],DATE(2026,9,25),tblDaily[WardCode],"MW")=0,"",SUMIFS(tblDaily[Deaths],tblDaily[EntryDate],DATE(2026,9,25),tblDaily[WardCode],"MW")),"")</f>
        <v/>
      </c>
      <c r="E343" s="5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5" t="str">
        <f>IFERROR(IF(SUMIFS(tblDaily[TransfersIn],tblDaily[EntryDate],DATE(2026,9,25),tblDaily[WardCode],"MW")=0,"",SUMIFS(tblDaily[TransfersIn],tblDaily[EntryDate],DATE(2026,9,25),tblDaily[WardCode],"MW")),"")</f>
        <v/>
      </c>
      <c r="G343" s="5" t="str">
        <f>IFERROR(IF(SUMIFS(tblDaily[TransfersOut],tblDaily[EntryDate],DATE(2026,9,25),tblDaily[WardCode],"MW")=0,"",SUMIFS(tblDaily[TransfersOut],tblDaily[EntryDate],DATE(2026,9,25),tblDaily[WardCode],"MW")),"")</f>
        <v/>
      </c>
      <c r="H343" s="5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IFERROR(IF(SUMIFS(tblDaily[Admissions],tblDaily[EntryDate],DATE(2026,9,26),tblDaily[WardCode],"MW")=0,"",SUMIFS(tblDaily[Admissions],tblDaily[EntryDate],DATE(2026,9,26),tblDaily[WardCode],"MW")),"")</f>
        <v/>
      </c>
      <c r="C344" s="5" t="str">
        <f>IFERROR(IF(SUMIFS(tblDaily[Discharges],tblDaily[EntryDate],DATE(2026,9,26),tblDaily[WardCode],"MW")=0,"",SUMIFS(tblDaily[Discharges],tblDaily[EntryDate],DATE(2026,9,26),tblDaily[WardCode],"MW")),"")</f>
        <v/>
      </c>
      <c r="D344" s="5" t="str">
        <f>IFERROR(IF(SUMIFS(tblDaily[Deaths],tblDaily[EntryDate],DATE(2026,9,26),tblDaily[WardCode],"MW")=0,"",SUMIFS(tblDaily[Deaths],tblDaily[EntryDate],DATE(2026,9,26),tblDaily[WardCode],"MW")),"")</f>
        <v/>
      </c>
      <c r="E344" s="5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5" t="str">
        <f>IFERROR(IF(SUMIFS(tblDaily[TransfersIn],tblDaily[EntryDate],DATE(2026,9,26),tblDaily[WardCode],"MW")=0,"",SUMIFS(tblDaily[TransfersIn],tblDaily[EntryDate],DATE(2026,9,26),tblDaily[WardCode],"MW")),"")</f>
        <v/>
      </c>
      <c r="G344" s="5" t="str">
        <f>IFERROR(IF(SUMIFS(tblDaily[TransfersOut],tblDaily[EntryDate],DATE(2026,9,26),tblDaily[WardCode],"MW")=0,"",SUMIFS(tblDaily[TransfersOut],tblDaily[EntryDate],DATE(2026,9,26),tblDaily[WardCode],"MW")),"")</f>
        <v/>
      </c>
      <c r="H344" s="5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IFERROR(IF(SUMIFS(tblDaily[Admissions],tblDaily[EntryDate],DATE(2026,9,27),tblDaily[WardCode],"MW")=0,"",SUMIFS(tblDaily[Admissions],tblDaily[EntryDate],DATE(2026,9,27),tblDaily[WardCode],"MW")),"")</f>
        <v/>
      </c>
      <c r="C345" s="5" t="str">
        <f>IFERROR(IF(SUMIFS(tblDaily[Discharges],tblDaily[EntryDate],DATE(2026,9,27),tblDaily[WardCode],"MW")=0,"",SUMIFS(tblDaily[Discharges],tblDaily[EntryDate],DATE(2026,9,27),tblDaily[WardCode],"MW")),"")</f>
        <v/>
      </c>
      <c r="D345" s="5" t="str">
        <f>IFERROR(IF(SUMIFS(tblDaily[Deaths],tblDaily[EntryDate],DATE(2026,9,27),tblDaily[WardCode],"MW")=0,"",SUMIFS(tblDaily[Deaths],tblDaily[EntryDate],DATE(2026,9,27),tblDaily[WardCode],"MW")),"")</f>
        <v/>
      </c>
      <c r="E345" s="5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5" t="str">
        <f>IFERROR(IF(SUMIFS(tblDaily[TransfersIn],tblDaily[EntryDate],DATE(2026,9,27),tblDaily[WardCode],"MW")=0,"",SUMIFS(tblDaily[TransfersIn],tblDaily[EntryDate],DATE(2026,9,27),tblDaily[WardCode],"MW")),"")</f>
        <v/>
      </c>
      <c r="G345" s="5" t="str">
        <f>IFERROR(IF(SUMIFS(tblDaily[TransfersOut],tblDaily[EntryDate],DATE(2026,9,27),tblDaily[WardCode],"MW")=0,"",SUMIFS(tblDaily[TransfersOut],tblDaily[EntryDate],DATE(2026,9,27),tblDaily[WardCode],"MW")),"")</f>
        <v/>
      </c>
      <c r="H345" s="5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IFERROR(IF(SUMIFS(tblDaily[Admissions],tblDaily[EntryDate],DATE(2026,9,28),tblDaily[WardCode],"MW")=0,"",SUMIFS(tblDaily[Admissions],tblDaily[EntryDate],DATE(2026,9,28),tblDaily[WardCode],"MW")),"")</f>
        <v/>
      </c>
      <c r="C346" s="5" t="str">
        <f>IFERROR(IF(SUMIFS(tblDaily[Discharges],tblDaily[EntryDate],DATE(2026,9,28),tblDaily[WardCode],"MW")=0,"",SUMIFS(tblDaily[Discharges],tblDaily[EntryDate],DATE(2026,9,28),tblDaily[WardCode],"MW")),"")</f>
        <v/>
      </c>
      <c r="D346" s="5" t="str">
        <f>IFERROR(IF(SUMIFS(tblDaily[Deaths],tblDaily[EntryDate],DATE(2026,9,28),tblDaily[WardCode],"MW")=0,"",SUMIFS(tblDaily[Deaths],tblDaily[EntryDate],DATE(2026,9,28),tblDaily[WardCode],"MW")),"")</f>
        <v/>
      </c>
      <c r="E346" s="5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5" t="str">
        <f>IFERROR(IF(SUMIFS(tblDaily[TransfersIn],tblDaily[EntryDate],DATE(2026,9,28),tblDaily[WardCode],"MW")=0,"",SUMIFS(tblDaily[TransfersIn],tblDaily[EntryDate],DATE(2026,9,28),tblDaily[WardCode],"MW")),"")</f>
        <v/>
      </c>
      <c r="G346" s="5" t="str">
        <f>IFERROR(IF(SUMIFS(tblDaily[TransfersOut],tblDaily[EntryDate],DATE(2026,9,28),tblDaily[WardCode],"MW")=0,"",SUMIFS(tblDaily[TransfersOut],tblDaily[EntryDate],DATE(2026,9,28),tblDaily[WardCode],"MW")),"")</f>
        <v/>
      </c>
      <c r="H346" s="5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IFERROR(IF(SUMIFS(tblDaily[Admissions],tblDaily[EntryDate],DATE(2026,9,29),tblDaily[WardCode],"MW")=0,"",SUMIFS(tblDaily[Admissions],tblDaily[EntryDate],DATE(2026,9,29),tblDaily[WardCode],"MW")),"")</f>
        <v/>
      </c>
      <c r="C347" s="5" t="str">
        <f>IFERROR(IF(SUMIFS(tblDaily[Discharges],tblDaily[EntryDate],DATE(2026,9,29),tblDaily[WardCode],"MW")=0,"",SUMIFS(tblDaily[Discharges],tblDaily[EntryDate],DATE(2026,9,29),tblDaily[WardCode],"MW")),"")</f>
        <v/>
      </c>
      <c r="D347" s="5" t="str">
        <f>IFERROR(IF(SUMIFS(tblDaily[Deaths],tblDaily[EntryDate],DATE(2026,9,29),tblDaily[WardCode],"MW")=0,"",SUMIFS(tblDaily[Deaths],tblDaily[EntryDate],DATE(2026,9,29),tblDaily[WardCode],"MW")),"")</f>
        <v/>
      </c>
      <c r="E347" s="5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5" t="str">
        <f>IFERROR(IF(SUMIFS(tblDaily[TransfersIn],tblDaily[EntryDate],DATE(2026,9,29),tblDaily[WardCode],"MW")=0,"",SUMIFS(tblDaily[TransfersIn],tblDaily[EntryDate],DATE(2026,9,29),tblDaily[WardCode],"MW")),"")</f>
        <v/>
      </c>
      <c r="G347" s="5" t="str">
        <f>IFERROR(IF(SUMIFS(tblDaily[TransfersOut],tblDaily[EntryDate],DATE(2026,9,29),tblDaily[WardCode],"MW")=0,"",SUMIFS(tblDaily[TransfersOut],tblDaily[EntryDate],DATE(2026,9,29),tblDaily[WardCode],"MW")),"")</f>
        <v/>
      </c>
      <c r="H347" s="5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IFERROR(IF(SUMIFS(tblDaily[Admissions],tblDaily[EntryDate],DATE(2026,9,30),tblDaily[WardCode],"MW")=0,"",SUMIFS(tblDaily[Admissions],tblDaily[EntryDate],DATE(2026,9,30),tblDaily[WardCode],"MW")),"")</f>
        <v/>
      </c>
      <c r="C348" s="5" t="str">
        <f>IFERROR(IF(SUMIFS(tblDaily[Discharges],tblDaily[EntryDate],DATE(2026,9,30),tblDaily[WardCode],"MW")=0,"",SUMIFS(tblDaily[Discharges],tblDaily[EntryDate],DATE(2026,9,30),tblDaily[WardCode],"MW")),"")</f>
        <v/>
      </c>
      <c r="D348" s="5" t="str">
        <f>IFERROR(IF(SUMIFS(tblDaily[Deaths],tblDaily[EntryDate],DATE(2026,9,30),tblDaily[WardCode],"MW")=0,"",SUMIFS(tblDaily[Deaths],tblDaily[EntryDate],DATE(2026,9,30),tblDaily[WardCode],"MW")),"")</f>
        <v/>
      </c>
      <c r="E348" s="5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5" t="str">
        <f>IFERROR(IF(SUMIFS(tblDaily[TransfersIn],tblDaily[EntryDate],DATE(2026,9,30),tblDaily[WardCode],"MW")=0,"",SUMIFS(tblDaily[TransfersIn],tblDaily[EntryDate],DATE(2026,9,30),tblDaily[WardCode],"MW")),"")</f>
        <v/>
      </c>
      <c r="G348" s="5" t="str">
        <f>IFERROR(IF(SUMIFS(tblDaily[TransfersOut],tblDaily[EntryDate],DATE(2026,9,30),tblDaily[WardCode],"MW")=0,"",SUMIFS(tblDaily[TransfersOut],tblDaily[EntryDate],DATE(2026,9,30),tblDaily[WardCode],"MW")),"")</f>
        <v/>
      </c>
      <c r="H348" s="5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86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89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IFERROR(IF(SUMIFS(tblDaily[Admissions],tblDaily[EntryDate],DATE(2026,10,1),tblDaily[WardCode],"MW")=0,"",SUMIFS(tblDaily[Admissions],tblDaily[EntryDate],DATE(2026,10,1),tblDaily[WardCode],"MW")),"")</f>
        <v/>
      </c>
      <c r="C358" s="5" t="str">
        <f>IFERROR(IF(SUMIFS(tblDaily[Discharges],tblDaily[EntryDate],DATE(2026,10,1),tblDaily[WardCode],"MW")=0,"",SUMIFS(tblDaily[Discharges],tblDaily[EntryDate],DATE(2026,10,1),tblDaily[WardCode],"MW")),"")</f>
        <v/>
      </c>
      <c r="D358" s="5" t="str">
        <f>IFERROR(IF(SUMIFS(tblDaily[Deaths],tblDaily[EntryDate],DATE(2026,10,1),tblDaily[WardCode],"MW")=0,"",SUMIFS(tblDaily[Deaths],tblDaily[EntryDate],DATE(2026,10,1),tblDaily[WardCode],"MW")),"")</f>
        <v/>
      </c>
      <c r="E358" s="5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5" t="str">
        <f>IFERROR(IF(SUMIFS(tblDaily[TransfersIn],tblDaily[EntryDate],DATE(2026,10,1),tblDaily[WardCode],"MW")=0,"",SUMIFS(tblDaily[TransfersIn],tblDaily[EntryDate],DATE(2026,10,1),tblDaily[WardCode],"MW")),"")</f>
        <v/>
      </c>
      <c r="G358" s="5" t="str">
        <f>IFERROR(IF(SUMIFS(tblDaily[TransfersOut],tblDaily[EntryDate],DATE(2026,10,1),tblDaily[WardCode],"MW")=0,"",SUMIFS(tblDaily[TransfersOut],tblDaily[EntryDate],DATE(2026,10,1),tblDaily[WardCode],"MW")),"")</f>
        <v/>
      </c>
      <c r="H358" s="5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IFERROR(IF(SUMIFS(tblDaily[Admissions],tblDaily[EntryDate],DATE(2026,10,2),tblDaily[WardCode],"MW")=0,"",SUMIFS(tblDaily[Admissions],tblDaily[EntryDate],DATE(2026,10,2),tblDaily[WardCode],"MW")),"")</f>
        <v/>
      </c>
      <c r="C359" s="5" t="str">
        <f>IFERROR(IF(SUMIFS(tblDaily[Discharges],tblDaily[EntryDate],DATE(2026,10,2),tblDaily[WardCode],"MW")=0,"",SUMIFS(tblDaily[Discharges],tblDaily[EntryDate],DATE(2026,10,2),tblDaily[WardCode],"MW")),"")</f>
        <v/>
      </c>
      <c r="D359" s="5" t="str">
        <f>IFERROR(IF(SUMIFS(tblDaily[Deaths],tblDaily[EntryDate],DATE(2026,10,2),tblDaily[WardCode],"MW")=0,"",SUMIFS(tblDaily[Deaths],tblDaily[EntryDate],DATE(2026,10,2),tblDaily[WardCode],"MW")),"")</f>
        <v/>
      </c>
      <c r="E359" s="5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5" t="str">
        <f>IFERROR(IF(SUMIFS(tblDaily[TransfersIn],tblDaily[EntryDate],DATE(2026,10,2),tblDaily[WardCode],"MW")=0,"",SUMIFS(tblDaily[TransfersIn],tblDaily[EntryDate],DATE(2026,10,2),tblDaily[WardCode],"MW")),"")</f>
        <v/>
      </c>
      <c r="G359" s="5" t="str">
        <f>IFERROR(IF(SUMIFS(tblDaily[TransfersOut],tblDaily[EntryDate],DATE(2026,10,2),tblDaily[WardCode],"MW")=0,"",SUMIFS(tblDaily[TransfersOut],tblDaily[EntryDate],DATE(2026,10,2),tblDaily[WardCode],"MW")),"")</f>
        <v/>
      </c>
      <c r="H359" s="5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IFERROR(IF(SUMIFS(tblDaily[Admissions],tblDaily[EntryDate],DATE(2026,10,3),tblDaily[WardCode],"MW")=0,"",SUMIFS(tblDaily[Admissions],tblDaily[EntryDate],DATE(2026,10,3),tblDaily[WardCode],"MW")),"")</f>
        <v/>
      </c>
      <c r="C360" s="5" t="str">
        <f>IFERROR(IF(SUMIFS(tblDaily[Discharges],tblDaily[EntryDate],DATE(2026,10,3),tblDaily[WardCode],"MW")=0,"",SUMIFS(tblDaily[Discharges],tblDaily[EntryDate],DATE(2026,10,3),tblDaily[WardCode],"MW")),"")</f>
        <v/>
      </c>
      <c r="D360" s="5" t="str">
        <f>IFERROR(IF(SUMIFS(tblDaily[Deaths],tblDaily[EntryDate],DATE(2026,10,3),tblDaily[WardCode],"MW")=0,"",SUMIFS(tblDaily[Deaths],tblDaily[EntryDate],DATE(2026,10,3),tblDaily[WardCode],"MW")),"")</f>
        <v/>
      </c>
      <c r="E360" s="5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5" t="str">
        <f>IFERROR(IF(SUMIFS(tblDaily[TransfersIn],tblDaily[EntryDate],DATE(2026,10,3),tblDaily[WardCode],"MW")=0,"",SUMIFS(tblDaily[TransfersIn],tblDaily[EntryDate],DATE(2026,10,3),tblDaily[WardCode],"MW")),"")</f>
        <v/>
      </c>
      <c r="G360" s="5" t="str">
        <f>IFERROR(IF(SUMIFS(tblDaily[TransfersOut],tblDaily[EntryDate],DATE(2026,10,3),tblDaily[WardCode],"MW")=0,"",SUMIFS(tblDaily[TransfersOut],tblDaily[EntryDate],DATE(2026,10,3),tblDaily[WardCode],"MW")),"")</f>
        <v/>
      </c>
      <c r="H360" s="5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IFERROR(IF(SUMIFS(tblDaily[Admissions],tblDaily[EntryDate],DATE(2026,10,4),tblDaily[WardCode],"MW")=0,"",SUMIFS(tblDaily[Admissions],tblDaily[EntryDate],DATE(2026,10,4),tblDaily[WardCode],"MW")),"")</f>
        <v/>
      </c>
      <c r="C361" s="5" t="str">
        <f>IFERROR(IF(SUMIFS(tblDaily[Discharges],tblDaily[EntryDate],DATE(2026,10,4),tblDaily[WardCode],"MW")=0,"",SUMIFS(tblDaily[Discharges],tblDaily[EntryDate],DATE(2026,10,4),tblDaily[WardCode],"MW")),"")</f>
        <v/>
      </c>
      <c r="D361" s="5" t="str">
        <f>IFERROR(IF(SUMIFS(tblDaily[Deaths],tblDaily[EntryDate],DATE(2026,10,4),tblDaily[WardCode],"MW")=0,"",SUMIFS(tblDaily[Deaths],tblDaily[EntryDate],DATE(2026,10,4),tblDaily[WardCode],"MW")),"")</f>
        <v/>
      </c>
      <c r="E361" s="5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5" t="str">
        <f>IFERROR(IF(SUMIFS(tblDaily[TransfersIn],tblDaily[EntryDate],DATE(2026,10,4),tblDaily[WardCode],"MW")=0,"",SUMIFS(tblDaily[TransfersIn],tblDaily[EntryDate],DATE(2026,10,4),tblDaily[WardCode],"MW")),"")</f>
        <v/>
      </c>
      <c r="G361" s="5" t="str">
        <f>IFERROR(IF(SUMIFS(tblDaily[TransfersOut],tblDaily[EntryDate],DATE(2026,10,4),tblDaily[WardCode],"MW")=0,"",SUMIFS(tblDaily[TransfersOut],tblDaily[EntryDate],DATE(2026,10,4),tblDaily[WardCode],"MW")),"")</f>
        <v/>
      </c>
      <c r="H361" s="5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IFERROR(IF(SUMIFS(tblDaily[Admissions],tblDaily[EntryDate],DATE(2026,10,5),tblDaily[WardCode],"MW")=0,"",SUMIFS(tblDaily[Admissions],tblDaily[EntryDate],DATE(2026,10,5),tblDaily[WardCode],"MW")),"")</f>
        <v/>
      </c>
      <c r="C362" s="5" t="str">
        <f>IFERROR(IF(SUMIFS(tblDaily[Discharges],tblDaily[EntryDate],DATE(2026,10,5),tblDaily[WardCode],"MW")=0,"",SUMIFS(tblDaily[Discharges],tblDaily[EntryDate],DATE(2026,10,5),tblDaily[WardCode],"MW")),"")</f>
        <v/>
      </c>
      <c r="D362" s="5" t="str">
        <f>IFERROR(IF(SUMIFS(tblDaily[Deaths],tblDaily[EntryDate],DATE(2026,10,5),tblDaily[WardCode],"MW")=0,"",SUMIFS(tblDaily[Deaths],tblDaily[EntryDate],DATE(2026,10,5),tblDaily[WardCode],"MW")),"")</f>
        <v/>
      </c>
      <c r="E362" s="5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5" t="str">
        <f>IFERROR(IF(SUMIFS(tblDaily[TransfersIn],tblDaily[EntryDate],DATE(2026,10,5),tblDaily[WardCode],"MW")=0,"",SUMIFS(tblDaily[TransfersIn],tblDaily[EntryDate],DATE(2026,10,5),tblDaily[WardCode],"MW")),"")</f>
        <v/>
      </c>
      <c r="G362" s="5" t="str">
        <f>IFERROR(IF(SUMIFS(tblDaily[TransfersOut],tblDaily[EntryDate],DATE(2026,10,5),tblDaily[WardCode],"MW")=0,"",SUMIFS(tblDaily[TransfersOut],tblDaily[EntryDate],DATE(2026,10,5),tblDaily[WardCode],"MW")),"")</f>
        <v/>
      </c>
      <c r="H362" s="5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IFERROR(IF(SUMIFS(tblDaily[Admissions],tblDaily[EntryDate],DATE(2026,10,6),tblDaily[WardCode],"MW")=0,"",SUMIFS(tblDaily[Admissions],tblDaily[EntryDate],DATE(2026,10,6),tblDaily[WardCode],"MW")),"")</f>
        <v/>
      </c>
      <c r="C363" s="5" t="str">
        <f>IFERROR(IF(SUMIFS(tblDaily[Discharges],tblDaily[EntryDate],DATE(2026,10,6),tblDaily[WardCode],"MW")=0,"",SUMIFS(tblDaily[Discharges],tblDaily[EntryDate],DATE(2026,10,6),tblDaily[WardCode],"MW")),"")</f>
        <v/>
      </c>
      <c r="D363" s="5" t="str">
        <f>IFERROR(IF(SUMIFS(tblDaily[Deaths],tblDaily[EntryDate],DATE(2026,10,6),tblDaily[WardCode],"MW")=0,"",SUMIFS(tblDaily[Deaths],tblDaily[EntryDate],DATE(2026,10,6),tblDaily[WardCode],"MW")),"")</f>
        <v/>
      </c>
      <c r="E363" s="5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5" t="str">
        <f>IFERROR(IF(SUMIFS(tblDaily[TransfersIn],tblDaily[EntryDate],DATE(2026,10,6),tblDaily[WardCode],"MW")=0,"",SUMIFS(tblDaily[TransfersIn],tblDaily[EntryDate],DATE(2026,10,6),tblDaily[WardCode],"MW")),"")</f>
        <v/>
      </c>
      <c r="G363" s="5" t="str">
        <f>IFERROR(IF(SUMIFS(tblDaily[TransfersOut],tblDaily[EntryDate],DATE(2026,10,6),tblDaily[WardCode],"MW")=0,"",SUMIFS(tblDaily[TransfersOut],tblDaily[EntryDate],DATE(2026,10,6),tblDaily[WardCode],"MW")),"")</f>
        <v/>
      </c>
      <c r="H363" s="5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IFERROR(IF(SUMIFS(tblDaily[Admissions],tblDaily[EntryDate],DATE(2026,10,7),tblDaily[WardCode],"MW")=0,"",SUMIFS(tblDaily[Admissions],tblDaily[EntryDate],DATE(2026,10,7),tblDaily[WardCode],"MW")),"")</f>
        <v/>
      </c>
      <c r="C364" s="5" t="str">
        <f>IFERROR(IF(SUMIFS(tblDaily[Discharges],tblDaily[EntryDate],DATE(2026,10,7),tblDaily[WardCode],"MW")=0,"",SUMIFS(tblDaily[Discharges],tblDaily[EntryDate],DATE(2026,10,7),tblDaily[WardCode],"MW")),"")</f>
        <v/>
      </c>
      <c r="D364" s="5" t="str">
        <f>IFERROR(IF(SUMIFS(tblDaily[Deaths],tblDaily[EntryDate],DATE(2026,10,7),tblDaily[WardCode],"MW")=0,"",SUMIFS(tblDaily[Deaths],tblDaily[EntryDate],DATE(2026,10,7),tblDaily[WardCode],"MW")),"")</f>
        <v/>
      </c>
      <c r="E364" s="5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5" t="str">
        <f>IFERROR(IF(SUMIFS(tblDaily[TransfersIn],tblDaily[EntryDate],DATE(2026,10,7),tblDaily[WardCode],"MW")=0,"",SUMIFS(tblDaily[TransfersIn],tblDaily[EntryDate],DATE(2026,10,7),tblDaily[WardCode],"MW")),"")</f>
        <v/>
      </c>
      <c r="G364" s="5" t="str">
        <f>IFERROR(IF(SUMIFS(tblDaily[TransfersOut],tblDaily[EntryDate],DATE(2026,10,7),tblDaily[WardCode],"MW")=0,"",SUMIFS(tblDaily[TransfersOut],tblDaily[EntryDate],DATE(2026,10,7),tblDaily[WardCode],"MW")),"")</f>
        <v/>
      </c>
      <c r="H364" s="5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IFERROR(IF(SUMIFS(tblDaily[Admissions],tblDaily[EntryDate],DATE(2026,10,8),tblDaily[WardCode],"MW")=0,"",SUMIFS(tblDaily[Admissions],tblDaily[EntryDate],DATE(2026,10,8),tblDaily[WardCode],"MW")),"")</f>
        <v/>
      </c>
      <c r="C365" s="5" t="str">
        <f>IFERROR(IF(SUMIFS(tblDaily[Discharges],tblDaily[EntryDate],DATE(2026,10,8),tblDaily[WardCode],"MW")=0,"",SUMIFS(tblDaily[Discharges],tblDaily[EntryDate],DATE(2026,10,8),tblDaily[WardCode],"MW")),"")</f>
        <v/>
      </c>
      <c r="D365" s="5" t="str">
        <f>IFERROR(IF(SUMIFS(tblDaily[Deaths],tblDaily[EntryDate],DATE(2026,10,8),tblDaily[WardCode],"MW")=0,"",SUMIFS(tblDaily[Deaths],tblDaily[EntryDate],DATE(2026,10,8),tblDaily[WardCode],"MW")),"")</f>
        <v/>
      </c>
      <c r="E365" s="5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5" t="str">
        <f>IFERROR(IF(SUMIFS(tblDaily[TransfersIn],tblDaily[EntryDate],DATE(2026,10,8),tblDaily[WardCode],"MW")=0,"",SUMIFS(tblDaily[TransfersIn],tblDaily[EntryDate],DATE(2026,10,8),tblDaily[WardCode],"MW")),"")</f>
        <v/>
      </c>
      <c r="G365" s="5" t="str">
        <f>IFERROR(IF(SUMIFS(tblDaily[TransfersOut],tblDaily[EntryDate],DATE(2026,10,8),tblDaily[WardCode],"MW")=0,"",SUMIFS(tblDaily[TransfersOut],tblDaily[EntryDate],DATE(2026,10,8),tblDaily[WardCode],"MW")),"")</f>
        <v/>
      </c>
      <c r="H365" s="5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IFERROR(IF(SUMIFS(tblDaily[Admissions],tblDaily[EntryDate],DATE(2026,10,9),tblDaily[WardCode],"MW")=0,"",SUMIFS(tblDaily[Admissions],tblDaily[EntryDate],DATE(2026,10,9),tblDaily[WardCode],"MW")),"")</f>
        <v/>
      </c>
      <c r="C366" s="5" t="str">
        <f>IFERROR(IF(SUMIFS(tblDaily[Discharges],tblDaily[EntryDate],DATE(2026,10,9),tblDaily[WardCode],"MW")=0,"",SUMIFS(tblDaily[Discharges],tblDaily[EntryDate],DATE(2026,10,9),tblDaily[WardCode],"MW")),"")</f>
        <v/>
      </c>
      <c r="D366" s="5" t="str">
        <f>IFERROR(IF(SUMIFS(tblDaily[Deaths],tblDaily[EntryDate],DATE(2026,10,9),tblDaily[WardCode],"MW")=0,"",SUMIFS(tblDaily[Deaths],tblDaily[EntryDate],DATE(2026,10,9),tblDaily[WardCode],"MW")),"")</f>
        <v/>
      </c>
      <c r="E366" s="5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5" t="str">
        <f>IFERROR(IF(SUMIFS(tblDaily[TransfersIn],tblDaily[EntryDate],DATE(2026,10,9),tblDaily[WardCode],"MW")=0,"",SUMIFS(tblDaily[TransfersIn],tblDaily[EntryDate],DATE(2026,10,9),tblDaily[WardCode],"MW")),"")</f>
        <v/>
      </c>
      <c r="G366" s="5" t="str">
        <f>IFERROR(IF(SUMIFS(tblDaily[TransfersOut],tblDaily[EntryDate],DATE(2026,10,9),tblDaily[WardCode],"MW")=0,"",SUMIFS(tblDaily[TransfersOut],tblDaily[EntryDate],DATE(2026,10,9),tblDaily[WardCode],"MW")),"")</f>
        <v/>
      </c>
      <c r="H366" s="5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IFERROR(IF(SUMIFS(tblDaily[Admissions],tblDaily[EntryDate],DATE(2026,10,10),tblDaily[WardCode],"MW")=0,"",SUMIFS(tblDaily[Admissions],tblDaily[EntryDate],DATE(2026,10,10),tblDaily[WardCode],"MW")),"")</f>
        <v/>
      </c>
      <c r="C367" s="5" t="str">
        <f>IFERROR(IF(SUMIFS(tblDaily[Discharges],tblDaily[EntryDate],DATE(2026,10,10),tblDaily[WardCode],"MW")=0,"",SUMIFS(tblDaily[Discharges],tblDaily[EntryDate],DATE(2026,10,10),tblDaily[WardCode],"MW")),"")</f>
        <v/>
      </c>
      <c r="D367" s="5" t="str">
        <f>IFERROR(IF(SUMIFS(tblDaily[Deaths],tblDaily[EntryDate],DATE(2026,10,10),tblDaily[WardCode],"MW")=0,"",SUMIFS(tblDaily[Deaths],tblDaily[EntryDate],DATE(2026,10,10),tblDaily[WardCode],"MW")),"")</f>
        <v/>
      </c>
      <c r="E367" s="5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5" t="str">
        <f>IFERROR(IF(SUMIFS(tblDaily[TransfersIn],tblDaily[EntryDate],DATE(2026,10,10),tblDaily[WardCode],"MW")=0,"",SUMIFS(tblDaily[TransfersIn],tblDaily[EntryDate],DATE(2026,10,10),tblDaily[WardCode],"MW")),"")</f>
        <v/>
      </c>
      <c r="G367" s="5" t="str">
        <f>IFERROR(IF(SUMIFS(tblDaily[TransfersOut],tblDaily[EntryDate],DATE(2026,10,10),tblDaily[WardCode],"MW")=0,"",SUMIFS(tblDaily[TransfersOut],tblDaily[EntryDate],DATE(2026,10,10),tblDaily[WardCode],"MW")),"")</f>
        <v/>
      </c>
      <c r="H367" s="5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IFERROR(IF(SUMIFS(tblDaily[Admissions],tblDaily[EntryDate],DATE(2026,10,11),tblDaily[WardCode],"MW")=0,"",SUMIFS(tblDaily[Admissions],tblDaily[EntryDate],DATE(2026,10,11),tblDaily[WardCode],"MW")),"")</f>
        <v/>
      </c>
      <c r="C368" s="5" t="str">
        <f>IFERROR(IF(SUMIFS(tblDaily[Discharges],tblDaily[EntryDate],DATE(2026,10,11),tblDaily[WardCode],"MW")=0,"",SUMIFS(tblDaily[Discharges],tblDaily[EntryDate],DATE(2026,10,11),tblDaily[WardCode],"MW")),"")</f>
        <v/>
      </c>
      <c r="D368" s="5" t="str">
        <f>IFERROR(IF(SUMIFS(tblDaily[Deaths],tblDaily[EntryDate],DATE(2026,10,11),tblDaily[WardCode],"MW")=0,"",SUMIFS(tblDaily[Deaths],tblDaily[EntryDate],DATE(2026,10,11),tblDaily[WardCode],"MW")),"")</f>
        <v/>
      </c>
      <c r="E368" s="5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5" t="str">
        <f>IFERROR(IF(SUMIFS(tblDaily[TransfersIn],tblDaily[EntryDate],DATE(2026,10,11),tblDaily[WardCode],"MW")=0,"",SUMIFS(tblDaily[TransfersIn],tblDaily[EntryDate],DATE(2026,10,11),tblDaily[WardCode],"MW")),"")</f>
        <v/>
      </c>
      <c r="G368" s="5" t="str">
        <f>IFERROR(IF(SUMIFS(tblDaily[TransfersOut],tblDaily[EntryDate],DATE(2026,10,11),tblDaily[WardCode],"MW")=0,"",SUMIFS(tblDaily[TransfersOut],tblDaily[EntryDate],DATE(2026,10,11),tblDaily[WardCode],"MW")),"")</f>
        <v/>
      </c>
      <c r="H368" s="5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IFERROR(IF(SUMIFS(tblDaily[Admissions],tblDaily[EntryDate],DATE(2026,10,12),tblDaily[WardCode],"MW")=0,"",SUMIFS(tblDaily[Admissions],tblDaily[EntryDate],DATE(2026,10,12),tblDaily[WardCode],"MW")),"")</f>
        <v/>
      </c>
      <c r="C369" s="5" t="str">
        <f>IFERROR(IF(SUMIFS(tblDaily[Discharges],tblDaily[EntryDate],DATE(2026,10,12),tblDaily[WardCode],"MW")=0,"",SUMIFS(tblDaily[Discharges],tblDaily[EntryDate],DATE(2026,10,12),tblDaily[WardCode],"MW")),"")</f>
        <v/>
      </c>
      <c r="D369" s="5" t="str">
        <f>IFERROR(IF(SUMIFS(tblDaily[Deaths],tblDaily[EntryDate],DATE(2026,10,12),tblDaily[WardCode],"MW")=0,"",SUMIFS(tblDaily[Deaths],tblDaily[EntryDate],DATE(2026,10,12),tblDaily[WardCode],"MW")),"")</f>
        <v/>
      </c>
      <c r="E369" s="5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5" t="str">
        <f>IFERROR(IF(SUMIFS(tblDaily[TransfersIn],tblDaily[EntryDate],DATE(2026,10,12),tblDaily[WardCode],"MW")=0,"",SUMIFS(tblDaily[TransfersIn],tblDaily[EntryDate],DATE(2026,10,12),tblDaily[WardCode],"MW")),"")</f>
        <v/>
      </c>
      <c r="G369" s="5" t="str">
        <f>IFERROR(IF(SUMIFS(tblDaily[TransfersOut],tblDaily[EntryDate],DATE(2026,10,12),tblDaily[WardCode],"MW")=0,"",SUMIFS(tblDaily[TransfersOut],tblDaily[EntryDate],DATE(2026,10,12),tblDaily[WardCode],"MW")),"")</f>
        <v/>
      </c>
      <c r="H369" s="5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IFERROR(IF(SUMIFS(tblDaily[Admissions],tblDaily[EntryDate],DATE(2026,10,13),tblDaily[WardCode],"MW")=0,"",SUMIFS(tblDaily[Admissions],tblDaily[EntryDate],DATE(2026,10,13),tblDaily[WardCode],"MW")),"")</f>
        <v/>
      </c>
      <c r="C370" s="5" t="str">
        <f>IFERROR(IF(SUMIFS(tblDaily[Discharges],tblDaily[EntryDate],DATE(2026,10,13),tblDaily[WardCode],"MW")=0,"",SUMIFS(tblDaily[Discharges],tblDaily[EntryDate],DATE(2026,10,13),tblDaily[WardCode],"MW")),"")</f>
        <v/>
      </c>
      <c r="D370" s="5" t="str">
        <f>IFERROR(IF(SUMIFS(tblDaily[Deaths],tblDaily[EntryDate],DATE(2026,10,13),tblDaily[WardCode],"MW")=0,"",SUMIFS(tblDaily[Deaths],tblDaily[EntryDate],DATE(2026,10,13),tblDaily[WardCode],"MW")),"")</f>
        <v/>
      </c>
      <c r="E370" s="5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5" t="str">
        <f>IFERROR(IF(SUMIFS(tblDaily[TransfersIn],tblDaily[EntryDate],DATE(2026,10,13),tblDaily[WardCode],"MW")=0,"",SUMIFS(tblDaily[TransfersIn],tblDaily[EntryDate],DATE(2026,10,13),tblDaily[WardCode],"MW")),"")</f>
        <v/>
      </c>
      <c r="G370" s="5" t="str">
        <f>IFERROR(IF(SUMIFS(tblDaily[TransfersOut],tblDaily[EntryDate],DATE(2026,10,13),tblDaily[WardCode],"MW")=0,"",SUMIFS(tblDaily[TransfersOut],tblDaily[EntryDate],DATE(2026,10,13),tblDaily[WardCode],"MW")),"")</f>
        <v/>
      </c>
      <c r="H370" s="5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IFERROR(IF(SUMIFS(tblDaily[Admissions],tblDaily[EntryDate],DATE(2026,10,14),tblDaily[WardCode],"MW")=0,"",SUMIFS(tblDaily[Admissions],tblDaily[EntryDate],DATE(2026,10,14),tblDaily[WardCode],"MW")),"")</f>
        <v/>
      </c>
      <c r="C371" s="5" t="str">
        <f>IFERROR(IF(SUMIFS(tblDaily[Discharges],tblDaily[EntryDate],DATE(2026,10,14),tblDaily[WardCode],"MW")=0,"",SUMIFS(tblDaily[Discharges],tblDaily[EntryDate],DATE(2026,10,14),tblDaily[WardCode],"MW")),"")</f>
        <v/>
      </c>
      <c r="D371" s="5" t="str">
        <f>IFERROR(IF(SUMIFS(tblDaily[Deaths],tblDaily[EntryDate],DATE(2026,10,14),tblDaily[WardCode],"MW")=0,"",SUMIFS(tblDaily[Deaths],tblDaily[EntryDate],DATE(2026,10,14),tblDaily[WardCode],"MW")),"")</f>
        <v/>
      </c>
      <c r="E371" s="5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5" t="str">
        <f>IFERROR(IF(SUMIFS(tblDaily[TransfersIn],tblDaily[EntryDate],DATE(2026,10,14),tblDaily[WardCode],"MW")=0,"",SUMIFS(tblDaily[TransfersIn],tblDaily[EntryDate],DATE(2026,10,14),tblDaily[WardCode],"MW")),"")</f>
        <v/>
      </c>
      <c r="G371" s="5" t="str">
        <f>IFERROR(IF(SUMIFS(tblDaily[TransfersOut],tblDaily[EntryDate],DATE(2026,10,14),tblDaily[WardCode],"MW")=0,"",SUMIFS(tblDaily[TransfersOut],tblDaily[EntryDate],DATE(2026,10,14),tblDaily[WardCode],"MW")),"")</f>
        <v/>
      </c>
      <c r="H371" s="5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IFERROR(IF(SUMIFS(tblDaily[Admissions],tblDaily[EntryDate],DATE(2026,10,15),tblDaily[WardCode],"MW")=0,"",SUMIFS(tblDaily[Admissions],tblDaily[EntryDate],DATE(2026,10,15),tblDaily[WardCode],"MW")),"")</f>
        <v/>
      </c>
      <c r="C372" s="5" t="str">
        <f>IFERROR(IF(SUMIFS(tblDaily[Discharges],tblDaily[EntryDate],DATE(2026,10,15),tblDaily[WardCode],"MW")=0,"",SUMIFS(tblDaily[Discharges],tblDaily[EntryDate],DATE(2026,10,15),tblDaily[WardCode],"MW")),"")</f>
        <v/>
      </c>
      <c r="D372" s="5" t="str">
        <f>IFERROR(IF(SUMIFS(tblDaily[Deaths],tblDaily[EntryDate],DATE(2026,10,15),tblDaily[WardCode],"MW")=0,"",SUMIFS(tblDaily[Deaths],tblDaily[EntryDate],DATE(2026,10,15),tblDaily[WardCode],"MW")),"")</f>
        <v/>
      </c>
      <c r="E372" s="5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5" t="str">
        <f>IFERROR(IF(SUMIFS(tblDaily[TransfersIn],tblDaily[EntryDate],DATE(2026,10,15),tblDaily[WardCode],"MW")=0,"",SUMIFS(tblDaily[TransfersIn],tblDaily[EntryDate],DATE(2026,10,15),tblDaily[WardCode],"MW")),"")</f>
        <v/>
      </c>
      <c r="G372" s="5" t="str">
        <f>IFERROR(IF(SUMIFS(tblDaily[TransfersOut],tblDaily[EntryDate],DATE(2026,10,15),tblDaily[WardCode],"MW")=0,"",SUMIFS(tblDaily[TransfersOut],tblDaily[EntryDate],DATE(2026,10,15),tblDaily[WardCode],"MW")),"")</f>
        <v/>
      </c>
      <c r="H372" s="5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IFERROR(IF(SUMIFS(tblDaily[Admissions],tblDaily[EntryDate],DATE(2026,10,16),tblDaily[WardCode],"MW")=0,"",SUMIFS(tblDaily[Admissions],tblDaily[EntryDate],DATE(2026,10,16),tblDaily[WardCode],"MW")),"")</f>
        <v/>
      </c>
      <c r="C373" s="5" t="str">
        <f>IFERROR(IF(SUMIFS(tblDaily[Discharges],tblDaily[EntryDate],DATE(2026,10,16),tblDaily[WardCode],"MW")=0,"",SUMIFS(tblDaily[Discharges],tblDaily[EntryDate],DATE(2026,10,16),tblDaily[WardCode],"MW")),"")</f>
        <v/>
      </c>
      <c r="D373" s="5" t="str">
        <f>IFERROR(IF(SUMIFS(tblDaily[Deaths],tblDaily[EntryDate],DATE(2026,10,16),tblDaily[WardCode],"MW")=0,"",SUMIFS(tblDaily[Deaths],tblDaily[EntryDate],DATE(2026,10,16),tblDaily[WardCode],"MW")),"")</f>
        <v/>
      </c>
      <c r="E373" s="5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5" t="str">
        <f>IFERROR(IF(SUMIFS(tblDaily[TransfersIn],tblDaily[EntryDate],DATE(2026,10,16),tblDaily[WardCode],"MW")=0,"",SUMIFS(tblDaily[TransfersIn],tblDaily[EntryDate],DATE(2026,10,16),tblDaily[WardCode],"MW")),"")</f>
        <v/>
      </c>
      <c r="G373" s="5" t="str">
        <f>IFERROR(IF(SUMIFS(tblDaily[TransfersOut],tblDaily[EntryDate],DATE(2026,10,16),tblDaily[WardCode],"MW")=0,"",SUMIFS(tblDaily[TransfersOut],tblDaily[EntryDate],DATE(2026,10,16),tblDaily[WardCode],"MW")),"")</f>
        <v/>
      </c>
      <c r="H373" s="5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IFERROR(IF(SUMIFS(tblDaily[Admissions],tblDaily[EntryDate],DATE(2026,10,17),tblDaily[WardCode],"MW")=0,"",SUMIFS(tblDaily[Admissions],tblDaily[EntryDate],DATE(2026,10,17),tblDaily[WardCode],"MW")),"")</f>
        <v/>
      </c>
      <c r="C374" s="5" t="str">
        <f>IFERROR(IF(SUMIFS(tblDaily[Discharges],tblDaily[EntryDate],DATE(2026,10,17),tblDaily[WardCode],"MW")=0,"",SUMIFS(tblDaily[Discharges],tblDaily[EntryDate],DATE(2026,10,17),tblDaily[WardCode],"MW")),"")</f>
        <v/>
      </c>
      <c r="D374" s="5" t="str">
        <f>IFERROR(IF(SUMIFS(tblDaily[Deaths],tblDaily[EntryDate],DATE(2026,10,17),tblDaily[WardCode],"MW")=0,"",SUMIFS(tblDaily[Deaths],tblDaily[EntryDate],DATE(2026,10,17),tblDaily[WardCode],"MW")),"")</f>
        <v/>
      </c>
      <c r="E374" s="5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5" t="str">
        <f>IFERROR(IF(SUMIFS(tblDaily[TransfersIn],tblDaily[EntryDate],DATE(2026,10,17),tblDaily[WardCode],"MW")=0,"",SUMIFS(tblDaily[TransfersIn],tblDaily[EntryDate],DATE(2026,10,17),tblDaily[WardCode],"MW")),"")</f>
        <v/>
      </c>
      <c r="G374" s="5" t="str">
        <f>IFERROR(IF(SUMIFS(tblDaily[TransfersOut],tblDaily[EntryDate],DATE(2026,10,17),tblDaily[WardCode],"MW")=0,"",SUMIFS(tblDaily[TransfersOut],tblDaily[EntryDate],DATE(2026,10,17),tblDaily[WardCode],"MW")),"")</f>
        <v/>
      </c>
      <c r="H374" s="5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IFERROR(IF(SUMIFS(tblDaily[Admissions],tblDaily[EntryDate],DATE(2026,10,18),tblDaily[WardCode],"MW")=0,"",SUMIFS(tblDaily[Admissions],tblDaily[EntryDate],DATE(2026,10,18),tblDaily[WardCode],"MW")),"")</f>
        <v/>
      </c>
      <c r="C375" s="5" t="str">
        <f>IFERROR(IF(SUMIFS(tblDaily[Discharges],tblDaily[EntryDate],DATE(2026,10,18),tblDaily[WardCode],"MW")=0,"",SUMIFS(tblDaily[Discharges],tblDaily[EntryDate],DATE(2026,10,18),tblDaily[WardCode],"MW")),"")</f>
        <v/>
      </c>
      <c r="D375" s="5" t="str">
        <f>IFERROR(IF(SUMIFS(tblDaily[Deaths],tblDaily[EntryDate],DATE(2026,10,18),tblDaily[WardCode],"MW")=0,"",SUMIFS(tblDaily[Deaths],tblDaily[EntryDate],DATE(2026,10,18),tblDaily[WardCode],"MW")),"")</f>
        <v/>
      </c>
      <c r="E375" s="5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5" t="str">
        <f>IFERROR(IF(SUMIFS(tblDaily[TransfersIn],tblDaily[EntryDate],DATE(2026,10,18),tblDaily[WardCode],"MW")=0,"",SUMIFS(tblDaily[TransfersIn],tblDaily[EntryDate],DATE(2026,10,18),tblDaily[WardCode],"MW")),"")</f>
        <v/>
      </c>
      <c r="G375" s="5" t="str">
        <f>IFERROR(IF(SUMIFS(tblDaily[TransfersOut],tblDaily[EntryDate],DATE(2026,10,18),tblDaily[WardCode],"MW")=0,"",SUMIFS(tblDaily[TransfersOut],tblDaily[EntryDate],DATE(2026,10,18),tblDaily[WardCode],"MW")),"")</f>
        <v/>
      </c>
      <c r="H375" s="5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IFERROR(IF(SUMIFS(tblDaily[Admissions],tblDaily[EntryDate],DATE(2026,10,19),tblDaily[WardCode],"MW")=0,"",SUMIFS(tblDaily[Admissions],tblDaily[EntryDate],DATE(2026,10,19),tblDaily[WardCode],"MW")),"")</f>
        <v/>
      </c>
      <c r="C376" s="5" t="str">
        <f>IFERROR(IF(SUMIFS(tblDaily[Discharges],tblDaily[EntryDate],DATE(2026,10,19),tblDaily[WardCode],"MW")=0,"",SUMIFS(tblDaily[Discharges],tblDaily[EntryDate],DATE(2026,10,19),tblDaily[WardCode],"MW")),"")</f>
        <v/>
      </c>
      <c r="D376" s="5" t="str">
        <f>IFERROR(IF(SUMIFS(tblDaily[Deaths],tblDaily[EntryDate],DATE(2026,10,19),tblDaily[WardCode],"MW")=0,"",SUMIFS(tblDaily[Deaths],tblDaily[EntryDate],DATE(2026,10,19),tblDaily[WardCode],"MW")),"")</f>
        <v/>
      </c>
      <c r="E376" s="5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5" t="str">
        <f>IFERROR(IF(SUMIFS(tblDaily[TransfersIn],tblDaily[EntryDate],DATE(2026,10,19),tblDaily[WardCode],"MW")=0,"",SUMIFS(tblDaily[TransfersIn],tblDaily[EntryDate],DATE(2026,10,19),tblDaily[WardCode],"MW")),"")</f>
        <v/>
      </c>
      <c r="G376" s="5" t="str">
        <f>IFERROR(IF(SUMIFS(tblDaily[TransfersOut],tblDaily[EntryDate],DATE(2026,10,19),tblDaily[WardCode],"MW")=0,"",SUMIFS(tblDaily[TransfersOut],tblDaily[EntryDate],DATE(2026,10,19),tblDaily[WardCode],"MW")),"")</f>
        <v/>
      </c>
      <c r="H376" s="5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IFERROR(IF(SUMIFS(tblDaily[Admissions],tblDaily[EntryDate],DATE(2026,10,20),tblDaily[WardCode],"MW")=0,"",SUMIFS(tblDaily[Admissions],tblDaily[EntryDate],DATE(2026,10,20),tblDaily[WardCode],"MW")),"")</f>
        <v/>
      </c>
      <c r="C377" s="5" t="str">
        <f>IFERROR(IF(SUMIFS(tblDaily[Discharges],tblDaily[EntryDate],DATE(2026,10,20),tblDaily[WardCode],"MW")=0,"",SUMIFS(tblDaily[Discharges],tblDaily[EntryDate],DATE(2026,10,20),tblDaily[WardCode],"MW")),"")</f>
        <v/>
      </c>
      <c r="D377" s="5" t="str">
        <f>IFERROR(IF(SUMIFS(tblDaily[Deaths],tblDaily[EntryDate],DATE(2026,10,20),tblDaily[WardCode],"MW")=0,"",SUMIFS(tblDaily[Deaths],tblDaily[EntryDate],DATE(2026,10,20),tblDaily[WardCode],"MW")),"")</f>
        <v/>
      </c>
      <c r="E377" s="5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5" t="str">
        <f>IFERROR(IF(SUMIFS(tblDaily[TransfersIn],tblDaily[EntryDate],DATE(2026,10,20),tblDaily[WardCode],"MW")=0,"",SUMIFS(tblDaily[TransfersIn],tblDaily[EntryDate],DATE(2026,10,20),tblDaily[WardCode],"MW")),"")</f>
        <v/>
      </c>
      <c r="G377" s="5" t="str">
        <f>IFERROR(IF(SUMIFS(tblDaily[TransfersOut],tblDaily[EntryDate],DATE(2026,10,20),tblDaily[WardCode],"MW")=0,"",SUMIFS(tblDaily[TransfersOut],tblDaily[EntryDate],DATE(2026,10,20),tblDaily[WardCode],"MW")),"")</f>
        <v/>
      </c>
      <c r="H377" s="5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IFERROR(IF(SUMIFS(tblDaily[Admissions],tblDaily[EntryDate],DATE(2026,10,21),tblDaily[WardCode],"MW")=0,"",SUMIFS(tblDaily[Admissions],tblDaily[EntryDate],DATE(2026,10,21),tblDaily[WardCode],"MW")),"")</f>
        <v/>
      </c>
      <c r="C378" s="5" t="str">
        <f>IFERROR(IF(SUMIFS(tblDaily[Discharges],tblDaily[EntryDate],DATE(2026,10,21),tblDaily[WardCode],"MW")=0,"",SUMIFS(tblDaily[Discharges],tblDaily[EntryDate],DATE(2026,10,21),tblDaily[WardCode],"MW")),"")</f>
        <v/>
      </c>
      <c r="D378" s="5" t="str">
        <f>IFERROR(IF(SUMIFS(tblDaily[Deaths],tblDaily[EntryDate],DATE(2026,10,21),tblDaily[WardCode],"MW")=0,"",SUMIFS(tblDaily[Deaths],tblDaily[EntryDate],DATE(2026,10,21),tblDaily[WardCode],"MW")),"")</f>
        <v/>
      </c>
      <c r="E378" s="5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5" t="str">
        <f>IFERROR(IF(SUMIFS(tblDaily[TransfersIn],tblDaily[EntryDate],DATE(2026,10,21),tblDaily[WardCode],"MW")=0,"",SUMIFS(tblDaily[TransfersIn],tblDaily[EntryDate],DATE(2026,10,21),tblDaily[WardCode],"MW")),"")</f>
        <v/>
      </c>
      <c r="G378" s="5" t="str">
        <f>IFERROR(IF(SUMIFS(tblDaily[TransfersOut],tblDaily[EntryDate],DATE(2026,10,21),tblDaily[WardCode],"MW")=0,"",SUMIFS(tblDaily[TransfersOut],tblDaily[EntryDate],DATE(2026,10,21),tblDaily[WardCode],"MW")),"")</f>
        <v/>
      </c>
      <c r="H378" s="5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IFERROR(IF(SUMIFS(tblDaily[Admissions],tblDaily[EntryDate],DATE(2026,10,22),tblDaily[WardCode],"MW")=0,"",SUMIFS(tblDaily[Admissions],tblDaily[EntryDate],DATE(2026,10,22),tblDaily[WardCode],"MW")),"")</f>
        <v/>
      </c>
      <c r="C379" s="5" t="str">
        <f>IFERROR(IF(SUMIFS(tblDaily[Discharges],tblDaily[EntryDate],DATE(2026,10,22),tblDaily[WardCode],"MW")=0,"",SUMIFS(tblDaily[Discharges],tblDaily[EntryDate],DATE(2026,10,22),tblDaily[WardCode],"MW")),"")</f>
        <v/>
      </c>
      <c r="D379" s="5" t="str">
        <f>IFERROR(IF(SUMIFS(tblDaily[Deaths],tblDaily[EntryDate],DATE(2026,10,22),tblDaily[WardCode],"MW")=0,"",SUMIFS(tblDaily[Deaths],tblDaily[EntryDate],DATE(2026,10,22),tblDaily[WardCode],"MW")),"")</f>
        <v/>
      </c>
      <c r="E379" s="5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5" t="str">
        <f>IFERROR(IF(SUMIFS(tblDaily[TransfersIn],tblDaily[EntryDate],DATE(2026,10,22),tblDaily[WardCode],"MW")=0,"",SUMIFS(tblDaily[TransfersIn],tblDaily[EntryDate],DATE(2026,10,22),tblDaily[WardCode],"MW")),"")</f>
        <v/>
      </c>
      <c r="G379" s="5" t="str">
        <f>IFERROR(IF(SUMIFS(tblDaily[TransfersOut],tblDaily[EntryDate],DATE(2026,10,22),tblDaily[WardCode],"MW")=0,"",SUMIFS(tblDaily[TransfersOut],tblDaily[EntryDate],DATE(2026,10,22),tblDaily[WardCode],"MW")),"")</f>
        <v/>
      </c>
      <c r="H379" s="5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IFERROR(IF(SUMIFS(tblDaily[Admissions],tblDaily[EntryDate],DATE(2026,10,23),tblDaily[WardCode],"MW")=0,"",SUMIFS(tblDaily[Admissions],tblDaily[EntryDate],DATE(2026,10,23),tblDaily[WardCode],"MW")),"")</f>
        <v/>
      </c>
      <c r="C380" s="5" t="str">
        <f>IFERROR(IF(SUMIFS(tblDaily[Discharges],tblDaily[EntryDate],DATE(2026,10,23),tblDaily[WardCode],"MW")=0,"",SUMIFS(tblDaily[Discharges],tblDaily[EntryDate],DATE(2026,10,23),tblDaily[WardCode],"MW")),"")</f>
        <v/>
      </c>
      <c r="D380" s="5" t="str">
        <f>IFERROR(IF(SUMIFS(tblDaily[Deaths],tblDaily[EntryDate],DATE(2026,10,23),tblDaily[WardCode],"MW")=0,"",SUMIFS(tblDaily[Deaths],tblDaily[EntryDate],DATE(2026,10,23),tblDaily[WardCode],"MW")),"")</f>
        <v/>
      </c>
      <c r="E380" s="5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5" t="str">
        <f>IFERROR(IF(SUMIFS(tblDaily[TransfersIn],tblDaily[EntryDate],DATE(2026,10,23),tblDaily[WardCode],"MW")=0,"",SUMIFS(tblDaily[TransfersIn],tblDaily[EntryDate],DATE(2026,10,23),tblDaily[WardCode],"MW")),"")</f>
        <v/>
      </c>
      <c r="G380" s="5" t="str">
        <f>IFERROR(IF(SUMIFS(tblDaily[TransfersOut],tblDaily[EntryDate],DATE(2026,10,23),tblDaily[WardCode],"MW")=0,"",SUMIFS(tblDaily[TransfersOut],tblDaily[EntryDate],DATE(2026,10,23),tblDaily[WardCode],"MW")),"")</f>
        <v/>
      </c>
      <c r="H380" s="5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IFERROR(IF(SUMIFS(tblDaily[Admissions],tblDaily[EntryDate],DATE(2026,10,24),tblDaily[WardCode],"MW")=0,"",SUMIFS(tblDaily[Admissions],tblDaily[EntryDate],DATE(2026,10,24),tblDaily[WardCode],"MW")),"")</f>
        <v/>
      </c>
      <c r="C381" s="5" t="str">
        <f>IFERROR(IF(SUMIFS(tblDaily[Discharges],tblDaily[EntryDate],DATE(2026,10,24),tblDaily[WardCode],"MW")=0,"",SUMIFS(tblDaily[Discharges],tblDaily[EntryDate],DATE(2026,10,24),tblDaily[WardCode],"MW")),"")</f>
        <v/>
      </c>
      <c r="D381" s="5" t="str">
        <f>IFERROR(IF(SUMIFS(tblDaily[Deaths],tblDaily[EntryDate],DATE(2026,10,24),tblDaily[WardCode],"MW")=0,"",SUMIFS(tblDaily[Deaths],tblDaily[EntryDate],DATE(2026,10,24),tblDaily[WardCode],"MW")),"")</f>
        <v/>
      </c>
      <c r="E381" s="5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5" t="str">
        <f>IFERROR(IF(SUMIFS(tblDaily[TransfersIn],tblDaily[EntryDate],DATE(2026,10,24),tblDaily[WardCode],"MW")=0,"",SUMIFS(tblDaily[TransfersIn],tblDaily[EntryDate],DATE(2026,10,24),tblDaily[WardCode],"MW")),"")</f>
        <v/>
      </c>
      <c r="G381" s="5" t="str">
        <f>IFERROR(IF(SUMIFS(tblDaily[TransfersOut],tblDaily[EntryDate],DATE(2026,10,24),tblDaily[WardCode],"MW")=0,"",SUMIFS(tblDaily[TransfersOut],tblDaily[EntryDate],DATE(2026,10,24),tblDaily[WardCode],"MW")),"")</f>
        <v/>
      </c>
      <c r="H381" s="5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IFERROR(IF(SUMIFS(tblDaily[Admissions],tblDaily[EntryDate],DATE(2026,10,25),tblDaily[WardCode],"MW")=0,"",SUMIFS(tblDaily[Admissions],tblDaily[EntryDate],DATE(2026,10,25),tblDaily[WardCode],"MW")),"")</f>
        <v/>
      </c>
      <c r="C382" s="5" t="str">
        <f>IFERROR(IF(SUMIFS(tblDaily[Discharges],tblDaily[EntryDate],DATE(2026,10,25),tblDaily[WardCode],"MW")=0,"",SUMIFS(tblDaily[Discharges],tblDaily[EntryDate],DATE(2026,10,25),tblDaily[WardCode],"MW")),"")</f>
        <v/>
      </c>
      <c r="D382" s="5" t="str">
        <f>IFERROR(IF(SUMIFS(tblDaily[Deaths],tblDaily[EntryDate],DATE(2026,10,25),tblDaily[WardCode],"MW")=0,"",SUMIFS(tblDaily[Deaths],tblDaily[EntryDate],DATE(2026,10,25),tblDaily[WardCode],"MW")),"")</f>
        <v/>
      </c>
      <c r="E382" s="5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5" t="str">
        <f>IFERROR(IF(SUMIFS(tblDaily[TransfersIn],tblDaily[EntryDate],DATE(2026,10,25),tblDaily[WardCode],"MW")=0,"",SUMIFS(tblDaily[TransfersIn],tblDaily[EntryDate],DATE(2026,10,25),tblDaily[WardCode],"MW")),"")</f>
        <v/>
      </c>
      <c r="G382" s="5" t="str">
        <f>IFERROR(IF(SUMIFS(tblDaily[TransfersOut],tblDaily[EntryDate],DATE(2026,10,25),tblDaily[WardCode],"MW")=0,"",SUMIFS(tblDaily[TransfersOut],tblDaily[EntryDate],DATE(2026,10,25),tblDaily[WardCode],"MW")),"")</f>
        <v/>
      </c>
      <c r="H382" s="5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IFERROR(IF(SUMIFS(tblDaily[Admissions],tblDaily[EntryDate],DATE(2026,10,26),tblDaily[WardCode],"MW")=0,"",SUMIFS(tblDaily[Admissions],tblDaily[EntryDate],DATE(2026,10,26),tblDaily[WardCode],"MW")),"")</f>
        <v/>
      </c>
      <c r="C383" s="5" t="str">
        <f>IFERROR(IF(SUMIFS(tblDaily[Discharges],tblDaily[EntryDate],DATE(2026,10,26),tblDaily[WardCode],"MW")=0,"",SUMIFS(tblDaily[Discharges],tblDaily[EntryDate],DATE(2026,10,26),tblDaily[WardCode],"MW")),"")</f>
        <v/>
      </c>
      <c r="D383" s="5" t="str">
        <f>IFERROR(IF(SUMIFS(tblDaily[Deaths],tblDaily[EntryDate],DATE(2026,10,26),tblDaily[WardCode],"MW")=0,"",SUMIFS(tblDaily[Deaths],tblDaily[EntryDate],DATE(2026,10,26),tblDaily[WardCode],"MW")),"")</f>
        <v/>
      </c>
      <c r="E383" s="5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5" t="str">
        <f>IFERROR(IF(SUMIFS(tblDaily[TransfersIn],tblDaily[EntryDate],DATE(2026,10,26),tblDaily[WardCode],"MW")=0,"",SUMIFS(tblDaily[TransfersIn],tblDaily[EntryDate],DATE(2026,10,26),tblDaily[WardCode],"MW")),"")</f>
        <v/>
      </c>
      <c r="G383" s="5" t="str">
        <f>IFERROR(IF(SUMIFS(tblDaily[TransfersOut],tblDaily[EntryDate],DATE(2026,10,26),tblDaily[WardCode],"MW")=0,"",SUMIFS(tblDaily[TransfersOut],tblDaily[EntryDate],DATE(2026,10,26),tblDaily[WardCode],"MW")),"")</f>
        <v/>
      </c>
      <c r="H383" s="5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IFERROR(IF(SUMIFS(tblDaily[Admissions],tblDaily[EntryDate],DATE(2026,10,27),tblDaily[WardCode],"MW")=0,"",SUMIFS(tblDaily[Admissions],tblDaily[EntryDate],DATE(2026,10,27),tblDaily[WardCode],"MW")),"")</f>
        <v/>
      </c>
      <c r="C384" s="5" t="str">
        <f>IFERROR(IF(SUMIFS(tblDaily[Discharges],tblDaily[EntryDate],DATE(2026,10,27),tblDaily[WardCode],"MW")=0,"",SUMIFS(tblDaily[Discharges],tblDaily[EntryDate],DATE(2026,10,27),tblDaily[WardCode],"MW")),"")</f>
        <v/>
      </c>
      <c r="D384" s="5" t="str">
        <f>IFERROR(IF(SUMIFS(tblDaily[Deaths],tblDaily[EntryDate],DATE(2026,10,27),tblDaily[WardCode],"MW")=0,"",SUMIFS(tblDaily[Deaths],tblDaily[EntryDate],DATE(2026,10,27),tblDaily[WardCode],"MW")),"")</f>
        <v/>
      </c>
      <c r="E384" s="5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5" t="str">
        <f>IFERROR(IF(SUMIFS(tblDaily[TransfersIn],tblDaily[EntryDate],DATE(2026,10,27),tblDaily[WardCode],"MW")=0,"",SUMIFS(tblDaily[TransfersIn],tblDaily[EntryDate],DATE(2026,10,27),tblDaily[WardCode],"MW")),"")</f>
        <v/>
      </c>
      <c r="G384" s="5" t="str">
        <f>IFERROR(IF(SUMIFS(tblDaily[TransfersOut],tblDaily[EntryDate],DATE(2026,10,27),tblDaily[WardCode],"MW")=0,"",SUMIFS(tblDaily[TransfersOut],tblDaily[EntryDate],DATE(2026,10,27),tblDaily[WardCode],"MW")),"")</f>
        <v/>
      </c>
      <c r="H384" s="5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IFERROR(IF(SUMIFS(tblDaily[Admissions],tblDaily[EntryDate],DATE(2026,10,28),tblDaily[WardCode],"MW")=0,"",SUMIFS(tblDaily[Admissions],tblDaily[EntryDate],DATE(2026,10,28),tblDaily[WardCode],"MW")),"")</f>
        <v/>
      </c>
      <c r="C385" s="5" t="str">
        <f>IFERROR(IF(SUMIFS(tblDaily[Discharges],tblDaily[EntryDate],DATE(2026,10,28),tblDaily[WardCode],"MW")=0,"",SUMIFS(tblDaily[Discharges],tblDaily[EntryDate],DATE(2026,10,28),tblDaily[WardCode],"MW")),"")</f>
        <v/>
      </c>
      <c r="D385" s="5" t="str">
        <f>IFERROR(IF(SUMIFS(tblDaily[Deaths],tblDaily[EntryDate],DATE(2026,10,28),tblDaily[WardCode],"MW")=0,"",SUMIFS(tblDaily[Deaths],tblDaily[EntryDate],DATE(2026,10,28),tblDaily[WardCode],"MW")),"")</f>
        <v/>
      </c>
      <c r="E385" s="5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5" t="str">
        <f>IFERROR(IF(SUMIFS(tblDaily[TransfersIn],tblDaily[EntryDate],DATE(2026,10,28),tblDaily[WardCode],"MW")=0,"",SUMIFS(tblDaily[TransfersIn],tblDaily[EntryDate],DATE(2026,10,28),tblDaily[WardCode],"MW")),"")</f>
        <v/>
      </c>
      <c r="G385" s="5" t="str">
        <f>IFERROR(IF(SUMIFS(tblDaily[TransfersOut],tblDaily[EntryDate],DATE(2026,10,28),tblDaily[WardCode],"MW")=0,"",SUMIFS(tblDaily[TransfersOut],tblDaily[EntryDate],DATE(2026,10,28),tblDaily[WardCode],"MW")),"")</f>
        <v/>
      </c>
      <c r="H385" s="5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IFERROR(IF(SUMIFS(tblDaily[Admissions],tblDaily[EntryDate],DATE(2026,10,29),tblDaily[WardCode],"MW")=0,"",SUMIFS(tblDaily[Admissions],tblDaily[EntryDate],DATE(2026,10,29),tblDaily[WardCode],"MW")),"")</f>
        <v/>
      </c>
      <c r="C386" s="5" t="str">
        <f>IFERROR(IF(SUMIFS(tblDaily[Discharges],tblDaily[EntryDate],DATE(2026,10,29),tblDaily[WardCode],"MW")=0,"",SUMIFS(tblDaily[Discharges],tblDaily[EntryDate],DATE(2026,10,29),tblDaily[WardCode],"MW")),"")</f>
        <v/>
      </c>
      <c r="D386" s="5" t="str">
        <f>IFERROR(IF(SUMIFS(tblDaily[Deaths],tblDaily[EntryDate],DATE(2026,10,29),tblDaily[WardCode],"MW")=0,"",SUMIFS(tblDaily[Deaths],tblDaily[EntryDate],DATE(2026,10,29),tblDaily[WardCode],"MW")),"")</f>
        <v/>
      </c>
      <c r="E386" s="5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5" t="str">
        <f>IFERROR(IF(SUMIFS(tblDaily[TransfersIn],tblDaily[EntryDate],DATE(2026,10,29),tblDaily[WardCode],"MW")=0,"",SUMIFS(tblDaily[TransfersIn],tblDaily[EntryDate],DATE(2026,10,29),tblDaily[WardCode],"MW")),"")</f>
        <v/>
      </c>
      <c r="G386" s="5" t="str">
        <f>IFERROR(IF(SUMIFS(tblDaily[TransfersOut],tblDaily[EntryDate],DATE(2026,10,29),tblDaily[WardCode],"MW")=0,"",SUMIFS(tblDaily[TransfersOut],tblDaily[EntryDate],DATE(2026,10,29),tblDaily[WardCode],"MW")),"")</f>
        <v/>
      </c>
      <c r="H386" s="5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IFERROR(IF(SUMIFS(tblDaily[Admissions],tblDaily[EntryDate],DATE(2026,10,30),tblDaily[WardCode],"MW")=0,"",SUMIFS(tblDaily[Admissions],tblDaily[EntryDate],DATE(2026,10,30),tblDaily[WardCode],"MW")),"")</f>
        <v/>
      </c>
      <c r="C387" s="5" t="str">
        <f>IFERROR(IF(SUMIFS(tblDaily[Discharges],tblDaily[EntryDate],DATE(2026,10,30),tblDaily[WardCode],"MW")=0,"",SUMIFS(tblDaily[Discharges],tblDaily[EntryDate],DATE(2026,10,30),tblDaily[WardCode],"MW")),"")</f>
        <v/>
      </c>
      <c r="D387" s="5" t="str">
        <f>IFERROR(IF(SUMIFS(tblDaily[Deaths],tblDaily[EntryDate],DATE(2026,10,30),tblDaily[WardCode],"MW")=0,"",SUMIFS(tblDaily[Deaths],tblDaily[EntryDate],DATE(2026,10,30),tblDaily[WardCode],"MW")),"")</f>
        <v/>
      </c>
      <c r="E387" s="5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5" t="str">
        <f>IFERROR(IF(SUMIFS(tblDaily[TransfersIn],tblDaily[EntryDate],DATE(2026,10,30),tblDaily[WardCode],"MW")=0,"",SUMIFS(tblDaily[TransfersIn],tblDaily[EntryDate],DATE(2026,10,30),tblDaily[WardCode],"MW")),"")</f>
        <v/>
      </c>
      <c r="G387" s="5" t="str">
        <f>IFERROR(IF(SUMIFS(tblDaily[TransfersOut],tblDaily[EntryDate],DATE(2026,10,30),tblDaily[WardCode],"MW")=0,"",SUMIFS(tblDaily[TransfersOut],tblDaily[EntryDate],DATE(2026,10,30),tblDaily[WardCode],"MW")),"")</f>
        <v/>
      </c>
      <c r="H387" s="5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IFERROR(IF(SUMIFS(tblDaily[Admissions],tblDaily[EntryDate],DATE(2026,10,31),tblDaily[WardCode],"MW")=0,"",SUMIFS(tblDaily[Admissions],tblDaily[EntryDate],DATE(2026,10,31),tblDaily[WardCode],"MW")),"")</f>
        <v/>
      </c>
      <c r="C388" s="5" t="str">
        <f>IFERROR(IF(SUMIFS(tblDaily[Discharges],tblDaily[EntryDate],DATE(2026,10,31),tblDaily[WardCode],"MW")=0,"",SUMIFS(tblDaily[Discharges],tblDaily[EntryDate],DATE(2026,10,31),tblDaily[WardCode],"MW")),"")</f>
        <v/>
      </c>
      <c r="D388" s="5" t="str">
        <f>IFERROR(IF(SUMIFS(tblDaily[Deaths],tblDaily[EntryDate],DATE(2026,10,31),tblDaily[WardCode],"MW")=0,"",SUMIFS(tblDaily[Deaths],tblDaily[EntryDate],DATE(2026,10,31),tblDaily[WardCode],"MW")),"")</f>
        <v/>
      </c>
      <c r="E388" s="5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5" t="str">
        <f>IFERROR(IF(SUMIFS(tblDaily[TransfersIn],tblDaily[EntryDate],DATE(2026,10,31),tblDaily[WardCode],"MW")=0,"",SUMIFS(tblDaily[TransfersIn],tblDaily[EntryDate],DATE(2026,10,31),tblDaily[WardCode],"MW")),"")</f>
        <v/>
      </c>
      <c r="G388" s="5" t="str">
        <f>IFERROR(IF(SUMIFS(tblDaily[TransfersOut],tblDaily[EntryDate],DATE(2026,10,31),tblDaily[WardCode],"MW")=0,"",SUMIFS(tblDaily[TransfersOut],tblDaily[EntryDate],DATE(2026,10,31),tblDaily[WardCode],"MW")),"")</f>
        <v/>
      </c>
      <c r="H388" s="5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95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86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89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IFERROR(IF(SUMIFS(tblDaily[Admissions],tblDaily[EntryDate],DATE(2026,11,1),tblDaily[WardCode],"MW")=0,"",SUMIFS(tblDaily[Admissions],tblDaily[EntryDate],DATE(2026,11,1),tblDaily[WardCode],"MW")),"")</f>
        <v/>
      </c>
      <c r="C397" s="5" t="str">
        <f>IFERROR(IF(SUMIFS(tblDaily[Discharges],tblDaily[EntryDate],DATE(2026,11,1),tblDaily[WardCode],"MW")=0,"",SUMIFS(tblDaily[Discharges],tblDaily[EntryDate],DATE(2026,11,1),tblDaily[WardCode],"MW")),"")</f>
        <v/>
      </c>
      <c r="D397" s="5" t="str">
        <f>IFERROR(IF(SUMIFS(tblDaily[Deaths],tblDaily[EntryDate],DATE(2026,11,1),tblDaily[WardCode],"MW")=0,"",SUMIFS(tblDaily[Deaths],tblDaily[EntryDate],DATE(2026,11,1),tblDaily[WardCode],"MW")),"")</f>
        <v/>
      </c>
      <c r="E397" s="5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5" t="str">
        <f>IFERROR(IF(SUMIFS(tblDaily[TransfersIn],tblDaily[EntryDate],DATE(2026,11,1),tblDaily[WardCode],"MW")=0,"",SUMIFS(tblDaily[TransfersIn],tblDaily[EntryDate],DATE(2026,11,1),tblDaily[WardCode],"MW")),"")</f>
        <v/>
      </c>
      <c r="G397" s="5" t="str">
        <f>IFERROR(IF(SUMIFS(tblDaily[TransfersOut],tblDaily[EntryDate],DATE(2026,11,1),tblDaily[WardCode],"MW")=0,"",SUMIFS(tblDaily[TransfersOut],tblDaily[EntryDate],DATE(2026,11,1),tblDaily[WardCode],"MW")),"")</f>
        <v/>
      </c>
      <c r="H397" s="5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IFERROR(IF(SUMIFS(tblDaily[Admissions],tblDaily[EntryDate],DATE(2026,11,2),tblDaily[WardCode],"MW")=0,"",SUMIFS(tblDaily[Admissions],tblDaily[EntryDate],DATE(2026,11,2),tblDaily[WardCode],"MW")),"")</f>
        <v/>
      </c>
      <c r="C398" s="5" t="str">
        <f>IFERROR(IF(SUMIFS(tblDaily[Discharges],tblDaily[EntryDate],DATE(2026,11,2),tblDaily[WardCode],"MW")=0,"",SUMIFS(tblDaily[Discharges],tblDaily[EntryDate],DATE(2026,11,2),tblDaily[WardCode],"MW")),"")</f>
        <v/>
      </c>
      <c r="D398" s="5" t="str">
        <f>IFERROR(IF(SUMIFS(tblDaily[Deaths],tblDaily[EntryDate],DATE(2026,11,2),tblDaily[WardCode],"MW")=0,"",SUMIFS(tblDaily[Deaths],tblDaily[EntryDate],DATE(2026,11,2),tblDaily[WardCode],"MW")),"")</f>
        <v/>
      </c>
      <c r="E398" s="5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5" t="str">
        <f>IFERROR(IF(SUMIFS(tblDaily[TransfersIn],tblDaily[EntryDate],DATE(2026,11,2),tblDaily[WardCode],"MW")=0,"",SUMIFS(tblDaily[TransfersIn],tblDaily[EntryDate],DATE(2026,11,2),tblDaily[WardCode],"MW")),"")</f>
        <v/>
      </c>
      <c r="G398" s="5" t="str">
        <f>IFERROR(IF(SUMIFS(tblDaily[TransfersOut],tblDaily[EntryDate],DATE(2026,11,2),tblDaily[WardCode],"MW")=0,"",SUMIFS(tblDaily[TransfersOut],tblDaily[EntryDate],DATE(2026,11,2),tblDaily[WardCode],"MW")),"")</f>
        <v/>
      </c>
      <c r="H398" s="5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IFERROR(IF(SUMIFS(tblDaily[Admissions],tblDaily[EntryDate],DATE(2026,11,3),tblDaily[WardCode],"MW")=0,"",SUMIFS(tblDaily[Admissions],tblDaily[EntryDate],DATE(2026,11,3),tblDaily[WardCode],"MW")),"")</f>
        <v/>
      </c>
      <c r="C399" s="5" t="str">
        <f>IFERROR(IF(SUMIFS(tblDaily[Discharges],tblDaily[EntryDate],DATE(2026,11,3),tblDaily[WardCode],"MW")=0,"",SUMIFS(tblDaily[Discharges],tblDaily[EntryDate],DATE(2026,11,3),tblDaily[WardCode],"MW")),"")</f>
        <v/>
      </c>
      <c r="D399" s="5" t="str">
        <f>IFERROR(IF(SUMIFS(tblDaily[Deaths],tblDaily[EntryDate],DATE(2026,11,3),tblDaily[WardCode],"MW")=0,"",SUMIFS(tblDaily[Deaths],tblDaily[EntryDate],DATE(2026,11,3),tblDaily[WardCode],"MW")),"")</f>
        <v/>
      </c>
      <c r="E399" s="5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5" t="str">
        <f>IFERROR(IF(SUMIFS(tblDaily[TransfersIn],tblDaily[EntryDate],DATE(2026,11,3),tblDaily[WardCode],"MW")=0,"",SUMIFS(tblDaily[TransfersIn],tblDaily[EntryDate],DATE(2026,11,3),tblDaily[WardCode],"MW")),"")</f>
        <v/>
      </c>
      <c r="G399" s="5" t="str">
        <f>IFERROR(IF(SUMIFS(tblDaily[TransfersOut],tblDaily[EntryDate],DATE(2026,11,3),tblDaily[WardCode],"MW")=0,"",SUMIFS(tblDaily[TransfersOut],tblDaily[EntryDate],DATE(2026,11,3),tblDaily[WardCode],"MW")),"")</f>
        <v/>
      </c>
      <c r="H399" s="5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IFERROR(IF(SUMIFS(tblDaily[Admissions],tblDaily[EntryDate],DATE(2026,11,4),tblDaily[WardCode],"MW")=0,"",SUMIFS(tblDaily[Admissions],tblDaily[EntryDate],DATE(2026,11,4),tblDaily[WardCode],"MW")),"")</f>
        <v/>
      </c>
      <c r="C400" s="5" t="str">
        <f>IFERROR(IF(SUMIFS(tblDaily[Discharges],tblDaily[EntryDate],DATE(2026,11,4),tblDaily[WardCode],"MW")=0,"",SUMIFS(tblDaily[Discharges],tblDaily[EntryDate],DATE(2026,11,4),tblDaily[WardCode],"MW")),"")</f>
        <v/>
      </c>
      <c r="D400" s="5" t="str">
        <f>IFERROR(IF(SUMIFS(tblDaily[Deaths],tblDaily[EntryDate],DATE(2026,11,4),tblDaily[WardCode],"MW")=0,"",SUMIFS(tblDaily[Deaths],tblDaily[EntryDate],DATE(2026,11,4),tblDaily[WardCode],"MW")),"")</f>
        <v/>
      </c>
      <c r="E400" s="5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5" t="str">
        <f>IFERROR(IF(SUMIFS(tblDaily[TransfersIn],tblDaily[EntryDate],DATE(2026,11,4),tblDaily[WardCode],"MW")=0,"",SUMIFS(tblDaily[TransfersIn],tblDaily[EntryDate],DATE(2026,11,4),tblDaily[WardCode],"MW")),"")</f>
        <v/>
      </c>
      <c r="G400" s="5" t="str">
        <f>IFERROR(IF(SUMIFS(tblDaily[TransfersOut],tblDaily[EntryDate],DATE(2026,11,4),tblDaily[WardCode],"MW")=0,"",SUMIFS(tblDaily[TransfersOut],tblDaily[EntryDate],DATE(2026,11,4),tblDaily[WardCode],"MW")),"")</f>
        <v/>
      </c>
      <c r="H400" s="5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IFERROR(IF(SUMIFS(tblDaily[Admissions],tblDaily[EntryDate],DATE(2026,11,5),tblDaily[WardCode],"MW")=0,"",SUMIFS(tblDaily[Admissions],tblDaily[EntryDate],DATE(2026,11,5),tblDaily[WardCode],"MW")),"")</f>
        <v/>
      </c>
      <c r="C401" s="5" t="str">
        <f>IFERROR(IF(SUMIFS(tblDaily[Discharges],tblDaily[EntryDate],DATE(2026,11,5),tblDaily[WardCode],"MW")=0,"",SUMIFS(tblDaily[Discharges],tblDaily[EntryDate],DATE(2026,11,5),tblDaily[WardCode],"MW")),"")</f>
        <v/>
      </c>
      <c r="D401" s="5" t="str">
        <f>IFERROR(IF(SUMIFS(tblDaily[Deaths],tblDaily[EntryDate],DATE(2026,11,5),tblDaily[WardCode],"MW")=0,"",SUMIFS(tblDaily[Deaths],tblDaily[EntryDate],DATE(2026,11,5),tblDaily[WardCode],"MW")),"")</f>
        <v/>
      </c>
      <c r="E401" s="5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5" t="str">
        <f>IFERROR(IF(SUMIFS(tblDaily[TransfersIn],tblDaily[EntryDate],DATE(2026,11,5),tblDaily[WardCode],"MW")=0,"",SUMIFS(tblDaily[TransfersIn],tblDaily[EntryDate],DATE(2026,11,5),tblDaily[WardCode],"MW")),"")</f>
        <v/>
      </c>
      <c r="G401" s="5" t="str">
        <f>IFERROR(IF(SUMIFS(tblDaily[TransfersOut],tblDaily[EntryDate],DATE(2026,11,5),tblDaily[WardCode],"MW")=0,"",SUMIFS(tblDaily[TransfersOut],tblDaily[EntryDate],DATE(2026,11,5),tblDaily[WardCode],"MW")),"")</f>
        <v/>
      </c>
      <c r="H401" s="5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IFERROR(IF(SUMIFS(tblDaily[Admissions],tblDaily[EntryDate],DATE(2026,11,6),tblDaily[WardCode],"MW")=0,"",SUMIFS(tblDaily[Admissions],tblDaily[EntryDate],DATE(2026,11,6),tblDaily[WardCode],"MW")),"")</f>
        <v/>
      </c>
      <c r="C402" s="5" t="str">
        <f>IFERROR(IF(SUMIFS(tblDaily[Discharges],tblDaily[EntryDate],DATE(2026,11,6),tblDaily[WardCode],"MW")=0,"",SUMIFS(tblDaily[Discharges],tblDaily[EntryDate],DATE(2026,11,6),tblDaily[WardCode],"MW")),"")</f>
        <v/>
      </c>
      <c r="D402" s="5" t="str">
        <f>IFERROR(IF(SUMIFS(tblDaily[Deaths],tblDaily[EntryDate],DATE(2026,11,6),tblDaily[WardCode],"MW")=0,"",SUMIFS(tblDaily[Deaths],tblDaily[EntryDate],DATE(2026,11,6),tblDaily[WardCode],"MW")),"")</f>
        <v/>
      </c>
      <c r="E402" s="5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5" t="str">
        <f>IFERROR(IF(SUMIFS(tblDaily[TransfersIn],tblDaily[EntryDate],DATE(2026,11,6),tblDaily[WardCode],"MW")=0,"",SUMIFS(tblDaily[TransfersIn],tblDaily[EntryDate],DATE(2026,11,6),tblDaily[WardCode],"MW")),"")</f>
        <v/>
      </c>
      <c r="G402" s="5" t="str">
        <f>IFERROR(IF(SUMIFS(tblDaily[TransfersOut],tblDaily[EntryDate],DATE(2026,11,6),tblDaily[WardCode],"MW")=0,"",SUMIFS(tblDaily[TransfersOut],tblDaily[EntryDate],DATE(2026,11,6),tblDaily[WardCode],"MW")),"")</f>
        <v/>
      </c>
      <c r="H402" s="5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IFERROR(IF(SUMIFS(tblDaily[Admissions],tblDaily[EntryDate],DATE(2026,11,7),tblDaily[WardCode],"MW")=0,"",SUMIFS(tblDaily[Admissions],tblDaily[EntryDate],DATE(2026,11,7),tblDaily[WardCode],"MW")),"")</f>
        <v/>
      </c>
      <c r="C403" s="5" t="str">
        <f>IFERROR(IF(SUMIFS(tblDaily[Discharges],tblDaily[EntryDate],DATE(2026,11,7),tblDaily[WardCode],"MW")=0,"",SUMIFS(tblDaily[Discharges],tblDaily[EntryDate],DATE(2026,11,7),tblDaily[WardCode],"MW")),"")</f>
        <v/>
      </c>
      <c r="D403" s="5" t="str">
        <f>IFERROR(IF(SUMIFS(tblDaily[Deaths],tblDaily[EntryDate],DATE(2026,11,7),tblDaily[WardCode],"MW")=0,"",SUMIFS(tblDaily[Deaths],tblDaily[EntryDate],DATE(2026,11,7),tblDaily[WardCode],"MW")),"")</f>
        <v/>
      </c>
      <c r="E403" s="5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5" t="str">
        <f>IFERROR(IF(SUMIFS(tblDaily[TransfersIn],tblDaily[EntryDate],DATE(2026,11,7),tblDaily[WardCode],"MW")=0,"",SUMIFS(tblDaily[TransfersIn],tblDaily[EntryDate],DATE(2026,11,7),tblDaily[WardCode],"MW")),"")</f>
        <v/>
      </c>
      <c r="G403" s="5" t="str">
        <f>IFERROR(IF(SUMIFS(tblDaily[TransfersOut],tblDaily[EntryDate],DATE(2026,11,7),tblDaily[WardCode],"MW")=0,"",SUMIFS(tblDaily[TransfersOut],tblDaily[EntryDate],DATE(2026,11,7),tblDaily[WardCode],"MW")),"")</f>
        <v/>
      </c>
      <c r="H403" s="5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IFERROR(IF(SUMIFS(tblDaily[Admissions],tblDaily[EntryDate],DATE(2026,11,8),tblDaily[WardCode],"MW")=0,"",SUMIFS(tblDaily[Admissions],tblDaily[EntryDate],DATE(2026,11,8),tblDaily[WardCode],"MW")),"")</f>
        <v/>
      </c>
      <c r="C404" s="5" t="str">
        <f>IFERROR(IF(SUMIFS(tblDaily[Discharges],tblDaily[EntryDate],DATE(2026,11,8),tblDaily[WardCode],"MW")=0,"",SUMIFS(tblDaily[Discharges],tblDaily[EntryDate],DATE(2026,11,8),tblDaily[WardCode],"MW")),"")</f>
        <v/>
      </c>
      <c r="D404" s="5" t="str">
        <f>IFERROR(IF(SUMIFS(tblDaily[Deaths],tblDaily[EntryDate],DATE(2026,11,8),tblDaily[WardCode],"MW")=0,"",SUMIFS(tblDaily[Deaths],tblDaily[EntryDate],DATE(2026,11,8),tblDaily[WardCode],"MW")),"")</f>
        <v/>
      </c>
      <c r="E404" s="5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5" t="str">
        <f>IFERROR(IF(SUMIFS(tblDaily[TransfersIn],tblDaily[EntryDate],DATE(2026,11,8),tblDaily[WardCode],"MW")=0,"",SUMIFS(tblDaily[TransfersIn],tblDaily[EntryDate],DATE(2026,11,8),tblDaily[WardCode],"MW")),"")</f>
        <v/>
      </c>
      <c r="G404" s="5" t="str">
        <f>IFERROR(IF(SUMIFS(tblDaily[TransfersOut],tblDaily[EntryDate],DATE(2026,11,8),tblDaily[WardCode],"MW")=0,"",SUMIFS(tblDaily[TransfersOut],tblDaily[EntryDate],DATE(2026,11,8),tblDaily[WardCode],"MW")),"")</f>
        <v/>
      </c>
      <c r="H404" s="5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IFERROR(IF(SUMIFS(tblDaily[Admissions],tblDaily[EntryDate],DATE(2026,11,9),tblDaily[WardCode],"MW")=0,"",SUMIFS(tblDaily[Admissions],tblDaily[EntryDate],DATE(2026,11,9),tblDaily[WardCode],"MW")),"")</f>
        <v/>
      </c>
      <c r="C405" s="5" t="str">
        <f>IFERROR(IF(SUMIFS(tblDaily[Discharges],tblDaily[EntryDate],DATE(2026,11,9),tblDaily[WardCode],"MW")=0,"",SUMIFS(tblDaily[Discharges],tblDaily[EntryDate],DATE(2026,11,9),tblDaily[WardCode],"MW")),"")</f>
        <v/>
      </c>
      <c r="D405" s="5" t="str">
        <f>IFERROR(IF(SUMIFS(tblDaily[Deaths],tblDaily[EntryDate],DATE(2026,11,9),tblDaily[WardCode],"MW")=0,"",SUMIFS(tblDaily[Deaths],tblDaily[EntryDate],DATE(2026,11,9),tblDaily[WardCode],"MW")),"")</f>
        <v/>
      </c>
      <c r="E405" s="5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5" t="str">
        <f>IFERROR(IF(SUMIFS(tblDaily[TransfersIn],tblDaily[EntryDate],DATE(2026,11,9),tblDaily[WardCode],"MW")=0,"",SUMIFS(tblDaily[TransfersIn],tblDaily[EntryDate],DATE(2026,11,9),tblDaily[WardCode],"MW")),"")</f>
        <v/>
      </c>
      <c r="G405" s="5" t="str">
        <f>IFERROR(IF(SUMIFS(tblDaily[TransfersOut],tblDaily[EntryDate],DATE(2026,11,9),tblDaily[WardCode],"MW")=0,"",SUMIFS(tblDaily[TransfersOut],tblDaily[EntryDate],DATE(2026,11,9),tblDaily[WardCode],"MW")),"")</f>
        <v/>
      </c>
      <c r="H405" s="5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IFERROR(IF(SUMIFS(tblDaily[Admissions],tblDaily[EntryDate],DATE(2026,11,10),tblDaily[WardCode],"MW")=0,"",SUMIFS(tblDaily[Admissions],tblDaily[EntryDate],DATE(2026,11,10),tblDaily[WardCode],"MW")),"")</f>
        <v/>
      </c>
      <c r="C406" s="5" t="str">
        <f>IFERROR(IF(SUMIFS(tblDaily[Discharges],tblDaily[EntryDate],DATE(2026,11,10),tblDaily[WardCode],"MW")=0,"",SUMIFS(tblDaily[Discharges],tblDaily[EntryDate],DATE(2026,11,10),tblDaily[WardCode],"MW")),"")</f>
        <v/>
      </c>
      <c r="D406" s="5" t="str">
        <f>IFERROR(IF(SUMIFS(tblDaily[Deaths],tblDaily[EntryDate],DATE(2026,11,10),tblDaily[WardCode],"MW")=0,"",SUMIFS(tblDaily[Deaths],tblDaily[EntryDate],DATE(2026,11,10),tblDaily[WardCode],"MW")),"")</f>
        <v/>
      </c>
      <c r="E406" s="5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5" t="str">
        <f>IFERROR(IF(SUMIFS(tblDaily[TransfersIn],tblDaily[EntryDate],DATE(2026,11,10),tblDaily[WardCode],"MW")=0,"",SUMIFS(tblDaily[TransfersIn],tblDaily[EntryDate],DATE(2026,11,10),tblDaily[WardCode],"MW")),"")</f>
        <v/>
      </c>
      <c r="G406" s="5" t="str">
        <f>IFERROR(IF(SUMIFS(tblDaily[TransfersOut],tblDaily[EntryDate],DATE(2026,11,10),tblDaily[WardCode],"MW")=0,"",SUMIFS(tblDaily[TransfersOut],tblDaily[EntryDate],DATE(2026,11,10),tblDaily[WardCode],"MW")),"")</f>
        <v/>
      </c>
      <c r="H406" s="5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IFERROR(IF(SUMIFS(tblDaily[Admissions],tblDaily[EntryDate],DATE(2026,11,11),tblDaily[WardCode],"MW")=0,"",SUMIFS(tblDaily[Admissions],tblDaily[EntryDate],DATE(2026,11,11),tblDaily[WardCode],"MW")),"")</f>
        <v/>
      </c>
      <c r="C407" s="5" t="str">
        <f>IFERROR(IF(SUMIFS(tblDaily[Discharges],tblDaily[EntryDate],DATE(2026,11,11),tblDaily[WardCode],"MW")=0,"",SUMIFS(tblDaily[Discharges],tblDaily[EntryDate],DATE(2026,11,11),tblDaily[WardCode],"MW")),"")</f>
        <v/>
      </c>
      <c r="D407" s="5" t="str">
        <f>IFERROR(IF(SUMIFS(tblDaily[Deaths],tblDaily[EntryDate],DATE(2026,11,11),tblDaily[WardCode],"MW")=0,"",SUMIFS(tblDaily[Deaths],tblDaily[EntryDate],DATE(2026,11,11),tblDaily[WardCode],"MW")),"")</f>
        <v/>
      </c>
      <c r="E407" s="5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5" t="str">
        <f>IFERROR(IF(SUMIFS(tblDaily[TransfersIn],tblDaily[EntryDate],DATE(2026,11,11),tblDaily[WardCode],"MW")=0,"",SUMIFS(tblDaily[TransfersIn],tblDaily[EntryDate],DATE(2026,11,11),tblDaily[WardCode],"MW")),"")</f>
        <v/>
      </c>
      <c r="G407" s="5" t="str">
        <f>IFERROR(IF(SUMIFS(tblDaily[TransfersOut],tblDaily[EntryDate],DATE(2026,11,11),tblDaily[WardCode],"MW")=0,"",SUMIFS(tblDaily[TransfersOut],tblDaily[EntryDate],DATE(2026,11,11),tblDaily[WardCode],"MW")),"")</f>
        <v/>
      </c>
      <c r="H407" s="5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IFERROR(IF(SUMIFS(tblDaily[Admissions],tblDaily[EntryDate],DATE(2026,11,12),tblDaily[WardCode],"MW")=0,"",SUMIFS(tblDaily[Admissions],tblDaily[EntryDate],DATE(2026,11,12),tblDaily[WardCode],"MW")),"")</f>
        <v/>
      </c>
      <c r="C408" s="5" t="str">
        <f>IFERROR(IF(SUMIFS(tblDaily[Discharges],tblDaily[EntryDate],DATE(2026,11,12),tblDaily[WardCode],"MW")=0,"",SUMIFS(tblDaily[Discharges],tblDaily[EntryDate],DATE(2026,11,12),tblDaily[WardCode],"MW")),"")</f>
        <v/>
      </c>
      <c r="D408" s="5" t="str">
        <f>IFERROR(IF(SUMIFS(tblDaily[Deaths],tblDaily[EntryDate],DATE(2026,11,12),tblDaily[WardCode],"MW")=0,"",SUMIFS(tblDaily[Deaths],tblDaily[EntryDate],DATE(2026,11,12),tblDaily[WardCode],"MW")),"")</f>
        <v/>
      </c>
      <c r="E408" s="5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5" t="str">
        <f>IFERROR(IF(SUMIFS(tblDaily[TransfersIn],tblDaily[EntryDate],DATE(2026,11,12),tblDaily[WardCode],"MW")=0,"",SUMIFS(tblDaily[TransfersIn],tblDaily[EntryDate],DATE(2026,11,12),tblDaily[WardCode],"MW")),"")</f>
        <v/>
      </c>
      <c r="G408" s="5" t="str">
        <f>IFERROR(IF(SUMIFS(tblDaily[TransfersOut],tblDaily[EntryDate],DATE(2026,11,12),tblDaily[WardCode],"MW")=0,"",SUMIFS(tblDaily[TransfersOut],tblDaily[EntryDate],DATE(2026,11,12),tblDaily[WardCode],"MW")),"")</f>
        <v/>
      </c>
      <c r="H408" s="5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IFERROR(IF(SUMIFS(tblDaily[Admissions],tblDaily[EntryDate],DATE(2026,11,13),tblDaily[WardCode],"MW")=0,"",SUMIFS(tblDaily[Admissions],tblDaily[EntryDate],DATE(2026,11,13),tblDaily[WardCode],"MW")),"")</f>
        <v/>
      </c>
      <c r="C409" s="5" t="str">
        <f>IFERROR(IF(SUMIFS(tblDaily[Discharges],tblDaily[EntryDate],DATE(2026,11,13),tblDaily[WardCode],"MW")=0,"",SUMIFS(tblDaily[Discharges],tblDaily[EntryDate],DATE(2026,11,13),tblDaily[WardCode],"MW")),"")</f>
        <v/>
      </c>
      <c r="D409" s="5" t="str">
        <f>IFERROR(IF(SUMIFS(tblDaily[Deaths],tblDaily[EntryDate],DATE(2026,11,13),tblDaily[WardCode],"MW")=0,"",SUMIFS(tblDaily[Deaths],tblDaily[EntryDate],DATE(2026,11,13),tblDaily[WardCode],"MW")),"")</f>
        <v/>
      </c>
      <c r="E409" s="5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5" t="str">
        <f>IFERROR(IF(SUMIFS(tblDaily[TransfersIn],tblDaily[EntryDate],DATE(2026,11,13),tblDaily[WardCode],"MW")=0,"",SUMIFS(tblDaily[TransfersIn],tblDaily[EntryDate],DATE(2026,11,13),tblDaily[WardCode],"MW")),"")</f>
        <v/>
      </c>
      <c r="G409" s="5" t="str">
        <f>IFERROR(IF(SUMIFS(tblDaily[TransfersOut],tblDaily[EntryDate],DATE(2026,11,13),tblDaily[WardCode],"MW")=0,"",SUMIFS(tblDaily[TransfersOut],tblDaily[EntryDate],DATE(2026,11,13),tblDaily[WardCode],"MW")),"")</f>
        <v/>
      </c>
      <c r="H409" s="5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IFERROR(IF(SUMIFS(tblDaily[Admissions],tblDaily[EntryDate],DATE(2026,11,14),tblDaily[WardCode],"MW")=0,"",SUMIFS(tblDaily[Admissions],tblDaily[EntryDate],DATE(2026,11,14),tblDaily[WardCode],"MW")),"")</f>
        <v/>
      </c>
      <c r="C410" s="5" t="str">
        <f>IFERROR(IF(SUMIFS(tblDaily[Discharges],tblDaily[EntryDate],DATE(2026,11,14),tblDaily[WardCode],"MW")=0,"",SUMIFS(tblDaily[Discharges],tblDaily[EntryDate],DATE(2026,11,14),tblDaily[WardCode],"MW")),"")</f>
        <v/>
      </c>
      <c r="D410" s="5" t="str">
        <f>IFERROR(IF(SUMIFS(tblDaily[Deaths],tblDaily[EntryDate],DATE(2026,11,14),tblDaily[WardCode],"MW")=0,"",SUMIFS(tblDaily[Deaths],tblDaily[EntryDate],DATE(2026,11,14),tblDaily[WardCode],"MW")),"")</f>
        <v/>
      </c>
      <c r="E410" s="5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5" t="str">
        <f>IFERROR(IF(SUMIFS(tblDaily[TransfersIn],tblDaily[EntryDate],DATE(2026,11,14),tblDaily[WardCode],"MW")=0,"",SUMIFS(tblDaily[TransfersIn],tblDaily[EntryDate],DATE(2026,11,14),tblDaily[WardCode],"MW")),"")</f>
        <v/>
      </c>
      <c r="G410" s="5" t="str">
        <f>IFERROR(IF(SUMIFS(tblDaily[TransfersOut],tblDaily[EntryDate],DATE(2026,11,14),tblDaily[WardCode],"MW")=0,"",SUMIFS(tblDaily[TransfersOut],tblDaily[EntryDate],DATE(2026,11,14),tblDaily[WardCode],"MW")),"")</f>
        <v/>
      </c>
      <c r="H410" s="5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IFERROR(IF(SUMIFS(tblDaily[Admissions],tblDaily[EntryDate],DATE(2026,11,15),tblDaily[WardCode],"MW")=0,"",SUMIFS(tblDaily[Admissions],tblDaily[EntryDate],DATE(2026,11,15),tblDaily[WardCode],"MW")),"")</f>
        <v/>
      </c>
      <c r="C411" s="5" t="str">
        <f>IFERROR(IF(SUMIFS(tblDaily[Discharges],tblDaily[EntryDate],DATE(2026,11,15),tblDaily[WardCode],"MW")=0,"",SUMIFS(tblDaily[Discharges],tblDaily[EntryDate],DATE(2026,11,15),tblDaily[WardCode],"MW")),"")</f>
        <v/>
      </c>
      <c r="D411" s="5" t="str">
        <f>IFERROR(IF(SUMIFS(tblDaily[Deaths],tblDaily[EntryDate],DATE(2026,11,15),tblDaily[WardCode],"MW")=0,"",SUMIFS(tblDaily[Deaths],tblDaily[EntryDate],DATE(2026,11,15),tblDaily[WardCode],"MW")),"")</f>
        <v/>
      </c>
      <c r="E411" s="5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5" t="str">
        <f>IFERROR(IF(SUMIFS(tblDaily[TransfersIn],tblDaily[EntryDate],DATE(2026,11,15),tblDaily[WardCode],"MW")=0,"",SUMIFS(tblDaily[TransfersIn],tblDaily[EntryDate],DATE(2026,11,15),tblDaily[WardCode],"MW")),"")</f>
        <v/>
      </c>
      <c r="G411" s="5" t="str">
        <f>IFERROR(IF(SUMIFS(tblDaily[TransfersOut],tblDaily[EntryDate],DATE(2026,11,15),tblDaily[WardCode],"MW")=0,"",SUMIFS(tblDaily[TransfersOut],tblDaily[EntryDate],DATE(2026,11,15),tblDaily[WardCode],"MW")),"")</f>
        <v/>
      </c>
      <c r="H411" s="5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IFERROR(IF(SUMIFS(tblDaily[Admissions],tblDaily[EntryDate],DATE(2026,11,16),tblDaily[WardCode],"MW")=0,"",SUMIFS(tblDaily[Admissions],tblDaily[EntryDate],DATE(2026,11,16),tblDaily[WardCode],"MW")),"")</f>
        <v/>
      </c>
      <c r="C412" s="5" t="str">
        <f>IFERROR(IF(SUMIFS(tblDaily[Discharges],tblDaily[EntryDate],DATE(2026,11,16),tblDaily[WardCode],"MW")=0,"",SUMIFS(tblDaily[Discharges],tblDaily[EntryDate],DATE(2026,11,16),tblDaily[WardCode],"MW")),"")</f>
        <v/>
      </c>
      <c r="D412" s="5" t="str">
        <f>IFERROR(IF(SUMIFS(tblDaily[Deaths],tblDaily[EntryDate],DATE(2026,11,16),tblDaily[WardCode],"MW")=0,"",SUMIFS(tblDaily[Deaths],tblDaily[EntryDate],DATE(2026,11,16),tblDaily[WardCode],"MW")),"")</f>
        <v/>
      </c>
      <c r="E412" s="5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5" t="str">
        <f>IFERROR(IF(SUMIFS(tblDaily[TransfersIn],tblDaily[EntryDate],DATE(2026,11,16),tblDaily[WardCode],"MW")=0,"",SUMIFS(tblDaily[TransfersIn],tblDaily[EntryDate],DATE(2026,11,16),tblDaily[WardCode],"MW")),"")</f>
        <v/>
      </c>
      <c r="G412" s="5" t="str">
        <f>IFERROR(IF(SUMIFS(tblDaily[TransfersOut],tblDaily[EntryDate],DATE(2026,11,16),tblDaily[WardCode],"MW")=0,"",SUMIFS(tblDaily[TransfersOut],tblDaily[EntryDate],DATE(2026,11,16),tblDaily[WardCode],"MW")),"")</f>
        <v/>
      </c>
      <c r="H412" s="5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IFERROR(IF(SUMIFS(tblDaily[Admissions],tblDaily[EntryDate],DATE(2026,11,17),tblDaily[WardCode],"MW")=0,"",SUMIFS(tblDaily[Admissions],tblDaily[EntryDate],DATE(2026,11,17),tblDaily[WardCode],"MW")),"")</f>
        <v/>
      </c>
      <c r="C413" s="5" t="str">
        <f>IFERROR(IF(SUMIFS(tblDaily[Discharges],tblDaily[EntryDate],DATE(2026,11,17),tblDaily[WardCode],"MW")=0,"",SUMIFS(tblDaily[Discharges],tblDaily[EntryDate],DATE(2026,11,17),tblDaily[WardCode],"MW")),"")</f>
        <v/>
      </c>
      <c r="D413" s="5" t="str">
        <f>IFERROR(IF(SUMIFS(tblDaily[Deaths],tblDaily[EntryDate],DATE(2026,11,17),tblDaily[WardCode],"MW")=0,"",SUMIFS(tblDaily[Deaths],tblDaily[EntryDate],DATE(2026,11,17),tblDaily[WardCode],"MW")),"")</f>
        <v/>
      </c>
      <c r="E413" s="5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5" t="str">
        <f>IFERROR(IF(SUMIFS(tblDaily[TransfersIn],tblDaily[EntryDate],DATE(2026,11,17),tblDaily[WardCode],"MW")=0,"",SUMIFS(tblDaily[TransfersIn],tblDaily[EntryDate],DATE(2026,11,17),tblDaily[WardCode],"MW")),"")</f>
        <v/>
      </c>
      <c r="G413" s="5" t="str">
        <f>IFERROR(IF(SUMIFS(tblDaily[TransfersOut],tblDaily[EntryDate],DATE(2026,11,17),tblDaily[WardCode],"MW")=0,"",SUMIFS(tblDaily[TransfersOut],tblDaily[EntryDate],DATE(2026,11,17),tblDaily[WardCode],"MW")),"")</f>
        <v/>
      </c>
      <c r="H413" s="5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IFERROR(IF(SUMIFS(tblDaily[Admissions],tblDaily[EntryDate],DATE(2026,11,18),tblDaily[WardCode],"MW")=0,"",SUMIFS(tblDaily[Admissions],tblDaily[EntryDate],DATE(2026,11,18),tblDaily[WardCode],"MW")),"")</f>
        <v/>
      </c>
      <c r="C414" s="5" t="str">
        <f>IFERROR(IF(SUMIFS(tblDaily[Discharges],tblDaily[EntryDate],DATE(2026,11,18),tblDaily[WardCode],"MW")=0,"",SUMIFS(tblDaily[Discharges],tblDaily[EntryDate],DATE(2026,11,18),tblDaily[WardCode],"MW")),"")</f>
        <v/>
      </c>
      <c r="D414" s="5" t="str">
        <f>IFERROR(IF(SUMIFS(tblDaily[Deaths],tblDaily[EntryDate],DATE(2026,11,18),tblDaily[WardCode],"MW")=0,"",SUMIFS(tblDaily[Deaths],tblDaily[EntryDate],DATE(2026,11,18),tblDaily[WardCode],"MW")),"")</f>
        <v/>
      </c>
      <c r="E414" s="5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5" t="str">
        <f>IFERROR(IF(SUMIFS(tblDaily[TransfersIn],tblDaily[EntryDate],DATE(2026,11,18),tblDaily[WardCode],"MW")=0,"",SUMIFS(tblDaily[TransfersIn],tblDaily[EntryDate],DATE(2026,11,18),tblDaily[WardCode],"MW")),"")</f>
        <v/>
      </c>
      <c r="G414" s="5" t="str">
        <f>IFERROR(IF(SUMIFS(tblDaily[TransfersOut],tblDaily[EntryDate],DATE(2026,11,18),tblDaily[WardCode],"MW")=0,"",SUMIFS(tblDaily[TransfersOut],tblDaily[EntryDate],DATE(2026,11,18),tblDaily[WardCode],"MW")),"")</f>
        <v/>
      </c>
      <c r="H414" s="5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IFERROR(IF(SUMIFS(tblDaily[Admissions],tblDaily[EntryDate],DATE(2026,11,19),tblDaily[WardCode],"MW")=0,"",SUMIFS(tblDaily[Admissions],tblDaily[EntryDate],DATE(2026,11,19),tblDaily[WardCode],"MW")),"")</f>
        <v/>
      </c>
      <c r="C415" s="5" t="str">
        <f>IFERROR(IF(SUMIFS(tblDaily[Discharges],tblDaily[EntryDate],DATE(2026,11,19),tblDaily[WardCode],"MW")=0,"",SUMIFS(tblDaily[Discharges],tblDaily[EntryDate],DATE(2026,11,19),tblDaily[WardCode],"MW")),"")</f>
        <v/>
      </c>
      <c r="D415" s="5" t="str">
        <f>IFERROR(IF(SUMIFS(tblDaily[Deaths],tblDaily[EntryDate],DATE(2026,11,19),tblDaily[WardCode],"MW")=0,"",SUMIFS(tblDaily[Deaths],tblDaily[EntryDate],DATE(2026,11,19),tblDaily[WardCode],"MW")),"")</f>
        <v/>
      </c>
      <c r="E415" s="5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5" t="str">
        <f>IFERROR(IF(SUMIFS(tblDaily[TransfersIn],tblDaily[EntryDate],DATE(2026,11,19),tblDaily[WardCode],"MW")=0,"",SUMIFS(tblDaily[TransfersIn],tblDaily[EntryDate],DATE(2026,11,19),tblDaily[WardCode],"MW")),"")</f>
        <v/>
      </c>
      <c r="G415" s="5" t="str">
        <f>IFERROR(IF(SUMIFS(tblDaily[TransfersOut],tblDaily[EntryDate],DATE(2026,11,19),tblDaily[WardCode],"MW")=0,"",SUMIFS(tblDaily[TransfersOut],tblDaily[EntryDate],DATE(2026,11,19),tblDaily[WardCode],"MW")),"")</f>
        <v/>
      </c>
      <c r="H415" s="5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IFERROR(IF(SUMIFS(tblDaily[Admissions],tblDaily[EntryDate],DATE(2026,11,20),tblDaily[WardCode],"MW")=0,"",SUMIFS(tblDaily[Admissions],tblDaily[EntryDate],DATE(2026,11,20),tblDaily[WardCode],"MW")),"")</f>
        <v/>
      </c>
      <c r="C416" s="5" t="str">
        <f>IFERROR(IF(SUMIFS(tblDaily[Discharges],tblDaily[EntryDate],DATE(2026,11,20),tblDaily[WardCode],"MW")=0,"",SUMIFS(tblDaily[Discharges],tblDaily[EntryDate],DATE(2026,11,20),tblDaily[WardCode],"MW")),"")</f>
        <v/>
      </c>
      <c r="D416" s="5" t="str">
        <f>IFERROR(IF(SUMIFS(tblDaily[Deaths],tblDaily[EntryDate],DATE(2026,11,20),tblDaily[WardCode],"MW")=0,"",SUMIFS(tblDaily[Deaths],tblDaily[EntryDate],DATE(2026,11,20),tblDaily[WardCode],"MW")),"")</f>
        <v/>
      </c>
      <c r="E416" s="5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5" t="str">
        <f>IFERROR(IF(SUMIFS(tblDaily[TransfersIn],tblDaily[EntryDate],DATE(2026,11,20),tblDaily[WardCode],"MW")=0,"",SUMIFS(tblDaily[TransfersIn],tblDaily[EntryDate],DATE(2026,11,20),tblDaily[WardCode],"MW")),"")</f>
        <v/>
      </c>
      <c r="G416" s="5" t="str">
        <f>IFERROR(IF(SUMIFS(tblDaily[TransfersOut],tblDaily[EntryDate],DATE(2026,11,20),tblDaily[WardCode],"MW")=0,"",SUMIFS(tblDaily[TransfersOut],tblDaily[EntryDate],DATE(2026,11,20),tblDaily[WardCode],"MW")),"")</f>
        <v/>
      </c>
      <c r="H416" s="5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IFERROR(IF(SUMIFS(tblDaily[Admissions],tblDaily[EntryDate],DATE(2026,11,21),tblDaily[WardCode],"MW")=0,"",SUMIFS(tblDaily[Admissions],tblDaily[EntryDate],DATE(2026,11,21),tblDaily[WardCode],"MW")),"")</f>
        <v/>
      </c>
      <c r="C417" s="5" t="str">
        <f>IFERROR(IF(SUMIFS(tblDaily[Discharges],tblDaily[EntryDate],DATE(2026,11,21),tblDaily[WardCode],"MW")=0,"",SUMIFS(tblDaily[Discharges],tblDaily[EntryDate],DATE(2026,11,21),tblDaily[WardCode],"MW")),"")</f>
        <v/>
      </c>
      <c r="D417" s="5" t="str">
        <f>IFERROR(IF(SUMIFS(tblDaily[Deaths],tblDaily[EntryDate],DATE(2026,11,21),tblDaily[WardCode],"MW")=0,"",SUMIFS(tblDaily[Deaths],tblDaily[EntryDate],DATE(2026,11,21),tblDaily[WardCode],"MW")),"")</f>
        <v/>
      </c>
      <c r="E417" s="5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5" t="str">
        <f>IFERROR(IF(SUMIFS(tblDaily[TransfersIn],tblDaily[EntryDate],DATE(2026,11,21),tblDaily[WardCode],"MW")=0,"",SUMIFS(tblDaily[TransfersIn],tblDaily[EntryDate],DATE(2026,11,21),tblDaily[WardCode],"MW")),"")</f>
        <v/>
      </c>
      <c r="G417" s="5" t="str">
        <f>IFERROR(IF(SUMIFS(tblDaily[TransfersOut],tblDaily[EntryDate],DATE(2026,11,21),tblDaily[WardCode],"MW")=0,"",SUMIFS(tblDaily[TransfersOut],tblDaily[EntryDate],DATE(2026,11,21),tblDaily[WardCode],"MW")),"")</f>
        <v/>
      </c>
      <c r="H417" s="5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IFERROR(IF(SUMIFS(tblDaily[Admissions],tblDaily[EntryDate],DATE(2026,11,22),tblDaily[WardCode],"MW")=0,"",SUMIFS(tblDaily[Admissions],tblDaily[EntryDate],DATE(2026,11,22),tblDaily[WardCode],"MW")),"")</f>
        <v/>
      </c>
      <c r="C418" s="5" t="str">
        <f>IFERROR(IF(SUMIFS(tblDaily[Discharges],tblDaily[EntryDate],DATE(2026,11,22),tblDaily[WardCode],"MW")=0,"",SUMIFS(tblDaily[Discharges],tblDaily[EntryDate],DATE(2026,11,22),tblDaily[WardCode],"MW")),"")</f>
        <v/>
      </c>
      <c r="D418" s="5" t="str">
        <f>IFERROR(IF(SUMIFS(tblDaily[Deaths],tblDaily[EntryDate],DATE(2026,11,22),tblDaily[WardCode],"MW")=0,"",SUMIFS(tblDaily[Deaths],tblDaily[EntryDate],DATE(2026,11,22),tblDaily[WardCode],"MW")),"")</f>
        <v/>
      </c>
      <c r="E418" s="5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5" t="str">
        <f>IFERROR(IF(SUMIFS(tblDaily[TransfersIn],tblDaily[EntryDate],DATE(2026,11,22),tblDaily[WardCode],"MW")=0,"",SUMIFS(tblDaily[TransfersIn],tblDaily[EntryDate],DATE(2026,11,22),tblDaily[WardCode],"MW")),"")</f>
        <v/>
      </c>
      <c r="G418" s="5" t="str">
        <f>IFERROR(IF(SUMIFS(tblDaily[TransfersOut],tblDaily[EntryDate],DATE(2026,11,22),tblDaily[WardCode],"MW")=0,"",SUMIFS(tblDaily[TransfersOut],tblDaily[EntryDate],DATE(2026,11,22),tblDaily[WardCode],"MW")),"")</f>
        <v/>
      </c>
      <c r="H418" s="5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IFERROR(IF(SUMIFS(tblDaily[Admissions],tblDaily[EntryDate],DATE(2026,11,23),tblDaily[WardCode],"MW")=0,"",SUMIFS(tblDaily[Admissions],tblDaily[EntryDate],DATE(2026,11,23),tblDaily[WardCode],"MW")),"")</f>
        <v/>
      </c>
      <c r="C419" s="5" t="str">
        <f>IFERROR(IF(SUMIFS(tblDaily[Discharges],tblDaily[EntryDate],DATE(2026,11,23),tblDaily[WardCode],"MW")=0,"",SUMIFS(tblDaily[Discharges],tblDaily[EntryDate],DATE(2026,11,23),tblDaily[WardCode],"MW")),"")</f>
        <v/>
      </c>
      <c r="D419" s="5" t="str">
        <f>IFERROR(IF(SUMIFS(tblDaily[Deaths],tblDaily[EntryDate],DATE(2026,11,23),tblDaily[WardCode],"MW")=0,"",SUMIFS(tblDaily[Deaths],tblDaily[EntryDate],DATE(2026,11,23),tblDaily[WardCode],"MW")),"")</f>
        <v/>
      </c>
      <c r="E419" s="5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5" t="str">
        <f>IFERROR(IF(SUMIFS(tblDaily[TransfersIn],tblDaily[EntryDate],DATE(2026,11,23),tblDaily[WardCode],"MW")=0,"",SUMIFS(tblDaily[TransfersIn],tblDaily[EntryDate],DATE(2026,11,23),tblDaily[WardCode],"MW")),"")</f>
        <v/>
      </c>
      <c r="G419" s="5" t="str">
        <f>IFERROR(IF(SUMIFS(tblDaily[TransfersOut],tblDaily[EntryDate],DATE(2026,11,23),tblDaily[WardCode],"MW")=0,"",SUMIFS(tblDaily[TransfersOut],tblDaily[EntryDate],DATE(2026,11,23),tblDaily[WardCode],"MW")),"")</f>
        <v/>
      </c>
      <c r="H419" s="5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IFERROR(IF(SUMIFS(tblDaily[Admissions],tblDaily[EntryDate],DATE(2026,11,24),tblDaily[WardCode],"MW")=0,"",SUMIFS(tblDaily[Admissions],tblDaily[EntryDate],DATE(2026,11,24),tblDaily[WardCode],"MW")),"")</f>
        <v/>
      </c>
      <c r="C420" s="5" t="str">
        <f>IFERROR(IF(SUMIFS(tblDaily[Discharges],tblDaily[EntryDate],DATE(2026,11,24),tblDaily[WardCode],"MW")=0,"",SUMIFS(tblDaily[Discharges],tblDaily[EntryDate],DATE(2026,11,24),tblDaily[WardCode],"MW")),"")</f>
        <v/>
      </c>
      <c r="D420" s="5" t="str">
        <f>IFERROR(IF(SUMIFS(tblDaily[Deaths],tblDaily[EntryDate],DATE(2026,11,24),tblDaily[WardCode],"MW")=0,"",SUMIFS(tblDaily[Deaths],tblDaily[EntryDate],DATE(2026,11,24),tblDaily[WardCode],"MW")),"")</f>
        <v/>
      </c>
      <c r="E420" s="5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5" t="str">
        <f>IFERROR(IF(SUMIFS(tblDaily[TransfersIn],tblDaily[EntryDate],DATE(2026,11,24),tblDaily[WardCode],"MW")=0,"",SUMIFS(tblDaily[TransfersIn],tblDaily[EntryDate],DATE(2026,11,24),tblDaily[WardCode],"MW")),"")</f>
        <v/>
      </c>
      <c r="G420" s="5" t="str">
        <f>IFERROR(IF(SUMIFS(tblDaily[TransfersOut],tblDaily[EntryDate],DATE(2026,11,24),tblDaily[WardCode],"MW")=0,"",SUMIFS(tblDaily[TransfersOut],tblDaily[EntryDate],DATE(2026,11,24),tblDaily[WardCode],"MW")),"")</f>
        <v/>
      </c>
      <c r="H420" s="5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IFERROR(IF(SUMIFS(tblDaily[Admissions],tblDaily[EntryDate],DATE(2026,11,25),tblDaily[WardCode],"MW")=0,"",SUMIFS(tblDaily[Admissions],tblDaily[EntryDate],DATE(2026,11,25),tblDaily[WardCode],"MW")),"")</f>
        <v/>
      </c>
      <c r="C421" s="5" t="str">
        <f>IFERROR(IF(SUMIFS(tblDaily[Discharges],tblDaily[EntryDate],DATE(2026,11,25),tblDaily[WardCode],"MW")=0,"",SUMIFS(tblDaily[Discharges],tblDaily[EntryDate],DATE(2026,11,25),tblDaily[WardCode],"MW")),"")</f>
        <v/>
      </c>
      <c r="D421" s="5" t="str">
        <f>IFERROR(IF(SUMIFS(tblDaily[Deaths],tblDaily[EntryDate],DATE(2026,11,25),tblDaily[WardCode],"MW")=0,"",SUMIFS(tblDaily[Deaths],tblDaily[EntryDate],DATE(2026,11,25),tblDaily[WardCode],"MW")),"")</f>
        <v/>
      </c>
      <c r="E421" s="5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5" t="str">
        <f>IFERROR(IF(SUMIFS(tblDaily[TransfersIn],tblDaily[EntryDate],DATE(2026,11,25),tblDaily[WardCode],"MW")=0,"",SUMIFS(tblDaily[TransfersIn],tblDaily[EntryDate],DATE(2026,11,25),tblDaily[WardCode],"MW")),"")</f>
        <v/>
      </c>
      <c r="G421" s="5" t="str">
        <f>IFERROR(IF(SUMIFS(tblDaily[TransfersOut],tblDaily[EntryDate],DATE(2026,11,25),tblDaily[WardCode],"MW")=0,"",SUMIFS(tblDaily[TransfersOut],tblDaily[EntryDate],DATE(2026,11,25),tblDaily[WardCode],"MW")),"")</f>
        <v/>
      </c>
      <c r="H421" s="5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IFERROR(IF(SUMIFS(tblDaily[Admissions],tblDaily[EntryDate],DATE(2026,11,26),tblDaily[WardCode],"MW")=0,"",SUMIFS(tblDaily[Admissions],tblDaily[EntryDate],DATE(2026,11,26),tblDaily[WardCode],"MW")),"")</f>
        <v/>
      </c>
      <c r="C422" s="5" t="str">
        <f>IFERROR(IF(SUMIFS(tblDaily[Discharges],tblDaily[EntryDate],DATE(2026,11,26),tblDaily[WardCode],"MW")=0,"",SUMIFS(tblDaily[Discharges],tblDaily[EntryDate],DATE(2026,11,26),tblDaily[WardCode],"MW")),"")</f>
        <v/>
      </c>
      <c r="D422" s="5" t="str">
        <f>IFERROR(IF(SUMIFS(tblDaily[Deaths],tblDaily[EntryDate],DATE(2026,11,26),tblDaily[WardCode],"MW")=0,"",SUMIFS(tblDaily[Deaths],tblDaily[EntryDate],DATE(2026,11,26),tblDaily[WardCode],"MW")),"")</f>
        <v/>
      </c>
      <c r="E422" s="5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5" t="str">
        <f>IFERROR(IF(SUMIFS(tblDaily[TransfersIn],tblDaily[EntryDate],DATE(2026,11,26),tblDaily[WardCode],"MW")=0,"",SUMIFS(tblDaily[TransfersIn],tblDaily[EntryDate],DATE(2026,11,26),tblDaily[WardCode],"MW")),"")</f>
        <v/>
      </c>
      <c r="G422" s="5" t="str">
        <f>IFERROR(IF(SUMIFS(tblDaily[TransfersOut],tblDaily[EntryDate],DATE(2026,11,26),tblDaily[WardCode],"MW")=0,"",SUMIFS(tblDaily[TransfersOut],tblDaily[EntryDate],DATE(2026,11,26),tblDaily[WardCode],"MW")),"")</f>
        <v/>
      </c>
      <c r="H422" s="5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IFERROR(IF(SUMIFS(tblDaily[Admissions],tblDaily[EntryDate],DATE(2026,11,27),tblDaily[WardCode],"MW")=0,"",SUMIFS(tblDaily[Admissions],tblDaily[EntryDate],DATE(2026,11,27),tblDaily[WardCode],"MW")),"")</f>
        <v/>
      </c>
      <c r="C423" s="5" t="str">
        <f>IFERROR(IF(SUMIFS(tblDaily[Discharges],tblDaily[EntryDate],DATE(2026,11,27),tblDaily[WardCode],"MW")=0,"",SUMIFS(tblDaily[Discharges],tblDaily[EntryDate],DATE(2026,11,27),tblDaily[WardCode],"MW")),"")</f>
        <v/>
      </c>
      <c r="D423" s="5" t="str">
        <f>IFERROR(IF(SUMIFS(tblDaily[Deaths],tblDaily[EntryDate],DATE(2026,11,27),tblDaily[WardCode],"MW")=0,"",SUMIFS(tblDaily[Deaths],tblDaily[EntryDate],DATE(2026,11,27),tblDaily[WardCode],"MW")),"")</f>
        <v/>
      </c>
      <c r="E423" s="5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5" t="str">
        <f>IFERROR(IF(SUMIFS(tblDaily[TransfersIn],tblDaily[EntryDate],DATE(2026,11,27),tblDaily[WardCode],"MW")=0,"",SUMIFS(tblDaily[TransfersIn],tblDaily[EntryDate],DATE(2026,11,27),tblDaily[WardCode],"MW")),"")</f>
        <v/>
      </c>
      <c r="G423" s="5" t="str">
        <f>IFERROR(IF(SUMIFS(tblDaily[TransfersOut],tblDaily[EntryDate],DATE(2026,11,27),tblDaily[WardCode],"MW")=0,"",SUMIFS(tblDaily[TransfersOut],tblDaily[EntryDate],DATE(2026,11,27),tblDaily[WardCode],"MW")),"")</f>
        <v/>
      </c>
      <c r="H423" s="5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IFERROR(IF(SUMIFS(tblDaily[Admissions],tblDaily[EntryDate],DATE(2026,11,28),tblDaily[WardCode],"MW")=0,"",SUMIFS(tblDaily[Admissions],tblDaily[EntryDate],DATE(2026,11,28),tblDaily[WardCode],"MW")),"")</f>
        <v/>
      </c>
      <c r="C424" s="5" t="str">
        <f>IFERROR(IF(SUMIFS(tblDaily[Discharges],tblDaily[EntryDate],DATE(2026,11,28),tblDaily[WardCode],"MW")=0,"",SUMIFS(tblDaily[Discharges],tblDaily[EntryDate],DATE(2026,11,28),tblDaily[WardCode],"MW")),"")</f>
        <v/>
      </c>
      <c r="D424" s="5" t="str">
        <f>IFERROR(IF(SUMIFS(tblDaily[Deaths],tblDaily[EntryDate],DATE(2026,11,28),tblDaily[WardCode],"MW")=0,"",SUMIFS(tblDaily[Deaths],tblDaily[EntryDate],DATE(2026,11,28),tblDaily[WardCode],"MW")),"")</f>
        <v/>
      </c>
      <c r="E424" s="5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5" t="str">
        <f>IFERROR(IF(SUMIFS(tblDaily[TransfersIn],tblDaily[EntryDate],DATE(2026,11,28),tblDaily[WardCode],"MW")=0,"",SUMIFS(tblDaily[TransfersIn],tblDaily[EntryDate],DATE(2026,11,28),tblDaily[WardCode],"MW")),"")</f>
        <v/>
      </c>
      <c r="G424" s="5" t="str">
        <f>IFERROR(IF(SUMIFS(tblDaily[TransfersOut],tblDaily[EntryDate],DATE(2026,11,28),tblDaily[WardCode],"MW")=0,"",SUMIFS(tblDaily[TransfersOut],tblDaily[EntryDate],DATE(2026,11,28),tblDaily[WardCode],"MW")),"")</f>
        <v/>
      </c>
      <c r="H424" s="5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IFERROR(IF(SUMIFS(tblDaily[Admissions],tblDaily[EntryDate],DATE(2026,11,29),tblDaily[WardCode],"MW")=0,"",SUMIFS(tblDaily[Admissions],tblDaily[EntryDate],DATE(2026,11,29),tblDaily[WardCode],"MW")),"")</f>
        <v/>
      </c>
      <c r="C425" s="5" t="str">
        <f>IFERROR(IF(SUMIFS(tblDaily[Discharges],tblDaily[EntryDate],DATE(2026,11,29),tblDaily[WardCode],"MW")=0,"",SUMIFS(tblDaily[Discharges],tblDaily[EntryDate],DATE(2026,11,29),tblDaily[WardCode],"MW")),"")</f>
        <v/>
      </c>
      <c r="D425" s="5" t="str">
        <f>IFERROR(IF(SUMIFS(tblDaily[Deaths],tblDaily[EntryDate],DATE(2026,11,29),tblDaily[WardCode],"MW")=0,"",SUMIFS(tblDaily[Deaths],tblDaily[EntryDate],DATE(2026,11,29),tblDaily[WardCode],"MW")),"")</f>
        <v/>
      </c>
      <c r="E425" s="5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5" t="str">
        <f>IFERROR(IF(SUMIFS(tblDaily[TransfersIn],tblDaily[EntryDate],DATE(2026,11,29),tblDaily[WardCode],"MW")=0,"",SUMIFS(tblDaily[TransfersIn],tblDaily[EntryDate],DATE(2026,11,29),tblDaily[WardCode],"MW")),"")</f>
        <v/>
      </c>
      <c r="G425" s="5" t="str">
        <f>IFERROR(IF(SUMIFS(tblDaily[TransfersOut],tblDaily[EntryDate],DATE(2026,11,29),tblDaily[WardCode],"MW")=0,"",SUMIFS(tblDaily[TransfersOut],tblDaily[EntryDate],DATE(2026,11,29),tblDaily[WardCode],"MW")),"")</f>
        <v/>
      </c>
      <c r="H425" s="5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IFERROR(IF(SUMIFS(tblDaily[Admissions],tblDaily[EntryDate],DATE(2026,11,30),tblDaily[WardCode],"MW")=0,"",SUMIFS(tblDaily[Admissions],tblDaily[EntryDate],DATE(2026,11,30),tblDaily[WardCode],"MW")),"")</f>
        <v/>
      </c>
      <c r="C426" s="5" t="str">
        <f>IFERROR(IF(SUMIFS(tblDaily[Discharges],tblDaily[EntryDate],DATE(2026,11,30),tblDaily[WardCode],"MW")=0,"",SUMIFS(tblDaily[Discharges],tblDaily[EntryDate],DATE(2026,11,30),tblDaily[WardCode],"MW")),"")</f>
        <v/>
      </c>
      <c r="D426" s="5" t="str">
        <f>IFERROR(IF(SUMIFS(tblDaily[Deaths],tblDaily[EntryDate],DATE(2026,11,30),tblDaily[WardCode],"MW")=0,"",SUMIFS(tblDaily[Deaths],tblDaily[EntryDate],DATE(2026,11,30),tblDaily[WardCode],"MW")),"")</f>
        <v/>
      </c>
      <c r="E426" s="5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5" t="str">
        <f>IFERROR(IF(SUMIFS(tblDaily[TransfersIn],tblDaily[EntryDate],DATE(2026,11,30),tblDaily[WardCode],"MW")=0,"",SUMIFS(tblDaily[TransfersIn],tblDaily[EntryDate],DATE(2026,11,30),tblDaily[WardCode],"MW")),"")</f>
        <v/>
      </c>
      <c r="G426" s="5" t="str">
        <f>IFERROR(IF(SUMIFS(tblDaily[TransfersOut],tblDaily[EntryDate],DATE(2026,11,30),tblDaily[WardCode],"MW")=0,"",SUMIFS(tblDaily[TransfersOut],tblDaily[EntryDate],DATE(2026,11,30),tblDaily[WardCode],"MW")),"")</f>
        <v/>
      </c>
      <c r="H426" s="5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86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89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IFERROR(IF(SUMIFS(tblDaily[Admissions],tblDaily[EntryDate],DATE(2026,12,1),tblDaily[WardCode],"MW")=0,"",SUMIFS(tblDaily[Admissions],tblDaily[EntryDate],DATE(2026,12,1),tblDaily[WardCode],"MW")),"")</f>
        <v/>
      </c>
      <c r="C436" s="5" t="str">
        <f>IFERROR(IF(SUMIFS(tblDaily[Discharges],tblDaily[EntryDate],DATE(2026,12,1),tblDaily[WardCode],"MW")=0,"",SUMIFS(tblDaily[Discharges],tblDaily[EntryDate],DATE(2026,12,1),tblDaily[WardCode],"MW")),"")</f>
        <v/>
      </c>
      <c r="D436" s="5" t="str">
        <f>IFERROR(IF(SUMIFS(tblDaily[Deaths],tblDaily[EntryDate],DATE(2026,12,1),tblDaily[WardCode],"MW")=0,"",SUMIFS(tblDaily[Deaths],tblDaily[EntryDate],DATE(2026,12,1),tblDaily[WardCode],"MW")),"")</f>
        <v/>
      </c>
      <c r="E436" s="5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5" t="str">
        <f>IFERROR(IF(SUMIFS(tblDaily[TransfersIn],tblDaily[EntryDate],DATE(2026,12,1),tblDaily[WardCode],"MW")=0,"",SUMIFS(tblDaily[TransfersIn],tblDaily[EntryDate],DATE(2026,12,1),tblDaily[WardCode],"MW")),"")</f>
        <v/>
      </c>
      <c r="G436" s="5" t="str">
        <f>IFERROR(IF(SUMIFS(tblDaily[TransfersOut],tblDaily[EntryDate],DATE(2026,12,1),tblDaily[WardCode],"MW")=0,"",SUMIFS(tblDaily[TransfersOut],tblDaily[EntryDate],DATE(2026,12,1),tblDaily[WardCode],"MW")),"")</f>
        <v/>
      </c>
      <c r="H436" s="5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IFERROR(IF(SUMIFS(tblDaily[Admissions],tblDaily[EntryDate],DATE(2026,12,2),tblDaily[WardCode],"MW")=0,"",SUMIFS(tblDaily[Admissions],tblDaily[EntryDate],DATE(2026,12,2),tblDaily[WardCode],"MW")),"")</f>
        <v/>
      </c>
      <c r="C437" s="5" t="str">
        <f>IFERROR(IF(SUMIFS(tblDaily[Discharges],tblDaily[EntryDate],DATE(2026,12,2),tblDaily[WardCode],"MW")=0,"",SUMIFS(tblDaily[Discharges],tblDaily[EntryDate],DATE(2026,12,2),tblDaily[WardCode],"MW")),"")</f>
        <v/>
      </c>
      <c r="D437" s="5" t="str">
        <f>IFERROR(IF(SUMIFS(tblDaily[Deaths],tblDaily[EntryDate],DATE(2026,12,2),tblDaily[WardCode],"MW")=0,"",SUMIFS(tblDaily[Deaths],tblDaily[EntryDate],DATE(2026,12,2),tblDaily[WardCode],"MW")),"")</f>
        <v/>
      </c>
      <c r="E437" s="5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5" t="str">
        <f>IFERROR(IF(SUMIFS(tblDaily[TransfersIn],tblDaily[EntryDate],DATE(2026,12,2),tblDaily[WardCode],"MW")=0,"",SUMIFS(tblDaily[TransfersIn],tblDaily[EntryDate],DATE(2026,12,2),tblDaily[WardCode],"MW")),"")</f>
        <v/>
      </c>
      <c r="G437" s="5" t="str">
        <f>IFERROR(IF(SUMIFS(tblDaily[TransfersOut],tblDaily[EntryDate],DATE(2026,12,2),tblDaily[WardCode],"MW")=0,"",SUMIFS(tblDaily[TransfersOut],tblDaily[EntryDate],DATE(2026,12,2),tblDaily[WardCode],"MW")),"")</f>
        <v/>
      </c>
      <c r="H437" s="5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IFERROR(IF(SUMIFS(tblDaily[Admissions],tblDaily[EntryDate],DATE(2026,12,3),tblDaily[WardCode],"MW")=0,"",SUMIFS(tblDaily[Admissions],tblDaily[EntryDate],DATE(2026,12,3),tblDaily[WardCode],"MW")),"")</f>
        <v/>
      </c>
      <c r="C438" s="5" t="str">
        <f>IFERROR(IF(SUMIFS(tblDaily[Discharges],tblDaily[EntryDate],DATE(2026,12,3),tblDaily[WardCode],"MW")=0,"",SUMIFS(tblDaily[Discharges],tblDaily[EntryDate],DATE(2026,12,3),tblDaily[WardCode],"MW")),"")</f>
        <v/>
      </c>
      <c r="D438" s="5" t="str">
        <f>IFERROR(IF(SUMIFS(tblDaily[Deaths],tblDaily[EntryDate],DATE(2026,12,3),tblDaily[WardCode],"MW")=0,"",SUMIFS(tblDaily[Deaths],tblDaily[EntryDate],DATE(2026,12,3),tblDaily[WardCode],"MW")),"")</f>
        <v/>
      </c>
      <c r="E438" s="5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5" t="str">
        <f>IFERROR(IF(SUMIFS(tblDaily[TransfersIn],tblDaily[EntryDate],DATE(2026,12,3),tblDaily[WardCode],"MW")=0,"",SUMIFS(tblDaily[TransfersIn],tblDaily[EntryDate],DATE(2026,12,3),tblDaily[WardCode],"MW")),"")</f>
        <v/>
      </c>
      <c r="G438" s="5" t="str">
        <f>IFERROR(IF(SUMIFS(tblDaily[TransfersOut],tblDaily[EntryDate],DATE(2026,12,3),tblDaily[WardCode],"MW")=0,"",SUMIFS(tblDaily[TransfersOut],tblDaily[EntryDate],DATE(2026,12,3),tblDaily[WardCode],"MW")),"")</f>
        <v/>
      </c>
      <c r="H438" s="5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IFERROR(IF(SUMIFS(tblDaily[Admissions],tblDaily[EntryDate],DATE(2026,12,4),tblDaily[WardCode],"MW")=0,"",SUMIFS(tblDaily[Admissions],tblDaily[EntryDate],DATE(2026,12,4),tblDaily[WardCode],"MW")),"")</f>
        <v/>
      </c>
      <c r="C439" s="5" t="str">
        <f>IFERROR(IF(SUMIFS(tblDaily[Discharges],tblDaily[EntryDate],DATE(2026,12,4),tblDaily[WardCode],"MW")=0,"",SUMIFS(tblDaily[Discharges],tblDaily[EntryDate],DATE(2026,12,4),tblDaily[WardCode],"MW")),"")</f>
        <v/>
      </c>
      <c r="D439" s="5" t="str">
        <f>IFERROR(IF(SUMIFS(tblDaily[Deaths],tblDaily[EntryDate],DATE(2026,12,4),tblDaily[WardCode],"MW")=0,"",SUMIFS(tblDaily[Deaths],tblDaily[EntryDate],DATE(2026,12,4),tblDaily[WardCode],"MW")),"")</f>
        <v/>
      </c>
      <c r="E439" s="5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5" t="str">
        <f>IFERROR(IF(SUMIFS(tblDaily[TransfersIn],tblDaily[EntryDate],DATE(2026,12,4),tblDaily[WardCode],"MW")=0,"",SUMIFS(tblDaily[TransfersIn],tblDaily[EntryDate],DATE(2026,12,4),tblDaily[WardCode],"MW")),"")</f>
        <v/>
      </c>
      <c r="G439" s="5" t="str">
        <f>IFERROR(IF(SUMIFS(tblDaily[TransfersOut],tblDaily[EntryDate],DATE(2026,12,4),tblDaily[WardCode],"MW")=0,"",SUMIFS(tblDaily[TransfersOut],tblDaily[EntryDate],DATE(2026,12,4),tblDaily[WardCode],"MW")),"")</f>
        <v/>
      </c>
      <c r="H439" s="5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IFERROR(IF(SUMIFS(tblDaily[Admissions],tblDaily[EntryDate],DATE(2026,12,5),tblDaily[WardCode],"MW")=0,"",SUMIFS(tblDaily[Admissions],tblDaily[EntryDate],DATE(2026,12,5),tblDaily[WardCode],"MW")),"")</f>
        <v/>
      </c>
      <c r="C440" s="5" t="str">
        <f>IFERROR(IF(SUMIFS(tblDaily[Discharges],tblDaily[EntryDate],DATE(2026,12,5),tblDaily[WardCode],"MW")=0,"",SUMIFS(tblDaily[Discharges],tblDaily[EntryDate],DATE(2026,12,5),tblDaily[WardCode],"MW")),"")</f>
        <v/>
      </c>
      <c r="D440" s="5" t="str">
        <f>IFERROR(IF(SUMIFS(tblDaily[Deaths],tblDaily[EntryDate],DATE(2026,12,5),tblDaily[WardCode],"MW")=0,"",SUMIFS(tblDaily[Deaths],tblDaily[EntryDate],DATE(2026,12,5),tblDaily[WardCode],"MW")),"")</f>
        <v/>
      </c>
      <c r="E440" s="5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5" t="str">
        <f>IFERROR(IF(SUMIFS(tblDaily[TransfersIn],tblDaily[EntryDate],DATE(2026,12,5),tblDaily[WardCode],"MW")=0,"",SUMIFS(tblDaily[TransfersIn],tblDaily[EntryDate],DATE(2026,12,5),tblDaily[WardCode],"MW")),"")</f>
        <v/>
      </c>
      <c r="G440" s="5" t="str">
        <f>IFERROR(IF(SUMIFS(tblDaily[TransfersOut],tblDaily[EntryDate],DATE(2026,12,5),tblDaily[WardCode],"MW")=0,"",SUMIFS(tblDaily[TransfersOut],tblDaily[EntryDate],DATE(2026,12,5),tblDaily[WardCode],"MW")),"")</f>
        <v/>
      </c>
      <c r="H440" s="5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IFERROR(IF(SUMIFS(tblDaily[Admissions],tblDaily[EntryDate],DATE(2026,12,6),tblDaily[WardCode],"MW")=0,"",SUMIFS(tblDaily[Admissions],tblDaily[EntryDate],DATE(2026,12,6),tblDaily[WardCode],"MW")),"")</f>
        <v/>
      </c>
      <c r="C441" s="5" t="str">
        <f>IFERROR(IF(SUMIFS(tblDaily[Discharges],tblDaily[EntryDate],DATE(2026,12,6),tblDaily[WardCode],"MW")=0,"",SUMIFS(tblDaily[Discharges],tblDaily[EntryDate],DATE(2026,12,6),tblDaily[WardCode],"MW")),"")</f>
        <v/>
      </c>
      <c r="D441" s="5" t="str">
        <f>IFERROR(IF(SUMIFS(tblDaily[Deaths],tblDaily[EntryDate],DATE(2026,12,6),tblDaily[WardCode],"MW")=0,"",SUMIFS(tblDaily[Deaths],tblDaily[EntryDate],DATE(2026,12,6),tblDaily[WardCode],"MW")),"")</f>
        <v/>
      </c>
      <c r="E441" s="5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5" t="str">
        <f>IFERROR(IF(SUMIFS(tblDaily[TransfersIn],tblDaily[EntryDate],DATE(2026,12,6),tblDaily[WardCode],"MW")=0,"",SUMIFS(tblDaily[TransfersIn],tblDaily[EntryDate],DATE(2026,12,6),tblDaily[WardCode],"MW")),"")</f>
        <v/>
      </c>
      <c r="G441" s="5" t="str">
        <f>IFERROR(IF(SUMIFS(tblDaily[TransfersOut],tblDaily[EntryDate],DATE(2026,12,6),tblDaily[WardCode],"MW")=0,"",SUMIFS(tblDaily[TransfersOut],tblDaily[EntryDate],DATE(2026,12,6),tblDaily[WardCode],"MW")),"")</f>
        <v/>
      </c>
      <c r="H441" s="5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IFERROR(IF(SUMIFS(tblDaily[Admissions],tblDaily[EntryDate],DATE(2026,12,7),tblDaily[WardCode],"MW")=0,"",SUMIFS(tblDaily[Admissions],tblDaily[EntryDate],DATE(2026,12,7),tblDaily[WardCode],"MW")),"")</f>
        <v/>
      </c>
      <c r="C442" s="5" t="str">
        <f>IFERROR(IF(SUMIFS(tblDaily[Discharges],tblDaily[EntryDate],DATE(2026,12,7),tblDaily[WardCode],"MW")=0,"",SUMIFS(tblDaily[Discharges],tblDaily[EntryDate],DATE(2026,12,7),tblDaily[WardCode],"MW")),"")</f>
        <v/>
      </c>
      <c r="D442" s="5" t="str">
        <f>IFERROR(IF(SUMIFS(tblDaily[Deaths],tblDaily[EntryDate],DATE(2026,12,7),tblDaily[WardCode],"MW")=0,"",SUMIFS(tblDaily[Deaths],tblDaily[EntryDate],DATE(2026,12,7),tblDaily[WardCode],"MW")),"")</f>
        <v/>
      </c>
      <c r="E442" s="5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5" t="str">
        <f>IFERROR(IF(SUMIFS(tblDaily[TransfersIn],tblDaily[EntryDate],DATE(2026,12,7),tblDaily[WardCode],"MW")=0,"",SUMIFS(tblDaily[TransfersIn],tblDaily[EntryDate],DATE(2026,12,7),tblDaily[WardCode],"MW")),"")</f>
        <v/>
      </c>
      <c r="G442" s="5" t="str">
        <f>IFERROR(IF(SUMIFS(tblDaily[TransfersOut],tblDaily[EntryDate],DATE(2026,12,7),tblDaily[WardCode],"MW")=0,"",SUMIFS(tblDaily[TransfersOut],tblDaily[EntryDate],DATE(2026,12,7),tblDaily[WardCode],"MW")),"")</f>
        <v/>
      </c>
      <c r="H442" s="5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IFERROR(IF(SUMIFS(tblDaily[Admissions],tblDaily[EntryDate],DATE(2026,12,8),tblDaily[WardCode],"MW")=0,"",SUMIFS(tblDaily[Admissions],tblDaily[EntryDate],DATE(2026,12,8),tblDaily[WardCode],"MW")),"")</f>
        <v/>
      </c>
      <c r="C443" s="5" t="str">
        <f>IFERROR(IF(SUMIFS(tblDaily[Discharges],tblDaily[EntryDate],DATE(2026,12,8),tblDaily[WardCode],"MW")=0,"",SUMIFS(tblDaily[Discharges],tblDaily[EntryDate],DATE(2026,12,8),tblDaily[WardCode],"MW")),"")</f>
        <v/>
      </c>
      <c r="D443" s="5" t="str">
        <f>IFERROR(IF(SUMIFS(tblDaily[Deaths],tblDaily[EntryDate],DATE(2026,12,8),tblDaily[WardCode],"MW")=0,"",SUMIFS(tblDaily[Deaths],tblDaily[EntryDate],DATE(2026,12,8),tblDaily[WardCode],"MW")),"")</f>
        <v/>
      </c>
      <c r="E443" s="5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5" t="str">
        <f>IFERROR(IF(SUMIFS(tblDaily[TransfersIn],tblDaily[EntryDate],DATE(2026,12,8),tblDaily[WardCode],"MW")=0,"",SUMIFS(tblDaily[TransfersIn],tblDaily[EntryDate],DATE(2026,12,8),tblDaily[WardCode],"MW")),"")</f>
        <v/>
      </c>
      <c r="G443" s="5" t="str">
        <f>IFERROR(IF(SUMIFS(tblDaily[TransfersOut],tblDaily[EntryDate],DATE(2026,12,8),tblDaily[WardCode],"MW")=0,"",SUMIFS(tblDaily[TransfersOut],tblDaily[EntryDate],DATE(2026,12,8),tblDaily[WardCode],"MW")),"")</f>
        <v/>
      </c>
      <c r="H443" s="5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IFERROR(IF(SUMIFS(tblDaily[Admissions],tblDaily[EntryDate],DATE(2026,12,9),tblDaily[WardCode],"MW")=0,"",SUMIFS(tblDaily[Admissions],tblDaily[EntryDate],DATE(2026,12,9),tblDaily[WardCode],"MW")),"")</f>
        <v/>
      </c>
      <c r="C444" s="5" t="str">
        <f>IFERROR(IF(SUMIFS(tblDaily[Discharges],tblDaily[EntryDate],DATE(2026,12,9),tblDaily[WardCode],"MW")=0,"",SUMIFS(tblDaily[Discharges],tblDaily[EntryDate],DATE(2026,12,9),tblDaily[WardCode],"MW")),"")</f>
        <v/>
      </c>
      <c r="D444" s="5" t="str">
        <f>IFERROR(IF(SUMIFS(tblDaily[Deaths],tblDaily[EntryDate],DATE(2026,12,9),tblDaily[WardCode],"MW")=0,"",SUMIFS(tblDaily[Deaths],tblDaily[EntryDate],DATE(2026,12,9),tblDaily[WardCode],"MW")),"")</f>
        <v/>
      </c>
      <c r="E444" s="5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5" t="str">
        <f>IFERROR(IF(SUMIFS(tblDaily[TransfersIn],tblDaily[EntryDate],DATE(2026,12,9),tblDaily[WardCode],"MW")=0,"",SUMIFS(tblDaily[TransfersIn],tblDaily[EntryDate],DATE(2026,12,9),tblDaily[WardCode],"MW")),"")</f>
        <v/>
      </c>
      <c r="G444" s="5" t="str">
        <f>IFERROR(IF(SUMIFS(tblDaily[TransfersOut],tblDaily[EntryDate],DATE(2026,12,9),tblDaily[WardCode],"MW")=0,"",SUMIFS(tblDaily[TransfersOut],tblDaily[EntryDate],DATE(2026,12,9),tblDaily[WardCode],"MW")),"")</f>
        <v/>
      </c>
      <c r="H444" s="5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IFERROR(IF(SUMIFS(tblDaily[Admissions],tblDaily[EntryDate],DATE(2026,12,10),tblDaily[WardCode],"MW")=0,"",SUMIFS(tblDaily[Admissions],tblDaily[EntryDate],DATE(2026,12,10),tblDaily[WardCode],"MW")),"")</f>
        <v/>
      </c>
      <c r="C445" s="5" t="str">
        <f>IFERROR(IF(SUMIFS(tblDaily[Discharges],tblDaily[EntryDate],DATE(2026,12,10),tblDaily[WardCode],"MW")=0,"",SUMIFS(tblDaily[Discharges],tblDaily[EntryDate],DATE(2026,12,10),tblDaily[WardCode],"MW")),"")</f>
        <v/>
      </c>
      <c r="D445" s="5" t="str">
        <f>IFERROR(IF(SUMIFS(tblDaily[Deaths],tblDaily[EntryDate],DATE(2026,12,10),tblDaily[WardCode],"MW")=0,"",SUMIFS(tblDaily[Deaths],tblDaily[EntryDate],DATE(2026,12,10),tblDaily[WardCode],"MW")),"")</f>
        <v/>
      </c>
      <c r="E445" s="5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5" t="str">
        <f>IFERROR(IF(SUMIFS(tblDaily[TransfersIn],tblDaily[EntryDate],DATE(2026,12,10),tblDaily[WardCode],"MW")=0,"",SUMIFS(tblDaily[TransfersIn],tblDaily[EntryDate],DATE(2026,12,10),tblDaily[WardCode],"MW")),"")</f>
        <v/>
      </c>
      <c r="G445" s="5" t="str">
        <f>IFERROR(IF(SUMIFS(tblDaily[TransfersOut],tblDaily[EntryDate],DATE(2026,12,10),tblDaily[WardCode],"MW")=0,"",SUMIFS(tblDaily[TransfersOut],tblDaily[EntryDate],DATE(2026,12,10),tblDaily[WardCode],"MW")),"")</f>
        <v/>
      </c>
      <c r="H445" s="5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IFERROR(IF(SUMIFS(tblDaily[Admissions],tblDaily[EntryDate],DATE(2026,12,11),tblDaily[WardCode],"MW")=0,"",SUMIFS(tblDaily[Admissions],tblDaily[EntryDate],DATE(2026,12,11),tblDaily[WardCode],"MW")),"")</f>
        <v/>
      </c>
      <c r="C446" s="5" t="str">
        <f>IFERROR(IF(SUMIFS(tblDaily[Discharges],tblDaily[EntryDate],DATE(2026,12,11),tblDaily[WardCode],"MW")=0,"",SUMIFS(tblDaily[Discharges],tblDaily[EntryDate],DATE(2026,12,11),tblDaily[WardCode],"MW")),"")</f>
        <v/>
      </c>
      <c r="D446" s="5" t="str">
        <f>IFERROR(IF(SUMIFS(tblDaily[Deaths],tblDaily[EntryDate],DATE(2026,12,11),tblDaily[WardCode],"MW")=0,"",SUMIFS(tblDaily[Deaths],tblDaily[EntryDate],DATE(2026,12,11),tblDaily[WardCode],"MW")),"")</f>
        <v/>
      </c>
      <c r="E446" s="5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5" t="str">
        <f>IFERROR(IF(SUMIFS(tblDaily[TransfersIn],tblDaily[EntryDate],DATE(2026,12,11),tblDaily[WardCode],"MW")=0,"",SUMIFS(tblDaily[TransfersIn],tblDaily[EntryDate],DATE(2026,12,11),tblDaily[WardCode],"MW")),"")</f>
        <v/>
      </c>
      <c r="G446" s="5" t="str">
        <f>IFERROR(IF(SUMIFS(tblDaily[TransfersOut],tblDaily[EntryDate],DATE(2026,12,11),tblDaily[WardCode],"MW")=0,"",SUMIFS(tblDaily[TransfersOut],tblDaily[EntryDate],DATE(2026,12,11),tblDaily[WardCode],"MW")),"")</f>
        <v/>
      </c>
      <c r="H446" s="5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IFERROR(IF(SUMIFS(tblDaily[Admissions],tblDaily[EntryDate],DATE(2026,12,12),tblDaily[WardCode],"MW")=0,"",SUMIFS(tblDaily[Admissions],tblDaily[EntryDate],DATE(2026,12,12),tblDaily[WardCode],"MW")),"")</f>
        <v/>
      </c>
      <c r="C447" s="5" t="str">
        <f>IFERROR(IF(SUMIFS(tblDaily[Discharges],tblDaily[EntryDate],DATE(2026,12,12),tblDaily[WardCode],"MW")=0,"",SUMIFS(tblDaily[Discharges],tblDaily[EntryDate],DATE(2026,12,12),tblDaily[WardCode],"MW")),"")</f>
        <v/>
      </c>
      <c r="D447" s="5" t="str">
        <f>IFERROR(IF(SUMIFS(tblDaily[Deaths],tblDaily[EntryDate],DATE(2026,12,12),tblDaily[WardCode],"MW")=0,"",SUMIFS(tblDaily[Deaths],tblDaily[EntryDate],DATE(2026,12,12),tblDaily[WardCode],"MW")),"")</f>
        <v/>
      </c>
      <c r="E447" s="5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5" t="str">
        <f>IFERROR(IF(SUMIFS(tblDaily[TransfersIn],tblDaily[EntryDate],DATE(2026,12,12),tblDaily[WardCode],"MW")=0,"",SUMIFS(tblDaily[TransfersIn],tblDaily[EntryDate],DATE(2026,12,12),tblDaily[WardCode],"MW")),"")</f>
        <v/>
      </c>
      <c r="G447" s="5" t="str">
        <f>IFERROR(IF(SUMIFS(tblDaily[TransfersOut],tblDaily[EntryDate],DATE(2026,12,12),tblDaily[WardCode],"MW")=0,"",SUMIFS(tblDaily[TransfersOut],tblDaily[EntryDate],DATE(2026,12,12),tblDaily[WardCode],"MW")),"")</f>
        <v/>
      </c>
      <c r="H447" s="5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IFERROR(IF(SUMIFS(tblDaily[Admissions],tblDaily[EntryDate],DATE(2026,12,13),tblDaily[WardCode],"MW")=0,"",SUMIFS(tblDaily[Admissions],tblDaily[EntryDate],DATE(2026,12,13),tblDaily[WardCode],"MW")),"")</f>
        <v/>
      </c>
      <c r="C448" s="5" t="str">
        <f>IFERROR(IF(SUMIFS(tblDaily[Discharges],tblDaily[EntryDate],DATE(2026,12,13),tblDaily[WardCode],"MW")=0,"",SUMIFS(tblDaily[Discharges],tblDaily[EntryDate],DATE(2026,12,13),tblDaily[WardCode],"MW")),"")</f>
        <v/>
      </c>
      <c r="D448" s="5" t="str">
        <f>IFERROR(IF(SUMIFS(tblDaily[Deaths],tblDaily[EntryDate],DATE(2026,12,13),tblDaily[WardCode],"MW")=0,"",SUMIFS(tblDaily[Deaths],tblDaily[EntryDate],DATE(2026,12,13),tblDaily[WardCode],"MW")),"")</f>
        <v/>
      </c>
      <c r="E448" s="5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5" t="str">
        <f>IFERROR(IF(SUMIFS(tblDaily[TransfersIn],tblDaily[EntryDate],DATE(2026,12,13),tblDaily[WardCode],"MW")=0,"",SUMIFS(tblDaily[TransfersIn],tblDaily[EntryDate],DATE(2026,12,13),tblDaily[WardCode],"MW")),"")</f>
        <v/>
      </c>
      <c r="G448" s="5" t="str">
        <f>IFERROR(IF(SUMIFS(tblDaily[TransfersOut],tblDaily[EntryDate],DATE(2026,12,13),tblDaily[WardCode],"MW")=0,"",SUMIFS(tblDaily[TransfersOut],tblDaily[EntryDate],DATE(2026,12,13),tblDaily[WardCode],"MW")),"")</f>
        <v/>
      </c>
      <c r="H448" s="5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IFERROR(IF(SUMIFS(tblDaily[Admissions],tblDaily[EntryDate],DATE(2026,12,14),tblDaily[WardCode],"MW")=0,"",SUMIFS(tblDaily[Admissions],tblDaily[EntryDate],DATE(2026,12,14),tblDaily[WardCode],"MW")),"")</f>
        <v/>
      </c>
      <c r="C449" s="5" t="str">
        <f>IFERROR(IF(SUMIFS(tblDaily[Discharges],tblDaily[EntryDate],DATE(2026,12,14),tblDaily[WardCode],"MW")=0,"",SUMIFS(tblDaily[Discharges],tblDaily[EntryDate],DATE(2026,12,14),tblDaily[WardCode],"MW")),"")</f>
        <v/>
      </c>
      <c r="D449" s="5" t="str">
        <f>IFERROR(IF(SUMIFS(tblDaily[Deaths],tblDaily[EntryDate],DATE(2026,12,14),tblDaily[WardCode],"MW")=0,"",SUMIFS(tblDaily[Deaths],tblDaily[EntryDate],DATE(2026,12,14),tblDaily[WardCode],"MW")),"")</f>
        <v/>
      </c>
      <c r="E449" s="5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5" t="str">
        <f>IFERROR(IF(SUMIFS(tblDaily[TransfersIn],tblDaily[EntryDate],DATE(2026,12,14),tblDaily[WardCode],"MW")=0,"",SUMIFS(tblDaily[TransfersIn],tblDaily[EntryDate],DATE(2026,12,14),tblDaily[WardCode],"MW")),"")</f>
        <v/>
      </c>
      <c r="G449" s="5" t="str">
        <f>IFERROR(IF(SUMIFS(tblDaily[TransfersOut],tblDaily[EntryDate],DATE(2026,12,14),tblDaily[WardCode],"MW")=0,"",SUMIFS(tblDaily[TransfersOut],tblDaily[EntryDate],DATE(2026,12,14),tblDaily[WardCode],"MW")),"")</f>
        <v/>
      </c>
      <c r="H449" s="5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IFERROR(IF(SUMIFS(tblDaily[Admissions],tblDaily[EntryDate],DATE(2026,12,15),tblDaily[WardCode],"MW")=0,"",SUMIFS(tblDaily[Admissions],tblDaily[EntryDate],DATE(2026,12,15),tblDaily[WardCode],"MW")),"")</f>
        <v/>
      </c>
      <c r="C450" s="5" t="str">
        <f>IFERROR(IF(SUMIFS(tblDaily[Discharges],tblDaily[EntryDate],DATE(2026,12,15),tblDaily[WardCode],"MW")=0,"",SUMIFS(tblDaily[Discharges],tblDaily[EntryDate],DATE(2026,12,15),tblDaily[WardCode],"MW")),"")</f>
        <v/>
      </c>
      <c r="D450" s="5" t="str">
        <f>IFERROR(IF(SUMIFS(tblDaily[Deaths],tblDaily[EntryDate],DATE(2026,12,15),tblDaily[WardCode],"MW")=0,"",SUMIFS(tblDaily[Deaths],tblDaily[EntryDate],DATE(2026,12,15),tblDaily[WardCode],"MW")),"")</f>
        <v/>
      </c>
      <c r="E450" s="5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5" t="str">
        <f>IFERROR(IF(SUMIFS(tblDaily[TransfersIn],tblDaily[EntryDate],DATE(2026,12,15),tblDaily[WardCode],"MW")=0,"",SUMIFS(tblDaily[TransfersIn],tblDaily[EntryDate],DATE(2026,12,15),tblDaily[WardCode],"MW")),"")</f>
        <v/>
      </c>
      <c r="G450" s="5" t="str">
        <f>IFERROR(IF(SUMIFS(tblDaily[TransfersOut],tblDaily[EntryDate],DATE(2026,12,15),tblDaily[WardCode],"MW")=0,"",SUMIFS(tblDaily[TransfersOut],tblDaily[EntryDate],DATE(2026,12,15),tblDaily[WardCode],"MW")),"")</f>
        <v/>
      </c>
      <c r="H450" s="5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IFERROR(IF(SUMIFS(tblDaily[Admissions],tblDaily[EntryDate],DATE(2026,12,16),tblDaily[WardCode],"MW")=0,"",SUMIFS(tblDaily[Admissions],tblDaily[EntryDate],DATE(2026,12,16),tblDaily[WardCode],"MW")),"")</f>
        <v/>
      </c>
      <c r="C451" s="5" t="str">
        <f>IFERROR(IF(SUMIFS(tblDaily[Discharges],tblDaily[EntryDate],DATE(2026,12,16),tblDaily[WardCode],"MW")=0,"",SUMIFS(tblDaily[Discharges],tblDaily[EntryDate],DATE(2026,12,16),tblDaily[WardCode],"MW")),"")</f>
        <v/>
      </c>
      <c r="D451" s="5" t="str">
        <f>IFERROR(IF(SUMIFS(tblDaily[Deaths],tblDaily[EntryDate],DATE(2026,12,16),tblDaily[WardCode],"MW")=0,"",SUMIFS(tblDaily[Deaths],tblDaily[EntryDate],DATE(2026,12,16),tblDaily[WardCode],"MW")),"")</f>
        <v/>
      </c>
      <c r="E451" s="5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5" t="str">
        <f>IFERROR(IF(SUMIFS(tblDaily[TransfersIn],tblDaily[EntryDate],DATE(2026,12,16),tblDaily[WardCode],"MW")=0,"",SUMIFS(tblDaily[TransfersIn],tblDaily[EntryDate],DATE(2026,12,16),tblDaily[WardCode],"MW")),"")</f>
        <v/>
      </c>
      <c r="G451" s="5" t="str">
        <f>IFERROR(IF(SUMIFS(tblDaily[TransfersOut],tblDaily[EntryDate],DATE(2026,12,16),tblDaily[WardCode],"MW")=0,"",SUMIFS(tblDaily[TransfersOut],tblDaily[EntryDate],DATE(2026,12,16),tblDaily[WardCode],"MW")),"")</f>
        <v/>
      </c>
      <c r="H451" s="5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IFERROR(IF(SUMIFS(tblDaily[Admissions],tblDaily[EntryDate],DATE(2026,12,17),tblDaily[WardCode],"MW")=0,"",SUMIFS(tblDaily[Admissions],tblDaily[EntryDate],DATE(2026,12,17),tblDaily[WardCode],"MW")),"")</f>
        <v/>
      </c>
      <c r="C452" s="5" t="str">
        <f>IFERROR(IF(SUMIFS(tblDaily[Discharges],tblDaily[EntryDate],DATE(2026,12,17),tblDaily[WardCode],"MW")=0,"",SUMIFS(tblDaily[Discharges],tblDaily[EntryDate],DATE(2026,12,17),tblDaily[WardCode],"MW")),"")</f>
        <v/>
      </c>
      <c r="D452" s="5" t="str">
        <f>IFERROR(IF(SUMIFS(tblDaily[Deaths],tblDaily[EntryDate],DATE(2026,12,17),tblDaily[WardCode],"MW")=0,"",SUMIFS(tblDaily[Deaths],tblDaily[EntryDate],DATE(2026,12,17),tblDaily[WardCode],"MW")),"")</f>
        <v/>
      </c>
      <c r="E452" s="5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5" t="str">
        <f>IFERROR(IF(SUMIFS(tblDaily[TransfersIn],tblDaily[EntryDate],DATE(2026,12,17),tblDaily[WardCode],"MW")=0,"",SUMIFS(tblDaily[TransfersIn],tblDaily[EntryDate],DATE(2026,12,17),tblDaily[WardCode],"MW")),"")</f>
        <v/>
      </c>
      <c r="G452" s="5" t="str">
        <f>IFERROR(IF(SUMIFS(tblDaily[TransfersOut],tblDaily[EntryDate],DATE(2026,12,17),tblDaily[WardCode],"MW")=0,"",SUMIFS(tblDaily[TransfersOut],tblDaily[EntryDate],DATE(2026,12,17),tblDaily[WardCode],"MW")),"")</f>
        <v/>
      </c>
      <c r="H452" s="5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IFERROR(IF(SUMIFS(tblDaily[Admissions],tblDaily[EntryDate],DATE(2026,12,18),tblDaily[WardCode],"MW")=0,"",SUMIFS(tblDaily[Admissions],tblDaily[EntryDate],DATE(2026,12,18),tblDaily[WardCode],"MW")),"")</f>
        <v/>
      </c>
      <c r="C453" s="5" t="str">
        <f>IFERROR(IF(SUMIFS(tblDaily[Discharges],tblDaily[EntryDate],DATE(2026,12,18),tblDaily[WardCode],"MW")=0,"",SUMIFS(tblDaily[Discharges],tblDaily[EntryDate],DATE(2026,12,18),tblDaily[WardCode],"MW")),"")</f>
        <v/>
      </c>
      <c r="D453" s="5" t="str">
        <f>IFERROR(IF(SUMIFS(tblDaily[Deaths],tblDaily[EntryDate],DATE(2026,12,18),tblDaily[WardCode],"MW")=0,"",SUMIFS(tblDaily[Deaths],tblDaily[EntryDate],DATE(2026,12,18),tblDaily[WardCode],"MW")),"")</f>
        <v/>
      </c>
      <c r="E453" s="5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5" t="str">
        <f>IFERROR(IF(SUMIFS(tblDaily[TransfersIn],tblDaily[EntryDate],DATE(2026,12,18),tblDaily[WardCode],"MW")=0,"",SUMIFS(tblDaily[TransfersIn],tblDaily[EntryDate],DATE(2026,12,18),tblDaily[WardCode],"MW")),"")</f>
        <v/>
      </c>
      <c r="G453" s="5" t="str">
        <f>IFERROR(IF(SUMIFS(tblDaily[TransfersOut],tblDaily[EntryDate],DATE(2026,12,18),tblDaily[WardCode],"MW")=0,"",SUMIFS(tblDaily[TransfersOut],tblDaily[EntryDate],DATE(2026,12,18),tblDaily[WardCode],"MW")),"")</f>
        <v/>
      </c>
      <c r="H453" s="5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IFERROR(IF(SUMIFS(tblDaily[Admissions],tblDaily[EntryDate],DATE(2026,12,19),tblDaily[WardCode],"MW")=0,"",SUMIFS(tblDaily[Admissions],tblDaily[EntryDate],DATE(2026,12,19),tblDaily[WardCode],"MW")),"")</f>
        <v/>
      </c>
      <c r="C454" s="5" t="str">
        <f>IFERROR(IF(SUMIFS(tblDaily[Discharges],tblDaily[EntryDate],DATE(2026,12,19),tblDaily[WardCode],"MW")=0,"",SUMIFS(tblDaily[Discharges],tblDaily[EntryDate],DATE(2026,12,19),tblDaily[WardCode],"MW")),"")</f>
        <v/>
      </c>
      <c r="D454" s="5" t="str">
        <f>IFERROR(IF(SUMIFS(tblDaily[Deaths],tblDaily[EntryDate],DATE(2026,12,19),tblDaily[WardCode],"MW")=0,"",SUMIFS(tblDaily[Deaths],tblDaily[EntryDate],DATE(2026,12,19),tblDaily[WardCode],"MW")),"")</f>
        <v/>
      </c>
      <c r="E454" s="5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5" t="str">
        <f>IFERROR(IF(SUMIFS(tblDaily[TransfersIn],tblDaily[EntryDate],DATE(2026,12,19),tblDaily[WardCode],"MW")=0,"",SUMIFS(tblDaily[TransfersIn],tblDaily[EntryDate],DATE(2026,12,19),tblDaily[WardCode],"MW")),"")</f>
        <v/>
      </c>
      <c r="G454" s="5" t="str">
        <f>IFERROR(IF(SUMIFS(tblDaily[TransfersOut],tblDaily[EntryDate],DATE(2026,12,19),tblDaily[WardCode],"MW")=0,"",SUMIFS(tblDaily[TransfersOut],tblDaily[EntryDate],DATE(2026,12,19),tblDaily[WardCode],"MW")),"")</f>
        <v/>
      </c>
      <c r="H454" s="5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IFERROR(IF(SUMIFS(tblDaily[Admissions],tblDaily[EntryDate],DATE(2026,12,20),tblDaily[WardCode],"MW")=0,"",SUMIFS(tblDaily[Admissions],tblDaily[EntryDate],DATE(2026,12,20),tblDaily[WardCode],"MW")),"")</f>
        <v/>
      </c>
      <c r="C455" s="5" t="str">
        <f>IFERROR(IF(SUMIFS(tblDaily[Discharges],tblDaily[EntryDate],DATE(2026,12,20),tblDaily[WardCode],"MW")=0,"",SUMIFS(tblDaily[Discharges],tblDaily[EntryDate],DATE(2026,12,20),tblDaily[WardCode],"MW")),"")</f>
        <v/>
      </c>
      <c r="D455" s="5" t="str">
        <f>IFERROR(IF(SUMIFS(tblDaily[Deaths],tblDaily[EntryDate],DATE(2026,12,20),tblDaily[WardCode],"MW")=0,"",SUMIFS(tblDaily[Deaths],tblDaily[EntryDate],DATE(2026,12,20),tblDaily[WardCode],"MW")),"")</f>
        <v/>
      </c>
      <c r="E455" s="5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5" t="str">
        <f>IFERROR(IF(SUMIFS(tblDaily[TransfersIn],tblDaily[EntryDate],DATE(2026,12,20),tblDaily[WardCode],"MW")=0,"",SUMIFS(tblDaily[TransfersIn],tblDaily[EntryDate],DATE(2026,12,20),tblDaily[WardCode],"MW")),"")</f>
        <v/>
      </c>
      <c r="G455" s="5" t="str">
        <f>IFERROR(IF(SUMIFS(tblDaily[TransfersOut],tblDaily[EntryDate],DATE(2026,12,20),tblDaily[WardCode],"MW")=0,"",SUMIFS(tblDaily[TransfersOut],tblDaily[EntryDate],DATE(2026,12,20),tblDaily[WardCode],"MW")),"")</f>
        <v/>
      </c>
      <c r="H455" s="5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IFERROR(IF(SUMIFS(tblDaily[Admissions],tblDaily[EntryDate],DATE(2026,12,21),tblDaily[WardCode],"MW")=0,"",SUMIFS(tblDaily[Admissions],tblDaily[EntryDate],DATE(2026,12,21),tblDaily[WardCode],"MW")),"")</f>
        <v/>
      </c>
      <c r="C456" s="5" t="str">
        <f>IFERROR(IF(SUMIFS(tblDaily[Discharges],tblDaily[EntryDate],DATE(2026,12,21),tblDaily[WardCode],"MW")=0,"",SUMIFS(tblDaily[Discharges],tblDaily[EntryDate],DATE(2026,12,21),tblDaily[WardCode],"MW")),"")</f>
        <v/>
      </c>
      <c r="D456" s="5" t="str">
        <f>IFERROR(IF(SUMIFS(tblDaily[Deaths],tblDaily[EntryDate],DATE(2026,12,21),tblDaily[WardCode],"MW")=0,"",SUMIFS(tblDaily[Deaths],tblDaily[EntryDate],DATE(2026,12,21),tblDaily[WardCode],"MW")),"")</f>
        <v/>
      </c>
      <c r="E456" s="5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5" t="str">
        <f>IFERROR(IF(SUMIFS(tblDaily[TransfersIn],tblDaily[EntryDate],DATE(2026,12,21),tblDaily[WardCode],"MW")=0,"",SUMIFS(tblDaily[TransfersIn],tblDaily[EntryDate],DATE(2026,12,21),tblDaily[WardCode],"MW")),"")</f>
        <v/>
      </c>
      <c r="G456" s="5" t="str">
        <f>IFERROR(IF(SUMIFS(tblDaily[TransfersOut],tblDaily[EntryDate],DATE(2026,12,21),tblDaily[WardCode],"MW")=0,"",SUMIFS(tblDaily[TransfersOut],tblDaily[EntryDate],DATE(2026,12,21),tblDaily[WardCode],"MW")),"")</f>
        <v/>
      </c>
      <c r="H456" s="5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IFERROR(IF(SUMIFS(tblDaily[Admissions],tblDaily[EntryDate],DATE(2026,12,22),tblDaily[WardCode],"MW")=0,"",SUMIFS(tblDaily[Admissions],tblDaily[EntryDate],DATE(2026,12,22),tblDaily[WardCode],"MW")),"")</f>
        <v/>
      </c>
      <c r="C457" s="5" t="str">
        <f>IFERROR(IF(SUMIFS(tblDaily[Discharges],tblDaily[EntryDate],DATE(2026,12,22),tblDaily[WardCode],"MW")=0,"",SUMIFS(tblDaily[Discharges],tblDaily[EntryDate],DATE(2026,12,22),tblDaily[WardCode],"MW")),"")</f>
        <v/>
      </c>
      <c r="D457" s="5" t="str">
        <f>IFERROR(IF(SUMIFS(tblDaily[Deaths],tblDaily[EntryDate],DATE(2026,12,22),tblDaily[WardCode],"MW")=0,"",SUMIFS(tblDaily[Deaths],tblDaily[EntryDate],DATE(2026,12,22),tblDaily[WardCode],"MW")),"")</f>
        <v/>
      </c>
      <c r="E457" s="5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5" t="str">
        <f>IFERROR(IF(SUMIFS(tblDaily[TransfersIn],tblDaily[EntryDate],DATE(2026,12,22),tblDaily[WardCode],"MW")=0,"",SUMIFS(tblDaily[TransfersIn],tblDaily[EntryDate],DATE(2026,12,22),tblDaily[WardCode],"MW")),"")</f>
        <v/>
      </c>
      <c r="G457" s="5" t="str">
        <f>IFERROR(IF(SUMIFS(tblDaily[TransfersOut],tblDaily[EntryDate],DATE(2026,12,22),tblDaily[WardCode],"MW")=0,"",SUMIFS(tblDaily[TransfersOut],tblDaily[EntryDate],DATE(2026,12,22),tblDaily[WardCode],"MW")),"")</f>
        <v/>
      </c>
      <c r="H457" s="5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IFERROR(IF(SUMIFS(tblDaily[Admissions],tblDaily[EntryDate],DATE(2026,12,23),tblDaily[WardCode],"MW")=0,"",SUMIFS(tblDaily[Admissions],tblDaily[EntryDate],DATE(2026,12,23),tblDaily[WardCode],"MW")),"")</f>
        <v/>
      </c>
      <c r="C458" s="5" t="str">
        <f>IFERROR(IF(SUMIFS(tblDaily[Discharges],tblDaily[EntryDate],DATE(2026,12,23),tblDaily[WardCode],"MW")=0,"",SUMIFS(tblDaily[Discharges],tblDaily[EntryDate],DATE(2026,12,23),tblDaily[WardCode],"MW")),"")</f>
        <v/>
      </c>
      <c r="D458" s="5" t="str">
        <f>IFERROR(IF(SUMIFS(tblDaily[Deaths],tblDaily[EntryDate],DATE(2026,12,23),tblDaily[WardCode],"MW")=0,"",SUMIFS(tblDaily[Deaths],tblDaily[EntryDate],DATE(2026,12,23),tblDaily[WardCode],"MW")),"")</f>
        <v/>
      </c>
      <c r="E458" s="5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5" t="str">
        <f>IFERROR(IF(SUMIFS(tblDaily[TransfersIn],tblDaily[EntryDate],DATE(2026,12,23),tblDaily[WardCode],"MW")=0,"",SUMIFS(tblDaily[TransfersIn],tblDaily[EntryDate],DATE(2026,12,23),tblDaily[WardCode],"MW")),"")</f>
        <v/>
      </c>
      <c r="G458" s="5" t="str">
        <f>IFERROR(IF(SUMIFS(tblDaily[TransfersOut],tblDaily[EntryDate],DATE(2026,12,23),tblDaily[WardCode],"MW")=0,"",SUMIFS(tblDaily[TransfersOut],tblDaily[EntryDate],DATE(2026,12,23),tblDaily[WardCode],"MW")),"")</f>
        <v/>
      </c>
      <c r="H458" s="5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IFERROR(IF(SUMIFS(tblDaily[Admissions],tblDaily[EntryDate],DATE(2026,12,24),tblDaily[WardCode],"MW")=0,"",SUMIFS(tblDaily[Admissions],tblDaily[EntryDate],DATE(2026,12,24),tblDaily[WardCode],"MW")),"")</f>
        <v/>
      </c>
      <c r="C459" s="5" t="str">
        <f>IFERROR(IF(SUMIFS(tblDaily[Discharges],tblDaily[EntryDate],DATE(2026,12,24),tblDaily[WardCode],"MW")=0,"",SUMIFS(tblDaily[Discharges],tblDaily[EntryDate],DATE(2026,12,24),tblDaily[WardCode],"MW")),"")</f>
        <v/>
      </c>
      <c r="D459" s="5" t="str">
        <f>IFERROR(IF(SUMIFS(tblDaily[Deaths],tblDaily[EntryDate],DATE(2026,12,24),tblDaily[WardCode],"MW")=0,"",SUMIFS(tblDaily[Deaths],tblDaily[EntryDate],DATE(2026,12,24),tblDaily[WardCode],"MW")),"")</f>
        <v/>
      </c>
      <c r="E459" s="5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5" t="str">
        <f>IFERROR(IF(SUMIFS(tblDaily[TransfersIn],tblDaily[EntryDate],DATE(2026,12,24),tblDaily[WardCode],"MW")=0,"",SUMIFS(tblDaily[TransfersIn],tblDaily[EntryDate],DATE(2026,12,24),tblDaily[WardCode],"MW")),"")</f>
        <v/>
      </c>
      <c r="G459" s="5" t="str">
        <f>IFERROR(IF(SUMIFS(tblDaily[TransfersOut],tblDaily[EntryDate],DATE(2026,12,24),tblDaily[WardCode],"MW")=0,"",SUMIFS(tblDaily[TransfersOut],tblDaily[EntryDate],DATE(2026,12,24),tblDaily[WardCode],"MW")),"")</f>
        <v/>
      </c>
      <c r="H459" s="5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IFERROR(IF(SUMIFS(tblDaily[Admissions],tblDaily[EntryDate],DATE(2026,12,25),tblDaily[WardCode],"MW")=0,"",SUMIFS(tblDaily[Admissions],tblDaily[EntryDate],DATE(2026,12,25),tblDaily[WardCode],"MW")),"")</f>
        <v/>
      </c>
      <c r="C460" s="5" t="str">
        <f>IFERROR(IF(SUMIFS(tblDaily[Discharges],tblDaily[EntryDate],DATE(2026,12,25),tblDaily[WardCode],"MW")=0,"",SUMIFS(tblDaily[Discharges],tblDaily[EntryDate],DATE(2026,12,25),tblDaily[WardCode],"MW")),"")</f>
        <v/>
      </c>
      <c r="D460" s="5" t="str">
        <f>IFERROR(IF(SUMIFS(tblDaily[Deaths],tblDaily[EntryDate],DATE(2026,12,25),tblDaily[WardCode],"MW")=0,"",SUMIFS(tblDaily[Deaths],tblDaily[EntryDate],DATE(2026,12,25),tblDaily[WardCode],"MW")),"")</f>
        <v/>
      </c>
      <c r="E460" s="5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5" t="str">
        <f>IFERROR(IF(SUMIFS(tblDaily[TransfersIn],tblDaily[EntryDate],DATE(2026,12,25),tblDaily[WardCode],"MW")=0,"",SUMIFS(tblDaily[TransfersIn],tblDaily[EntryDate],DATE(2026,12,25),tblDaily[WardCode],"MW")),"")</f>
        <v/>
      </c>
      <c r="G460" s="5" t="str">
        <f>IFERROR(IF(SUMIFS(tblDaily[TransfersOut],tblDaily[EntryDate],DATE(2026,12,25),tblDaily[WardCode],"MW")=0,"",SUMIFS(tblDaily[TransfersOut],tblDaily[EntryDate],DATE(2026,12,25),tblDaily[WardCode],"MW")),"")</f>
        <v/>
      </c>
      <c r="H460" s="5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IFERROR(IF(SUMIFS(tblDaily[Admissions],tblDaily[EntryDate],DATE(2026,12,26),tblDaily[WardCode],"MW")=0,"",SUMIFS(tblDaily[Admissions],tblDaily[EntryDate],DATE(2026,12,26),tblDaily[WardCode],"MW")),"")</f>
        <v/>
      </c>
      <c r="C461" s="5" t="str">
        <f>IFERROR(IF(SUMIFS(tblDaily[Discharges],tblDaily[EntryDate],DATE(2026,12,26),tblDaily[WardCode],"MW")=0,"",SUMIFS(tblDaily[Discharges],tblDaily[EntryDate],DATE(2026,12,26),tblDaily[WardCode],"MW")),"")</f>
        <v/>
      </c>
      <c r="D461" s="5" t="str">
        <f>IFERROR(IF(SUMIFS(tblDaily[Deaths],tblDaily[EntryDate],DATE(2026,12,26),tblDaily[WardCode],"MW")=0,"",SUMIFS(tblDaily[Deaths],tblDaily[EntryDate],DATE(2026,12,26),tblDaily[WardCode],"MW")),"")</f>
        <v/>
      </c>
      <c r="E461" s="5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5" t="str">
        <f>IFERROR(IF(SUMIFS(tblDaily[TransfersIn],tblDaily[EntryDate],DATE(2026,12,26),tblDaily[WardCode],"MW")=0,"",SUMIFS(tblDaily[TransfersIn],tblDaily[EntryDate],DATE(2026,12,26),tblDaily[WardCode],"MW")),"")</f>
        <v/>
      </c>
      <c r="G461" s="5" t="str">
        <f>IFERROR(IF(SUMIFS(tblDaily[TransfersOut],tblDaily[EntryDate],DATE(2026,12,26),tblDaily[WardCode],"MW")=0,"",SUMIFS(tblDaily[TransfersOut],tblDaily[EntryDate],DATE(2026,12,26),tblDaily[WardCode],"MW")),"")</f>
        <v/>
      </c>
      <c r="H461" s="5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IFERROR(IF(SUMIFS(tblDaily[Admissions],tblDaily[EntryDate],DATE(2026,12,27),tblDaily[WardCode],"MW")=0,"",SUMIFS(tblDaily[Admissions],tblDaily[EntryDate],DATE(2026,12,27),tblDaily[WardCode],"MW")),"")</f>
        <v/>
      </c>
      <c r="C462" s="5" t="str">
        <f>IFERROR(IF(SUMIFS(tblDaily[Discharges],tblDaily[EntryDate],DATE(2026,12,27),tblDaily[WardCode],"MW")=0,"",SUMIFS(tblDaily[Discharges],tblDaily[EntryDate],DATE(2026,12,27),tblDaily[WardCode],"MW")),"")</f>
        <v/>
      </c>
      <c r="D462" s="5" t="str">
        <f>IFERROR(IF(SUMIFS(tblDaily[Deaths],tblDaily[EntryDate],DATE(2026,12,27),tblDaily[WardCode],"MW")=0,"",SUMIFS(tblDaily[Deaths],tblDaily[EntryDate],DATE(2026,12,27),tblDaily[WardCode],"MW")),"")</f>
        <v/>
      </c>
      <c r="E462" s="5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5" t="str">
        <f>IFERROR(IF(SUMIFS(tblDaily[TransfersIn],tblDaily[EntryDate],DATE(2026,12,27),tblDaily[WardCode],"MW")=0,"",SUMIFS(tblDaily[TransfersIn],tblDaily[EntryDate],DATE(2026,12,27),tblDaily[WardCode],"MW")),"")</f>
        <v/>
      </c>
      <c r="G462" s="5" t="str">
        <f>IFERROR(IF(SUMIFS(tblDaily[TransfersOut],tblDaily[EntryDate],DATE(2026,12,27),tblDaily[WardCode],"MW")=0,"",SUMIFS(tblDaily[TransfersOut],tblDaily[EntryDate],DATE(2026,12,27),tblDaily[WardCode],"MW")),"")</f>
        <v/>
      </c>
      <c r="H462" s="5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IFERROR(IF(SUMIFS(tblDaily[Admissions],tblDaily[EntryDate],DATE(2026,12,28),tblDaily[WardCode],"MW")=0,"",SUMIFS(tblDaily[Admissions],tblDaily[EntryDate],DATE(2026,12,28),tblDaily[WardCode],"MW")),"")</f>
        <v/>
      </c>
      <c r="C463" s="5" t="str">
        <f>IFERROR(IF(SUMIFS(tblDaily[Discharges],tblDaily[EntryDate],DATE(2026,12,28),tblDaily[WardCode],"MW")=0,"",SUMIFS(tblDaily[Discharges],tblDaily[EntryDate],DATE(2026,12,28),tblDaily[WardCode],"MW")),"")</f>
        <v/>
      </c>
      <c r="D463" s="5" t="str">
        <f>IFERROR(IF(SUMIFS(tblDaily[Deaths],tblDaily[EntryDate],DATE(2026,12,28),tblDaily[WardCode],"MW")=0,"",SUMIFS(tblDaily[Deaths],tblDaily[EntryDate],DATE(2026,12,28),tblDaily[WardCode],"MW")),"")</f>
        <v/>
      </c>
      <c r="E463" s="5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5" t="str">
        <f>IFERROR(IF(SUMIFS(tblDaily[TransfersIn],tblDaily[EntryDate],DATE(2026,12,28),tblDaily[WardCode],"MW")=0,"",SUMIFS(tblDaily[TransfersIn],tblDaily[EntryDate],DATE(2026,12,28),tblDaily[WardCode],"MW")),"")</f>
        <v/>
      </c>
      <c r="G463" s="5" t="str">
        <f>IFERROR(IF(SUMIFS(tblDaily[TransfersOut],tblDaily[EntryDate],DATE(2026,12,28),tblDaily[WardCode],"MW")=0,"",SUMIFS(tblDaily[TransfersOut],tblDaily[EntryDate],DATE(2026,12,28),tblDaily[WardCode],"MW")),"")</f>
        <v/>
      </c>
      <c r="H463" s="5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IFERROR(IF(SUMIFS(tblDaily[Admissions],tblDaily[EntryDate],DATE(2026,12,29),tblDaily[WardCode],"MW")=0,"",SUMIFS(tblDaily[Admissions],tblDaily[EntryDate],DATE(2026,12,29),tblDaily[WardCode],"MW")),"")</f>
        <v/>
      </c>
      <c r="C464" s="5" t="str">
        <f>IFERROR(IF(SUMIFS(tblDaily[Discharges],tblDaily[EntryDate],DATE(2026,12,29),tblDaily[WardCode],"MW")=0,"",SUMIFS(tblDaily[Discharges],tblDaily[EntryDate],DATE(2026,12,29),tblDaily[WardCode],"MW")),"")</f>
        <v/>
      </c>
      <c r="D464" s="5" t="str">
        <f>IFERROR(IF(SUMIFS(tblDaily[Deaths],tblDaily[EntryDate],DATE(2026,12,29),tblDaily[WardCode],"MW")=0,"",SUMIFS(tblDaily[Deaths],tblDaily[EntryDate],DATE(2026,12,29),tblDaily[WardCode],"MW")),"")</f>
        <v/>
      </c>
      <c r="E464" s="5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5" t="str">
        <f>IFERROR(IF(SUMIFS(tblDaily[TransfersIn],tblDaily[EntryDate],DATE(2026,12,29),tblDaily[WardCode],"MW")=0,"",SUMIFS(tblDaily[TransfersIn],tblDaily[EntryDate],DATE(2026,12,29),tblDaily[WardCode],"MW")),"")</f>
        <v/>
      </c>
      <c r="G464" s="5" t="str">
        <f>IFERROR(IF(SUMIFS(tblDaily[TransfersOut],tblDaily[EntryDate],DATE(2026,12,29),tblDaily[WardCode],"MW")=0,"",SUMIFS(tblDaily[TransfersOut],tblDaily[EntryDate],DATE(2026,12,29),tblDaily[WardCode],"MW")),"")</f>
        <v/>
      </c>
      <c r="H464" s="5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IFERROR(IF(SUMIFS(tblDaily[Admissions],tblDaily[EntryDate],DATE(2026,12,30),tblDaily[WardCode],"MW")=0,"",SUMIFS(tblDaily[Admissions],tblDaily[EntryDate],DATE(2026,12,30),tblDaily[WardCode],"MW")),"")</f>
        <v/>
      </c>
      <c r="C465" s="5" t="str">
        <f>IFERROR(IF(SUMIFS(tblDaily[Discharges],tblDaily[EntryDate],DATE(2026,12,30),tblDaily[WardCode],"MW")=0,"",SUMIFS(tblDaily[Discharges],tblDaily[EntryDate],DATE(2026,12,30),tblDaily[WardCode],"MW")),"")</f>
        <v/>
      </c>
      <c r="D465" s="5" t="str">
        <f>IFERROR(IF(SUMIFS(tblDaily[Deaths],tblDaily[EntryDate],DATE(2026,12,30),tblDaily[WardCode],"MW")=0,"",SUMIFS(tblDaily[Deaths],tblDaily[EntryDate],DATE(2026,12,30),tblDaily[WardCode],"MW")),"")</f>
        <v/>
      </c>
      <c r="E465" s="5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5" t="str">
        <f>IFERROR(IF(SUMIFS(tblDaily[TransfersIn],tblDaily[EntryDate],DATE(2026,12,30),tblDaily[WardCode],"MW")=0,"",SUMIFS(tblDaily[TransfersIn],tblDaily[EntryDate],DATE(2026,12,30),tblDaily[WardCode],"MW")),"")</f>
        <v/>
      </c>
      <c r="G465" s="5" t="str">
        <f>IFERROR(IF(SUMIFS(tblDaily[TransfersOut],tblDaily[EntryDate],DATE(2026,12,30),tblDaily[WardCode],"MW")=0,"",SUMIFS(tblDaily[TransfersOut],tblDaily[EntryDate],DATE(2026,12,30),tblDaily[WardCode],"MW")),"")</f>
        <v/>
      </c>
      <c r="H465" s="5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IFERROR(IF(SUMIFS(tblDaily[Admissions],tblDaily[EntryDate],DATE(2026,12,31),tblDaily[WardCode],"MW")=0,"",SUMIFS(tblDaily[Admissions],tblDaily[EntryDate],DATE(2026,12,31),tblDaily[WardCode],"MW")),"")</f>
        <v/>
      </c>
      <c r="C466" s="5" t="str">
        <f>IFERROR(IF(SUMIFS(tblDaily[Discharges],tblDaily[EntryDate],DATE(2026,12,31),tblDaily[WardCode],"MW")=0,"",SUMIFS(tblDaily[Discharges],tblDaily[EntryDate],DATE(2026,12,31),tblDaily[WardCode],"MW")),"")</f>
        <v/>
      </c>
      <c r="D466" s="5" t="str">
        <f>IFERROR(IF(SUMIFS(tblDaily[Deaths],tblDaily[EntryDate],DATE(2026,12,31),tblDaily[WardCode],"MW")=0,"",SUMIFS(tblDaily[Deaths],tblDaily[EntryDate],DATE(2026,12,31),tblDaily[WardCode],"MW")),"")</f>
        <v/>
      </c>
      <c r="E466" s="5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5" t="str">
        <f>IFERROR(IF(SUMIFS(tblDaily[TransfersIn],tblDaily[EntryDate],DATE(2026,12,31),tblDaily[WardCode],"MW")=0,"",SUMIFS(tblDaily[TransfersIn],tblDaily[EntryDate],DATE(2026,12,31),tblDaily[WardCode],"MW")),"")</f>
        <v/>
      </c>
      <c r="G466" s="5" t="str">
        <f>IFERROR(IF(SUMIFS(tblDaily[TransfersOut],tblDaily[EntryDate],DATE(2026,12,31),tblDaily[WardCode],"MW")=0,"",SUMIFS(tblDaily[TransfersOut],tblDaily[EntryDate],DATE(2026,12,31),tblDaily[WardCode],"MW")),"")</f>
        <v/>
      </c>
      <c r="H466" s="5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95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96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IFERROR(INDEX(tblWardConfig[PrevYearRemaining],MATCH("FW",tblWardConfig[WardCode],0)),0)</f>
        <v>0</v>
      </c>
    </row>
    <row r="5" spans="1:8" x14ac:dyDescent="0.25">
      <c r="A5" s="1" t="s">
        <v>89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IFERROR(IF(SUMIFS(tblDaily[Admissions],tblDaily[EntryDate],DATE(2026,1,1),tblDaily[WardCode],"FW")=0,"",SUMIFS(tblDaily[Admissions],tblDaily[EntryDate],DATE(2026,1,1),tblDaily[WardCode],"FW")),"")</f>
        <v/>
      </c>
      <c r="C7" s="5" t="str">
        <f>IFERROR(IF(SUMIFS(tblDaily[Discharges],tblDaily[EntryDate],DATE(2026,1,1),tblDaily[WardCode],"FW")=0,"",SUMIFS(tblDaily[Discharges],tblDaily[EntryDate],DATE(2026,1,1),tblDaily[WardCode],"FW")),"")</f>
        <v/>
      </c>
      <c r="D7" s="5" t="str">
        <f>IFERROR(IF(SUMIFS(tblDaily[Deaths],tblDaily[EntryDate],DATE(2026,1,1),tblDaily[WardCode],"FW")=0,"",SUMIFS(tblDaily[Deaths],tblDaily[EntryDate],DATE(2026,1,1),tblDaily[WardCode],"FW")),"")</f>
        <v/>
      </c>
      <c r="E7" s="5" t="str">
        <f>IFERROR(IF(SUMIFS(tblDaily[DeathsUnder24Hrs],tblDaily[EntryDate],DATE(2026,1,1),tblDaily[WardCode],"FW")=0,"",SUMIFS(tblDaily[DeathsUnder24Hrs],tblDaily[EntryDate],DATE(2026,1,1),tblDaily[WardCode],"FW")),"")</f>
        <v/>
      </c>
      <c r="F7" s="5" t="str">
        <f>IFERROR(IF(SUMIFS(tblDaily[TransfersIn],tblDaily[EntryDate],DATE(2026,1,1),tblDaily[WardCode],"FW")=0,"",SUMIFS(tblDaily[TransfersIn],tblDaily[EntryDate],DATE(2026,1,1),tblDaily[WardCode],"FW")),"")</f>
        <v/>
      </c>
      <c r="G7" s="5" t="str">
        <f>IFERROR(IF(SUMIFS(tblDaily[TransfersOut],tblDaily[EntryDate],DATE(2026,1,1),tblDaily[WardCode],"FW")=0,"",SUMIFS(tblDaily[TransfersOut],tblDaily[EntryDate],DATE(2026,1,1),tblDaily[WardCode],"FW")),"")</f>
        <v/>
      </c>
      <c r="H7" s="5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IFERROR(IF(SUMIFS(tblDaily[Admissions],tblDaily[EntryDate],DATE(2026,1,2),tblDaily[WardCode],"FW")=0,"",SUMIFS(tblDaily[Admissions],tblDaily[EntryDate],DATE(2026,1,2),tblDaily[WardCode],"FW")),"")</f>
        <v/>
      </c>
      <c r="C8" s="5" t="str">
        <f>IFERROR(IF(SUMIFS(tblDaily[Discharges],tblDaily[EntryDate],DATE(2026,1,2),tblDaily[WardCode],"FW")=0,"",SUMIFS(tblDaily[Discharges],tblDaily[EntryDate],DATE(2026,1,2),tblDaily[WardCode],"FW")),"")</f>
        <v/>
      </c>
      <c r="D8" s="5" t="str">
        <f>IFERROR(IF(SUMIFS(tblDaily[Deaths],tblDaily[EntryDate],DATE(2026,1,2),tblDaily[WardCode],"FW")=0,"",SUMIFS(tblDaily[Deaths],tblDaily[EntryDate],DATE(2026,1,2),tblDaily[WardCode],"FW")),"")</f>
        <v/>
      </c>
      <c r="E8" s="5" t="str">
        <f>IFERROR(IF(SUMIFS(tblDaily[DeathsUnder24Hrs],tblDaily[EntryDate],DATE(2026,1,2),tblDaily[WardCode],"FW")=0,"",SUMIFS(tblDaily[DeathsUnder24Hrs],tblDaily[EntryDate],DATE(2026,1,2),tblDaily[WardCode],"FW")),"")</f>
        <v/>
      </c>
      <c r="F8" s="5" t="str">
        <f>IFERROR(IF(SUMIFS(tblDaily[TransfersIn],tblDaily[EntryDate],DATE(2026,1,2),tblDaily[WardCode],"FW")=0,"",SUMIFS(tblDaily[TransfersIn],tblDaily[EntryDate],DATE(2026,1,2),tblDaily[WardCode],"FW")),"")</f>
        <v/>
      </c>
      <c r="G8" s="5" t="str">
        <f>IFERROR(IF(SUMIFS(tblDaily[TransfersOut],tblDaily[EntryDate],DATE(2026,1,2),tblDaily[WardCode],"FW")=0,"",SUMIFS(tblDaily[TransfersOut],tblDaily[EntryDate],DATE(2026,1,2),tblDaily[WardCode],"FW")),"")</f>
        <v/>
      </c>
      <c r="H8" s="5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IFERROR(IF(SUMIFS(tblDaily[Admissions],tblDaily[EntryDate],DATE(2026,1,3),tblDaily[WardCode],"FW")=0,"",SUMIFS(tblDaily[Admissions],tblDaily[EntryDate],DATE(2026,1,3),tblDaily[WardCode],"FW")),"")</f>
        <v/>
      </c>
      <c r="C9" s="5" t="str">
        <f>IFERROR(IF(SUMIFS(tblDaily[Discharges],tblDaily[EntryDate],DATE(2026,1,3),tblDaily[WardCode],"FW")=0,"",SUMIFS(tblDaily[Discharges],tblDaily[EntryDate],DATE(2026,1,3),tblDaily[WardCode],"FW")),"")</f>
        <v/>
      </c>
      <c r="D9" s="5" t="str">
        <f>IFERROR(IF(SUMIFS(tblDaily[Deaths],tblDaily[EntryDate],DATE(2026,1,3),tblDaily[WardCode],"FW")=0,"",SUMIFS(tblDaily[Deaths],tblDaily[EntryDate],DATE(2026,1,3),tblDaily[WardCode],"FW")),"")</f>
        <v/>
      </c>
      <c r="E9" s="5" t="str">
        <f>IFERROR(IF(SUMIFS(tblDaily[DeathsUnder24Hrs],tblDaily[EntryDate],DATE(2026,1,3),tblDaily[WardCode],"FW")=0,"",SUMIFS(tblDaily[DeathsUnder24Hrs],tblDaily[EntryDate],DATE(2026,1,3),tblDaily[WardCode],"FW")),"")</f>
        <v/>
      </c>
      <c r="F9" s="5" t="str">
        <f>IFERROR(IF(SUMIFS(tblDaily[TransfersIn],tblDaily[EntryDate],DATE(2026,1,3),tblDaily[WardCode],"FW")=0,"",SUMIFS(tblDaily[TransfersIn],tblDaily[EntryDate],DATE(2026,1,3),tblDaily[WardCode],"FW")),"")</f>
        <v/>
      </c>
      <c r="G9" s="5" t="str">
        <f>IFERROR(IF(SUMIFS(tblDaily[TransfersOut],tblDaily[EntryDate],DATE(2026,1,3),tblDaily[WardCode],"FW")=0,"",SUMIFS(tblDaily[TransfersOut],tblDaily[EntryDate],DATE(2026,1,3),tblDaily[WardCode],"FW")),"")</f>
        <v/>
      </c>
      <c r="H9" s="5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IFERROR(IF(SUMIFS(tblDaily[Admissions],tblDaily[EntryDate],DATE(2026,1,4),tblDaily[WardCode],"FW")=0,"",SUMIFS(tblDaily[Admissions],tblDaily[EntryDate],DATE(2026,1,4),tblDaily[WardCode],"FW")),"")</f>
        <v/>
      </c>
      <c r="C10" s="5" t="str">
        <f>IFERROR(IF(SUMIFS(tblDaily[Discharges],tblDaily[EntryDate],DATE(2026,1,4),tblDaily[WardCode],"FW")=0,"",SUMIFS(tblDaily[Discharges],tblDaily[EntryDate],DATE(2026,1,4),tblDaily[WardCode],"FW")),"")</f>
        <v/>
      </c>
      <c r="D10" s="5" t="str">
        <f>IFERROR(IF(SUMIFS(tblDaily[Deaths],tblDaily[EntryDate],DATE(2026,1,4),tblDaily[WardCode],"FW")=0,"",SUMIFS(tblDaily[Deaths],tblDaily[EntryDate],DATE(2026,1,4),tblDaily[WardCode],"FW")),"")</f>
        <v/>
      </c>
      <c r="E10" s="5" t="str">
        <f>IFERROR(IF(SUMIFS(tblDaily[DeathsUnder24Hrs],tblDaily[EntryDate],DATE(2026,1,4),tblDaily[WardCode],"FW")=0,"",SUMIFS(tblDaily[DeathsUnder24Hrs],tblDaily[EntryDate],DATE(2026,1,4),tblDaily[WardCode],"FW")),"")</f>
        <v/>
      </c>
      <c r="F10" s="5" t="str">
        <f>IFERROR(IF(SUMIFS(tblDaily[TransfersIn],tblDaily[EntryDate],DATE(2026,1,4),tblDaily[WardCode],"FW")=0,"",SUMIFS(tblDaily[TransfersIn],tblDaily[EntryDate],DATE(2026,1,4),tblDaily[WardCode],"FW")),"")</f>
        <v/>
      </c>
      <c r="G10" s="5" t="str">
        <f>IFERROR(IF(SUMIFS(tblDaily[TransfersOut],tblDaily[EntryDate],DATE(2026,1,4),tblDaily[WardCode],"FW")=0,"",SUMIFS(tblDaily[TransfersOut],tblDaily[EntryDate],DATE(2026,1,4),tblDaily[WardCode],"FW")),"")</f>
        <v/>
      </c>
      <c r="H10" s="5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IFERROR(IF(SUMIFS(tblDaily[Admissions],tblDaily[EntryDate],DATE(2026,1,5),tblDaily[WardCode],"FW")=0,"",SUMIFS(tblDaily[Admissions],tblDaily[EntryDate],DATE(2026,1,5),tblDaily[WardCode],"FW")),"")</f>
        <v/>
      </c>
      <c r="C11" s="5" t="str">
        <f>IFERROR(IF(SUMIFS(tblDaily[Discharges],tblDaily[EntryDate],DATE(2026,1,5),tblDaily[WardCode],"FW")=0,"",SUMIFS(tblDaily[Discharges],tblDaily[EntryDate],DATE(2026,1,5),tblDaily[WardCode],"FW")),"")</f>
        <v/>
      </c>
      <c r="D11" s="5" t="str">
        <f>IFERROR(IF(SUMIFS(tblDaily[Deaths],tblDaily[EntryDate],DATE(2026,1,5),tblDaily[WardCode],"FW")=0,"",SUMIFS(tblDaily[Deaths],tblDaily[EntryDate],DATE(2026,1,5),tblDaily[WardCode],"FW")),"")</f>
        <v/>
      </c>
      <c r="E11" s="5" t="str">
        <f>IFERROR(IF(SUMIFS(tblDaily[DeathsUnder24Hrs],tblDaily[EntryDate],DATE(2026,1,5),tblDaily[WardCode],"FW")=0,"",SUMIFS(tblDaily[DeathsUnder24Hrs],tblDaily[EntryDate],DATE(2026,1,5),tblDaily[WardCode],"FW")),"")</f>
        <v/>
      </c>
      <c r="F11" s="5" t="str">
        <f>IFERROR(IF(SUMIFS(tblDaily[TransfersIn],tblDaily[EntryDate],DATE(2026,1,5),tblDaily[WardCode],"FW")=0,"",SUMIFS(tblDaily[TransfersIn],tblDaily[EntryDate],DATE(2026,1,5),tblDaily[WardCode],"FW")),"")</f>
        <v/>
      </c>
      <c r="G11" s="5" t="str">
        <f>IFERROR(IF(SUMIFS(tblDaily[TransfersOut],tblDaily[EntryDate],DATE(2026,1,5),tblDaily[WardCode],"FW")=0,"",SUMIFS(tblDaily[TransfersOut],tblDaily[EntryDate],DATE(2026,1,5),tblDaily[WardCode],"FW")),"")</f>
        <v/>
      </c>
      <c r="H11" s="5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IFERROR(IF(SUMIFS(tblDaily[Admissions],tblDaily[EntryDate],DATE(2026,1,6),tblDaily[WardCode],"FW")=0,"",SUMIFS(tblDaily[Admissions],tblDaily[EntryDate],DATE(2026,1,6),tblDaily[WardCode],"FW")),"")</f>
        <v/>
      </c>
      <c r="C12" s="5" t="str">
        <f>IFERROR(IF(SUMIFS(tblDaily[Discharges],tblDaily[EntryDate],DATE(2026,1,6),tblDaily[WardCode],"FW")=0,"",SUMIFS(tblDaily[Discharges],tblDaily[EntryDate],DATE(2026,1,6),tblDaily[WardCode],"FW")),"")</f>
        <v/>
      </c>
      <c r="D12" s="5" t="str">
        <f>IFERROR(IF(SUMIFS(tblDaily[Deaths],tblDaily[EntryDate],DATE(2026,1,6),tblDaily[WardCode],"FW")=0,"",SUMIFS(tblDaily[Deaths],tblDaily[EntryDate],DATE(2026,1,6),tblDaily[WardCode],"FW")),"")</f>
        <v/>
      </c>
      <c r="E12" s="5" t="str">
        <f>IFERROR(IF(SUMIFS(tblDaily[DeathsUnder24Hrs],tblDaily[EntryDate],DATE(2026,1,6),tblDaily[WardCode],"FW")=0,"",SUMIFS(tblDaily[DeathsUnder24Hrs],tblDaily[EntryDate],DATE(2026,1,6),tblDaily[WardCode],"FW")),"")</f>
        <v/>
      </c>
      <c r="F12" s="5" t="str">
        <f>IFERROR(IF(SUMIFS(tblDaily[TransfersIn],tblDaily[EntryDate],DATE(2026,1,6),tblDaily[WardCode],"FW")=0,"",SUMIFS(tblDaily[TransfersIn],tblDaily[EntryDate],DATE(2026,1,6),tblDaily[WardCode],"FW")),"")</f>
        <v/>
      </c>
      <c r="G12" s="5" t="str">
        <f>IFERROR(IF(SUMIFS(tblDaily[TransfersOut],tblDaily[EntryDate],DATE(2026,1,6),tblDaily[WardCode],"FW")=0,"",SUMIFS(tblDaily[TransfersOut],tblDaily[EntryDate],DATE(2026,1,6),tblDaily[WardCode],"FW")),"")</f>
        <v/>
      </c>
      <c r="H12" s="5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IFERROR(IF(SUMIFS(tblDaily[Admissions],tblDaily[EntryDate],DATE(2026,1,7),tblDaily[WardCode],"FW")=0,"",SUMIFS(tblDaily[Admissions],tblDaily[EntryDate],DATE(2026,1,7),tblDaily[WardCode],"FW")),"")</f>
        <v/>
      </c>
      <c r="C13" s="5" t="str">
        <f>IFERROR(IF(SUMIFS(tblDaily[Discharges],tblDaily[EntryDate],DATE(2026,1,7),tblDaily[WardCode],"FW")=0,"",SUMIFS(tblDaily[Discharges],tblDaily[EntryDate],DATE(2026,1,7),tblDaily[WardCode],"FW")),"")</f>
        <v/>
      </c>
      <c r="D13" s="5" t="str">
        <f>IFERROR(IF(SUMIFS(tblDaily[Deaths],tblDaily[EntryDate],DATE(2026,1,7),tblDaily[WardCode],"FW")=0,"",SUMIFS(tblDaily[Deaths],tblDaily[EntryDate],DATE(2026,1,7),tblDaily[WardCode],"FW")),"")</f>
        <v/>
      </c>
      <c r="E13" s="5" t="str">
        <f>IFERROR(IF(SUMIFS(tblDaily[DeathsUnder24Hrs],tblDaily[EntryDate],DATE(2026,1,7),tblDaily[WardCode],"FW")=0,"",SUMIFS(tblDaily[DeathsUnder24Hrs],tblDaily[EntryDate],DATE(2026,1,7),tblDaily[WardCode],"FW")),"")</f>
        <v/>
      </c>
      <c r="F13" s="5" t="str">
        <f>IFERROR(IF(SUMIFS(tblDaily[TransfersIn],tblDaily[EntryDate],DATE(2026,1,7),tblDaily[WardCode],"FW")=0,"",SUMIFS(tblDaily[TransfersIn],tblDaily[EntryDate],DATE(2026,1,7),tblDaily[WardCode],"FW")),"")</f>
        <v/>
      </c>
      <c r="G13" s="5" t="str">
        <f>IFERROR(IF(SUMIFS(tblDaily[TransfersOut],tblDaily[EntryDate],DATE(2026,1,7),tblDaily[WardCode],"FW")=0,"",SUMIFS(tblDaily[TransfersOut],tblDaily[EntryDate],DATE(2026,1,7),tblDaily[WardCode],"FW")),"")</f>
        <v/>
      </c>
      <c r="H13" s="5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IFERROR(IF(SUMIFS(tblDaily[Admissions],tblDaily[EntryDate],DATE(2026,1,8),tblDaily[WardCode],"FW")=0,"",SUMIFS(tblDaily[Admissions],tblDaily[EntryDate],DATE(2026,1,8),tblDaily[WardCode],"FW")),"")</f>
        <v/>
      </c>
      <c r="C14" s="5" t="str">
        <f>IFERROR(IF(SUMIFS(tblDaily[Discharges],tblDaily[EntryDate],DATE(2026,1,8),tblDaily[WardCode],"FW")=0,"",SUMIFS(tblDaily[Discharges],tblDaily[EntryDate],DATE(2026,1,8),tblDaily[WardCode],"FW")),"")</f>
        <v/>
      </c>
      <c r="D14" s="5" t="str">
        <f>IFERROR(IF(SUMIFS(tblDaily[Deaths],tblDaily[EntryDate],DATE(2026,1,8),tblDaily[WardCode],"FW")=0,"",SUMIFS(tblDaily[Deaths],tblDaily[EntryDate],DATE(2026,1,8),tblDaily[WardCode],"FW")),"")</f>
        <v/>
      </c>
      <c r="E14" s="5" t="str">
        <f>IFERROR(IF(SUMIFS(tblDaily[DeathsUnder24Hrs],tblDaily[EntryDate],DATE(2026,1,8),tblDaily[WardCode],"FW")=0,"",SUMIFS(tblDaily[DeathsUnder24Hrs],tblDaily[EntryDate],DATE(2026,1,8),tblDaily[WardCode],"FW")),"")</f>
        <v/>
      </c>
      <c r="F14" s="5" t="str">
        <f>IFERROR(IF(SUMIFS(tblDaily[TransfersIn],tblDaily[EntryDate],DATE(2026,1,8),tblDaily[WardCode],"FW")=0,"",SUMIFS(tblDaily[TransfersIn],tblDaily[EntryDate],DATE(2026,1,8),tblDaily[WardCode],"FW")),"")</f>
        <v/>
      </c>
      <c r="G14" s="5" t="str">
        <f>IFERROR(IF(SUMIFS(tblDaily[TransfersOut],tblDaily[EntryDate],DATE(2026,1,8),tblDaily[WardCode],"FW")=0,"",SUMIFS(tblDaily[TransfersOut],tblDaily[EntryDate],DATE(2026,1,8),tblDaily[WardCode],"FW")),"")</f>
        <v/>
      </c>
      <c r="H14" s="5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IFERROR(IF(SUMIFS(tblDaily[Admissions],tblDaily[EntryDate],DATE(2026,1,9),tblDaily[WardCode],"FW")=0,"",SUMIFS(tblDaily[Admissions],tblDaily[EntryDate],DATE(2026,1,9),tblDaily[WardCode],"FW")),"")</f>
        <v/>
      </c>
      <c r="C15" s="5" t="str">
        <f>IFERROR(IF(SUMIFS(tblDaily[Discharges],tblDaily[EntryDate],DATE(2026,1,9),tblDaily[WardCode],"FW")=0,"",SUMIFS(tblDaily[Discharges],tblDaily[EntryDate],DATE(2026,1,9),tblDaily[WardCode],"FW")),"")</f>
        <v/>
      </c>
      <c r="D15" s="5" t="str">
        <f>IFERROR(IF(SUMIFS(tblDaily[Deaths],tblDaily[EntryDate],DATE(2026,1,9),tblDaily[WardCode],"FW")=0,"",SUMIFS(tblDaily[Deaths],tblDaily[EntryDate],DATE(2026,1,9),tblDaily[WardCode],"FW")),"")</f>
        <v/>
      </c>
      <c r="E15" s="5" t="str">
        <f>IFERROR(IF(SUMIFS(tblDaily[DeathsUnder24Hrs],tblDaily[EntryDate],DATE(2026,1,9),tblDaily[WardCode],"FW")=0,"",SUMIFS(tblDaily[DeathsUnder24Hrs],tblDaily[EntryDate],DATE(2026,1,9),tblDaily[WardCode],"FW")),"")</f>
        <v/>
      </c>
      <c r="F15" s="5" t="str">
        <f>IFERROR(IF(SUMIFS(tblDaily[TransfersIn],tblDaily[EntryDate],DATE(2026,1,9),tblDaily[WardCode],"FW")=0,"",SUMIFS(tblDaily[TransfersIn],tblDaily[EntryDate],DATE(2026,1,9),tblDaily[WardCode],"FW")),"")</f>
        <v/>
      </c>
      <c r="G15" s="5" t="str">
        <f>IFERROR(IF(SUMIFS(tblDaily[TransfersOut],tblDaily[EntryDate],DATE(2026,1,9),tblDaily[WardCode],"FW")=0,"",SUMIFS(tblDaily[TransfersOut],tblDaily[EntryDate],DATE(2026,1,9),tblDaily[WardCode],"FW")),"")</f>
        <v/>
      </c>
      <c r="H15" s="5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IFERROR(IF(SUMIFS(tblDaily[Admissions],tblDaily[EntryDate],DATE(2026,1,10),tblDaily[WardCode],"FW")=0,"",SUMIFS(tblDaily[Admissions],tblDaily[EntryDate],DATE(2026,1,10),tblDaily[WardCode],"FW")),"")</f>
        <v/>
      </c>
      <c r="C16" s="5" t="str">
        <f>IFERROR(IF(SUMIFS(tblDaily[Discharges],tblDaily[EntryDate],DATE(2026,1,10),tblDaily[WardCode],"FW")=0,"",SUMIFS(tblDaily[Discharges],tblDaily[EntryDate],DATE(2026,1,10),tblDaily[WardCode],"FW")),"")</f>
        <v/>
      </c>
      <c r="D16" s="5" t="str">
        <f>IFERROR(IF(SUMIFS(tblDaily[Deaths],tblDaily[EntryDate],DATE(2026,1,10),tblDaily[WardCode],"FW")=0,"",SUMIFS(tblDaily[Deaths],tblDaily[EntryDate],DATE(2026,1,10),tblDaily[WardCode],"FW")),"")</f>
        <v/>
      </c>
      <c r="E16" s="5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5" t="str">
        <f>IFERROR(IF(SUMIFS(tblDaily[TransfersIn],tblDaily[EntryDate],DATE(2026,1,10),tblDaily[WardCode],"FW")=0,"",SUMIFS(tblDaily[TransfersIn],tblDaily[EntryDate],DATE(2026,1,10),tblDaily[WardCode],"FW")),"")</f>
        <v/>
      </c>
      <c r="G16" s="5" t="str">
        <f>IFERROR(IF(SUMIFS(tblDaily[TransfersOut],tblDaily[EntryDate],DATE(2026,1,10),tblDaily[WardCode],"FW")=0,"",SUMIFS(tblDaily[TransfersOut],tblDaily[EntryDate],DATE(2026,1,10),tblDaily[WardCode],"FW")),"")</f>
        <v/>
      </c>
      <c r="H16" s="5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IFERROR(IF(SUMIFS(tblDaily[Admissions],tblDaily[EntryDate],DATE(2026,1,11),tblDaily[WardCode],"FW")=0,"",SUMIFS(tblDaily[Admissions],tblDaily[EntryDate],DATE(2026,1,11),tblDaily[WardCode],"FW")),"")</f>
        <v/>
      </c>
      <c r="C17" s="5" t="str">
        <f>IFERROR(IF(SUMIFS(tblDaily[Discharges],tblDaily[EntryDate],DATE(2026,1,11),tblDaily[WardCode],"FW")=0,"",SUMIFS(tblDaily[Discharges],tblDaily[EntryDate],DATE(2026,1,11),tblDaily[WardCode],"FW")),"")</f>
        <v/>
      </c>
      <c r="D17" s="5" t="str">
        <f>IFERROR(IF(SUMIFS(tblDaily[Deaths],tblDaily[EntryDate],DATE(2026,1,11),tblDaily[WardCode],"FW")=0,"",SUMIFS(tblDaily[Deaths],tblDaily[EntryDate],DATE(2026,1,11),tblDaily[WardCode],"FW")),"")</f>
        <v/>
      </c>
      <c r="E17" s="5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5" t="str">
        <f>IFERROR(IF(SUMIFS(tblDaily[TransfersIn],tblDaily[EntryDate],DATE(2026,1,11),tblDaily[WardCode],"FW")=0,"",SUMIFS(tblDaily[TransfersIn],tblDaily[EntryDate],DATE(2026,1,11),tblDaily[WardCode],"FW")),"")</f>
        <v/>
      </c>
      <c r="G17" s="5" t="str">
        <f>IFERROR(IF(SUMIFS(tblDaily[TransfersOut],tblDaily[EntryDate],DATE(2026,1,11),tblDaily[WardCode],"FW")=0,"",SUMIFS(tblDaily[TransfersOut],tblDaily[EntryDate],DATE(2026,1,11),tblDaily[WardCode],"FW")),"")</f>
        <v/>
      </c>
      <c r="H17" s="5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IFERROR(IF(SUMIFS(tblDaily[Admissions],tblDaily[EntryDate],DATE(2026,1,12),tblDaily[WardCode],"FW")=0,"",SUMIFS(tblDaily[Admissions],tblDaily[EntryDate],DATE(2026,1,12),tblDaily[WardCode],"FW")),"")</f>
        <v/>
      </c>
      <c r="C18" s="5" t="str">
        <f>IFERROR(IF(SUMIFS(tblDaily[Discharges],tblDaily[EntryDate],DATE(2026,1,12),tblDaily[WardCode],"FW")=0,"",SUMIFS(tblDaily[Discharges],tblDaily[EntryDate],DATE(2026,1,12),tblDaily[WardCode],"FW")),"")</f>
        <v/>
      </c>
      <c r="D18" s="5" t="str">
        <f>IFERROR(IF(SUMIFS(tblDaily[Deaths],tblDaily[EntryDate],DATE(2026,1,12),tblDaily[WardCode],"FW")=0,"",SUMIFS(tblDaily[Deaths],tblDaily[EntryDate],DATE(2026,1,12),tblDaily[WardCode],"FW")),"")</f>
        <v/>
      </c>
      <c r="E18" s="5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5" t="str">
        <f>IFERROR(IF(SUMIFS(tblDaily[TransfersIn],tblDaily[EntryDate],DATE(2026,1,12),tblDaily[WardCode],"FW")=0,"",SUMIFS(tblDaily[TransfersIn],tblDaily[EntryDate],DATE(2026,1,12),tblDaily[WardCode],"FW")),"")</f>
        <v/>
      </c>
      <c r="G18" s="5" t="str">
        <f>IFERROR(IF(SUMIFS(tblDaily[TransfersOut],tblDaily[EntryDate],DATE(2026,1,12),tblDaily[WardCode],"FW")=0,"",SUMIFS(tblDaily[TransfersOut],tblDaily[EntryDate],DATE(2026,1,12),tblDaily[WardCode],"FW")),"")</f>
        <v/>
      </c>
      <c r="H18" s="5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IFERROR(IF(SUMIFS(tblDaily[Admissions],tblDaily[EntryDate],DATE(2026,1,13),tblDaily[WardCode],"FW")=0,"",SUMIFS(tblDaily[Admissions],tblDaily[EntryDate],DATE(2026,1,13),tblDaily[WardCode],"FW")),"")</f>
        <v/>
      </c>
      <c r="C19" s="5" t="str">
        <f>IFERROR(IF(SUMIFS(tblDaily[Discharges],tblDaily[EntryDate],DATE(2026,1,13),tblDaily[WardCode],"FW")=0,"",SUMIFS(tblDaily[Discharges],tblDaily[EntryDate],DATE(2026,1,13),tblDaily[WardCode],"FW")),"")</f>
        <v/>
      </c>
      <c r="D19" s="5" t="str">
        <f>IFERROR(IF(SUMIFS(tblDaily[Deaths],tblDaily[EntryDate],DATE(2026,1,13),tblDaily[WardCode],"FW")=0,"",SUMIFS(tblDaily[Deaths],tblDaily[EntryDate],DATE(2026,1,13),tblDaily[WardCode],"FW")),"")</f>
        <v/>
      </c>
      <c r="E19" s="5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5" t="str">
        <f>IFERROR(IF(SUMIFS(tblDaily[TransfersIn],tblDaily[EntryDate],DATE(2026,1,13),tblDaily[WardCode],"FW")=0,"",SUMIFS(tblDaily[TransfersIn],tblDaily[EntryDate],DATE(2026,1,13),tblDaily[WardCode],"FW")),"")</f>
        <v/>
      </c>
      <c r="G19" s="5" t="str">
        <f>IFERROR(IF(SUMIFS(tblDaily[TransfersOut],tblDaily[EntryDate],DATE(2026,1,13),tblDaily[WardCode],"FW")=0,"",SUMIFS(tblDaily[TransfersOut],tblDaily[EntryDate],DATE(2026,1,13),tblDaily[WardCode],"FW")),"")</f>
        <v/>
      </c>
      <c r="H19" s="5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IFERROR(IF(SUMIFS(tblDaily[Admissions],tblDaily[EntryDate],DATE(2026,1,14),tblDaily[WardCode],"FW")=0,"",SUMIFS(tblDaily[Admissions],tblDaily[EntryDate],DATE(2026,1,14),tblDaily[WardCode],"FW")),"")</f>
        <v/>
      </c>
      <c r="C20" s="5" t="str">
        <f>IFERROR(IF(SUMIFS(tblDaily[Discharges],tblDaily[EntryDate],DATE(2026,1,14),tblDaily[WardCode],"FW")=0,"",SUMIFS(tblDaily[Discharges],tblDaily[EntryDate],DATE(2026,1,14),tblDaily[WardCode],"FW")),"")</f>
        <v/>
      </c>
      <c r="D20" s="5" t="str">
        <f>IFERROR(IF(SUMIFS(tblDaily[Deaths],tblDaily[EntryDate],DATE(2026,1,14),tblDaily[WardCode],"FW")=0,"",SUMIFS(tblDaily[Deaths],tblDaily[EntryDate],DATE(2026,1,14),tblDaily[WardCode],"FW")),"")</f>
        <v/>
      </c>
      <c r="E20" s="5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5" t="str">
        <f>IFERROR(IF(SUMIFS(tblDaily[TransfersIn],tblDaily[EntryDate],DATE(2026,1,14),tblDaily[WardCode],"FW")=0,"",SUMIFS(tblDaily[TransfersIn],tblDaily[EntryDate],DATE(2026,1,14),tblDaily[WardCode],"FW")),"")</f>
        <v/>
      </c>
      <c r="G20" s="5" t="str">
        <f>IFERROR(IF(SUMIFS(tblDaily[TransfersOut],tblDaily[EntryDate],DATE(2026,1,14),tblDaily[WardCode],"FW")=0,"",SUMIFS(tblDaily[TransfersOut],tblDaily[EntryDate],DATE(2026,1,14),tblDaily[WardCode],"FW")),"")</f>
        <v/>
      </c>
      <c r="H20" s="5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IFERROR(IF(SUMIFS(tblDaily[Admissions],tblDaily[EntryDate],DATE(2026,1,15),tblDaily[WardCode],"FW")=0,"",SUMIFS(tblDaily[Admissions],tblDaily[EntryDate],DATE(2026,1,15),tblDaily[WardCode],"FW")),"")</f>
        <v/>
      </c>
      <c r="C21" s="5" t="str">
        <f>IFERROR(IF(SUMIFS(tblDaily[Discharges],tblDaily[EntryDate],DATE(2026,1,15),tblDaily[WardCode],"FW")=0,"",SUMIFS(tblDaily[Discharges],tblDaily[EntryDate],DATE(2026,1,15),tblDaily[WardCode],"FW")),"")</f>
        <v/>
      </c>
      <c r="D21" s="5" t="str">
        <f>IFERROR(IF(SUMIFS(tblDaily[Deaths],tblDaily[EntryDate],DATE(2026,1,15),tblDaily[WardCode],"FW")=0,"",SUMIFS(tblDaily[Deaths],tblDaily[EntryDate],DATE(2026,1,15),tblDaily[WardCode],"FW")),"")</f>
        <v/>
      </c>
      <c r="E21" s="5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5" t="str">
        <f>IFERROR(IF(SUMIFS(tblDaily[TransfersIn],tblDaily[EntryDate],DATE(2026,1,15),tblDaily[WardCode],"FW")=0,"",SUMIFS(tblDaily[TransfersIn],tblDaily[EntryDate],DATE(2026,1,15),tblDaily[WardCode],"FW")),"")</f>
        <v/>
      </c>
      <c r="G21" s="5" t="str">
        <f>IFERROR(IF(SUMIFS(tblDaily[TransfersOut],tblDaily[EntryDate],DATE(2026,1,15),tblDaily[WardCode],"FW")=0,"",SUMIFS(tblDaily[TransfersOut],tblDaily[EntryDate],DATE(2026,1,15),tblDaily[WardCode],"FW")),"")</f>
        <v/>
      </c>
      <c r="H21" s="5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IFERROR(IF(SUMIFS(tblDaily[Admissions],tblDaily[EntryDate],DATE(2026,1,16),tblDaily[WardCode],"FW")=0,"",SUMIFS(tblDaily[Admissions],tblDaily[EntryDate],DATE(2026,1,16),tblDaily[WardCode],"FW")),"")</f>
        <v/>
      </c>
      <c r="C22" s="5" t="str">
        <f>IFERROR(IF(SUMIFS(tblDaily[Discharges],tblDaily[EntryDate],DATE(2026,1,16),tblDaily[WardCode],"FW")=0,"",SUMIFS(tblDaily[Discharges],tblDaily[EntryDate],DATE(2026,1,16),tblDaily[WardCode],"FW")),"")</f>
        <v/>
      </c>
      <c r="D22" s="5" t="str">
        <f>IFERROR(IF(SUMIFS(tblDaily[Deaths],tblDaily[EntryDate],DATE(2026,1,16),tblDaily[WardCode],"FW")=0,"",SUMIFS(tblDaily[Deaths],tblDaily[EntryDate],DATE(2026,1,16),tblDaily[WardCode],"FW")),"")</f>
        <v/>
      </c>
      <c r="E22" s="5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5" t="str">
        <f>IFERROR(IF(SUMIFS(tblDaily[TransfersIn],tblDaily[EntryDate],DATE(2026,1,16),tblDaily[WardCode],"FW")=0,"",SUMIFS(tblDaily[TransfersIn],tblDaily[EntryDate],DATE(2026,1,16),tblDaily[WardCode],"FW")),"")</f>
        <v/>
      </c>
      <c r="G22" s="5" t="str">
        <f>IFERROR(IF(SUMIFS(tblDaily[TransfersOut],tblDaily[EntryDate],DATE(2026,1,16),tblDaily[WardCode],"FW")=0,"",SUMIFS(tblDaily[TransfersOut],tblDaily[EntryDate],DATE(2026,1,16),tblDaily[WardCode],"FW")),"")</f>
        <v/>
      </c>
      <c r="H22" s="5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IFERROR(IF(SUMIFS(tblDaily[Admissions],tblDaily[EntryDate],DATE(2026,1,17),tblDaily[WardCode],"FW")=0,"",SUMIFS(tblDaily[Admissions],tblDaily[EntryDate],DATE(2026,1,17),tblDaily[WardCode],"FW")),"")</f>
        <v/>
      </c>
      <c r="C23" s="5" t="str">
        <f>IFERROR(IF(SUMIFS(tblDaily[Discharges],tblDaily[EntryDate],DATE(2026,1,17),tblDaily[WardCode],"FW")=0,"",SUMIFS(tblDaily[Discharges],tblDaily[EntryDate],DATE(2026,1,17),tblDaily[WardCode],"FW")),"")</f>
        <v/>
      </c>
      <c r="D23" s="5" t="str">
        <f>IFERROR(IF(SUMIFS(tblDaily[Deaths],tblDaily[EntryDate],DATE(2026,1,17),tblDaily[WardCode],"FW")=0,"",SUMIFS(tblDaily[Deaths],tblDaily[EntryDate],DATE(2026,1,17),tblDaily[WardCode],"FW")),"")</f>
        <v/>
      </c>
      <c r="E23" s="5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5" t="str">
        <f>IFERROR(IF(SUMIFS(tblDaily[TransfersIn],tblDaily[EntryDate],DATE(2026,1,17),tblDaily[WardCode],"FW")=0,"",SUMIFS(tblDaily[TransfersIn],tblDaily[EntryDate],DATE(2026,1,17),tblDaily[WardCode],"FW")),"")</f>
        <v/>
      </c>
      <c r="G23" s="5" t="str">
        <f>IFERROR(IF(SUMIFS(tblDaily[TransfersOut],tblDaily[EntryDate],DATE(2026,1,17),tblDaily[WardCode],"FW")=0,"",SUMIFS(tblDaily[TransfersOut],tblDaily[EntryDate],DATE(2026,1,17),tblDaily[WardCode],"FW")),"")</f>
        <v/>
      </c>
      <c r="H23" s="5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IFERROR(IF(SUMIFS(tblDaily[Admissions],tblDaily[EntryDate],DATE(2026,1,18),tblDaily[WardCode],"FW")=0,"",SUMIFS(tblDaily[Admissions],tblDaily[EntryDate],DATE(2026,1,18),tblDaily[WardCode],"FW")),"")</f>
        <v/>
      </c>
      <c r="C24" s="5" t="str">
        <f>IFERROR(IF(SUMIFS(tblDaily[Discharges],tblDaily[EntryDate],DATE(2026,1,18),tblDaily[WardCode],"FW")=0,"",SUMIFS(tblDaily[Discharges],tblDaily[EntryDate],DATE(2026,1,18),tblDaily[WardCode],"FW")),"")</f>
        <v/>
      </c>
      <c r="D24" s="5" t="str">
        <f>IFERROR(IF(SUMIFS(tblDaily[Deaths],tblDaily[EntryDate],DATE(2026,1,18),tblDaily[WardCode],"FW")=0,"",SUMIFS(tblDaily[Deaths],tblDaily[EntryDate],DATE(2026,1,18),tblDaily[WardCode],"FW")),"")</f>
        <v/>
      </c>
      <c r="E24" s="5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5" t="str">
        <f>IFERROR(IF(SUMIFS(tblDaily[TransfersIn],tblDaily[EntryDate],DATE(2026,1,18),tblDaily[WardCode],"FW")=0,"",SUMIFS(tblDaily[TransfersIn],tblDaily[EntryDate],DATE(2026,1,18),tblDaily[WardCode],"FW")),"")</f>
        <v/>
      </c>
      <c r="G24" s="5" t="str">
        <f>IFERROR(IF(SUMIFS(tblDaily[TransfersOut],tblDaily[EntryDate],DATE(2026,1,18),tblDaily[WardCode],"FW")=0,"",SUMIFS(tblDaily[TransfersOut],tblDaily[EntryDate],DATE(2026,1,18),tblDaily[WardCode],"FW")),"")</f>
        <v/>
      </c>
      <c r="H24" s="5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IFERROR(IF(SUMIFS(tblDaily[Admissions],tblDaily[EntryDate],DATE(2026,1,19),tblDaily[WardCode],"FW")=0,"",SUMIFS(tblDaily[Admissions],tblDaily[EntryDate],DATE(2026,1,19),tblDaily[WardCode],"FW")),"")</f>
        <v/>
      </c>
      <c r="C25" s="5" t="str">
        <f>IFERROR(IF(SUMIFS(tblDaily[Discharges],tblDaily[EntryDate],DATE(2026,1,19),tblDaily[WardCode],"FW")=0,"",SUMIFS(tblDaily[Discharges],tblDaily[EntryDate],DATE(2026,1,19),tblDaily[WardCode],"FW")),"")</f>
        <v/>
      </c>
      <c r="D25" s="5" t="str">
        <f>IFERROR(IF(SUMIFS(tblDaily[Deaths],tblDaily[EntryDate],DATE(2026,1,19),tblDaily[WardCode],"FW")=0,"",SUMIFS(tblDaily[Deaths],tblDaily[EntryDate],DATE(2026,1,19),tblDaily[WardCode],"FW")),"")</f>
        <v/>
      </c>
      <c r="E25" s="5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5" t="str">
        <f>IFERROR(IF(SUMIFS(tblDaily[TransfersIn],tblDaily[EntryDate],DATE(2026,1,19),tblDaily[WardCode],"FW")=0,"",SUMIFS(tblDaily[TransfersIn],tblDaily[EntryDate],DATE(2026,1,19),tblDaily[WardCode],"FW")),"")</f>
        <v/>
      </c>
      <c r="G25" s="5" t="str">
        <f>IFERROR(IF(SUMIFS(tblDaily[TransfersOut],tblDaily[EntryDate],DATE(2026,1,19),tblDaily[WardCode],"FW")=0,"",SUMIFS(tblDaily[TransfersOut],tblDaily[EntryDate],DATE(2026,1,19),tblDaily[WardCode],"FW")),"")</f>
        <v/>
      </c>
      <c r="H25" s="5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IFERROR(IF(SUMIFS(tblDaily[Admissions],tblDaily[EntryDate],DATE(2026,1,20),tblDaily[WardCode],"FW")=0,"",SUMIFS(tblDaily[Admissions],tblDaily[EntryDate],DATE(2026,1,20),tblDaily[WardCode],"FW")),"")</f>
        <v/>
      </c>
      <c r="C26" s="5" t="str">
        <f>IFERROR(IF(SUMIFS(tblDaily[Discharges],tblDaily[EntryDate],DATE(2026,1,20),tblDaily[WardCode],"FW")=0,"",SUMIFS(tblDaily[Discharges],tblDaily[EntryDate],DATE(2026,1,20),tblDaily[WardCode],"FW")),"")</f>
        <v/>
      </c>
      <c r="D26" s="5" t="str">
        <f>IFERROR(IF(SUMIFS(tblDaily[Deaths],tblDaily[EntryDate],DATE(2026,1,20),tblDaily[WardCode],"FW")=0,"",SUMIFS(tblDaily[Deaths],tblDaily[EntryDate],DATE(2026,1,20),tblDaily[WardCode],"FW")),"")</f>
        <v/>
      </c>
      <c r="E26" s="5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5" t="str">
        <f>IFERROR(IF(SUMIFS(tblDaily[TransfersIn],tblDaily[EntryDate],DATE(2026,1,20),tblDaily[WardCode],"FW")=0,"",SUMIFS(tblDaily[TransfersIn],tblDaily[EntryDate],DATE(2026,1,20),tblDaily[WardCode],"FW")),"")</f>
        <v/>
      </c>
      <c r="G26" s="5" t="str">
        <f>IFERROR(IF(SUMIFS(tblDaily[TransfersOut],tblDaily[EntryDate],DATE(2026,1,20),tblDaily[WardCode],"FW")=0,"",SUMIFS(tblDaily[TransfersOut],tblDaily[EntryDate],DATE(2026,1,20),tblDaily[WardCode],"FW")),"")</f>
        <v/>
      </c>
      <c r="H26" s="5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IFERROR(IF(SUMIFS(tblDaily[Admissions],tblDaily[EntryDate],DATE(2026,1,21),tblDaily[WardCode],"FW")=0,"",SUMIFS(tblDaily[Admissions],tblDaily[EntryDate],DATE(2026,1,21),tblDaily[WardCode],"FW")),"")</f>
        <v/>
      </c>
      <c r="C27" s="5" t="str">
        <f>IFERROR(IF(SUMIFS(tblDaily[Discharges],tblDaily[EntryDate],DATE(2026,1,21),tblDaily[WardCode],"FW")=0,"",SUMIFS(tblDaily[Discharges],tblDaily[EntryDate],DATE(2026,1,21),tblDaily[WardCode],"FW")),"")</f>
        <v/>
      </c>
      <c r="D27" s="5" t="str">
        <f>IFERROR(IF(SUMIFS(tblDaily[Deaths],tblDaily[EntryDate],DATE(2026,1,21),tblDaily[WardCode],"FW")=0,"",SUMIFS(tblDaily[Deaths],tblDaily[EntryDate],DATE(2026,1,21),tblDaily[WardCode],"FW")),"")</f>
        <v/>
      </c>
      <c r="E27" s="5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5" t="str">
        <f>IFERROR(IF(SUMIFS(tblDaily[TransfersIn],tblDaily[EntryDate],DATE(2026,1,21),tblDaily[WardCode],"FW")=0,"",SUMIFS(tblDaily[TransfersIn],tblDaily[EntryDate],DATE(2026,1,21),tblDaily[WardCode],"FW")),"")</f>
        <v/>
      </c>
      <c r="G27" s="5" t="str">
        <f>IFERROR(IF(SUMIFS(tblDaily[TransfersOut],tblDaily[EntryDate],DATE(2026,1,21),tblDaily[WardCode],"FW")=0,"",SUMIFS(tblDaily[TransfersOut],tblDaily[EntryDate],DATE(2026,1,21),tblDaily[WardCode],"FW")),"")</f>
        <v/>
      </c>
      <c r="H27" s="5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IFERROR(IF(SUMIFS(tblDaily[Admissions],tblDaily[EntryDate],DATE(2026,1,22),tblDaily[WardCode],"FW")=0,"",SUMIFS(tblDaily[Admissions],tblDaily[EntryDate],DATE(2026,1,22),tblDaily[WardCode],"FW")),"")</f>
        <v/>
      </c>
      <c r="C28" s="5" t="str">
        <f>IFERROR(IF(SUMIFS(tblDaily[Discharges],tblDaily[EntryDate],DATE(2026,1,22),tblDaily[WardCode],"FW")=0,"",SUMIFS(tblDaily[Discharges],tblDaily[EntryDate],DATE(2026,1,22),tblDaily[WardCode],"FW")),"")</f>
        <v/>
      </c>
      <c r="D28" s="5" t="str">
        <f>IFERROR(IF(SUMIFS(tblDaily[Deaths],tblDaily[EntryDate],DATE(2026,1,22),tblDaily[WardCode],"FW")=0,"",SUMIFS(tblDaily[Deaths],tblDaily[EntryDate],DATE(2026,1,22),tblDaily[WardCode],"FW")),"")</f>
        <v/>
      </c>
      <c r="E28" s="5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5" t="str">
        <f>IFERROR(IF(SUMIFS(tblDaily[TransfersIn],tblDaily[EntryDate],DATE(2026,1,22),tblDaily[WardCode],"FW")=0,"",SUMIFS(tblDaily[TransfersIn],tblDaily[EntryDate],DATE(2026,1,22),tblDaily[WardCode],"FW")),"")</f>
        <v/>
      </c>
      <c r="G28" s="5" t="str">
        <f>IFERROR(IF(SUMIFS(tblDaily[TransfersOut],tblDaily[EntryDate],DATE(2026,1,22),tblDaily[WardCode],"FW")=0,"",SUMIFS(tblDaily[TransfersOut],tblDaily[EntryDate],DATE(2026,1,22),tblDaily[WardCode],"FW")),"")</f>
        <v/>
      </c>
      <c r="H28" s="5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IFERROR(IF(SUMIFS(tblDaily[Admissions],tblDaily[EntryDate],DATE(2026,1,23),tblDaily[WardCode],"FW")=0,"",SUMIFS(tblDaily[Admissions],tblDaily[EntryDate],DATE(2026,1,23),tblDaily[WardCode],"FW")),"")</f>
        <v/>
      </c>
      <c r="C29" s="5" t="str">
        <f>IFERROR(IF(SUMIFS(tblDaily[Discharges],tblDaily[EntryDate],DATE(2026,1,23),tblDaily[WardCode],"FW")=0,"",SUMIFS(tblDaily[Discharges],tblDaily[EntryDate],DATE(2026,1,23),tblDaily[WardCode],"FW")),"")</f>
        <v/>
      </c>
      <c r="D29" s="5" t="str">
        <f>IFERROR(IF(SUMIFS(tblDaily[Deaths],tblDaily[EntryDate],DATE(2026,1,23),tblDaily[WardCode],"FW")=0,"",SUMIFS(tblDaily[Deaths],tblDaily[EntryDate],DATE(2026,1,23),tblDaily[WardCode],"FW")),"")</f>
        <v/>
      </c>
      <c r="E29" s="5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5" t="str">
        <f>IFERROR(IF(SUMIFS(tblDaily[TransfersIn],tblDaily[EntryDate],DATE(2026,1,23),tblDaily[WardCode],"FW")=0,"",SUMIFS(tblDaily[TransfersIn],tblDaily[EntryDate],DATE(2026,1,23),tblDaily[WardCode],"FW")),"")</f>
        <v/>
      </c>
      <c r="G29" s="5" t="str">
        <f>IFERROR(IF(SUMIFS(tblDaily[TransfersOut],tblDaily[EntryDate],DATE(2026,1,23),tblDaily[WardCode],"FW")=0,"",SUMIFS(tblDaily[TransfersOut],tblDaily[EntryDate],DATE(2026,1,23),tblDaily[WardCode],"FW")),"")</f>
        <v/>
      </c>
      <c r="H29" s="5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IFERROR(IF(SUMIFS(tblDaily[Admissions],tblDaily[EntryDate],DATE(2026,1,24),tblDaily[WardCode],"FW")=0,"",SUMIFS(tblDaily[Admissions],tblDaily[EntryDate],DATE(2026,1,24),tblDaily[WardCode],"FW")),"")</f>
        <v/>
      </c>
      <c r="C30" s="5" t="str">
        <f>IFERROR(IF(SUMIFS(tblDaily[Discharges],tblDaily[EntryDate],DATE(2026,1,24),tblDaily[WardCode],"FW")=0,"",SUMIFS(tblDaily[Discharges],tblDaily[EntryDate],DATE(2026,1,24),tblDaily[WardCode],"FW")),"")</f>
        <v/>
      </c>
      <c r="D30" s="5" t="str">
        <f>IFERROR(IF(SUMIFS(tblDaily[Deaths],tblDaily[EntryDate],DATE(2026,1,24),tblDaily[WardCode],"FW")=0,"",SUMIFS(tblDaily[Deaths],tblDaily[EntryDate],DATE(2026,1,24),tblDaily[WardCode],"FW")),"")</f>
        <v/>
      </c>
      <c r="E30" s="5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5" t="str">
        <f>IFERROR(IF(SUMIFS(tblDaily[TransfersIn],tblDaily[EntryDate],DATE(2026,1,24),tblDaily[WardCode],"FW")=0,"",SUMIFS(tblDaily[TransfersIn],tblDaily[EntryDate],DATE(2026,1,24),tblDaily[WardCode],"FW")),"")</f>
        <v/>
      </c>
      <c r="G30" s="5" t="str">
        <f>IFERROR(IF(SUMIFS(tblDaily[TransfersOut],tblDaily[EntryDate],DATE(2026,1,24),tblDaily[WardCode],"FW")=0,"",SUMIFS(tblDaily[TransfersOut],tblDaily[EntryDate],DATE(2026,1,24),tblDaily[WardCode],"FW")),"")</f>
        <v/>
      </c>
      <c r="H30" s="5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IFERROR(IF(SUMIFS(tblDaily[Admissions],tblDaily[EntryDate],DATE(2026,1,25),tblDaily[WardCode],"FW")=0,"",SUMIFS(tblDaily[Admissions],tblDaily[EntryDate],DATE(2026,1,25),tblDaily[WardCode],"FW")),"")</f>
        <v/>
      </c>
      <c r="C31" s="5" t="str">
        <f>IFERROR(IF(SUMIFS(tblDaily[Discharges],tblDaily[EntryDate],DATE(2026,1,25),tblDaily[WardCode],"FW")=0,"",SUMIFS(tblDaily[Discharges],tblDaily[EntryDate],DATE(2026,1,25),tblDaily[WardCode],"FW")),"")</f>
        <v/>
      </c>
      <c r="D31" s="5" t="str">
        <f>IFERROR(IF(SUMIFS(tblDaily[Deaths],tblDaily[EntryDate],DATE(2026,1,25),tblDaily[WardCode],"FW")=0,"",SUMIFS(tblDaily[Deaths],tblDaily[EntryDate],DATE(2026,1,25),tblDaily[WardCode],"FW")),"")</f>
        <v/>
      </c>
      <c r="E31" s="5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5" t="str">
        <f>IFERROR(IF(SUMIFS(tblDaily[TransfersIn],tblDaily[EntryDate],DATE(2026,1,25),tblDaily[WardCode],"FW")=0,"",SUMIFS(tblDaily[TransfersIn],tblDaily[EntryDate],DATE(2026,1,25),tblDaily[WardCode],"FW")),"")</f>
        <v/>
      </c>
      <c r="G31" s="5" t="str">
        <f>IFERROR(IF(SUMIFS(tblDaily[TransfersOut],tblDaily[EntryDate],DATE(2026,1,25),tblDaily[WardCode],"FW")=0,"",SUMIFS(tblDaily[TransfersOut],tblDaily[EntryDate],DATE(2026,1,25),tblDaily[WardCode],"FW")),"")</f>
        <v/>
      </c>
      <c r="H31" s="5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IFERROR(IF(SUMIFS(tblDaily[Admissions],tblDaily[EntryDate],DATE(2026,1,26),tblDaily[WardCode],"FW")=0,"",SUMIFS(tblDaily[Admissions],tblDaily[EntryDate],DATE(2026,1,26),tblDaily[WardCode],"FW")),"")</f>
        <v/>
      </c>
      <c r="C32" s="5" t="str">
        <f>IFERROR(IF(SUMIFS(tblDaily[Discharges],tblDaily[EntryDate],DATE(2026,1,26),tblDaily[WardCode],"FW")=0,"",SUMIFS(tblDaily[Discharges],tblDaily[EntryDate],DATE(2026,1,26),tblDaily[WardCode],"FW")),"")</f>
        <v/>
      </c>
      <c r="D32" s="5" t="str">
        <f>IFERROR(IF(SUMIFS(tblDaily[Deaths],tblDaily[EntryDate],DATE(2026,1,26),tblDaily[WardCode],"FW")=0,"",SUMIFS(tblDaily[Deaths],tblDaily[EntryDate],DATE(2026,1,26),tblDaily[WardCode],"FW")),"")</f>
        <v/>
      </c>
      <c r="E32" s="5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5" t="str">
        <f>IFERROR(IF(SUMIFS(tblDaily[TransfersIn],tblDaily[EntryDate],DATE(2026,1,26),tblDaily[WardCode],"FW")=0,"",SUMIFS(tblDaily[TransfersIn],tblDaily[EntryDate],DATE(2026,1,26),tblDaily[WardCode],"FW")),"")</f>
        <v/>
      </c>
      <c r="G32" s="5" t="str">
        <f>IFERROR(IF(SUMIFS(tblDaily[TransfersOut],tblDaily[EntryDate],DATE(2026,1,26),tblDaily[WardCode],"FW")=0,"",SUMIFS(tblDaily[TransfersOut],tblDaily[EntryDate],DATE(2026,1,26),tblDaily[WardCode],"FW")),"")</f>
        <v/>
      </c>
      <c r="H32" s="5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IFERROR(IF(SUMIFS(tblDaily[Admissions],tblDaily[EntryDate],DATE(2026,1,27),tblDaily[WardCode],"FW")=0,"",SUMIFS(tblDaily[Admissions],tblDaily[EntryDate],DATE(2026,1,27),tblDaily[WardCode],"FW")),"")</f>
        <v/>
      </c>
      <c r="C33" s="5" t="str">
        <f>IFERROR(IF(SUMIFS(tblDaily[Discharges],tblDaily[EntryDate],DATE(2026,1,27),tblDaily[WardCode],"FW")=0,"",SUMIFS(tblDaily[Discharges],tblDaily[EntryDate],DATE(2026,1,27),tblDaily[WardCode],"FW")),"")</f>
        <v/>
      </c>
      <c r="D33" s="5" t="str">
        <f>IFERROR(IF(SUMIFS(tblDaily[Deaths],tblDaily[EntryDate],DATE(2026,1,27),tblDaily[WardCode],"FW")=0,"",SUMIFS(tblDaily[Deaths],tblDaily[EntryDate],DATE(2026,1,27),tblDaily[WardCode],"FW")),"")</f>
        <v/>
      </c>
      <c r="E33" s="5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5" t="str">
        <f>IFERROR(IF(SUMIFS(tblDaily[TransfersIn],tblDaily[EntryDate],DATE(2026,1,27),tblDaily[WardCode],"FW")=0,"",SUMIFS(tblDaily[TransfersIn],tblDaily[EntryDate],DATE(2026,1,27),tblDaily[WardCode],"FW")),"")</f>
        <v/>
      </c>
      <c r="G33" s="5" t="str">
        <f>IFERROR(IF(SUMIFS(tblDaily[TransfersOut],tblDaily[EntryDate],DATE(2026,1,27),tblDaily[WardCode],"FW")=0,"",SUMIFS(tblDaily[TransfersOut],tblDaily[EntryDate],DATE(2026,1,27),tblDaily[WardCode],"FW")),"")</f>
        <v/>
      </c>
      <c r="H33" s="5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IFERROR(IF(SUMIFS(tblDaily[Admissions],tblDaily[EntryDate],DATE(2026,1,28),tblDaily[WardCode],"FW")=0,"",SUMIFS(tblDaily[Admissions],tblDaily[EntryDate],DATE(2026,1,28),tblDaily[WardCode],"FW")),"")</f>
        <v/>
      </c>
      <c r="C34" s="5" t="str">
        <f>IFERROR(IF(SUMIFS(tblDaily[Discharges],tblDaily[EntryDate],DATE(2026,1,28),tblDaily[WardCode],"FW")=0,"",SUMIFS(tblDaily[Discharges],tblDaily[EntryDate],DATE(2026,1,28),tblDaily[WardCode],"FW")),"")</f>
        <v/>
      </c>
      <c r="D34" s="5" t="str">
        <f>IFERROR(IF(SUMIFS(tblDaily[Deaths],tblDaily[EntryDate],DATE(2026,1,28),tblDaily[WardCode],"FW")=0,"",SUMIFS(tblDaily[Deaths],tblDaily[EntryDate],DATE(2026,1,28),tblDaily[WardCode],"FW")),"")</f>
        <v/>
      </c>
      <c r="E34" s="5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5" t="str">
        <f>IFERROR(IF(SUMIFS(tblDaily[TransfersIn],tblDaily[EntryDate],DATE(2026,1,28),tblDaily[WardCode],"FW")=0,"",SUMIFS(tblDaily[TransfersIn],tblDaily[EntryDate],DATE(2026,1,28),tblDaily[WardCode],"FW")),"")</f>
        <v/>
      </c>
      <c r="G34" s="5" t="str">
        <f>IFERROR(IF(SUMIFS(tblDaily[TransfersOut],tblDaily[EntryDate],DATE(2026,1,28),tblDaily[WardCode],"FW")=0,"",SUMIFS(tblDaily[TransfersOut],tblDaily[EntryDate],DATE(2026,1,28),tblDaily[WardCode],"FW")),"")</f>
        <v/>
      </c>
      <c r="H34" s="5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IFERROR(IF(SUMIFS(tblDaily[Admissions],tblDaily[EntryDate],DATE(2026,1,29),tblDaily[WardCode],"FW")=0,"",SUMIFS(tblDaily[Admissions],tblDaily[EntryDate],DATE(2026,1,29),tblDaily[WardCode],"FW")),"")</f>
        <v/>
      </c>
      <c r="C35" s="5" t="str">
        <f>IFERROR(IF(SUMIFS(tblDaily[Discharges],tblDaily[EntryDate],DATE(2026,1,29),tblDaily[WardCode],"FW")=0,"",SUMIFS(tblDaily[Discharges],tblDaily[EntryDate],DATE(2026,1,29),tblDaily[WardCode],"FW")),"")</f>
        <v/>
      </c>
      <c r="D35" s="5" t="str">
        <f>IFERROR(IF(SUMIFS(tblDaily[Deaths],tblDaily[EntryDate],DATE(2026,1,29),tblDaily[WardCode],"FW")=0,"",SUMIFS(tblDaily[Deaths],tblDaily[EntryDate],DATE(2026,1,29),tblDaily[WardCode],"FW")),"")</f>
        <v/>
      </c>
      <c r="E35" s="5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5" t="str">
        <f>IFERROR(IF(SUMIFS(tblDaily[TransfersIn],tblDaily[EntryDate],DATE(2026,1,29),tblDaily[WardCode],"FW")=0,"",SUMIFS(tblDaily[TransfersIn],tblDaily[EntryDate],DATE(2026,1,29),tblDaily[WardCode],"FW")),"")</f>
        <v/>
      </c>
      <c r="G35" s="5" t="str">
        <f>IFERROR(IF(SUMIFS(tblDaily[TransfersOut],tblDaily[EntryDate],DATE(2026,1,29),tblDaily[WardCode],"FW")=0,"",SUMIFS(tblDaily[TransfersOut],tblDaily[EntryDate],DATE(2026,1,29),tblDaily[WardCode],"FW")),"")</f>
        <v/>
      </c>
      <c r="H35" s="5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IFERROR(IF(SUMIFS(tblDaily[Admissions],tblDaily[EntryDate],DATE(2026,1,30),tblDaily[WardCode],"FW")=0,"",SUMIFS(tblDaily[Admissions],tblDaily[EntryDate],DATE(2026,1,30),tblDaily[WardCode],"FW")),"")</f>
        <v/>
      </c>
      <c r="C36" s="5" t="str">
        <f>IFERROR(IF(SUMIFS(tblDaily[Discharges],tblDaily[EntryDate],DATE(2026,1,30),tblDaily[WardCode],"FW")=0,"",SUMIFS(tblDaily[Discharges],tblDaily[EntryDate],DATE(2026,1,30),tblDaily[WardCode],"FW")),"")</f>
        <v/>
      </c>
      <c r="D36" s="5" t="str">
        <f>IFERROR(IF(SUMIFS(tblDaily[Deaths],tblDaily[EntryDate],DATE(2026,1,30),tblDaily[WardCode],"FW")=0,"",SUMIFS(tblDaily[Deaths],tblDaily[EntryDate],DATE(2026,1,30),tblDaily[WardCode],"FW")),"")</f>
        <v/>
      </c>
      <c r="E36" s="5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5" t="str">
        <f>IFERROR(IF(SUMIFS(tblDaily[TransfersIn],tblDaily[EntryDate],DATE(2026,1,30),tblDaily[WardCode],"FW")=0,"",SUMIFS(tblDaily[TransfersIn],tblDaily[EntryDate],DATE(2026,1,30),tblDaily[WardCode],"FW")),"")</f>
        <v/>
      </c>
      <c r="G36" s="5" t="str">
        <f>IFERROR(IF(SUMIFS(tblDaily[TransfersOut],tblDaily[EntryDate],DATE(2026,1,30),tblDaily[WardCode],"FW")=0,"",SUMIFS(tblDaily[TransfersOut],tblDaily[EntryDate],DATE(2026,1,30),tblDaily[WardCode],"FW")),"")</f>
        <v/>
      </c>
      <c r="H36" s="5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IFERROR(IF(SUMIFS(tblDaily[Admissions],tblDaily[EntryDate],DATE(2026,1,31),tblDaily[WardCode],"FW")=0,"",SUMIFS(tblDaily[Admissions],tblDaily[EntryDate],DATE(2026,1,31),tblDaily[WardCode],"FW")),"")</f>
        <v/>
      </c>
      <c r="C37" s="5" t="str">
        <f>IFERROR(IF(SUMIFS(tblDaily[Discharges],tblDaily[EntryDate],DATE(2026,1,31),tblDaily[WardCode],"FW")=0,"",SUMIFS(tblDaily[Discharges],tblDaily[EntryDate],DATE(2026,1,31),tblDaily[WardCode],"FW")),"")</f>
        <v/>
      </c>
      <c r="D37" s="5" t="str">
        <f>IFERROR(IF(SUMIFS(tblDaily[Deaths],tblDaily[EntryDate],DATE(2026,1,31),tblDaily[WardCode],"FW")=0,"",SUMIFS(tblDaily[Deaths],tblDaily[EntryDate],DATE(2026,1,31),tblDaily[WardCode],"FW")),"")</f>
        <v/>
      </c>
      <c r="E37" s="5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5" t="str">
        <f>IFERROR(IF(SUMIFS(tblDaily[TransfersIn],tblDaily[EntryDate],DATE(2026,1,31),tblDaily[WardCode],"FW")=0,"",SUMIFS(tblDaily[TransfersIn],tblDaily[EntryDate],DATE(2026,1,31),tblDaily[WardCode],"FW")),"")</f>
        <v/>
      </c>
      <c r="G37" s="5" t="str">
        <f>IFERROR(IF(SUMIFS(tblDaily[TransfersOut],tblDaily[EntryDate],DATE(2026,1,31),tblDaily[WardCode],"FW")=0,"",SUMIFS(tblDaily[TransfersOut],tblDaily[EntryDate],DATE(2026,1,31),tblDaily[WardCode],"FW")),"")</f>
        <v/>
      </c>
      <c r="H37" s="5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9" t="s">
        <v>95</v>
      </c>
      <c r="B38" s="9">
        <f>SUMIFS(tblDaily[Admissions],tblDaily[Month],1,tblDaily[WardCode],"FW")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96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IFERROR(SUMIFS(tblDaily[Remaining],tblDaily[EntryDate],DATE(2026,1,31),tblDaily[WardCode],"FW"),0)</f>
        <v>0</v>
      </c>
    </row>
    <row r="44" spans="1:8" x14ac:dyDescent="0.25">
      <c r="A44" s="1" t="s">
        <v>89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IFERROR(IF(SUMIFS(tblDaily[Admissions],tblDaily[EntryDate],DATE(2026,2,1),tblDaily[WardCode],"FW")=0,"",SUMIFS(tblDaily[Admissions],tblDaily[EntryDate],DATE(2026,2,1),tblDaily[WardCode],"FW")),"")</f>
        <v/>
      </c>
      <c r="C46" s="5" t="str">
        <f>IFERROR(IF(SUMIFS(tblDaily[Discharges],tblDaily[EntryDate],DATE(2026,2,1),tblDaily[WardCode],"FW")=0,"",SUMIFS(tblDaily[Discharges],tblDaily[EntryDate],DATE(2026,2,1),tblDaily[WardCode],"FW")),"")</f>
        <v/>
      </c>
      <c r="D46" s="5" t="str">
        <f>IFERROR(IF(SUMIFS(tblDaily[Deaths],tblDaily[EntryDate],DATE(2026,2,1),tblDaily[WardCode],"FW")=0,"",SUMIFS(tblDaily[Deaths],tblDaily[EntryDate],DATE(2026,2,1),tblDaily[WardCode],"FW")),"")</f>
        <v/>
      </c>
      <c r="E46" s="5" t="str">
        <f>IFERROR(IF(SUMIFS(tblDaily[DeathsUnder24Hrs],tblDaily[EntryDate],DATE(2026,2,1),tblDaily[WardCode],"FW")=0,"",SUMIFS(tblDaily[DeathsUnder24Hrs],tblDaily[EntryDate],DATE(2026,2,1),tblDaily[WardCode],"FW")),"")</f>
        <v/>
      </c>
      <c r="F46" s="5" t="str">
        <f>IFERROR(IF(SUMIFS(tblDaily[TransfersIn],tblDaily[EntryDate],DATE(2026,2,1),tblDaily[WardCode],"FW")=0,"",SUMIFS(tblDaily[TransfersIn],tblDaily[EntryDate],DATE(2026,2,1),tblDaily[WardCode],"FW")),"")</f>
        <v/>
      </c>
      <c r="G46" s="5" t="str">
        <f>IFERROR(IF(SUMIFS(tblDaily[TransfersOut],tblDaily[EntryDate],DATE(2026,2,1),tblDaily[WardCode],"FW")=0,"",SUMIFS(tblDaily[TransfersOut],tblDaily[EntryDate],DATE(2026,2,1),tblDaily[WardCode],"FW")),"")</f>
        <v/>
      </c>
      <c r="H46" s="5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IFERROR(IF(SUMIFS(tblDaily[Admissions],tblDaily[EntryDate],DATE(2026,2,2),tblDaily[WardCode],"FW")=0,"",SUMIFS(tblDaily[Admissions],tblDaily[EntryDate],DATE(2026,2,2),tblDaily[WardCode],"FW")),"")</f>
        <v/>
      </c>
      <c r="C47" s="5" t="str">
        <f>IFERROR(IF(SUMIFS(tblDaily[Discharges],tblDaily[EntryDate],DATE(2026,2,2),tblDaily[WardCode],"FW")=0,"",SUMIFS(tblDaily[Discharges],tblDaily[EntryDate],DATE(2026,2,2),tblDaily[WardCode],"FW")),"")</f>
        <v/>
      </c>
      <c r="D47" s="5" t="str">
        <f>IFERROR(IF(SUMIFS(tblDaily[Deaths],tblDaily[EntryDate],DATE(2026,2,2),tblDaily[WardCode],"FW")=0,"",SUMIFS(tblDaily[Deaths],tblDaily[EntryDate],DATE(2026,2,2),tblDaily[WardCode],"FW")),"")</f>
        <v/>
      </c>
      <c r="E47" s="5" t="str">
        <f>IFERROR(IF(SUMIFS(tblDaily[DeathsUnder24Hrs],tblDaily[EntryDate],DATE(2026,2,2),tblDaily[WardCode],"FW")=0,"",SUMIFS(tblDaily[DeathsUnder24Hrs],tblDaily[EntryDate],DATE(2026,2,2),tblDaily[WardCode],"FW")),"")</f>
        <v/>
      </c>
      <c r="F47" s="5" t="str">
        <f>IFERROR(IF(SUMIFS(tblDaily[TransfersIn],tblDaily[EntryDate],DATE(2026,2,2),tblDaily[WardCode],"FW")=0,"",SUMIFS(tblDaily[TransfersIn],tblDaily[EntryDate],DATE(2026,2,2),tblDaily[WardCode],"FW")),"")</f>
        <v/>
      </c>
      <c r="G47" s="5" t="str">
        <f>IFERROR(IF(SUMIFS(tblDaily[TransfersOut],tblDaily[EntryDate],DATE(2026,2,2),tblDaily[WardCode],"FW")=0,"",SUMIFS(tblDaily[TransfersOut],tblDaily[EntryDate],DATE(2026,2,2),tblDaily[WardCode],"FW")),"")</f>
        <v/>
      </c>
      <c r="H47" s="5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IFERROR(IF(SUMIFS(tblDaily[Admissions],tblDaily[EntryDate],DATE(2026,2,3),tblDaily[WardCode],"FW")=0,"",SUMIFS(tblDaily[Admissions],tblDaily[EntryDate],DATE(2026,2,3),tblDaily[WardCode],"FW")),"")</f>
        <v/>
      </c>
      <c r="C48" s="5" t="str">
        <f>IFERROR(IF(SUMIFS(tblDaily[Discharges],tblDaily[EntryDate],DATE(2026,2,3),tblDaily[WardCode],"FW")=0,"",SUMIFS(tblDaily[Discharges],tblDaily[EntryDate],DATE(2026,2,3),tblDaily[WardCode],"FW")),"")</f>
        <v/>
      </c>
      <c r="D48" s="5" t="str">
        <f>IFERROR(IF(SUMIFS(tblDaily[Deaths],tblDaily[EntryDate],DATE(2026,2,3),tblDaily[WardCode],"FW")=0,"",SUMIFS(tblDaily[Deaths],tblDaily[EntryDate],DATE(2026,2,3),tblDaily[WardCode],"FW")),"")</f>
        <v/>
      </c>
      <c r="E48" s="5" t="str">
        <f>IFERROR(IF(SUMIFS(tblDaily[DeathsUnder24Hrs],tblDaily[EntryDate],DATE(2026,2,3),tblDaily[WardCode],"FW")=0,"",SUMIFS(tblDaily[DeathsUnder24Hrs],tblDaily[EntryDate],DATE(2026,2,3),tblDaily[WardCode],"FW")),"")</f>
        <v/>
      </c>
      <c r="F48" s="5" t="str">
        <f>IFERROR(IF(SUMIFS(tblDaily[TransfersIn],tblDaily[EntryDate],DATE(2026,2,3),tblDaily[WardCode],"FW")=0,"",SUMIFS(tblDaily[TransfersIn],tblDaily[EntryDate],DATE(2026,2,3),tblDaily[WardCode],"FW")),"")</f>
        <v/>
      </c>
      <c r="G48" s="5" t="str">
        <f>IFERROR(IF(SUMIFS(tblDaily[TransfersOut],tblDaily[EntryDate],DATE(2026,2,3),tblDaily[WardCode],"FW")=0,"",SUMIFS(tblDaily[TransfersOut],tblDaily[EntryDate],DATE(2026,2,3),tblDaily[WardCode],"FW")),"")</f>
        <v/>
      </c>
      <c r="H48" s="5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IFERROR(IF(SUMIFS(tblDaily[Admissions],tblDaily[EntryDate],DATE(2026,2,4),tblDaily[WardCode],"FW")=0,"",SUMIFS(tblDaily[Admissions],tblDaily[EntryDate],DATE(2026,2,4),tblDaily[WardCode],"FW")),"")</f>
        <v/>
      </c>
      <c r="C49" s="5" t="str">
        <f>IFERROR(IF(SUMIFS(tblDaily[Discharges],tblDaily[EntryDate],DATE(2026,2,4),tblDaily[WardCode],"FW")=0,"",SUMIFS(tblDaily[Discharges],tblDaily[EntryDate],DATE(2026,2,4),tblDaily[WardCode],"FW")),"")</f>
        <v/>
      </c>
      <c r="D49" s="5" t="str">
        <f>IFERROR(IF(SUMIFS(tblDaily[Deaths],tblDaily[EntryDate],DATE(2026,2,4),tblDaily[WardCode],"FW")=0,"",SUMIFS(tblDaily[Deaths],tblDaily[EntryDate],DATE(2026,2,4),tblDaily[WardCode],"FW")),"")</f>
        <v/>
      </c>
      <c r="E49" s="5" t="str">
        <f>IFERROR(IF(SUMIFS(tblDaily[DeathsUnder24Hrs],tblDaily[EntryDate],DATE(2026,2,4),tblDaily[WardCode],"FW")=0,"",SUMIFS(tblDaily[DeathsUnder24Hrs],tblDaily[EntryDate],DATE(2026,2,4),tblDaily[WardCode],"FW")),"")</f>
        <v/>
      </c>
      <c r="F49" s="5" t="str">
        <f>IFERROR(IF(SUMIFS(tblDaily[TransfersIn],tblDaily[EntryDate],DATE(2026,2,4),tblDaily[WardCode],"FW")=0,"",SUMIFS(tblDaily[TransfersIn],tblDaily[EntryDate],DATE(2026,2,4),tblDaily[WardCode],"FW")),"")</f>
        <v/>
      </c>
      <c r="G49" s="5" t="str">
        <f>IFERROR(IF(SUMIFS(tblDaily[TransfersOut],tblDaily[EntryDate],DATE(2026,2,4),tblDaily[WardCode],"FW")=0,"",SUMIFS(tblDaily[TransfersOut],tblDaily[EntryDate],DATE(2026,2,4),tblDaily[WardCode],"FW")),"")</f>
        <v/>
      </c>
      <c r="H49" s="5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IFERROR(IF(SUMIFS(tblDaily[Admissions],tblDaily[EntryDate],DATE(2026,2,5),tblDaily[WardCode],"FW")=0,"",SUMIFS(tblDaily[Admissions],tblDaily[EntryDate],DATE(2026,2,5),tblDaily[WardCode],"FW")),"")</f>
        <v/>
      </c>
      <c r="C50" s="5" t="str">
        <f>IFERROR(IF(SUMIFS(tblDaily[Discharges],tblDaily[EntryDate],DATE(2026,2,5),tblDaily[WardCode],"FW")=0,"",SUMIFS(tblDaily[Discharges],tblDaily[EntryDate],DATE(2026,2,5),tblDaily[WardCode],"FW")),"")</f>
        <v/>
      </c>
      <c r="D50" s="5" t="str">
        <f>IFERROR(IF(SUMIFS(tblDaily[Deaths],tblDaily[EntryDate],DATE(2026,2,5),tblDaily[WardCode],"FW")=0,"",SUMIFS(tblDaily[Deaths],tblDaily[EntryDate],DATE(2026,2,5),tblDaily[WardCode],"FW")),"")</f>
        <v/>
      </c>
      <c r="E50" s="5" t="str">
        <f>IFERROR(IF(SUMIFS(tblDaily[DeathsUnder24Hrs],tblDaily[EntryDate],DATE(2026,2,5),tblDaily[WardCode],"FW")=0,"",SUMIFS(tblDaily[DeathsUnder24Hrs],tblDaily[EntryDate],DATE(2026,2,5),tblDaily[WardCode],"FW")),"")</f>
        <v/>
      </c>
      <c r="F50" s="5" t="str">
        <f>IFERROR(IF(SUMIFS(tblDaily[TransfersIn],tblDaily[EntryDate],DATE(2026,2,5),tblDaily[WardCode],"FW")=0,"",SUMIFS(tblDaily[TransfersIn],tblDaily[EntryDate],DATE(2026,2,5),tblDaily[WardCode],"FW")),"")</f>
        <v/>
      </c>
      <c r="G50" s="5" t="str">
        <f>IFERROR(IF(SUMIFS(tblDaily[TransfersOut],tblDaily[EntryDate],DATE(2026,2,5),tblDaily[WardCode],"FW")=0,"",SUMIFS(tblDaily[TransfersOut],tblDaily[EntryDate],DATE(2026,2,5),tblDaily[WardCode],"FW")),"")</f>
        <v/>
      </c>
      <c r="H50" s="5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IFERROR(IF(SUMIFS(tblDaily[Admissions],tblDaily[EntryDate],DATE(2026,2,6),tblDaily[WardCode],"FW")=0,"",SUMIFS(tblDaily[Admissions],tblDaily[EntryDate],DATE(2026,2,6),tblDaily[WardCode],"FW")),"")</f>
        <v/>
      </c>
      <c r="C51" s="5" t="str">
        <f>IFERROR(IF(SUMIFS(tblDaily[Discharges],tblDaily[EntryDate],DATE(2026,2,6),tblDaily[WardCode],"FW")=0,"",SUMIFS(tblDaily[Discharges],tblDaily[EntryDate],DATE(2026,2,6),tblDaily[WardCode],"FW")),"")</f>
        <v/>
      </c>
      <c r="D51" s="5" t="str">
        <f>IFERROR(IF(SUMIFS(tblDaily[Deaths],tblDaily[EntryDate],DATE(2026,2,6),tblDaily[WardCode],"FW")=0,"",SUMIFS(tblDaily[Deaths],tblDaily[EntryDate],DATE(2026,2,6),tblDaily[WardCode],"FW")),"")</f>
        <v/>
      </c>
      <c r="E51" s="5" t="str">
        <f>IFERROR(IF(SUMIFS(tblDaily[DeathsUnder24Hrs],tblDaily[EntryDate],DATE(2026,2,6),tblDaily[WardCode],"FW")=0,"",SUMIFS(tblDaily[DeathsUnder24Hrs],tblDaily[EntryDate],DATE(2026,2,6),tblDaily[WardCode],"FW")),"")</f>
        <v/>
      </c>
      <c r="F51" s="5" t="str">
        <f>IFERROR(IF(SUMIFS(tblDaily[TransfersIn],tblDaily[EntryDate],DATE(2026,2,6),tblDaily[WardCode],"FW")=0,"",SUMIFS(tblDaily[TransfersIn],tblDaily[EntryDate],DATE(2026,2,6),tblDaily[WardCode],"FW")),"")</f>
        <v/>
      </c>
      <c r="G51" s="5" t="str">
        <f>IFERROR(IF(SUMIFS(tblDaily[TransfersOut],tblDaily[EntryDate],DATE(2026,2,6),tblDaily[WardCode],"FW")=0,"",SUMIFS(tblDaily[TransfersOut],tblDaily[EntryDate],DATE(2026,2,6),tblDaily[WardCode],"FW")),"")</f>
        <v/>
      </c>
      <c r="H51" s="5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IFERROR(IF(SUMIFS(tblDaily[Admissions],tblDaily[EntryDate],DATE(2026,2,7),tblDaily[WardCode],"FW")=0,"",SUMIFS(tblDaily[Admissions],tblDaily[EntryDate],DATE(2026,2,7),tblDaily[WardCode],"FW")),"")</f>
        <v/>
      </c>
      <c r="C52" s="5" t="str">
        <f>IFERROR(IF(SUMIFS(tblDaily[Discharges],tblDaily[EntryDate],DATE(2026,2,7),tblDaily[WardCode],"FW")=0,"",SUMIFS(tblDaily[Discharges],tblDaily[EntryDate],DATE(2026,2,7),tblDaily[WardCode],"FW")),"")</f>
        <v/>
      </c>
      <c r="D52" s="5" t="str">
        <f>IFERROR(IF(SUMIFS(tblDaily[Deaths],tblDaily[EntryDate],DATE(2026,2,7),tblDaily[WardCode],"FW")=0,"",SUMIFS(tblDaily[Deaths],tblDaily[EntryDate],DATE(2026,2,7),tblDaily[WardCode],"FW")),"")</f>
        <v/>
      </c>
      <c r="E52" s="5" t="str">
        <f>IFERROR(IF(SUMIFS(tblDaily[DeathsUnder24Hrs],tblDaily[EntryDate],DATE(2026,2,7),tblDaily[WardCode],"FW")=0,"",SUMIFS(tblDaily[DeathsUnder24Hrs],tblDaily[EntryDate],DATE(2026,2,7),tblDaily[WardCode],"FW")),"")</f>
        <v/>
      </c>
      <c r="F52" s="5" t="str">
        <f>IFERROR(IF(SUMIFS(tblDaily[TransfersIn],tblDaily[EntryDate],DATE(2026,2,7),tblDaily[WardCode],"FW")=0,"",SUMIFS(tblDaily[TransfersIn],tblDaily[EntryDate],DATE(2026,2,7),tblDaily[WardCode],"FW")),"")</f>
        <v/>
      </c>
      <c r="G52" s="5" t="str">
        <f>IFERROR(IF(SUMIFS(tblDaily[TransfersOut],tblDaily[EntryDate],DATE(2026,2,7),tblDaily[WardCode],"FW")=0,"",SUMIFS(tblDaily[TransfersOut],tblDaily[EntryDate],DATE(2026,2,7),tblDaily[WardCode],"FW")),"")</f>
        <v/>
      </c>
      <c r="H52" s="5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IFERROR(IF(SUMIFS(tblDaily[Admissions],tblDaily[EntryDate],DATE(2026,2,8),tblDaily[WardCode],"FW")=0,"",SUMIFS(tblDaily[Admissions],tblDaily[EntryDate],DATE(2026,2,8),tblDaily[WardCode],"FW")),"")</f>
        <v/>
      </c>
      <c r="C53" s="5" t="str">
        <f>IFERROR(IF(SUMIFS(tblDaily[Discharges],tblDaily[EntryDate],DATE(2026,2,8),tblDaily[WardCode],"FW")=0,"",SUMIFS(tblDaily[Discharges],tblDaily[EntryDate],DATE(2026,2,8),tblDaily[WardCode],"FW")),"")</f>
        <v/>
      </c>
      <c r="D53" s="5" t="str">
        <f>IFERROR(IF(SUMIFS(tblDaily[Deaths],tblDaily[EntryDate],DATE(2026,2,8),tblDaily[WardCode],"FW")=0,"",SUMIFS(tblDaily[Deaths],tblDaily[EntryDate],DATE(2026,2,8),tblDaily[WardCode],"FW")),"")</f>
        <v/>
      </c>
      <c r="E53" s="5" t="str">
        <f>IFERROR(IF(SUMIFS(tblDaily[DeathsUnder24Hrs],tblDaily[EntryDate],DATE(2026,2,8),tblDaily[WardCode],"FW")=0,"",SUMIFS(tblDaily[DeathsUnder24Hrs],tblDaily[EntryDate],DATE(2026,2,8),tblDaily[WardCode],"FW")),"")</f>
        <v/>
      </c>
      <c r="F53" s="5" t="str">
        <f>IFERROR(IF(SUMIFS(tblDaily[TransfersIn],tblDaily[EntryDate],DATE(2026,2,8),tblDaily[WardCode],"FW")=0,"",SUMIFS(tblDaily[TransfersIn],tblDaily[EntryDate],DATE(2026,2,8),tblDaily[WardCode],"FW")),"")</f>
        <v/>
      </c>
      <c r="G53" s="5" t="str">
        <f>IFERROR(IF(SUMIFS(tblDaily[TransfersOut],tblDaily[EntryDate],DATE(2026,2,8),tblDaily[WardCode],"FW")=0,"",SUMIFS(tblDaily[TransfersOut],tblDaily[EntryDate],DATE(2026,2,8),tblDaily[WardCode],"FW")),"")</f>
        <v/>
      </c>
      <c r="H53" s="5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IFERROR(IF(SUMIFS(tblDaily[Admissions],tblDaily[EntryDate],DATE(2026,2,9),tblDaily[WardCode],"FW")=0,"",SUMIFS(tblDaily[Admissions],tblDaily[EntryDate],DATE(2026,2,9),tblDaily[WardCode],"FW")),"")</f>
        <v/>
      </c>
      <c r="C54" s="5" t="str">
        <f>IFERROR(IF(SUMIFS(tblDaily[Discharges],tblDaily[EntryDate],DATE(2026,2,9),tblDaily[WardCode],"FW")=0,"",SUMIFS(tblDaily[Discharges],tblDaily[EntryDate],DATE(2026,2,9),tblDaily[WardCode],"FW")),"")</f>
        <v/>
      </c>
      <c r="D54" s="5" t="str">
        <f>IFERROR(IF(SUMIFS(tblDaily[Deaths],tblDaily[EntryDate],DATE(2026,2,9),tblDaily[WardCode],"FW")=0,"",SUMIFS(tblDaily[Deaths],tblDaily[EntryDate],DATE(2026,2,9),tblDaily[WardCode],"FW")),"")</f>
        <v/>
      </c>
      <c r="E54" s="5" t="str">
        <f>IFERROR(IF(SUMIFS(tblDaily[DeathsUnder24Hrs],tblDaily[EntryDate],DATE(2026,2,9),tblDaily[WardCode],"FW")=0,"",SUMIFS(tblDaily[DeathsUnder24Hrs],tblDaily[EntryDate],DATE(2026,2,9),tblDaily[WardCode],"FW")),"")</f>
        <v/>
      </c>
      <c r="F54" s="5" t="str">
        <f>IFERROR(IF(SUMIFS(tblDaily[TransfersIn],tblDaily[EntryDate],DATE(2026,2,9),tblDaily[WardCode],"FW")=0,"",SUMIFS(tblDaily[TransfersIn],tblDaily[EntryDate],DATE(2026,2,9),tblDaily[WardCode],"FW")),"")</f>
        <v/>
      </c>
      <c r="G54" s="5" t="str">
        <f>IFERROR(IF(SUMIFS(tblDaily[TransfersOut],tblDaily[EntryDate],DATE(2026,2,9),tblDaily[WardCode],"FW")=0,"",SUMIFS(tblDaily[TransfersOut],tblDaily[EntryDate],DATE(2026,2,9),tblDaily[WardCode],"FW")),"")</f>
        <v/>
      </c>
      <c r="H54" s="5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IFERROR(IF(SUMIFS(tblDaily[Admissions],tblDaily[EntryDate],DATE(2026,2,10),tblDaily[WardCode],"FW")=0,"",SUMIFS(tblDaily[Admissions],tblDaily[EntryDate],DATE(2026,2,10),tblDaily[WardCode],"FW")),"")</f>
        <v/>
      </c>
      <c r="C55" s="5" t="str">
        <f>IFERROR(IF(SUMIFS(tblDaily[Discharges],tblDaily[EntryDate],DATE(2026,2,10),tblDaily[WardCode],"FW")=0,"",SUMIFS(tblDaily[Discharges],tblDaily[EntryDate],DATE(2026,2,10),tblDaily[WardCode],"FW")),"")</f>
        <v/>
      </c>
      <c r="D55" s="5" t="str">
        <f>IFERROR(IF(SUMIFS(tblDaily[Deaths],tblDaily[EntryDate],DATE(2026,2,10),tblDaily[WardCode],"FW")=0,"",SUMIFS(tblDaily[Deaths],tblDaily[EntryDate],DATE(2026,2,10),tblDaily[WardCode],"FW")),"")</f>
        <v/>
      </c>
      <c r="E55" s="5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5" t="str">
        <f>IFERROR(IF(SUMIFS(tblDaily[TransfersIn],tblDaily[EntryDate],DATE(2026,2,10),tblDaily[WardCode],"FW")=0,"",SUMIFS(tblDaily[TransfersIn],tblDaily[EntryDate],DATE(2026,2,10),tblDaily[WardCode],"FW")),"")</f>
        <v/>
      </c>
      <c r="G55" s="5" t="str">
        <f>IFERROR(IF(SUMIFS(tblDaily[TransfersOut],tblDaily[EntryDate],DATE(2026,2,10),tblDaily[WardCode],"FW")=0,"",SUMIFS(tblDaily[TransfersOut],tblDaily[EntryDate],DATE(2026,2,10),tblDaily[WardCode],"FW")),"")</f>
        <v/>
      </c>
      <c r="H55" s="5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IFERROR(IF(SUMIFS(tblDaily[Admissions],tblDaily[EntryDate],DATE(2026,2,11),tblDaily[WardCode],"FW")=0,"",SUMIFS(tblDaily[Admissions],tblDaily[EntryDate],DATE(2026,2,11),tblDaily[WardCode],"FW")),"")</f>
        <v/>
      </c>
      <c r="C56" s="5" t="str">
        <f>IFERROR(IF(SUMIFS(tblDaily[Discharges],tblDaily[EntryDate],DATE(2026,2,11),tblDaily[WardCode],"FW")=0,"",SUMIFS(tblDaily[Discharges],tblDaily[EntryDate],DATE(2026,2,11),tblDaily[WardCode],"FW")),"")</f>
        <v/>
      </c>
      <c r="D56" s="5" t="str">
        <f>IFERROR(IF(SUMIFS(tblDaily[Deaths],tblDaily[EntryDate],DATE(2026,2,11),tblDaily[WardCode],"FW")=0,"",SUMIFS(tblDaily[Deaths],tblDaily[EntryDate],DATE(2026,2,11),tblDaily[WardCode],"FW")),"")</f>
        <v/>
      </c>
      <c r="E56" s="5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5" t="str">
        <f>IFERROR(IF(SUMIFS(tblDaily[TransfersIn],tblDaily[EntryDate],DATE(2026,2,11),tblDaily[WardCode],"FW")=0,"",SUMIFS(tblDaily[TransfersIn],tblDaily[EntryDate],DATE(2026,2,11),tblDaily[WardCode],"FW")),"")</f>
        <v/>
      </c>
      <c r="G56" s="5" t="str">
        <f>IFERROR(IF(SUMIFS(tblDaily[TransfersOut],tblDaily[EntryDate],DATE(2026,2,11),tblDaily[WardCode],"FW")=0,"",SUMIFS(tblDaily[TransfersOut],tblDaily[EntryDate],DATE(2026,2,11),tblDaily[WardCode],"FW")),"")</f>
        <v/>
      </c>
      <c r="H56" s="5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IFERROR(IF(SUMIFS(tblDaily[Admissions],tblDaily[EntryDate],DATE(2026,2,12),tblDaily[WardCode],"FW")=0,"",SUMIFS(tblDaily[Admissions],tblDaily[EntryDate],DATE(2026,2,12),tblDaily[WardCode],"FW")),"")</f>
        <v/>
      </c>
      <c r="C57" s="5" t="str">
        <f>IFERROR(IF(SUMIFS(tblDaily[Discharges],tblDaily[EntryDate],DATE(2026,2,12),tblDaily[WardCode],"FW")=0,"",SUMIFS(tblDaily[Discharges],tblDaily[EntryDate],DATE(2026,2,12),tblDaily[WardCode],"FW")),"")</f>
        <v/>
      </c>
      <c r="D57" s="5" t="str">
        <f>IFERROR(IF(SUMIFS(tblDaily[Deaths],tblDaily[EntryDate],DATE(2026,2,12),tblDaily[WardCode],"FW")=0,"",SUMIFS(tblDaily[Deaths],tblDaily[EntryDate],DATE(2026,2,12),tblDaily[WardCode],"FW")),"")</f>
        <v/>
      </c>
      <c r="E57" s="5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5" t="str">
        <f>IFERROR(IF(SUMIFS(tblDaily[TransfersIn],tblDaily[EntryDate],DATE(2026,2,12),tblDaily[WardCode],"FW")=0,"",SUMIFS(tblDaily[TransfersIn],tblDaily[EntryDate],DATE(2026,2,12),tblDaily[WardCode],"FW")),"")</f>
        <v/>
      </c>
      <c r="G57" s="5" t="str">
        <f>IFERROR(IF(SUMIFS(tblDaily[TransfersOut],tblDaily[EntryDate],DATE(2026,2,12),tblDaily[WardCode],"FW")=0,"",SUMIFS(tblDaily[TransfersOut],tblDaily[EntryDate],DATE(2026,2,12),tblDaily[WardCode],"FW")),"")</f>
        <v/>
      </c>
      <c r="H57" s="5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IFERROR(IF(SUMIFS(tblDaily[Admissions],tblDaily[EntryDate],DATE(2026,2,13),tblDaily[WardCode],"FW")=0,"",SUMIFS(tblDaily[Admissions],tblDaily[EntryDate],DATE(2026,2,13),tblDaily[WardCode],"FW")),"")</f>
        <v/>
      </c>
      <c r="C58" s="5" t="str">
        <f>IFERROR(IF(SUMIFS(tblDaily[Discharges],tblDaily[EntryDate],DATE(2026,2,13),tblDaily[WardCode],"FW")=0,"",SUMIFS(tblDaily[Discharges],tblDaily[EntryDate],DATE(2026,2,13),tblDaily[WardCode],"FW")),"")</f>
        <v/>
      </c>
      <c r="D58" s="5" t="str">
        <f>IFERROR(IF(SUMIFS(tblDaily[Deaths],tblDaily[EntryDate],DATE(2026,2,13),tblDaily[WardCode],"FW")=0,"",SUMIFS(tblDaily[Deaths],tblDaily[EntryDate],DATE(2026,2,13),tblDaily[WardCode],"FW")),"")</f>
        <v/>
      </c>
      <c r="E58" s="5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5" t="str">
        <f>IFERROR(IF(SUMIFS(tblDaily[TransfersIn],tblDaily[EntryDate],DATE(2026,2,13),tblDaily[WardCode],"FW")=0,"",SUMIFS(tblDaily[TransfersIn],tblDaily[EntryDate],DATE(2026,2,13),tblDaily[WardCode],"FW")),"")</f>
        <v/>
      </c>
      <c r="G58" s="5" t="str">
        <f>IFERROR(IF(SUMIFS(tblDaily[TransfersOut],tblDaily[EntryDate],DATE(2026,2,13),tblDaily[WardCode],"FW")=0,"",SUMIFS(tblDaily[TransfersOut],tblDaily[EntryDate],DATE(2026,2,13),tblDaily[WardCode],"FW")),"")</f>
        <v/>
      </c>
      <c r="H58" s="5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IFERROR(IF(SUMIFS(tblDaily[Admissions],tblDaily[EntryDate],DATE(2026,2,14),tblDaily[WardCode],"FW")=0,"",SUMIFS(tblDaily[Admissions],tblDaily[EntryDate],DATE(2026,2,14),tblDaily[WardCode],"FW")),"")</f>
        <v/>
      </c>
      <c r="C59" s="5" t="str">
        <f>IFERROR(IF(SUMIFS(tblDaily[Discharges],tblDaily[EntryDate],DATE(2026,2,14),tblDaily[WardCode],"FW")=0,"",SUMIFS(tblDaily[Discharges],tblDaily[EntryDate],DATE(2026,2,14),tblDaily[WardCode],"FW")),"")</f>
        <v/>
      </c>
      <c r="D59" s="5" t="str">
        <f>IFERROR(IF(SUMIFS(tblDaily[Deaths],tblDaily[EntryDate],DATE(2026,2,14),tblDaily[WardCode],"FW")=0,"",SUMIFS(tblDaily[Deaths],tblDaily[EntryDate],DATE(2026,2,14),tblDaily[WardCode],"FW")),"")</f>
        <v/>
      </c>
      <c r="E59" s="5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5" t="str">
        <f>IFERROR(IF(SUMIFS(tblDaily[TransfersIn],tblDaily[EntryDate],DATE(2026,2,14),tblDaily[WardCode],"FW")=0,"",SUMIFS(tblDaily[TransfersIn],tblDaily[EntryDate],DATE(2026,2,14),tblDaily[WardCode],"FW")),"")</f>
        <v/>
      </c>
      <c r="G59" s="5" t="str">
        <f>IFERROR(IF(SUMIFS(tblDaily[TransfersOut],tblDaily[EntryDate],DATE(2026,2,14),tblDaily[WardCode],"FW")=0,"",SUMIFS(tblDaily[TransfersOut],tblDaily[EntryDate],DATE(2026,2,14),tblDaily[WardCode],"FW")),"")</f>
        <v/>
      </c>
      <c r="H59" s="5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IFERROR(IF(SUMIFS(tblDaily[Admissions],tblDaily[EntryDate],DATE(2026,2,15),tblDaily[WardCode],"FW")=0,"",SUMIFS(tblDaily[Admissions],tblDaily[EntryDate],DATE(2026,2,15),tblDaily[WardCode],"FW")),"")</f>
        <v/>
      </c>
      <c r="C60" s="5" t="str">
        <f>IFERROR(IF(SUMIFS(tblDaily[Discharges],tblDaily[EntryDate],DATE(2026,2,15),tblDaily[WardCode],"FW")=0,"",SUMIFS(tblDaily[Discharges],tblDaily[EntryDate],DATE(2026,2,15),tblDaily[WardCode],"FW")),"")</f>
        <v/>
      </c>
      <c r="D60" s="5" t="str">
        <f>IFERROR(IF(SUMIFS(tblDaily[Deaths],tblDaily[EntryDate],DATE(2026,2,15),tblDaily[WardCode],"FW")=0,"",SUMIFS(tblDaily[Deaths],tblDaily[EntryDate],DATE(2026,2,15),tblDaily[WardCode],"FW")),"")</f>
        <v/>
      </c>
      <c r="E60" s="5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5" t="str">
        <f>IFERROR(IF(SUMIFS(tblDaily[TransfersIn],tblDaily[EntryDate],DATE(2026,2,15),tblDaily[WardCode],"FW")=0,"",SUMIFS(tblDaily[TransfersIn],tblDaily[EntryDate],DATE(2026,2,15),tblDaily[WardCode],"FW")),"")</f>
        <v/>
      </c>
      <c r="G60" s="5" t="str">
        <f>IFERROR(IF(SUMIFS(tblDaily[TransfersOut],tblDaily[EntryDate],DATE(2026,2,15),tblDaily[WardCode],"FW")=0,"",SUMIFS(tblDaily[TransfersOut],tblDaily[EntryDate],DATE(2026,2,15),tblDaily[WardCode],"FW")),"")</f>
        <v/>
      </c>
      <c r="H60" s="5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IFERROR(IF(SUMIFS(tblDaily[Admissions],tblDaily[EntryDate],DATE(2026,2,16),tblDaily[WardCode],"FW")=0,"",SUMIFS(tblDaily[Admissions],tblDaily[EntryDate],DATE(2026,2,16),tblDaily[WardCode],"FW")),"")</f>
        <v/>
      </c>
      <c r="C61" s="5" t="str">
        <f>IFERROR(IF(SUMIFS(tblDaily[Discharges],tblDaily[EntryDate],DATE(2026,2,16),tblDaily[WardCode],"FW")=0,"",SUMIFS(tblDaily[Discharges],tblDaily[EntryDate],DATE(2026,2,16),tblDaily[WardCode],"FW")),"")</f>
        <v/>
      </c>
      <c r="D61" s="5" t="str">
        <f>IFERROR(IF(SUMIFS(tblDaily[Deaths],tblDaily[EntryDate],DATE(2026,2,16),tblDaily[WardCode],"FW")=0,"",SUMIFS(tblDaily[Deaths],tblDaily[EntryDate],DATE(2026,2,16),tblDaily[WardCode],"FW")),"")</f>
        <v/>
      </c>
      <c r="E61" s="5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5" t="str">
        <f>IFERROR(IF(SUMIFS(tblDaily[TransfersIn],tblDaily[EntryDate],DATE(2026,2,16),tblDaily[WardCode],"FW")=0,"",SUMIFS(tblDaily[TransfersIn],tblDaily[EntryDate],DATE(2026,2,16),tblDaily[WardCode],"FW")),"")</f>
        <v/>
      </c>
      <c r="G61" s="5" t="str">
        <f>IFERROR(IF(SUMIFS(tblDaily[TransfersOut],tblDaily[EntryDate],DATE(2026,2,16),tblDaily[WardCode],"FW")=0,"",SUMIFS(tblDaily[TransfersOut],tblDaily[EntryDate],DATE(2026,2,16),tblDaily[WardCode],"FW")),"")</f>
        <v/>
      </c>
      <c r="H61" s="5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IFERROR(IF(SUMIFS(tblDaily[Admissions],tblDaily[EntryDate],DATE(2026,2,17),tblDaily[WardCode],"FW")=0,"",SUMIFS(tblDaily[Admissions],tblDaily[EntryDate],DATE(2026,2,17),tblDaily[WardCode],"FW")),"")</f>
        <v/>
      </c>
      <c r="C62" s="5" t="str">
        <f>IFERROR(IF(SUMIFS(tblDaily[Discharges],tblDaily[EntryDate],DATE(2026,2,17),tblDaily[WardCode],"FW")=0,"",SUMIFS(tblDaily[Discharges],tblDaily[EntryDate],DATE(2026,2,17),tblDaily[WardCode],"FW")),"")</f>
        <v/>
      </c>
      <c r="D62" s="5" t="str">
        <f>IFERROR(IF(SUMIFS(tblDaily[Deaths],tblDaily[EntryDate],DATE(2026,2,17),tblDaily[WardCode],"FW")=0,"",SUMIFS(tblDaily[Deaths],tblDaily[EntryDate],DATE(2026,2,17),tblDaily[WardCode],"FW")),"")</f>
        <v/>
      </c>
      <c r="E62" s="5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5" t="str">
        <f>IFERROR(IF(SUMIFS(tblDaily[TransfersIn],tblDaily[EntryDate],DATE(2026,2,17),tblDaily[WardCode],"FW")=0,"",SUMIFS(tblDaily[TransfersIn],tblDaily[EntryDate],DATE(2026,2,17),tblDaily[WardCode],"FW")),"")</f>
        <v/>
      </c>
      <c r="G62" s="5" t="str">
        <f>IFERROR(IF(SUMIFS(tblDaily[TransfersOut],tblDaily[EntryDate],DATE(2026,2,17),tblDaily[WardCode],"FW")=0,"",SUMIFS(tblDaily[TransfersOut],tblDaily[EntryDate],DATE(2026,2,17),tblDaily[WardCode],"FW")),"")</f>
        <v/>
      </c>
      <c r="H62" s="5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IFERROR(IF(SUMIFS(tblDaily[Admissions],tblDaily[EntryDate],DATE(2026,2,18),tblDaily[WardCode],"FW")=0,"",SUMIFS(tblDaily[Admissions],tblDaily[EntryDate],DATE(2026,2,18),tblDaily[WardCode],"FW")),"")</f>
        <v/>
      </c>
      <c r="C63" s="5" t="str">
        <f>IFERROR(IF(SUMIFS(tblDaily[Discharges],tblDaily[EntryDate],DATE(2026,2,18),tblDaily[WardCode],"FW")=0,"",SUMIFS(tblDaily[Discharges],tblDaily[EntryDate],DATE(2026,2,18),tblDaily[WardCode],"FW")),"")</f>
        <v/>
      </c>
      <c r="D63" s="5" t="str">
        <f>IFERROR(IF(SUMIFS(tblDaily[Deaths],tblDaily[EntryDate],DATE(2026,2,18),tblDaily[WardCode],"FW")=0,"",SUMIFS(tblDaily[Deaths],tblDaily[EntryDate],DATE(2026,2,18),tblDaily[WardCode],"FW")),"")</f>
        <v/>
      </c>
      <c r="E63" s="5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5" t="str">
        <f>IFERROR(IF(SUMIFS(tblDaily[TransfersIn],tblDaily[EntryDate],DATE(2026,2,18),tblDaily[WardCode],"FW")=0,"",SUMIFS(tblDaily[TransfersIn],tblDaily[EntryDate],DATE(2026,2,18),tblDaily[WardCode],"FW")),"")</f>
        <v/>
      </c>
      <c r="G63" s="5" t="str">
        <f>IFERROR(IF(SUMIFS(tblDaily[TransfersOut],tblDaily[EntryDate],DATE(2026,2,18),tblDaily[WardCode],"FW")=0,"",SUMIFS(tblDaily[TransfersOut],tblDaily[EntryDate],DATE(2026,2,18),tblDaily[WardCode],"FW")),"")</f>
        <v/>
      </c>
      <c r="H63" s="5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IFERROR(IF(SUMIFS(tblDaily[Admissions],tblDaily[EntryDate],DATE(2026,2,19),tblDaily[WardCode],"FW")=0,"",SUMIFS(tblDaily[Admissions],tblDaily[EntryDate],DATE(2026,2,19),tblDaily[WardCode],"FW")),"")</f>
        <v/>
      </c>
      <c r="C64" s="5" t="str">
        <f>IFERROR(IF(SUMIFS(tblDaily[Discharges],tblDaily[EntryDate],DATE(2026,2,19),tblDaily[WardCode],"FW")=0,"",SUMIFS(tblDaily[Discharges],tblDaily[EntryDate],DATE(2026,2,19),tblDaily[WardCode],"FW")),"")</f>
        <v/>
      </c>
      <c r="D64" s="5" t="str">
        <f>IFERROR(IF(SUMIFS(tblDaily[Deaths],tblDaily[EntryDate],DATE(2026,2,19),tblDaily[WardCode],"FW")=0,"",SUMIFS(tblDaily[Deaths],tblDaily[EntryDate],DATE(2026,2,19),tblDaily[WardCode],"FW")),"")</f>
        <v/>
      </c>
      <c r="E64" s="5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5" t="str">
        <f>IFERROR(IF(SUMIFS(tblDaily[TransfersIn],tblDaily[EntryDate],DATE(2026,2,19),tblDaily[WardCode],"FW")=0,"",SUMIFS(tblDaily[TransfersIn],tblDaily[EntryDate],DATE(2026,2,19),tblDaily[WardCode],"FW")),"")</f>
        <v/>
      </c>
      <c r="G64" s="5" t="str">
        <f>IFERROR(IF(SUMIFS(tblDaily[TransfersOut],tblDaily[EntryDate],DATE(2026,2,19),tblDaily[WardCode],"FW")=0,"",SUMIFS(tblDaily[TransfersOut],tblDaily[EntryDate],DATE(2026,2,19),tblDaily[WardCode],"FW")),"")</f>
        <v/>
      </c>
      <c r="H64" s="5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IFERROR(IF(SUMIFS(tblDaily[Admissions],tblDaily[EntryDate],DATE(2026,2,20),tblDaily[WardCode],"FW")=0,"",SUMIFS(tblDaily[Admissions],tblDaily[EntryDate],DATE(2026,2,20),tblDaily[WardCode],"FW")),"")</f>
        <v/>
      </c>
      <c r="C65" s="5" t="str">
        <f>IFERROR(IF(SUMIFS(tblDaily[Discharges],tblDaily[EntryDate],DATE(2026,2,20),tblDaily[WardCode],"FW")=0,"",SUMIFS(tblDaily[Discharges],tblDaily[EntryDate],DATE(2026,2,20),tblDaily[WardCode],"FW")),"")</f>
        <v/>
      </c>
      <c r="D65" s="5" t="str">
        <f>IFERROR(IF(SUMIFS(tblDaily[Deaths],tblDaily[EntryDate],DATE(2026,2,20),tblDaily[WardCode],"FW")=0,"",SUMIFS(tblDaily[Deaths],tblDaily[EntryDate],DATE(2026,2,20),tblDaily[WardCode],"FW")),"")</f>
        <v/>
      </c>
      <c r="E65" s="5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5" t="str">
        <f>IFERROR(IF(SUMIFS(tblDaily[TransfersIn],tblDaily[EntryDate],DATE(2026,2,20),tblDaily[WardCode],"FW")=0,"",SUMIFS(tblDaily[TransfersIn],tblDaily[EntryDate],DATE(2026,2,20),tblDaily[WardCode],"FW")),"")</f>
        <v/>
      </c>
      <c r="G65" s="5" t="str">
        <f>IFERROR(IF(SUMIFS(tblDaily[TransfersOut],tblDaily[EntryDate],DATE(2026,2,20),tblDaily[WardCode],"FW")=0,"",SUMIFS(tblDaily[TransfersOut],tblDaily[EntryDate],DATE(2026,2,20),tblDaily[WardCode],"FW")),"")</f>
        <v/>
      </c>
      <c r="H65" s="5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IFERROR(IF(SUMIFS(tblDaily[Admissions],tblDaily[EntryDate],DATE(2026,2,21),tblDaily[WardCode],"FW")=0,"",SUMIFS(tblDaily[Admissions],tblDaily[EntryDate],DATE(2026,2,21),tblDaily[WardCode],"FW")),"")</f>
        <v/>
      </c>
      <c r="C66" s="5" t="str">
        <f>IFERROR(IF(SUMIFS(tblDaily[Discharges],tblDaily[EntryDate],DATE(2026,2,21),tblDaily[WardCode],"FW")=0,"",SUMIFS(tblDaily[Discharges],tblDaily[EntryDate],DATE(2026,2,21),tblDaily[WardCode],"FW")),"")</f>
        <v/>
      </c>
      <c r="D66" s="5" t="str">
        <f>IFERROR(IF(SUMIFS(tblDaily[Deaths],tblDaily[EntryDate],DATE(2026,2,21),tblDaily[WardCode],"FW")=0,"",SUMIFS(tblDaily[Deaths],tblDaily[EntryDate],DATE(2026,2,21),tblDaily[WardCode],"FW")),"")</f>
        <v/>
      </c>
      <c r="E66" s="5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5" t="str">
        <f>IFERROR(IF(SUMIFS(tblDaily[TransfersIn],tblDaily[EntryDate],DATE(2026,2,21),tblDaily[WardCode],"FW")=0,"",SUMIFS(tblDaily[TransfersIn],tblDaily[EntryDate],DATE(2026,2,21),tblDaily[WardCode],"FW")),"")</f>
        <v/>
      </c>
      <c r="G66" s="5" t="str">
        <f>IFERROR(IF(SUMIFS(tblDaily[TransfersOut],tblDaily[EntryDate],DATE(2026,2,21),tblDaily[WardCode],"FW")=0,"",SUMIFS(tblDaily[TransfersOut],tblDaily[EntryDate],DATE(2026,2,21),tblDaily[WardCode],"FW")),"")</f>
        <v/>
      </c>
      <c r="H66" s="5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IFERROR(IF(SUMIFS(tblDaily[Admissions],tblDaily[EntryDate],DATE(2026,2,22),tblDaily[WardCode],"FW")=0,"",SUMIFS(tblDaily[Admissions],tblDaily[EntryDate],DATE(2026,2,22),tblDaily[WardCode],"FW")),"")</f>
        <v/>
      </c>
      <c r="C67" s="5" t="str">
        <f>IFERROR(IF(SUMIFS(tblDaily[Discharges],tblDaily[EntryDate],DATE(2026,2,22),tblDaily[WardCode],"FW")=0,"",SUMIFS(tblDaily[Discharges],tblDaily[EntryDate],DATE(2026,2,22),tblDaily[WardCode],"FW")),"")</f>
        <v/>
      </c>
      <c r="D67" s="5" t="str">
        <f>IFERROR(IF(SUMIFS(tblDaily[Deaths],tblDaily[EntryDate],DATE(2026,2,22),tblDaily[WardCode],"FW")=0,"",SUMIFS(tblDaily[Deaths],tblDaily[EntryDate],DATE(2026,2,22),tblDaily[WardCode],"FW")),"")</f>
        <v/>
      </c>
      <c r="E67" s="5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5" t="str">
        <f>IFERROR(IF(SUMIFS(tblDaily[TransfersIn],tblDaily[EntryDate],DATE(2026,2,22),tblDaily[WardCode],"FW")=0,"",SUMIFS(tblDaily[TransfersIn],tblDaily[EntryDate],DATE(2026,2,22),tblDaily[WardCode],"FW")),"")</f>
        <v/>
      </c>
      <c r="G67" s="5" t="str">
        <f>IFERROR(IF(SUMIFS(tblDaily[TransfersOut],tblDaily[EntryDate],DATE(2026,2,22),tblDaily[WardCode],"FW")=0,"",SUMIFS(tblDaily[TransfersOut],tblDaily[EntryDate],DATE(2026,2,22),tblDaily[WardCode],"FW")),"")</f>
        <v/>
      </c>
      <c r="H67" s="5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IFERROR(IF(SUMIFS(tblDaily[Admissions],tblDaily[EntryDate],DATE(2026,2,23),tblDaily[WardCode],"FW")=0,"",SUMIFS(tblDaily[Admissions],tblDaily[EntryDate],DATE(2026,2,23),tblDaily[WardCode],"FW")),"")</f>
        <v/>
      </c>
      <c r="C68" s="5" t="str">
        <f>IFERROR(IF(SUMIFS(tblDaily[Discharges],tblDaily[EntryDate],DATE(2026,2,23),tblDaily[WardCode],"FW")=0,"",SUMIFS(tblDaily[Discharges],tblDaily[EntryDate],DATE(2026,2,23),tblDaily[WardCode],"FW")),"")</f>
        <v/>
      </c>
      <c r="D68" s="5" t="str">
        <f>IFERROR(IF(SUMIFS(tblDaily[Deaths],tblDaily[EntryDate],DATE(2026,2,23),tblDaily[WardCode],"FW")=0,"",SUMIFS(tblDaily[Deaths],tblDaily[EntryDate],DATE(2026,2,23),tblDaily[WardCode],"FW")),"")</f>
        <v/>
      </c>
      <c r="E68" s="5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5" t="str">
        <f>IFERROR(IF(SUMIFS(tblDaily[TransfersIn],tblDaily[EntryDate],DATE(2026,2,23),tblDaily[WardCode],"FW")=0,"",SUMIFS(tblDaily[TransfersIn],tblDaily[EntryDate],DATE(2026,2,23),tblDaily[WardCode],"FW")),"")</f>
        <v/>
      </c>
      <c r="G68" s="5" t="str">
        <f>IFERROR(IF(SUMIFS(tblDaily[TransfersOut],tblDaily[EntryDate],DATE(2026,2,23),tblDaily[WardCode],"FW")=0,"",SUMIFS(tblDaily[TransfersOut],tblDaily[EntryDate],DATE(2026,2,23),tblDaily[WardCode],"FW")),"")</f>
        <v/>
      </c>
      <c r="H68" s="5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IFERROR(IF(SUMIFS(tblDaily[Admissions],tblDaily[EntryDate],DATE(2026,2,24),tblDaily[WardCode],"FW")=0,"",SUMIFS(tblDaily[Admissions],tblDaily[EntryDate],DATE(2026,2,24),tblDaily[WardCode],"FW")),"")</f>
        <v/>
      </c>
      <c r="C69" s="5" t="str">
        <f>IFERROR(IF(SUMIFS(tblDaily[Discharges],tblDaily[EntryDate],DATE(2026,2,24),tblDaily[WardCode],"FW")=0,"",SUMIFS(tblDaily[Discharges],tblDaily[EntryDate],DATE(2026,2,24),tblDaily[WardCode],"FW")),"")</f>
        <v/>
      </c>
      <c r="D69" s="5" t="str">
        <f>IFERROR(IF(SUMIFS(tblDaily[Deaths],tblDaily[EntryDate],DATE(2026,2,24),tblDaily[WardCode],"FW")=0,"",SUMIFS(tblDaily[Deaths],tblDaily[EntryDate],DATE(2026,2,24),tblDaily[WardCode],"FW")),"")</f>
        <v/>
      </c>
      <c r="E69" s="5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5" t="str">
        <f>IFERROR(IF(SUMIFS(tblDaily[TransfersIn],tblDaily[EntryDate],DATE(2026,2,24),tblDaily[WardCode],"FW")=0,"",SUMIFS(tblDaily[TransfersIn],tblDaily[EntryDate],DATE(2026,2,24),tblDaily[WardCode],"FW")),"")</f>
        <v/>
      </c>
      <c r="G69" s="5" t="str">
        <f>IFERROR(IF(SUMIFS(tblDaily[TransfersOut],tblDaily[EntryDate],DATE(2026,2,24),tblDaily[WardCode],"FW")=0,"",SUMIFS(tblDaily[TransfersOut],tblDaily[EntryDate],DATE(2026,2,24),tblDaily[WardCode],"FW")),"")</f>
        <v/>
      </c>
      <c r="H69" s="5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IFERROR(IF(SUMIFS(tblDaily[Admissions],tblDaily[EntryDate],DATE(2026,2,25),tblDaily[WardCode],"FW")=0,"",SUMIFS(tblDaily[Admissions],tblDaily[EntryDate],DATE(2026,2,25),tblDaily[WardCode],"FW")),"")</f>
        <v/>
      </c>
      <c r="C70" s="5" t="str">
        <f>IFERROR(IF(SUMIFS(tblDaily[Discharges],tblDaily[EntryDate],DATE(2026,2,25),tblDaily[WardCode],"FW")=0,"",SUMIFS(tblDaily[Discharges],tblDaily[EntryDate],DATE(2026,2,25),tblDaily[WardCode],"FW")),"")</f>
        <v/>
      </c>
      <c r="D70" s="5" t="str">
        <f>IFERROR(IF(SUMIFS(tblDaily[Deaths],tblDaily[EntryDate],DATE(2026,2,25),tblDaily[WardCode],"FW")=0,"",SUMIFS(tblDaily[Deaths],tblDaily[EntryDate],DATE(2026,2,25),tblDaily[WardCode],"FW")),"")</f>
        <v/>
      </c>
      <c r="E70" s="5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5" t="str">
        <f>IFERROR(IF(SUMIFS(tblDaily[TransfersIn],tblDaily[EntryDate],DATE(2026,2,25),tblDaily[WardCode],"FW")=0,"",SUMIFS(tblDaily[TransfersIn],tblDaily[EntryDate],DATE(2026,2,25),tblDaily[WardCode],"FW")),"")</f>
        <v/>
      </c>
      <c r="G70" s="5" t="str">
        <f>IFERROR(IF(SUMIFS(tblDaily[TransfersOut],tblDaily[EntryDate],DATE(2026,2,25),tblDaily[WardCode],"FW")=0,"",SUMIFS(tblDaily[TransfersOut],tblDaily[EntryDate],DATE(2026,2,25),tblDaily[WardCode],"FW")),"")</f>
        <v/>
      </c>
      <c r="H70" s="5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IFERROR(IF(SUMIFS(tblDaily[Admissions],tblDaily[EntryDate],DATE(2026,2,26),tblDaily[WardCode],"FW")=0,"",SUMIFS(tblDaily[Admissions],tblDaily[EntryDate],DATE(2026,2,26),tblDaily[WardCode],"FW")),"")</f>
        <v/>
      </c>
      <c r="C71" s="5" t="str">
        <f>IFERROR(IF(SUMIFS(tblDaily[Discharges],tblDaily[EntryDate],DATE(2026,2,26),tblDaily[WardCode],"FW")=0,"",SUMIFS(tblDaily[Discharges],tblDaily[EntryDate],DATE(2026,2,26),tblDaily[WardCode],"FW")),"")</f>
        <v/>
      </c>
      <c r="D71" s="5" t="str">
        <f>IFERROR(IF(SUMIFS(tblDaily[Deaths],tblDaily[EntryDate],DATE(2026,2,26),tblDaily[WardCode],"FW")=0,"",SUMIFS(tblDaily[Deaths],tblDaily[EntryDate],DATE(2026,2,26),tblDaily[WardCode],"FW")),"")</f>
        <v/>
      </c>
      <c r="E71" s="5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5" t="str">
        <f>IFERROR(IF(SUMIFS(tblDaily[TransfersIn],tblDaily[EntryDate],DATE(2026,2,26),tblDaily[WardCode],"FW")=0,"",SUMIFS(tblDaily[TransfersIn],tblDaily[EntryDate],DATE(2026,2,26),tblDaily[WardCode],"FW")),"")</f>
        <v/>
      </c>
      <c r="G71" s="5" t="str">
        <f>IFERROR(IF(SUMIFS(tblDaily[TransfersOut],tblDaily[EntryDate],DATE(2026,2,26),tblDaily[WardCode],"FW")=0,"",SUMIFS(tblDaily[TransfersOut],tblDaily[EntryDate],DATE(2026,2,26),tblDaily[WardCode],"FW")),"")</f>
        <v/>
      </c>
      <c r="H71" s="5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IFERROR(IF(SUMIFS(tblDaily[Admissions],tblDaily[EntryDate],DATE(2026,2,27),tblDaily[WardCode],"FW")=0,"",SUMIFS(tblDaily[Admissions],tblDaily[EntryDate],DATE(2026,2,27),tblDaily[WardCode],"FW")),"")</f>
        <v/>
      </c>
      <c r="C72" s="5" t="str">
        <f>IFERROR(IF(SUMIFS(tblDaily[Discharges],tblDaily[EntryDate],DATE(2026,2,27),tblDaily[WardCode],"FW")=0,"",SUMIFS(tblDaily[Discharges],tblDaily[EntryDate],DATE(2026,2,27),tblDaily[WardCode],"FW")),"")</f>
        <v/>
      </c>
      <c r="D72" s="5" t="str">
        <f>IFERROR(IF(SUMIFS(tblDaily[Deaths],tblDaily[EntryDate],DATE(2026,2,27),tblDaily[WardCode],"FW")=0,"",SUMIFS(tblDaily[Deaths],tblDaily[EntryDate],DATE(2026,2,27),tblDaily[WardCode],"FW")),"")</f>
        <v/>
      </c>
      <c r="E72" s="5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5" t="str">
        <f>IFERROR(IF(SUMIFS(tblDaily[TransfersIn],tblDaily[EntryDate],DATE(2026,2,27),tblDaily[WardCode],"FW")=0,"",SUMIFS(tblDaily[TransfersIn],tblDaily[EntryDate],DATE(2026,2,27),tblDaily[WardCode],"FW")),"")</f>
        <v/>
      </c>
      <c r="G72" s="5" t="str">
        <f>IFERROR(IF(SUMIFS(tblDaily[TransfersOut],tblDaily[EntryDate],DATE(2026,2,27),tblDaily[WardCode],"FW")=0,"",SUMIFS(tblDaily[TransfersOut],tblDaily[EntryDate],DATE(2026,2,27),tblDaily[WardCode],"FW")),"")</f>
        <v/>
      </c>
      <c r="H72" s="5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IFERROR(IF(SUMIFS(tblDaily[Admissions],tblDaily[EntryDate],DATE(2026,2,28),tblDaily[WardCode],"FW")=0,"",SUMIFS(tblDaily[Admissions],tblDaily[EntryDate],DATE(2026,2,28),tblDaily[WardCode],"FW")),"")</f>
        <v/>
      </c>
      <c r="C73" s="5" t="str">
        <f>IFERROR(IF(SUMIFS(tblDaily[Discharges],tblDaily[EntryDate],DATE(2026,2,28),tblDaily[WardCode],"FW")=0,"",SUMIFS(tblDaily[Discharges],tblDaily[EntryDate],DATE(2026,2,28),tblDaily[WardCode],"FW")),"")</f>
        <v/>
      </c>
      <c r="D73" s="5" t="str">
        <f>IFERROR(IF(SUMIFS(tblDaily[Deaths],tblDaily[EntryDate],DATE(2026,2,28),tblDaily[WardCode],"FW")=0,"",SUMIFS(tblDaily[Deaths],tblDaily[EntryDate],DATE(2026,2,28),tblDaily[WardCode],"FW")),"")</f>
        <v/>
      </c>
      <c r="E73" s="5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5" t="str">
        <f>IFERROR(IF(SUMIFS(tblDaily[TransfersIn],tblDaily[EntryDate],DATE(2026,2,28),tblDaily[WardCode],"FW")=0,"",SUMIFS(tblDaily[TransfersIn],tblDaily[EntryDate],DATE(2026,2,28),tblDaily[WardCode],"FW")),"")</f>
        <v/>
      </c>
      <c r="G73" s="5" t="str">
        <f>IFERROR(IF(SUMIFS(tblDaily[TransfersOut],tblDaily[EntryDate],DATE(2026,2,28),tblDaily[WardCode],"FW")=0,"",SUMIFS(tblDaily[TransfersOut],tblDaily[EntryDate],DATE(2026,2,28),tblDaily[WardCode],"FW")),"")</f>
        <v/>
      </c>
      <c r="H73" s="5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96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89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IFERROR(IF(SUMIFS(tblDaily[Admissions],tblDaily[EntryDate],DATE(2026,3,1),tblDaily[WardCode],"FW")=0,"",SUMIFS(tblDaily[Admissions],tblDaily[EntryDate],DATE(2026,3,1),tblDaily[WardCode],"FW")),"")</f>
        <v/>
      </c>
      <c r="C85" s="5" t="str">
        <f>IFERROR(IF(SUMIFS(tblDaily[Discharges],tblDaily[EntryDate],DATE(2026,3,1),tblDaily[WardCode],"FW")=0,"",SUMIFS(tblDaily[Discharges],tblDaily[EntryDate],DATE(2026,3,1),tblDaily[WardCode],"FW")),"")</f>
        <v/>
      </c>
      <c r="D85" s="5" t="str">
        <f>IFERROR(IF(SUMIFS(tblDaily[Deaths],tblDaily[EntryDate],DATE(2026,3,1),tblDaily[WardCode],"FW")=0,"",SUMIFS(tblDaily[Deaths],tblDaily[EntryDate],DATE(2026,3,1),tblDaily[WardCode],"FW")),"")</f>
        <v/>
      </c>
      <c r="E85" s="5" t="str">
        <f>IFERROR(IF(SUMIFS(tblDaily[DeathsUnder24Hrs],tblDaily[EntryDate],DATE(2026,3,1),tblDaily[WardCode],"FW")=0,"",SUMIFS(tblDaily[DeathsUnder24Hrs],tblDaily[EntryDate],DATE(2026,3,1),tblDaily[WardCode],"FW")),"")</f>
        <v/>
      </c>
      <c r="F85" s="5" t="str">
        <f>IFERROR(IF(SUMIFS(tblDaily[TransfersIn],tblDaily[EntryDate],DATE(2026,3,1),tblDaily[WardCode],"FW")=0,"",SUMIFS(tblDaily[TransfersIn],tblDaily[EntryDate],DATE(2026,3,1),tblDaily[WardCode],"FW")),"")</f>
        <v/>
      </c>
      <c r="G85" s="5" t="str">
        <f>IFERROR(IF(SUMIFS(tblDaily[TransfersOut],tblDaily[EntryDate],DATE(2026,3,1),tblDaily[WardCode],"FW")=0,"",SUMIFS(tblDaily[TransfersOut],tblDaily[EntryDate],DATE(2026,3,1),tblDaily[WardCode],"FW")),"")</f>
        <v/>
      </c>
      <c r="H85" s="5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IFERROR(IF(SUMIFS(tblDaily[Admissions],tblDaily[EntryDate],DATE(2026,3,2),tblDaily[WardCode],"FW")=0,"",SUMIFS(tblDaily[Admissions],tblDaily[EntryDate],DATE(2026,3,2),tblDaily[WardCode],"FW")),"")</f>
        <v/>
      </c>
      <c r="C86" s="5" t="str">
        <f>IFERROR(IF(SUMIFS(tblDaily[Discharges],tblDaily[EntryDate],DATE(2026,3,2),tblDaily[WardCode],"FW")=0,"",SUMIFS(tblDaily[Discharges],tblDaily[EntryDate],DATE(2026,3,2),tblDaily[WardCode],"FW")),"")</f>
        <v/>
      </c>
      <c r="D86" s="5" t="str">
        <f>IFERROR(IF(SUMIFS(tblDaily[Deaths],tblDaily[EntryDate],DATE(2026,3,2),tblDaily[WardCode],"FW")=0,"",SUMIFS(tblDaily[Deaths],tblDaily[EntryDate],DATE(2026,3,2),tblDaily[WardCode],"FW")),"")</f>
        <v/>
      </c>
      <c r="E86" s="5" t="str">
        <f>IFERROR(IF(SUMIFS(tblDaily[DeathsUnder24Hrs],tblDaily[EntryDate],DATE(2026,3,2),tblDaily[WardCode],"FW")=0,"",SUMIFS(tblDaily[DeathsUnder24Hrs],tblDaily[EntryDate],DATE(2026,3,2),tblDaily[WardCode],"FW")),"")</f>
        <v/>
      </c>
      <c r="F86" s="5" t="str">
        <f>IFERROR(IF(SUMIFS(tblDaily[TransfersIn],tblDaily[EntryDate],DATE(2026,3,2),tblDaily[WardCode],"FW")=0,"",SUMIFS(tblDaily[TransfersIn],tblDaily[EntryDate],DATE(2026,3,2),tblDaily[WardCode],"FW")),"")</f>
        <v/>
      </c>
      <c r="G86" s="5" t="str">
        <f>IFERROR(IF(SUMIFS(tblDaily[TransfersOut],tblDaily[EntryDate],DATE(2026,3,2),tblDaily[WardCode],"FW")=0,"",SUMIFS(tblDaily[TransfersOut],tblDaily[EntryDate],DATE(2026,3,2),tblDaily[WardCode],"FW")),"")</f>
        <v/>
      </c>
      <c r="H86" s="5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IFERROR(IF(SUMIFS(tblDaily[Admissions],tblDaily[EntryDate],DATE(2026,3,3),tblDaily[WardCode],"FW")=0,"",SUMIFS(tblDaily[Admissions],tblDaily[EntryDate],DATE(2026,3,3),tblDaily[WardCode],"FW")),"")</f>
        <v/>
      </c>
      <c r="C87" s="5" t="str">
        <f>IFERROR(IF(SUMIFS(tblDaily[Discharges],tblDaily[EntryDate],DATE(2026,3,3),tblDaily[WardCode],"FW")=0,"",SUMIFS(tblDaily[Discharges],tblDaily[EntryDate],DATE(2026,3,3),tblDaily[WardCode],"FW")),"")</f>
        <v/>
      </c>
      <c r="D87" s="5" t="str">
        <f>IFERROR(IF(SUMIFS(tblDaily[Deaths],tblDaily[EntryDate],DATE(2026,3,3),tblDaily[WardCode],"FW")=0,"",SUMIFS(tblDaily[Deaths],tblDaily[EntryDate],DATE(2026,3,3),tblDaily[WardCode],"FW")),"")</f>
        <v/>
      </c>
      <c r="E87" s="5" t="str">
        <f>IFERROR(IF(SUMIFS(tblDaily[DeathsUnder24Hrs],tblDaily[EntryDate],DATE(2026,3,3),tblDaily[WardCode],"FW")=0,"",SUMIFS(tblDaily[DeathsUnder24Hrs],tblDaily[EntryDate],DATE(2026,3,3),tblDaily[WardCode],"FW")),"")</f>
        <v/>
      </c>
      <c r="F87" s="5" t="str">
        <f>IFERROR(IF(SUMIFS(tblDaily[TransfersIn],tblDaily[EntryDate],DATE(2026,3,3),tblDaily[WardCode],"FW")=0,"",SUMIFS(tblDaily[TransfersIn],tblDaily[EntryDate],DATE(2026,3,3),tblDaily[WardCode],"FW")),"")</f>
        <v/>
      </c>
      <c r="G87" s="5" t="str">
        <f>IFERROR(IF(SUMIFS(tblDaily[TransfersOut],tblDaily[EntryDate],DATE(2026,3,3),tblDaily[WardCode],"FW")=0,"",SUMIFS(tblDaily[TransfersOut],tblDaily[EntryDate],DATE(2026,3,3),tblDaily[WardCode],"FW")),"")</f>
        <v/>
      </c>
      <c r="H87" s="5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IFERROR(IF(SUMIFS(tblDaily[Admissions],tblDaily[EntryDate],DATE(2026,3,4),tblDaily[WardCode],"FW")=0,"",SUMIFS(tblDaily[Admissions],tblDaily[EntryDate],DATE(2026,3,4),tblDaily[WardCode],"FW")),"")</f>
        <v/>
      </c>
      <c r="C88" s="5" t="str">
        <f>IFERROR(IF(SUMIFS(tblDaily[Discharges],tblDaily[EntryDate],DATE(2026,3,4),tblDaily[WardCode],"FW")=0,"",SUMIFS(tblDaily[Discharges],tblDaily[EntryDate],DATE(2026,3,4),tblDaily[WardCode],"FW")),"")</f>
        <v/>
      </c>
      <c r="D88" s="5" t="str">
        <f>IFERROR(IF(SUMIFS(tblDaily[Deaths],tblDaily[EntryDate],DATE(2026,3,4),tblDaily[WardCode],"FW")=0,"",SUMIFS(tblDaily[Deaths],tblDaily[EntryDate],DATE(2026,3,4),tblDaily[WardCode],"FW")),"")</f>
        <v/>
      </c>
      <c r="E88" s="5" t="str">
        <f>IFERROR(IF(SUMIFS(tblDaily[DeathsUnder24Hrs],tblDaily[EntryDate],DATE(2026,3,4),tblDaily[WardCode],"FW")=0,"",SUMIFS(tblDaily[DeathsUnder24Hrs],tblDaily[EntryDate],DATE(2026,3,4),tblDaily[WardCode],"FW")),"")</f>
        <v/>
      </c>
      <c r="F88" s="5" t="str">
        <f>IFERROR(IF(SUMIFS(tblDaily[TransfersIn],tblDaily[EntryDate],DATE(2026,3,4),tblDaily[WardCode],"FW")=0,"",SUMIFS(tblDaily[TransfersIn],tblDaily[EntryDate],DATE(2026,3,4),tblDaily[WardCode],"FW")),"")</f>
        <v/>
      </c>
      <c r="G88" s="5" t="str">
        <f>IFERROR(IF(SUMIFS(tblDaily[TransfersOut],tblDaily[EntryDate],DATE(2026,3,4),tblDaily[WardCode],"FW")=0,"",SUMIFS(tblDaily[TransfersOut],tblDaily[EntryDate],DATE(2026,3,4),tblDaily[WardCode],"FW")),"")</f>
        <v/>
      </c>
      <c r="H88" s="5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IFERROR(IF(SUMIFS(tblDaily[Admissions],tblDaily[EntryDate],DATE(2026,3,5),tblDaily[WardCode],"FW")=0,"",SUMIFS(tblDaily[Admissions],tblDaily[EntryDate],DATE(2026,3,5),tblDaily[WardCode],"FW")),"")</f>
        <v/>
      </c>
      <c r="C89" s="5" t="str">
        <f>IFERROR(IF(SUMIFS(tblDaily[Discharges],tblDaily[EntryDate],DATE(2026,3,5),tblDaily[WardCode],"FW")=0,"",SUMIFS(tblDaily[Discharges],tblDaily[EntryDate],DATE(2026,3,5),tblDaily[WardCode],"FW")),"")</f>
        <v/>
      </c>
      <c r="D89" s="5" t="str">
        <f>IFERROR(IF(SUMIFS(tblDaily[Deaths],tblDaily[EntryDate],DATE(2026,3,5),tblDaily[WardCode],"FW")=0,"",SUMIFS(tblDaily[Deaths],tblDaily[EntryDate],DATE(2026,3,5),tblDaily[WardCode],"FW")),"")</f>
        <v/>
      </c>
      <c r="E89" s="5" t="str">
        <f>IFERROR(IF(SUMIFS(tblDaily[DeathsUnder24Hrs],tblDaily[EntryDate],DATE(2026,3,5),tblDaily[WardCode],"FW")=0,"",SUMIFS(tblDaily[DeathsUnder24Hrs],tblDaily[EntryDate],DATE(2026,3,5),tblDaily[WardCode],"FW")),"")</f>
        <v/>
      </c>
      <c r="F89" s="5" t="str">
        <f>IFERROR(IF(SUMIFS(tblDaily[TransfersIn],tblDaily[EntryDate],DATE(2026,3,5),tblDaily[WardCode],"FW")=0,"",SUMIFS(tblDaily[TransfersIn],tblDaily[EntryDate],DATE(2026,3,5),tblDaily[WardCode],"FW")),"")</f>
        <v/>
      </c>
      <c r="G89" s="5" t="str">
        <f>IFERROR(IF(SUMIFS(tblDaily[TransfersOut],tblDaily[EntryDate],DATE(2026,3,5),tblDaily[WardCode],"FW")=0,"",SUMIFS(tblDaily[TransfersOut],tblDaily[EntryDate],DATE(2026,3,5),tblDaily[WardCode],"FW")),"")</f>
        <v/>
      </c>
      <c r="H89" s="5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IFERROR(IF(SUMIFS(tblDaily[Admissions],tblDaily[EntryDate],DATE(2026,3,6),tblDaily[WardCode],"FW")=0,"",SUMIFS(tblDaily[Admissions],tblDaily[EntryDate],DATE(2026,3,6),tblDaily[WardCode],"FW")),"")</f>
        <v/>
      </c>
      <c r="C90" s="5" t="str">
        <f>IFERROR(IF(SUMIFS(tblDaily[Discharges],tblDaily[EntryDate],DATE(2026,3,6),tblDaily[WardCode],"FW")=0,"",SUMIFS(tblDaily[Discharges],tblDaily[EntryDate],DATE(2026,3,6),tblDaily[WardCode],"FW")),"")</f>
        <v/>
      </c>
      <c r="D90" s="5" t="str">
        <f>IFERROR(IF(SUMIFS(tblDaily[Deaths],tblDaily[EntryDate],DATE(2026,3,6),tblDaily[WardCode],"FW")=0,"",SUMIFS(tblDaily[Deaths],tblDaily[EntryDate],DATE(2026,3,6),tblDaily[WardCode],"FW")),"")</f>
        <v/>
      </c>
      <c r="E90" s="5" t="str">
        <f>IFERROR(IF(SUMIFS(tblDaily[DeathsUnder24Hrs],tblDaily[EntryDate],DATE(2026,3,6),tblDaily[WardCode],"FW")=0,"",SUMIFS(tblDaily[DeathsUnder24Hrs],tblDaily[EntryDate],DATE(2026,3,6),tblDaily[WardCode],"FW")),"")</f>
        <v/>
      </c>
      <c r="F90" s="5" t="str">
        <f>IFERROR(IF(SUMIFS(tblDaily[TransfersIn],tblDaily[EntryDate],DATE(2026,3,6),tblDaily[WardCode],"FW")=0,"",SUMIFS(tblDaily[TransfersIn],tblDaily[EntryDate],DATE(2026,3,6),tblDaily[WardCode],"FW")),"")</f>
        <v/>
      </c>
      <c r="G90" s="5" t="str">
        <f>IFERROR(IF(SUMIFS(tblDaily[TransfersOut],tblDaily[EntryDate],DATE(2026,3,6),tblDaily[WardCode],"FW")=0,"",SUMIFS(tblDaily[TransfersOut],tblDaily[EntryDate],DATE(2026,3,6),tblDaily[WardCode],"FW")),"")</f>
        <v/>
      </c>
      <c r="H90" s="5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IFERROR(IF(SUMIFS(tblDaily[Admissions],tblDaily[EntryDate],DATE(2026,3,7),tblDaily[WardCode],"FW")=0,"",SUMIFS(tblDaily[Admissions],tblDaily[EntryDate],DATE(2026,3,7),tblDaily[WardCode],"FW")),"")</f>
        <v/>
      </c>
      <c r="C91" s="5" t="str">
        <f>IFERROR(IF(SUMIFS(tblDaily[Discharges],tblDaily[EntryDate],DATE(2026,3,7),tblDaily[WardCode],"FW")=0,"",SUMIFS(tblDaily[Discharges],tblDaily[EntryDate],DATE(2026,3,7),tblDaily[WardCode],"FW")),"")</f>
        <v/>
      </c>
      <c r="D91" s="5" t="str">
        <f>IFERROR(IF(SUMIFS(tblDaily[Deaths],tblDaily[EntryDate],DATE(2026,3,7),tblDaily[WardCode],"FW")=0,"",SUMIFS(tblDaily[Deaths],tblDaily[EntryDate],DATE(2026,3,7),tblDaily[WardCode],"FW")),"")</f>
        <v/>
      </c>
      <c r="E91" s="5" t="str">
        <f>IFERROR(IF(SUMIFS(tblDaily[DeathsUnder24Hrs],tblDaily[EntryDate],DATE(2026,3,7),tblDaily[WardCode],"FW")=0,"",SUMIFS(tblDaily[DeathsUnder24Hrs],tblDaily[EntryDate],DATE(2026,3,7),tblDaily[WardCode],"FW")),"")</f>
        <v/>
      </c>
      <c r="F91" s="5" t="str">
        <f>IFERROR(IF(SUMIFS(tblDaily[TransfersIn],tblDaily[EntryDate],DATE(2026,3,7),tblDaily[WardCode],"FW")=0,"",SUMIFS(tblDaily[TransfersIn],tblDaily[EntryDate],DATE(2026,3,7),tblDaily[WardCode],"FW")),"")</f>
        <v/>
      </c>
      <c r="G91" s="5" t="str">
        <f>IFERROR(IF(SUMIFS(tblDaily[TransfersOut],tblDaily[EntryDate],DATE(2026,3,7),tblDaily[WardCode],"FW")=0,"",SUMIFS(tblDaily[TransfersOut],tblDaily[EntryDate],DATE(2026,3,7),tblDaily[WardCode],"FW")),"")</f>
        <v/>
      </c>
      <c r="H91" s="5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IFERROR(IF(SUMIFS(tblDaily[Admissions],tblDaily[EntryDate],DATE(2026,3,8),tblDaily[WardCode],"FW")=0,"",SUMIFS(tblDaily[Admissions],tblDaily[EntryDate],DATE(2026,3,8),tblDaily[WardCode],"FW")),"")</f>
        <v/>
      </c>
      <c r="C92" s="5" t="str">
        <f>IFERROR(IF(SUMIFS(tblDaily[Discharges],tblDaily[EntryDate],DATE(2026,3,8),tblDaily[WardCode],"FW")=0,"",SUMIFS(tblDaily[Discharges],tblDaily[EntryDate],DATE(2026,3,8),tblDaily[WardCode],"FW")),"")</f>
        <v/>
      </c>
      <c r="D92" s="5" t="str">
        <f>IFERROR(IF(SUMIFS(tblDaily[Deaths],tblDaily[EntryDate],DATE(2026,3,8),tblDaily[WardCode],"FW")=0,"",SUMIFS(tblDaily[Deaths],tblDaily[EntryDate],DATE(2026,3,8),tblDaily[WardCode],"FW")),"")</f>
        <v/>
      </c>
      <c r="E92" s="5" t="str">
        <f>IFERROR(IF(SUMIFS(tblDaily[DeathsUnder24Hrs],tblDaily[EntryDate],DATE(2026,3,8),tblDaily[WardCode],"FW")=0,"",SUMIFS(tblDaily[DeathsUnder24Hrs],tblDaily[EntryDate],DATE(2026,3,8),tblDaily[WardCode],"FW")),"")</f>
        <v/>
      </c>
      <c r="F92" s="5" t="str">
        <f>IFERROR(IF(SUMIFS(tblDaily[TransfersIn],tblDaily[EntryDate],DATE(2026,3,8),tblDaily[WardCode],"FW")=0,"",SUMIFS(tblDaily[TransfersIn],tblDaily[EntryDate],DATE(2026,3,8),tblDaily[WardCode],"FW")),"")</f>
        <v/>
      </c>
      <c r="G92" s="5" t="str">
        <f>IFERROR(IF(SUMIFS(tblDaily[TransfersOut],tblDaily[EntryDate],DATE(2026,3,8),tblDaily[WardCode],"FW")=0,"",SUMIFS(tblDaily[TransfersOut],tblDaily[EntryDate],DATE(2026,3,8),tblDaily[WardCode],"FW")),"")</f>
        <v/>
      </c>
      <c r="H92" s="5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IFERROR(IF(SUMIFS(tblDaily[Admissions],tblDaily[EntryDate],DATE(2026,3,9),tblDaily[WardCode],"FW")=0,"",SUMIFS(tblDaily[Admissions],tblDaily[EntryDate],DATE(2026,3,9),tblDaily[WardCode],"FW")),"")</f>
        <v/>
      </c>
      <c r="C93" s="5" t="str">
        <f>IFERROR(IF(SUMIFS(tblDaily[Discharges],tblDaily[EntryDate],DATE(2026,3,9),tblDaily[WardCode],"FW")=0,"",SUMIFS(tblDaily[Discharges],tblDaily[EntryDate],DATE(2026,3,9),tblDaily[WardCode],"FW")),"")</f>
        <v/>
      </c>
      <c r="D93" s="5" t="str">
        <f>IFERROR(IF(SUMIFS(tblDaily[Deaths],tblDaily[EntryDate],DATE(2026,3,9),tblDaily[WardCode],"FW")=0,"",SUMIFS(tblDaily[Deaths],tblDaily[EntryDate],DATE(2026,3,9),tblDaily[WardCode],"FW")),"")</f>
        <v/>
      </c>
      <c r="E93" s="5" t="str">
        <f>IFERROR(IF(SUMIFS(tblDaily[DeathsUnder24Hrs],tblDaily[EntryDate],DATE(2026,3,9),tblDaily[WardCode],"FW")=0,"",SUMIFS(tblDaily[DeathsUnder24Hrs],tblDaily[EntryDate],DATE(2026,3,9),tblDaily[WardCode],"FW")),"")</f>
        <v/>
      </c>
      <c r="F93" s="5" t="str">
        <f>IFERROR(IF(SUMIFS(tblDaily[TransfersIn],tblDaily[EntryDate],DATE(2026,3,9),tblDaily[WardCode],"FW")=0,"",SUMIFS(tblDaily[TransfersIn],tblDaily[EntryDate],DATE(2026,3,9),tblDaily[WardCode],"FW")),"")</f>
        <v/>
      </c>
      <c r="G93" s="5" t="str">
        <f>IFERROR(IF(SUMIFS(tblDaily[TransfersOut],tblDaily[EntryDate],DATE(2026,3,9),tblDaily[WardCode],"FW")=0,"",SUMIFS(tblDaily[TransfersOut],tblDaily[EntryDate],DATE(2026,3,9),tblDaily[WardCode],"FW")),"")</f>
        <v/>
      </c>
      <c r="H93" s="5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IFERROR(IF(SUMIFS(tblDaily[Admissions],tblDaily[EntryDate],DATE(2026,3,10),tblDaily[WardCode],"FW")=0,"",SUMIFS(tblDaily[Admissions],tblDaily[EntryDate],DATE(2026,3,10),tblDaily[WardCode],"FW")),"")</f>
        <v/>
      </c>
      <c r="C94" s="5" t="str">
        <f>IFERROR(IF(SUMIFS(tblDaily[Discharges],tblDaily[EntryDate],DATE(2026,3,10),tblDaily[WardCode],"FW")=0,"",SUMIFS(tblDaily[Discharges],tblDaily[EntryDate],DATE(2026,3,10),tblDaily[WardCode],"FW")),"")</f>
        <v/>
      </c>
      <c r="D94" s="5" t="str">
        <f>IFERROR(IF(SUMIFS(tblDaily[Deaths],tblDaily[EntryDate],DATE(2026,3,10),tblDaily[WardCode],"FW")=0,"",SUMIFS(tblDaily[Deaths],tblDaily[EntryDate],DATE(2026,3,10),tblDaily[WardCode],"FW")),"")</f>
        <v/>
      </c>
      <c r="E94" s="5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5" t="str">
        <f>IFERROR(IF(SUMIFS(tblDaily[TransfersIn],tblDaily[EntryDate],DATE(2026,3,10),tblDaily[WardCode],"FW")=0,"",SUMIFS(tblDaily[TransfersIn],tblDaily[EntryDate],DATE(2026,3,10),tblDaily[WardCode],"FW")),"")</f>
        <v/>
      </c>
      <c r="G94" s="5" t="str">
        <f>IFERROR(IF(SUMIFS(tblDaily[TransfersOut],tblDaily[EntryDate],DATE(2026,3,10),tblDaily[WardCode],"FW")=0,"",SUMIFS(tblDaily[TransfersOut],tblDaily[EntryDate],DATE(2026,3,10),tblDaily[WardCode],"FW")),"")</f>
        <v/>
      </c>
      <c r="H94" s="5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IFERROR(IF(SUMIFS(tblDaily[Admissions],tblDaily[EntryDate],DATE(2026,3,11),tblDaily[WardCode],"FW")=0,"",SUMIFS(tblDaily[Admissions],tblDaily[EntryDate],DATE(2026,3,11),tblDaily[WardCode],"FW")),"")</f>
        <v/>
      </c>
      <c r="C95" s="5" t="str">
        <f>IFERROR(IF(SUMIFS(tblDaily[Discharges],tblDaily[EntryDate],DATE(2026,3,11),tblDaily[WardCode],"FW")=0,"",SUMIFS(tblDaily[Discharges],tblDaily[EntryDate],DATE(2026,3,11),tblDaily[WardCode],"FW")),"")</f>
        <v/>
      </c>
      <c r="D95" s="5" t="str">
        <f>IFERROR(IF(SUMIFS(tblDaily[Deaths],tblDaily[EntryDate],DATE(2026,3,11),tblDaily[WardCode],"FW")=0,"",SUMIFS(tblDaily[Deaths],tblDaily[EntryDate],DATE(2026,3,11),tblDaily[WardCode],"FW")),"")</f>
        <v/>
      </c>
      <c r="E95" s="5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5" t="str">
        <f>IFERROR(IF(SUMIFS(tblDaily[TransfersIn],tblDaily[EntryDate],DATE(2026,3,11),tblDaily[WardCode],"FW")=0,"",SUMIFS(tblDaily[TransfersIn],tblDaily[EntryDate],DATE(2026,3,11),tblDaily[WardCode],"FW")),"")</f>
        <v/>
      </c>
      <c r="G95" s="5" t="str">
        <f>IFERROR(IF(SUMIFS(tblDaily[TransfersOut],tblDaily[EntryDate],DATE(2026,3,11),tblDaily[WardCode],"FW")=0,"",SUMIFS(tblDaily[TransfersOut],tblDaily[EntryDate],DATE(2026,3,11),tblDaily[WardCode],"FW")),"")</f>
        <v/>
      </c>
      <c r="H95" s="5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IFERROR(IF(SUMIFS(tblDaily[Admissions],tblDaily[EntryDate],DATE(2026,3,12),tblDaily[WardCode],"FW")=0,"",SUMIFS(tblDaily[Admissions],tblDaily[EntryDate],DATE(2026,3,12),tblDaily[WardCode],"FW")),"")</f>
        <v/>
      </c>
      <c r="C96" s="5" t="str">
        <f>IFERROR(IF(SUMIFS(tblDaily[Discharges],tblDaily[EntryDate],DATE(2026,3,12),tblDaily[WardCode],"FW")=0,"",SUMIFS(tblDaily[Discharges],tblDaily[EntryDate],DATE(2026,3,12),tblDaily[WardCode],"FW")),"")</f>
        <v/>
      </c>
      <c r="D96" s="5" t="str">
        <f>IFERROR(IF(SUMIFS(tblDaily[Deaths],tblDaily[EntryDate],DATE(2026,3,12),tblDaily[WardCode],"FW")=0,"",SUMIFS(tblDaily[Deaths],tblDaily[EntryDate],DATE(2026,3,12),tblDaily[WardCode],"FW")),"")</f>
        <v/>
      </c>
      <c r="E96" s="5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5" t="str">
        <f>IFERROR(IF(SUMIFS(tblDaily[TransfersIn],tblDaily[EntryDate],DATE(2026,3,12),tblDaily[WardCode],"FW")=0,"",SUMIFS(tblDaily[TransfersIn],tblDaily[EntryDate],DATE(2026,3,12),tblDaily[WardCode],"FW")),"")</f>
        <v/>
      </c>
      <c r="G96" s="5" t="str">
        <f>IFERROR(IF(SUMIFS(tblDaily[TransfersOut],tblDaily[EntryDate],DATE(2026,3,12),tblDaily[WardCode],"FW")=0,"",SUMIFS(tblDaily[TransfersOut],tblDaily[EntryDate],DATE(2026,3,12),tblDaily[WardCode],"FW")),"")</f>
        <v/>
      </c>
      <c r="H96" s="5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IFERROR(IF(SUMIFS(tblDaily[Admissions],tblDaily[EntryDate],DATE(2026,3,13),tblDaily[WardCode],"FW")=0,"",SUMIFS(tblDaily[Admissions],tblDaily[EntryDate],DATE(2026,3,13),tblDaily[WardCode],"FW")),"")</f>
        <v/>
      </c>
      <c r="C97" s="5" t="str">
        <f>IFERROR(IF(SUMIFS(tblDaily[Discharges],tblDaily[EntryDate],DATE(2026,3,13),tblDaily[WardCode],"FW")=0,"",SUMIFS(tblDaily[Discharges],tblDaily[EntryDate],DATE(2026,3,13),tblDaily[WardCode],"FW")),"")</f>
        <v/>
      </c>
      <c r="D97" s="5" t="str">
        <f>IFERROR(IF(SUMIFS(tblDaily[Deaths],tblDaily[EntryDate],DATE(2026,3,13),tblDaily[WardCode],"FW")=0,"",SUMIFS(tblDaily[Deaths],tblDaily[EntryDate],DATE(2026,3,13),tblDaily[WardCode],"FW")),"")</f>
        <v/>
      </c>
      <c r="E97" s="5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5" t="str">
        <f>IFERROR(IF(SUMIFS(tblDaily[TransfersIn],tblDaily[EntryDate],DATE(2026,3,13),tblDaily[WardCode],"FW")=0,"",SUMIFS(tblDaily[TransfersIn],tblDaily[EntryDate],DATE(2026,3,13),tblDaily[WardCode],"FW")),"")</f>
        <v/>
      </c>
      <c r="G97" s="5" t="str">
        <f>IFERROR(IF(SUMIFS(tblDaily[TransfersOut],tblDaily[EntryDate],DATE(2026,3,13),tblDaily[WardCode],"FW")=0,"",SUMIFS(tblDaily[TransfersOut],tblDaily[EntryDate],DATE(2026,3,13),tblDaily[WardCode],"FW")),"")</f>
        <v/>
      </c>
      <c r="H97" s="5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IFERROR(IF(SUMIFS(tblDaily[Admissions],tblDaily[EntryDate],DATE(2026,3,14),tblDaily[WardCode],"FW")=0,"",SUMIFS(tblDaily[Admissions],tblDaily[EntryDate],DATE(2026,3,14),tblDaily[WardCode],"FW")),"")</f>
        <v/>
      </c>
      <c r="C98" s="5" t="str">
        <f>IFERROR(IF(SUMIFS(tblDaily[Discharges],tblDaily[EntryDate],DATE(2026,3,14),tblDaily[WardCode],"FW")=0,"",SUMIFS(tblDaily[Discharges],tblDaily[EntryDate],DATE(2026,3,14),tblDaily[WardCode],"FW")),"")</f>
        <v/>
      </c>
      <c r="D98" s="5" t="str">
        <f>IFERROR(IF(SUMIFS(tblDaily[Deaths],tblDaily[EntryDate],DATE(2026,3,14),tblDaily[WardCode],"FW")=0,"",SUMIFS(tblDaily[Deaths],tblDaily[EntryDate],DATE(2026,3,14),tblDaily[WardCode],"FW")),"")</f>
        <v/>
      </c>
      <c r="E98" s="5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5" t="str">
        <f>IFERROR(IF(SUMIFS(tblDaily[TransfersIn],tblDaily[EntryDate],DATE(2026,3,14),tblDaily[WardCode],"FW")=0,"",SUMIFS(tblDaily[TransfersIn],tblDaily[EntryDate],DATE(2026,3,14),tblDaily[WardCode],"FW")),"")</f>
        <v/>
      </c>
      <c r="G98" s="5" t="str">
        <f>IFERROR(IF(SUMIFS(tblDaily[TransfersOut],tblDaily[EntryDate],DATE(2026,3,14),tblDaily[WardCode],"FW")=0,"",SUMIFS(tblDaily[TransfersOut],tblDaily[EntryDate],DATE(2026,3,14),tblDaily[WardCode],"FW")),"")</f>
        <v/>
      </c>
      <c r="H98" s="5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IFERROR(IF(SUMIFS(tblDaily[Admissions],tblDaily[EntryDate],DATE(2026,3,15),tblDaily[WardCode],"FW")=0,"",SUMIFS(tblDaily[Admissions],tblDaily[EntryDate],DATE(2026,3,15),tblDaily[WardCode],"FW")),"")</f>
        <v/>
      </c>
      <c r="C99" s="5" t="str">
        <f>IFERROR(IF(SUMIFS(tblDaily[Discharges],tblDaily[EntryDate],DATE(2026,3,15),tblDaily[WardCode],"FW")=0,"",SUMIFS(tblDaily[Discharges],tblDaily[EntryDate],DATE(2026,3,15),tblDaily[WardCode],"FW")),"")</f>
        <v/>
      </c>
      <c r="D99" s="5" t="str">
        <f>IFERROR(IF(SUMIFS(tblDaily[Deaths],tblDaily[EntryDate],DATE(2026,3,15),tblDaily[WardCode],"FW")=0,"",SUMIFS(tblDaily[Deaths],tblDaily[EntryDate],DATE(2026,3,15),tblDaily[WardCode],"FW")),"")</f>
        <v/>
      </c>
      <c r="E99" s="5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5" t="str">
        <f>IFERROR(IF(SUMIFS(tblDaily[TransfersIn],tblDaily[EntryDate],DATE(2026,3,15),tblDaily[WardCode],"FW")=0,"",SUMIFS(tblDaily[TransfersIn],tblDaily[EntryDate],DATE(2026,3,15),tblDaily[WardCode],"FW")),"")</f>
        <v/>
      </c>
      <c r="G99" s="5" t="str">
        <f>IFERROR(IF(SUMIFS(tblDaily[TransfersOut],tblDaily[EntryDate],DATE(2026,3,15),tblDaily[WardCode],"FW")=0,"",SUMIFS(tblDaily[TransfersOut],tblDaily[EntryDate],DATE(2026,3,15),tblDaily[WardCode],"FW")),"")</f>
        <v/>
      </c>
      <c r="H99" s="5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IFERROR(IF(SUMIFS(tblDaily[Admissions],tblDaily[EntryDate],DATE(2026,3,16),tblDaily[WardCode],"FW")=0,"",SUMIFS(tblDaily[Admissions],tblDaily[EntryDate],DATE(2026,3,16),tblDaily[WardCode],"FW")),"")</f>
        <v/>
      </c>
      <c r="C100" s="5" t="str">
        <f>IFERROR(IF(SUMIFS(tblDaily[Discharges],tblDaily[EntryDate],DATE(2026,3,16),tblDaily[WardCode],"FW")=0,"",SUMIFS(tblDaily[Discharges],tblDaily[EntryDate],DATE(2026,3,16),tblDaily[WardCode],"FW")),"")</f>
        <v/>
      </c>
      <c r="D100" s="5" t="str">
        <f>IFERROR(IF(SUMIFS(tblDaily[Deaths],tblDaily[EntryDate],DATE(2026,3,16),tblDaily[WardCode],"FW")=0,"",SUMIFS(tblDaily[Deaths],tblDaily[EntryDate],DATE(2026,3,16),tblDaily[WardCode],"FW")),"")</f>
        <v/>
      </c>
      <c r="E100" s="5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5" t="str">
        <f>IFERROR(IF(SUMIFS(tblDaily[TransfersIn],tblDaily[EntryDate],DATE(2026,3,16),tblDaily[WardCode],"FW")=0,"",SUMIFS(tblDaily[TransfersIn],tblDaily[EntryDate],DATE(2026,3,16),tblDaily[WardCode],"FW")),"")</f>
        <v/>
      </c>
      <c r="G100" s="5" t="str">
        <f>IFERROR(IF(SUMIFS(tblDaily[TransfersOut],tblDaily[EntryDate],DATE(2026,3,16),tblDaily[WardCode],"FW")=0,"",SUMIFS(tblDaily[TransfersOut],tblDaily[EntryDate],DATE(2026,3,16),tblDaily[WardCode],"FW")),"")</f>
        <v/>
      </c>
      <c r="H100" s="5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IFERROR(IF(SUMIFS(tblDaily[Admissions],tblDaily[EntryDate],DATE(2026,3,17),tblDaily[WardCode],"FW")=0,"",SUMIFS(tblDaily[Admissions],tblDaily[EntryDate],DATE(2026,3,17),tblDaily[WardCode],"FW")),"")</f>
        <v/>
      </c>
      <c r="C101" s="5" t="str">
        <f>IFERROR(IF(SUMIFS(tblDaily[Discharges],tblDaily[EntryDate],DATE(2026,3,17),tblDaily[WardCode],"FW")=0,"",SUMIFS(tblDaily[Discharges],tblDaily[EntryDate],DATE(2026,3,17),tblDaily[WardCode],"FW")),"")</f>
        <v/>
      </c>
      <c r="D101" s="5" t="str">
        <f>IFERROR(IF(SUMIFS(tblDaily[Deaths],tblDaily[EntryDate],DATE(2026,3,17),tblDaily[WardCode],"FW")=0,"",SUMIFS(tblDaily[Deaths],tblDaily[EntryDate],DATE(2026,3,17),tblDaily[WardCode],"FW")),"")</f>
        <v/>
      </c>
      <c r="E101" s="5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5" t="str">
        <f>IFERROR(IF(SUMIFS(tblDaily[TransfersIn],tblDaily[EntryDate],DATE(2026,3,17),tblDaily[WardCode],"FW")=0,"",SUMIFS(tblDaily[TransfersIn],tblDaily[EntryDate],DATE(2026,3,17),tblDaily[WardCode],"FW")),"")</f>
        <v/>
      </c>
      <c r="G101" s="5" t="str">
        <f>IFERROR(IF(SUMIFS(tblDaily[TransfersOut],tblDaily[EntryDate],DATE(2026,3,17),tblDaily[WardCode],"FW")=0,"",SUMIFS(tblDaily[TransfersOut],tblDaily[EntryDate],DATE(2026,3,17),tblDaily[WardCode],"FW")),"")</f>
        <v/>
      </c>
      <c r="H101" s="5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IFERROR(IF(SUMIFS(tblDaily[Admissions],tblDaily[EntryDate],DATE(2026,3,18),tblDaily[WardCode],"FW")=0,"",SUMIFS(tblDaily[Admissions],tblDaily[EntryDate],DATE(2026,3,18),tblDaily[WardCode],"FW")),"")</f>
        <v/>
      </c>
      <c r="C102" s="5" t="str">
        <f>IFERROR(IF(SUMIFS(tblDaily[Discharges],tblDaily[EntryDate],DATE(2026,3,18),tblDaily[WardCode],"FW")=0,"",SUMIFS(tblDaily[Discharges],tblDaily[EntryDate],DATE(2026,3,18),tblDaily[WardCode],"FW")),"")</f>
        <v/>
      </c>
      <c r="D102" s="5" t="str">
        <f>IFERROR(IF(SUMIFS(tblDaily[Deaths],tblDaily[EntryDate],DATE(2026,3,18),tblDaily[WardCode],"FW")=0,"",SUMIFS(tblDaily[Deaths],tblDaily[EntryDate],DATE(2026,3,18),tblDaily[WardCode],"FW")),"")</f>
        <v/>
      </c>
      <c r="E102" s="5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5" t="str">
        <f>IFERROR(IF(SUMIFS(tblDaily[TransfersIn],tblDaily[EntryDate],DATE(2026,3,18),tblDaily[WardCode],"FW")=0,"",SUMIFS(tblDaily[TransfersIn],tblDaily[EntryDate],DATE(2026,3,18),tblDaily[WardCode],"FW")),"")</f>
        <v/>
      </c>
      <c r="G102" s="5" t="str">
        <f>IFERROR(IF(SUMIFS(tblDaily[TransfersOut],tblDaily[EntryDate],DATE(2026,3,18),tblDaily[WardCode],"FW")=0,"",SUMIFS(tblDaily[TransfersOut],tblDaily[EntryDate],DATE(2026,3,18),tblDaily[WardCode],"FW")),"")</f>
        <v/>
      </c>
      <c r="H102" s="5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IFERROR(IF(SUMIFS(tblDaily[Admissions],tblDaily[EntryDate],DATE(2026,3,19),tblDaily[WardCode],"FW")=0,"",SUMIFS(tblDaily[Admissions],tblDaily[EntryDate],DATE(2026,3,19),tblDaily[WardCode],"FW")),"")</f>
        <v/>
      </c>
      <c r="C103" s="5" t="str">
        <f>IFERROR(IF(SUMIFS(tblDaily[Discharges],tblDaily[EntryDate],DATE(2026,3,19),tblDaily[WardCode],"FW")=0,"",SUMIFS(tblDaily[Discharges],tblDaily[EntryDate],DATE(2026,3,19),tblDaily[WardCode],"FW")),"")</f>
        <v/>
      </c>
      <c r="D103" s="5" t="str">
        <f>IFERROR(IF(SUMIFS(tblDaily[Deaths],tblDaily[EntryDate],DATE(2026,3,19),tblDaily[WardCode],"FW")=0,"",SUMIFS(tblDaily[Deaths],tblDaily[EntryDate],DATE(2026,3,19),tblDaily[WardCode],"FW")),"")</f>
        <v/>
      </c>
      <c r="E103" s="5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5" t="str">
        <f>IFERROR(IF(SUMIFS(tblDaily[TransfersIn],tblDaily[EntryDate],DATE(2026,3,19),tblDaily[WardCode],"FW")=0,"",SUMIFS(tblDaily[TransfersIn],tblDaily[EntryDate],DATE(2026,3,19),tblDaily[WardCode],"FW")),"")</f>
        <v/>
      </c>
      <c r="G103" s="5" t="str">
        <f>IFERROR(IF(SUMIFS(tblDaily[TransfersOut],tblDaily[EntryDate],DATE(2026,3,19),tblDaily[WardCode],"FW")=0,"",SUMIFS(tblDaily[TransfersOut],tblDaily[EntryDate],DATE(2026,3,19),tblDaily[WardCode],"FW")),"")</f>
        <v/>
      </c>
      <c r="H103" s="5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IFERROR(IF(SUMIFS(tblDaily[Admissions],tblDaily[EntryDate],DATE(2026,3,20),tblDaily[WardCode],"FW")=0,"",SUMIFS(tblDaily[Admissions],tblDaily[EntryDate],DATE(2026,3,20),tblDaily[WardCode],"FW")),"")</f>
        <v/>
      </c>
      <c r="C104" s="5" t="str">
        <f>IFERROR(IF(SUMIFS(tblDaily[Discharges],tblDaily[EntryDate],DATE(2026,3,20),tblDaily[WardCode],"FW")=0,"",SUMIFS(tblDaily[Discharges],tblDaily[EntryDate],DATE(2026,3,20),tblDaily[WardCode],"FW")),"")</f>
        <v/>
      </c>
      <c r="D104" s="5" t="str">
        <f>IFERROR(IF(SUMIFS(tblDaily[Deaths],tblDaily[EntryDate],DATE(2026,3,20),tblDaily[WardCode],"FW")=0,"",SUMIFS(tblDaily[Deaths],tblDaily[EntryDate],DATE(2026,3,20),tblDaily[WardCode],"FW")),"")</f>
        <v/>
      </c>
      <c r="E104" s="5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5" t="str">
        <f>IFERROR(IF(SUMIFS(tblDaily[TransfersIn],tblDaily[EntryDate],DATE(2026,3,20),tblDaily[WardCode],"FW")=0,"",SUMIFS(tblDaily[TransfersIn],tblDaily[EntryDate],DATE(2026,3,20),tblDaily[WardCode],"FW")),"")</f>
        <v/>
      </c>
      <c r="G104" s="5" t="str">
        <f>IFERROR(IF(SUMIFS(tblDaily[TransfersOut],tblDaily[EntryDate],DATE(2026,3,20),tblDaily[WardCode],"FW")=0,"",SUMIFS(tblDaily[TransfersOut],tblDaily[EntryDate],DATE(2026,3,20),tblDaily[WardCode],"FW")),"")</f>
        <v/>
      </c>
      <c r="H104" s="5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IFERROR(IF(SUMIFS(tblDaily[Admissions],tblDaily[EntryDate],DATE(2026,3,21),tblDaily[WardCode],"FW")=0,"",SUMIFS(tblDaily[Admissions],tblDaily[EntryDate],DATE(2026,3,21),tblDaily[WardCode],"FW")),"")</f>
        <v/>
      </c>
      <c r="C105" s="5" t="str">
        <f>IFERROR(IF(SUMIFS(tblDaily[Discharges],tblDaily[EntryDate],DATE(2026,3,21),tblDaily[WardCode],"FW")=0,"",SUMIFS(tblDaily[Discharges],tblDaily[EntryDate],DATE(2026,3,21),tblDaily[WardCode],"FW")),"")</f>
        <v/>
      </c>
      <c r="D105" s="5" t="str">
        <f>IFERROR(IF(SUMIFS(tblDaily[Deaths],tblDaily[EntryDate],DATE(2026,3,21),tblDaily[WardCode],"FW")=0,"",SUMIFS(tblDaily[Deaths],tblDaily[EntryDate],DATE(2026,3,21),tblDaily[WardCode],"FW")),"")</f>
        <v/>
      </c>
      <c r="E105" s="5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5" t="str">
        <f>IFERROR(IF(SUMIFS(tblDaily[TransfersIn],tblDaily[EntryDate],DATE(2026,3,21),tblDaily[WardCode],"FW")=0,"",SUMIFS(tblDaily[TransfersIn],tblDaily[EntryDate],DATE(2026,3,21),tblDaily[WardCode],"FW")),"")</f>
        <v/>
      </c>
      <c r="G105" s="5" t="str">
        <f>IFERROR(IF(SUMIFS(tblDaily[TransfersOut],tblDaily[EntryDate],DATE(2026,3,21),tblDaily[WardCode],"FW")=0,"",SUMIFS(tblDaily[TransfersOut],tblDaily[EntryDate],DATE(2026,3,21),tblDaily[WardCode],"FW")),"")</f>
        <v/>
      </c>
      <c r="H105" s="5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IFERROR(IF(SUMIFS(tblDaily[Admissions],tblDaily[EntryDate],DATE(2026,3,22),tblDaily[WardCode],"FW")=0,"",SUMIFS(tblDaily[Admissions],tblDaily[EntryDate],DATE(2026,3,22),tblDaily[WardCode],"FW")),"")</f>
        <v/>
      </c>
      <c r="C106" s="5" t="str">
        <f>IFERROR(IF(SUMIFS(tblDaily[Discharges],tblDaily[EntryDate],DATE(2026,3,22),tblDaily[WardCode],"FW")=0,"",SUMIFS(tblDaily[Discharges],tblDaily[EntryDate],DATE(2026,3,22),tblDaily[WardCode],"FW")),"")</f>
        <v/>
      </c>
      <c r="D106" s="5" t="str">
        <f>IFERROR(IF(SUMIFS(tblDaily[Deaths],tblDaily[EntryDate],DATE(2026,3,22),tblDaily[WardCode],"FW")=0,"",SUMIFS(tblDaily[Deaths],tblDaily[EntryDate],DATE(2026,3,22),tblDaily[WardCode],"FW")),"")</f>
        <v/>
      </c>
      <c r="E106" s="5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5" t="str">
        <f>IFERROR(IF(SUMIFS(tblDaily[TransfersIn],tblDaily[EntryDate],DATE(2026,3,22),tblDaily[WardCode],"FW")=0,"",SUMIFS(tblDaily[TransfersIn],tblDaily[EntryDate],DATE(2026,3,22),tblDaily[WardCode],"FW")),"")</f>
        <v/>
      </c>
      <c r="G106" s="5" t="str">
        <f>IFERROR(IF(SUMIFS(tblDaily[TransfersOut],tblDaily[EntryDate],DATE(2026,3,22),tblDaily[WardCode],"FW")=0,"",SUMIFS(tblDaily[TransfersOut],tblDaily[EntryDate],DATE(2026,3,22),tblDaily[WardCode],"FW")),"")</f>
        <v/>
      </c>
      <c r="H106" s="5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IFERROR(IF(SUMIFS(tblDaily[Admissions],tblDaily[EntryDate],DATE(2026,3,23),tblDaily[WardCode],"FW")=0,"",SUMIFS(tblDaily[Admissions],tblDaily[EntryDate],DATE(2026,3,23),tblDaily[WardCode],"FW")),"")</f>
        <v/>
      </c>
      <c r="C107" s="5" t="str">
        <f>IFERROR(IF(SUMIFS(tblDaily[Discharges],tblDaily[EntryDate],DATE(2026,3,23),tblDaily[WardCode],"FW")=0,"",SUMIFS(tblDaily[Discharges],tblDaily[EntryDate],DATE(2026,3,23),tblDaily[WardCode],"FW")),"")</f>
        <v/>
      </c>
      <c r="D107" s="5" t="str">
        <f>IFERROR(IF(SUMIFS(tblDaily[Deaths],tblDaily[EntryDate],DATE(2026,3,23),tblDaily[WardCode],"FW")=0,"",SUMIFS(tblDaily[Deaths],tblDaily[EntryDate],DATE(2026,3,23),tblDaily[WardCode],"FW")),"")</f>
        <v/>
      </c>
      <c r="E107" s="5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5" t="str">
        <f>IFERROR(IF(SUMIFS(tblDaily[TransfersIn],tblDaily[EntryDate],DATE(2026,3,23),tblDaily[WardCode],"FW")=0,"",SUMIFS(tblDaily[TransfersIn],tblDaily[EntryDate],DATE(2026,3,23),tblDaily[WardCode],"FW")),"")</f>
        <v/>
      </c>
      <c r="G107" s="5" t="str">
        <f>IFERROR(IF(SUMIFS(tblDaily[TransfersOut],tblDaily[EntryDate],DATE(2026,3,23),tblDaily[WardCode],"FW")=0,"",SUMIFS(tblDaily[TransfersOut],tblDaily[EntryDate],DATE(2026,3,23),tblDaily[WardCode],"FW")),"")</f>
        <v/>
      </c>
      <c r="H107" s="5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IFERROR(IF(SUMIFS(tblDaily[Admissions],tblDaily[EntryDate],DATE(2026,3,24),tblDaily[WardCode],"FW")=0,"",SUMIFS(tblDaily[Admissions],tblDaily[EntryDate],DATE(2026,3,24),tblDaily[WardCode],"FW")),"")</f>
        <v/>
      </c>
      <c r="C108" s="5" t="str">
        <f>IFERROR(IF(SUMIFS(tblDaily[Discharges],tblDaily[EntryDate],DATE(2026,3,24),tblDaily[WardCode],"FW")=0,"",SUMIFS(tblDaily[Discharges],tblDaily[EntryDate],DATE(2026,3,24),tblDaily[WardCode],"FW")),"")</f>
        <v/>
      </c>
      <c r="D108" s="5" t="str">
        <f>IFERROR(IF(SUMIFS(tblDaily[Deaths],tblDaily[EntryDate],DATE(2026,3,24),tblDaily[WardCode],"FW")=0,"",SUMIFS(tblDaily[Deaths],tblDaily[EntryDate],DATE(2026,3,24),tblDaily[WardCode],"FW")),"")</f>
        <v/>
      </c>
      <c r="E108" s="5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5" t="str">
        <f>IFERROR(IF(SUMIFS(tblDaily[TransfersIn],tblDaily[EntryDate],DATE(2026,3,24),tblDaily[WardCode],"FW")=0,"",SUMIFS(tblDaily[TransfersIn],tblDaily[EntryDate],DATE(2026,3,24),tblDaily[WardCode],"FW")),"")</f>
        <v/>
      </c>
      <c r="G108" s="5" t="str">
        <f>IFERROR(IF(SUMIFS(tblDaily[TransfersOut],tblDaily[EntryDate],DATE(2026,3,24),tblDaily[WardCode],"FW")=0,"",SUMIFS(tblDaily[TransfersOut],tblDaily[EntryDate],DATE(2026,3,24),tblDaily[WardCode],"FW")),"")</f>
        <v/>
      </c>
      <c r="H108" s="5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IFERROR(IF(SUMIFS(tblDaily[Admissions],tblDaily[EntryDate],DATE(2026,3,25),tblDaily[WardCode],"FW")=0,"",SUMIFS(tblDaily[Admissions],tblDaily[EntryDate],DATE(2026,3,25),tblDaily[WardCode],"FW")),"")</f>
        <v/>
      </c>
      <c r="C109" s="5" t="str">
        <f>IFERROR(IF(SUMIFS(tblDaily[Discharges],tblDaily[EntryDate],DATE(2026,3,25),tblDaily[WardCode],"FW")=0,"",SUMIFS(tblDaily[Discharges],tblDaily[EntryDate],DATE(2026,3,25),tblDaily[WardCode],"FW")),"")</f>
        <v/>
      </c>
      <c r="D109" s="5" t="str">
        <f>IFERROR(IF(SUMIFS(tblDaily[Deaths],tblDaily[EntryDate],DATE(2026,3,25),tblDaily[WardCode],"FW")=0,"",SUMIFS(tblDaily[Deaths],tblDaily[EntryDate],DATE(2026,3,25),tblDaily[WardCode],"FW")),"")</f>
        <v/>
      </c>
      <c r="E109" s="5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5" t="str">
        <f>IFERROR(IF(SUMIFS(tblDaily[TransfersIn],tblDaily[EntryDate],DATE(2026,3,25),tblDaily[WardCode],"FW")=0,"",SUMIFS(tblDaily[TransfersIn],tblDaily[EntryDate],DATE(2026,3,25),tblDaily[WardCode],"FW")),"")</f>
        <v/>
      </c>
      <c r="G109" s="5" t="str">
        <f>IFERROR(IF(SUMIFS(tblDaily[TransfersOut],tblDaily[EntryDate],DATE(2026,3,25),tblDaily[WardCode],"FW")=0,"",SUMIFS(tblDaily[TransfersOut],tblDaily[EntryDate],DATE(2026,3,25),tblDaily[WardCode],"FW")),"")</f>
        <v/>
      </c>
      <c r="H109" s="5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IFERROR(IF(SUMIFS(tblDaily[Admissions],tblDaily[EntryDate],DATE(2026,3,26),tblDaily[WardCode],"FW")=0,"",SUMIFS(tblDaily[Admissions],tblDaily[EntryDate],DATE(2026,3,26),tblDaily[WardCode],"FW")),"")</f>
        <v/>
      </c>
      <c r="C110" s="5" t="str">
        <f>IFERROR(IF(SUMIFS(tblDaily[Discharges],tblDaily[EntryDate],DATE(2026,3,26),tblDaily[WardCode],"FW")=0,"",SUMIFS(tblDaily[Discharges],tblDaily[EntryDate],DATE(2026,3,26),tblDaily[WardCode],"FW")),"")</f>
        <v/>
      </c>
      <c r="D110" s="5" t="str">
        <f>IFERROR(IF(SUMIFS(tblDaily[Deaths],tblDaily[EntryDate],DATE(2026,3,26),tblDaily[WardCode],"FW")=0,"",SUMIFS(tblDaily[Deaths],tblDaily[EntryDate],DATE(2026,3,26),tblDaily[WardCode],"FW")),"")</f>
        <v/>
      </c>
      <c r="E110" s="5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5" t="str">
        <f>IFERROR(IF(SUMIFS(tblDaily[TransfersIn],tblDaily[EntryDate],DATE(2026,3,26),tblDaily[WardCode],"FW")=0,"",SUMIFS(tblDaily[TransfersIn],tblDaily[EntryDate],DATE(2026,3,26),tblDaily[WardCode],"FW")),"")</f>
        <v/>
      </c>
      <c r="G110" s="5" t="str">
        <f>IFERROR(IF(SUMIFS(tblDaily[TransfersOut],tblDaily[EntryDate],DATE(2026,3,26),tblDaily[WardCode],"FW")=0,"",SUMIFS(tblDaily[TransfersOut],tblDaily[EntryDate],DATE(2026,3,26),tblDaily[WardCode],"FW")),"")</f>
        <v/>
      </c>
      <c r="H110" s="5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IFERROR(IF(SUMIFS(tblDaily[Admissions],tblDaily[EntryDate],DATE(2026,3,27),tblDaily[WardCode],"FW")=0,"",SUMIFS(tblDaily[Admissions],tblDaily[EntryDate],DATE(2026,3,27),tblDaily[WardCode],"FW")),"")</f>
        <v/>
      </c>
      <c r="C111" s="5" t="str">
        <f>IFERROR(IF(SUMIFS(tblDaily[Discharges],tblDaily[EntryDate],DATE(2026,3,27),tblDaily[WardCode],"FW")=0,"",SUMIFS(tblDaily[Discharges],tblDaily[EntryDate],DATE(2026,3,27),tblDaily[WardCode],"FW")),"")</f>
        <v/>
      </c>
      <c r="D111" s="5" t="str">
        <f>IFERROR(IF(SUMIFS(tblDaily[Deaths],tblDaily[EntryDate],DATE(2026,3,27),tblDaily[WardCode],"FW")=0,"",SUMIFS(tblDaily[Deaths],tblDaily[EntryDate],DATE(2026,3,27),tblDaily[WardCode],"FW")),"")</f>
        <v/>
      </c>
      <c r="E111" s="5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5" t="str">
        <f>IFERROR(IF(SUMIFS(tblDaily[TransfersIn],tblDaily[EntryDate],DATE(2026,3,27),tblDaily[WardCode],"FW")=0,"",SUMIFS(tblDaily[TransfersIn],tblDaily[EntryDate],DATE(2026,3,27),tblDaily[WardCode],"FW")),"")</f>
        <v/>
      </c>
      <c r="G111" s="5" t="str">
        <f>IFERROR(IF(SUMIFS(tblDaily[TransfersOut],tblDaily[EntryDate],DATE(2026,3,27),tblDaily[WardCode],"FW")=0,"",SUMIFS(tblDaily[TransfersOut],tblDaily[EntryDate],DATE(2026,3,27),tblDaily[WardCode],"FW")),"")</f>
        <v/>
      </c>
      <c r="H111" s="5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IFERROR(IF(SUMIFS(tblDaily[Admissions],tblDaily[EntryDate],DATE(2026,3,28),tblDaily[WardCode],"FW")=0,"",SUMIFS(tblDaily[Admissions],tblDaily[EntryDate],DATE(2026,3,28),tblDaily[WardCode],"FW")),"")</f>
        <v/>
      </c>
      <c r="C112" s="5" t="str">
        <f>IFERROR(IF(SUMIFS(tblDaily[Discharges],tblDaily[EntryDate],DATE(2026,3,28),tblDaily[WardCode],"FW")=0,"",SUMIFS(tblDaily[Discharges],tblDaily[EntryDate],DATE(2026,3,28),tblDaily[WardCode],"FW")),"")</f>
        <v/>
      </c>
      <c r="D112" s="5" t="str">
        <f>IFERROR(IF(SUMIFS(tblDaily[Deaths],tblDaily[EntryDate],DATE(2026,3,28),tblDaily[WardCode],"FW")=0,"",SUMIFS(tblDaily[Deaths],tblDaily[EntryDate],DATE(2026,3,28),tblDaily[WardCode],"FW")),"")</f>
        <v/>
      </c>
      <c r="E112" s="5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5" t="str">
        <f>IFERROR(IF(SUMIFS(tblDaily[TransfersIn],tblDaily[EntryDate],DATE(2026,3,28),tblDaily[WardCode],"FW")=0,"",SUMIFS(tblDaily[TransfersIn],tblDaily[EntryDate],DATE(2026,3,28),tblDaily[WardCode],"FW")),"")</f>
        <v/>
      </c>
      <c r="G112" s="5" t="str">
        <f>IFERROR(IF(SUMIFS(tblDaily[TransfersOut],tblDaily[EntryDate],DATE(2026,3,28),tblDaily[WardCode],"FW")=0,"",SUMIFS(tblDaily[TransfersOut],tblDaily[EntryDate],DATE(2026,3,28),tblDaily[WardCode],"FW")),"")</f>
        <v/>
      </c>
      <c r="H112" s="5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IFERROR(IF(SUMIFS(tblDaily[Admissions],tblDaily[EntryDate],DATE(2026,3,29),tblDaily[WardCode],"FW")=0,"",SUMIFS(tblDaily[Admissions],tblDaily[EntryDate],DATE(2026,3,29),tblDaily[WardCode],"FW")),"")</f>
        <v/>
      </c>
      <c r="C113" s="5" t="str">
        <f>IFERROR(IF(SUMIFS(tblDaily[Discharges],tblDaily[EntryDate],DATE(2026,3,29),tblDaily[WardCode],"FW")=0,"",SUMIFS(tblDaily[Discharges],tblDaily[EntryDate],DATE(2026,3,29),tblDaily[WardCode],"FW")),"")</f>
        <v/>
      </c>
      <c r="D113" s="5" t="str">
        <f>IFERROR(IF(SUMIFS(tblDaily[Deaths],tblDaily[EntryDate],DATE(2026,3,29),tblDaily[WardCode],"FW")=0,"",SUMIFS(tblDaily[Deaths],tblDaily[EntryDate],DATE(2026,3,29),tblDaily[WardCode],"FW")),"")</f>
        <v/>
      </c>
      <c r="E113" s="5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5" t="str">
        <f>IFERROR(IF(SUMIFS(tblDaily[TransfersIn],tblDaily[EntryDate],DATE(2026,3,29),tblDaily[WardCode],"FW")=0,"",SUMIFS(tblDaily[TransfersIn],tblDaily[EntryDate],DATE(2026,3,29),tblDaily[WardCode],"FW")),"")</f>
        <v/>
      </c>
      <c r="G113" s="5" t="str">
        <f>IFERROR(IF(SUMIFS(tblDaily[TransfersOut],tblDaily[EntryDate],DATE(2026,3,29),tblDaily[WardCode],"FW")=0,"",SUMIFS(tblDaily[TransfersOut],tblDaily[EntryDate],DATE(2026,3,29),tblDaily[WardCode],"FW")),"")</f>
        <v/>
      </c>
      <c r="H113" s="5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IFERROR(IF(SUMIFS(tblDaily[Admissions],tblDaily[EntryDate],DATE(2026,3,30),tblDaily[WardCode],"FW")=0,"",SUMIFS(tblDaily[Admissions],tblDaily[EntryDate],DATE(2026,3,30),tblDaily[WardCode],"FW")),"")</f>
        <v/>
      </c>
      <c r="C114" s="5" t="str">
        <f>IFERROR(IF(SUMIFS(tblDaily[Discharges],tblDaily[EntryDate],DATE(2026,3,30),tblDaily[WardCode],"FW")=0,"",SUMIFS(tblDaily[Discharges],tblDaily[EntryDate],DATE(2026,3,30),tblDaily[WardCode],"FW")),"")</f>
        <v/>
      </c>
      <c r="D114" s="5" t="str">
        <f>IFERROR(IF(SUMIFS(tblDaily[Deaths],tblDaily[EntryDate],DATE(2026,3,30),tblDaily[WardCode],"FW")=0,"",SUMIFS(tblDaily[Deaths],tblDaily[EntryDate],DATE(2026,3,30),tblDaily[WardCode],"FW")),"")</f>
        <v/>
      </c>
      <c r="E114" s="5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5" t="str">
        <f>IFERROR(IF(SUMIFS(tblDaily[TransfersIn],tblDaily[EntryDate],DATE(2026,3,30),tblDaily[WardCode],"FW")=0,"",SUMIFS(tblDaily[TransfersIn],tblDaily[EntryDate],DATE(2026,3,30),tblDaily[WardCode],"FW")),"")</f>
        <v/>
      </c>
      <c r="G114" s="5" t="str">
        <f>IFERROR(IF(SUMIFS(tblDaily[TransfersOut],tblDaily[EntryDate],DATE(2026,3,30),tblDaily[WardCode],"FW")=0,"",SUMIFS(tblDaily[TransfersOut],tblDaily[EntryDate],DATE(2026,3,30),tblDaily[WardCode],"FW")),"")</f>
        <v/>
      </c>
      <c r="H114" s="5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IFERROR(IF(SUMIFS(tblDaily[Admissions],tblDaily[EntryDate],DATE(2026,3,31),tblDaily[WardCode],"FW")=0,"",SUMIFS(tblDaily[Admissions],tblDaily[EntryDate],DATE(2026,3,31),tblDaily[WardCode],"FW")),"")</f>
        <v/>
      </c>
      <c r="C115" s="5" t="str">
        <f>IFERROR(IF(SUMIFS(tblDaily[Discharges],tblDaily[EntryDate],DATE(2026,3,31),tblDaily[WardCode],"FW")=0,"",SUMIFS(tblDaily[Discharges],tblDaily[EntryDate],DATE(2026,3,31),tblDaily[WardCode],"FW")),"")</f>
        <v/>
      </c>
      <c r="D115" s="5" t="str">
        <f>IFERROR(IF(SUMIFS(tblDaily[Deaths],tblDaily[EntryDate],DATE(2026,3,31),tblDaily[WardCode],"FW")=0,"",SUMIFS(tblDaily[Deaths],tblDaily[EntryDate],DATE(2026,3,31),tblDaily[WardCode],"FW")),"")</f>
        <v/>
      </c>
      <c r="E115" s="5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5" t="str">
        <f>IFERROR(IF(SUMIFS(tblDaily[TransfersIn],tblDaily[EntryDate],DATE(2026,3,31),tblDaily[WardCode],"FW")=0,"",SUMIFS(tblDaily[TransfersIn],tblDaily[EntryDate],DATE(2026,3,31),tblDaily[WardCode],"FW")),"")</f>
        <v/>
      </c>
      <c r="G115" s="5" t="str">
        <f>IFERROR(IF(SUMIFS(tblDaily[TransfersOut],tblDaily[EntryDate],DATE(2026,3,31),tblDaily[WardCode],"FW")=0,"",SUMIFS(tblDaily[TransfersOut],tblDaily[EntryDate],DATE(2026,3,31),tblDaily[WardCode],"FW")),"")</f>
        <v/>
      </c>
      <c r="H115" s="5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95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96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89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IFERROR(IF(SUMIFS(tblDaily[Admissions],tblDaily[EntryDate],DATE(2026,4,1),tblDaily[WardCode],"FW")=0,"",SUMIFS(tblDaily[Admissions],tblDaily[EntryDate],DATE(2026,4,1),tblDaily[WardCode],"FW")),"")</f>
        <v/>
      </c>
      <c r="C124" s="5" t="str">
        <f>IFERROR(IF(SUMIFS(tblDaily[Discharges],tblDaily[EntryDate],DATE(2026,4,1),tblDaily[WardCode],"FW")=0,"",SUMIFS(tblDaily[Discharges],tblDaily[EntryDate],DATE(2026,4,1),tblDaily[WardCode],"FW")),"")</f>
        <v/>
      </c>
      <c r="D124" s="5" t="str">
        <f>IFERROR(IF(SUMIFS(tblDaily[Deaths],tblDaily[EntryDate],DATE(2026,4,1),tblDaily[WardCode],"FW")=0,"",SUMIFS(tblDaily[Deaths],tblDaily[EntryDate],DATE(2026,4,1),tblDaily[WardCode],"FW")),"")</f>
        <v/>
      </c>
      <c r="E124" s="5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5" t="str">
        <f>IFERROR(IF(SUMIFS(tblDaily[TransfersIn],tblDaily[EntryDate],DATE(2026,4,1),tblDaily[WardCode],"FW")=0,"",SUMIFS(tblDaily[TransfersIn],tblDaily[EntryDate],DATE(2026,4,1),tblDaily[WardCode],"FW")),"")</f>
        <v/>
      </c>
      <c r="G124" s="5" t="str">
        <f>IFERROR(IF(SUMIFS(tblDaily[TransfersOut],tblDaily[EntryDate],DATE(2026,4,1),tblDaily[WardCode],"FW")=0,"",SUMIFS(tblDaily[TransfersOut],tblDaily[EntryDate],DATE(2026,4,1),tblDaily[WardCode],"FW")),"")</f>
        <v/>
      </c>
      <c r="H124" s="5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IFERROR(IF(SUMIFS(tblDaily[Admissions],tblDaily[EntryDate],DATE(2026,4,2),tblDaily[WardCode],"FW")=0,"",SUMIFS(tblDaily[Admissions],tblDaily[EntryDate],DATE(2026,4,2),tblDaily[WardCode],"FW")),"")</f>
        <v/>
      </c>
      <c r="C125" s="5" t="str">
        <f>IFERROR(IF(SUMIFS(tblDaily[Discharges],tblDaily[EntryDate],DATE(2026,4,2),tblDaily[WardCode],"FW")=0,"",SUMIFS(tblDaily[Discharges],tblDaily[EntryDate],DATE(2026,4,2),tblDaily[WardCode],"FW")),"")</f>
        <v/>
      </c>
      <c r="D125" s="5" t="str">
        <f>IFERROR(IF(SUMIFS(tblDaily[Deaths],tblDaily[EntryDate],DATE(2026,4,2),tblDaily[WardCode],"FW")=0,"",SUMIFS(tblDaily[Deaths],tblDaily[EntryDate],DATE(2026,4,2),tblDaily[WardCode],"FW")),"")</f>
        <v/>
      </c>
      <c r="E125" s="5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5" t="str">
        <f>IFERROR(IF(SUMIFS(tblDaily[TransfersIn],tblDaily[EntryDate],DATE(2026,4,2),tblDaily[WardCode],"FW")=0,"",SUMIFS(tblDaily[TransfersIn],tblDaily[EntryDate],DATE(2026,4,2),tblDaily[WardCode],"FW")),"")</f>
        <v/>
      </c>
      <c r="G125" s="5" t="str">
        <f>IFERROR(IF(SUMIFS(tblDaily[TransfersOut],tblDaily[EntryDate],DATE(2026,4,2),tblDaily[WardCode],"FW")=0,"",SUMIFS(tblDaily[TransfersOut],tblDaily[EntryDate],DATE(2026,4,2),tblDaily[WardCode],"FW")),"")</f>
        <v/>
      </c>
      <c r="H125" s="5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IFERROR(IF(SUMIFS(tblDaily[Admissions],tblDaily[EntryDate],DATE(2026,4,3),tblDaily[WardCode],"FW")=0,"",SUMIFS(tblDaily[Admissions],tblDaily[EntryDate],DATE(2026,4,3),tblDaily[WardCode],"FW")),"")</f>
        <v/>
      </c>
      <c r="C126" s="5" t="str">
        <f>IFERROR(IF(SUMIFS(tblDaily[Discharges],tblDaily[EntryDate],DATE(2026,4,3),tblDaily[WardCode],"FW")=0,"",SUMIFS(tblDaily[Discharges],tblDaily[EntryDate],DATE(2026,4,3),tblDaily[WardCode],"FW")),"")</f>
        <v/>
      </c>
      <c r="D126" s="5" t="str">
        <f>IFERROR(IF(SUMIFS(tblDaily[Deaths],tblDaily[EntryDate],DATE(2026,4,3),tblDaily[WardCode],"FW")=0,"",SUMIFS(tblDaily[Deaths],tblDaily[EntryDate],DATE(2026,4,3),tblDaily[WardCode],"FW")),"")</f>
        <v/>
      </c>
      <c r="E126" s="5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5" t="str">
        <f>IFERROR(IF(SUMIFS(tblDaily[TransfersIn],tblDaily[EntryDate],DATE(2026,4,3),tblDaily[WardCode],"FW")=0,"",SUMIFS(tblDaily[TransfersIn],tblDaily[EntryDate],DATE(2026,4,3),tblDaily[WardCode],"FW")),"")</f>
        <v/>
      </c>
      <c r="G126" s="5" t="str">
        <f>IFERROR(IF(SUMIFS(tblDaily[TransfersOut],tblDaily[EntryDate],DATE(2026,4,3),tblDaily[WardCode],"FW")=0,"",SUMIFS(tblDaily[TransfersOut],tblDaily[EntryDate],DATE(2026,4,3),tblDaily[WardCode],"FW")),"")</f>
        <v/>
      </c>
      <c r="H126" s="5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IFERROR(IF(SUMIFS(tblDaily[Admissions],tblDaily[EntryDate],DATE(2026,4,4),tblDaily[WardCode],"FW")=0,"",SUMIFS(tblDaily[Admissions],tblDaily[EntryDate],DATE(2026,4,4),tblDaily[WardCode],"FW")),"")</f>
        <v/>
      </c>
      <c r="C127" s="5" t="str">
        <f>IFERROR(IF(SUMIFS(tblDaily[Discharges],tblDaily[EntryDate],DATE(2026,4,4),tblDaily[WardCode],"FW")=0,"",SUMIFS(tblDaily[Discharges],tblDaily[EntryDate],DATE(2026,4,4),tblDaily[WardCode],"FW")),"")</f>
        <v/>
      </c>
      <c r="D127" s="5" t="str">
        <f>IFERROR(IF(SUMIFS(tblDaily[Deaths],tblDaily[EntryDate],DATE(2026,4,4),tblDaily[WardCode],"FW")=0,"",SUMIFS(tblDaily[Deaths],tblDaily[EntryDate],DATE(2026,4,4),tblDaily[WardCode],"FW")),"")</f>
        <v/>
      </c>
      <c r="E127" s="5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5" t="str">
        <f>IFERROR(IF(SUMIFS(tblDaily[TransfersIn],tblDaily[EntryDate],DATE(2026,4,4),tblDaily[WardCode],"FW")=0,"",SUMIFS(tblDaily[TransfersIn],tblDaily[EntryDate],DATE(2026,4,4),tblDaily[WardCode],"FW")),"")</f>
        <v/>
      </c>
      <c r="G127" s="5" t="str">
        <f>IFERROR(IF(SUMIFS(tblDaily[TransfersOut],tblDaily[EntryDate],DATE(2026,4,4),tblDaily[WardCode],"FW")=0,"",SUMIFS(tblDaily[TransfersOut],tblDaily[EntryDate],DATE(2026,4,4),tblDaily[WardCode],"FW")),"")</f>
        <v/>
      </c>
      <c r="H127" s="5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IFERROR(IF(SUMIFS(tblDaily[Admissions],tblDaily[EntryDate],DATE(2026,4,5),tblDaily[WardCode],"FW")=0,"",SUMIFS(tblDaily[Admissions],tblDaily[EntryDate],DATE(2026,4,5),tblDaily[WardCode],"FW")),"")</f>
        <v/>
      </c>
      <c r="C128" s="5" t="str">
        <f>IFERROR(IF(SUMIFS(tblDaily[Discharges],tblDaily[EntryDate],DATE(2026,4,5),tblDaily[WardCode],"FW")=0,"",SUMIFS(tblDaily[Discharges],tblDaily[EntryDate],DATE(2026,4,5),tblDaily[WardCode],"FW")),"")</f>
        <v/>
      </c>
      <c r="D128" s="5" t="str">
        <f>IFERROR(IF(SUMIFS(tblDaily[Deaths],tblDaily[EntryDate],DATE(2026,4,5),tblDaily[WardCode],"FW")=0,"",SUMIFS(tblDaily[Deaths],tblDaily[EntryDate],DATE(2026,4,5),tblDaily[WardCode],"FW")),"")</f>
        <v/>
      </c>
      <c r="E128" s="5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5" t="str">
        <f>IFERROR(IF(SUMIFS(tblDaily[TransfersIn],tblDaily[EntryDate],DATE(2026,4,5),tblDaily[WardCode],"FW")=0,"",SUMIFS(tblDaily[TransfersIn],tblDaily[EntryDate],DATE(2026,4,5),tblDaily[WardCode],"FW")),"")</f>
        <v/>
      </c>
      <c r="G128" s="5" t="str">
        <f>IFERROR(IF(SUMIFS(tblDaily[TransfersOut],tblDaily[EntryDate],DATE(2026,4,5),tblDaily[WardCode],"FW")=0,"",SUMIFS(tblDaily[TransfersOut],tblDaily[EntryDate],DATE(2026,4,5),tblDaily[WardCode],"FW")),"")</f>
        <v/>
      </c>
      <c r="H128" s="5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IFERROR(IF(SUMIFS(tblDaily[Admissions],tblDaily[EntryDate],DATE(2026,4,6),tblDaily[WardCode],"FW")=0,"",SUMIFS(tblDaily[Admissions],tblDaily[EntryDate],DATE(2026,4,6),tblDaily[WardCode],"FW")),"")</f>
        <v/>
      </c>
      <c r="C129" s="5" t="str">
        <f>IFERROR(IF(SUMIFS(tblDaily[Discharges],tblDaily[EntryDate],DATE(2026,4,6),tblDaily[WardCode],"FW")=0,"",SUMIFS(tblDaily[Discharges],tblDaily[EntryDate],DATE(2026,4,6),tblDaily[WardCode],"FW")),"")</f>
        <v/>
      </c>
      <c r="D129" s="5" t="str">
        <f>IFERROR(IF(SUMIFS(tblDaily[Deaths],tblDaily[EntryDate],DATE(2026,4,6),tblDaily[WardCode],"FW")=0,"",SUMIFS(tblDaily[Deaths],tblDaily[EntryDate],DATE(2026,4,6),tblDaily[WardCode],"FW")),"")</f>
        <v/>
      </c>
      <c r="E129" s="5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5" t="str">
        <f>IFERROR(IF(SUMIFS(tblDaily[TransfersIn],tblDaily[EntryDate],DATE(2026,4,6),tblDaily[WardCode],"FW")=0,"",SUMIFS(tblDaily[TransfersIn],tblDaily[EntryDate],DATE(2026,4,6),tblDaily[WardCode],"FW")),"")</f>
        <v/>
      </c>
      <c r="G129" s="5" t="str">
        <f>IFERROR(IF(SUMIFS(tblDaily[TransfersOut],tblDaily[EntryDate],DATE(2026,4,6),tblDaily[WardCode],"FW")=0,"",SUMIFS(tblDaily[TransfersOut],tblDaily[EntryDate],DATE(2026,4,6),tblDaily[WardCode],"FW")),"")</f>
        <v/>
      </c>
      <c r="H129" s="5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IFERROR(IF(SUMIFS(tblDaily[Admissions],tblDaily[EntryDate],DATE(2026,4,7),tblDaily[WardCode],"FW")=0,"",SUMIFS(tblDaily[Admissions],tblDaily[EntryDate],DATE(2026,4,7),tblDaily[WardCode],"FW")),"")</f>
        <v/>
      </c>
      <c r="C130" s="5" t="str">
        <f>IFERROR(IF(SUMIFS(tblDaily[Discharges],tblDaily[EntryDate],DATE(2026,4,7),tblDaily[WardCode],"FW")=0,"",SUMIFS(tblDaily[Discharges],tblDaily[EntryDate],DATE(2026,4,7),tblDaily[WardCode],"FW")),"")</f>
        <v/>
      </c>
      <c r="D130" s="5" t="str">
        <f>IFERROR(IF(SUMIFS(tblDaily[Deaths],tblDaily[EntryDate],DATE(2026,4,7),tblDaily[WardCode],"FW")=0,"",SUMIFS(tblDaily[Deaths],tblDaily[EntryDate],DATE(2026,4,7),tblDaily[WardCode],"FW")),"")</f>
        <v/>
      </c>
      <c r="E130" s="5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5" t="str">
        <f>IFERROR(IF(SUMIFS(tblDaily[TransfersIn],tblDaily[EntryDate],DATE(2026,4,7),tblDaily[WardCode],"FW")=0,"",SUMIFS(tblDaily[TransfersIn],tblDaily[EntryDate],DATE(2026,4,7),tblDaily[WardCode],"FW")),"")</f>
        <v/>
      </c>
      <c r="G130" s="5" t="str">
        <f>IFERROR(IF(SUMIFS(tblDaily[TransfersOut],tblDaily[EntryDate],DATE(2026,4,7),tblDaily[WardCode],"FW")=0,"",SUMIFS(tblDaily[TransfersOut],tblDaily[EntryDate],DATE(2026,4,7),tblDaily[WardCode],"FW")),"")</f>
        <v/>
      </c>
      <c r="H130" s="5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IFERROR(IF(SUMIFS(tblDaily[Admissions],tblDaily[EntryDate],DATE(2026,4,8),tblDaily[WardCode],"FW")=0,"",SUMIFS(tblDaily[Admissions],tblDaily[EntryDate],DATE(2026,4,8),tblDaily[WardCode],"FW")),"")</f>
        <v/>
      </c>
      <c r="C131" s="5" t="str">
        <f>IFERROR(IF(SUMIFS(tblDaily[Discharges],tblDaily[EntryDate],DATE(2026,4,8),tblDaily[WardCode],"FW")=0,"",SUMIFS(tblDaily[Discharges],tblDaily[EntryDate],DATE(2026,4,8),tblDaily[WardCode],"FW")),"")</f>
        <v/>
      </c>
      <c r="D131" s="5" t="str">
        <f>IFERROR(IF(SUMIFS(tblDaily[Deaths],tblDaily[EntryDate],DATE(2026,4,8),tblDaily[WardCode],"FW")=0,"",SUMIFS(tblDaily[Deaths],tblDaily[EntryDate],DATE(2026,4,8),tblDaily[WardCode],"FW")),"")</f>
        <v/>
      </c>
      <c r="E131" s="5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5" t="str">
        <f>IFERROR(IF(SUMIFS(tblDaily[TransfersIn],tblDaily[EntryDate],DATE(2026,4,8),tblDaily[WardCode],"FW")=0,"",SUMIFS(tblDaily[TransfersIn],tblDaily[EntryDate],DATE(2026,4,8),tblDaily[WardCode],"FW")),"")</f>
        <v/>
      </c>
      <c r="G131" s="5" t="str">
        <f>IFERROR(IF(SUMIFS(tblDaily[TransfersOut],tblDaily[EntryDate],DATE(2026,4,8),tblDaily[WardCode],"FW")=0,"",SUMIFS(tblDaily[TransfersOut],tblDaily[EntryDate],DATE(2026,4,8),tblDaily[WardCode],"FW")),"")</f>
        <v/>
      </c>
      <c r="H131" s="5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IFERROR(IF(SUMIFS(tblDaily[Admissions],tblDaily[EntryDate],DATE(2026,4,9),tblDaily[WardCode],"FW")=0,"",SUMIFS(tblDaily[Admissions],tblDaily[EntryDate],DATE(2026,4,9),tblDaily[WardCode],"FW")),"")</f>
        <v/>
      </c>
      <c r="C132" s="5" t="str">
        <f>IFERROR(IF(SUMIFS(tblDaily[Discharges],tblDaily[EntryDate],DATE(2026,4,9),tblDaily[WardCode],"FW")=0,"",SUMIFS(tblDaily[Discharges],tblDaily[EntryDate],DATE(2026,4,9),tblDaily[WardCode],"FW")),"")</f>
        <v/>
      </c>
      <c r="D132" s="5" t="str">
        <f>IFERROR(IF(SUMIFS(tblDaily[Deaths],tblDaily[EntryDate],DATE(2026,4,9),tblDaily[WardCode],"FW")=0,"",SUMIFS(tblDaily[Deaths],tblDaily[EntryDate],DATE(2026,4,9),tblDaily[WardCode],"FW")),"")</f>
        <v/>
      </c>
      <c r="E132" s="5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5" t="str">
        <f>IFERROR(IF(SUMIFS(tblDaily[TransfersIn],tblDaily[EntryDate],DATE(2026,4,9),tblDaily[WardCode],"FW")=0,"",SUMIFS(tblDaily[TransfersIn],tblDaily[EntryDate],DATE(2026,4,9),tblDaily[WardCode],"FW")),"")</f>
        <v/>
      </c>
      <c r="G132" s="5" t="str">
        <f>IFERROR(IF(SUMIFS(tblDaily[TransfersOut],tblDaily[EntryDate],DATE(2026,4,9),tblDaily[WardCode],"FW")=0,"",SUMIFS(tblDaily[TransfersOut],tblDaily[EntryDate],DATE(2026,4,9),tblDaily[WardCode],"FW")),"")</f>
        <v/>
      </c>
      <c r="H132" s="5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IFERROR(IF(SUMIFS(tblDaily[Admissions],tblDaily[EntryDate],DATE(2026,4,10),tblDaily[WardCode],"FW")=0,"",SUMIFS(tblDaily[Admissions],tblDaily[EntryDate],DATE(2026,4,10),tblDaily[WardCode],"FW")),"")</f>
        <v/>
      </c>
      <c r="C133" s="5" t="str">
        <f>IFERROR(IF(SUMIFS(tblDaily[Discharges],tblDaily[EntryDate],DATE(2026,4,10),tblDaily[WardCode],"FW")=0,"",SUMIFS(tblDaily[Discharges],tblDaily[EntryDate],DATE(2026,4,10),tblDaily[WardCode],"FW")),"")</f>
        <v/>
      </c>
      <c r="D133" s="5" t="str">
        <f>IFERROR(IF(SUMIFS(tblDaily[Deaths],tblDaily[EntryDate],DATE(2026,4,10),tblDaily[WardCode],"FW")=0,"",SUMIFS(tblDaily[Deaths],tblDaily[EntryDate],DATE(2026,4,10),tblDaily[WardCode],"FW")),"")</f>
        <v/>
      </c>
      <c r="E133" s="5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5" t="str">
        <f>IFERROR(IF(SUMIFS(tblDaily[TransfersIn],tblDaily[EntryDate],DATE(2026,4,10),tblDaily[WardCode],"FW")=0,"",SUMIFS(tblDaily[TransfersIn],tblDaily[EntryDate],DATE(2026,4,10),tblDaily[WardCode],"FW")),"")</f>
        <v/>
      </c>
      <c r="G133" s="5" t="str">
        <f>IFERROR(IF(SUMIFS(tblDaily[TransfersOut],tblDaily[EntryDate],DATE(2026,4,10),tblDaily[WardCode],"FW")=0,"",SUMIFS(tblDaily[TransfersOut],tblDaily[EntryDate],DATE(2026,4,10),tblDaily[WardCode],"FW")),"")</f>
        <v/>
      </c>
      <c r="H133" s="5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IFERROR(IF(SUMIFS(tblDaily[Admissions],tblDaily[EntryDate],DATE(2026,4,11),tblDaily[WardCode],"FW")=0,"",SUMIFS(tblDaily[Admissions],tblDaily[EntryDate],DATE(2026,4,11),tblDaily[WardCode],"FW")),"")</f>
        <v/>
      </c>
      <c r="C134" s="5" t="str">
        <f>IFERROR(IF(SUMIFS(tblDaily[Discharges],tblDaily[EntryDate],DATE(2026,4,11),tblDaily[WardCode],"FW")=0,"",SUMIFS(tblDaily[Discharges],tblDaily[EntryDate],DATE(2026,4,11),tblDaily[WardCode],"FW")),"")</f>
        <v/>
      </c>
      <c r="D134" s="5" t="str">
        <f>IFERROR(IF(SUMIFS(tblDaily[Deaths],tblDaily[EntryDate],DATE(2026,4,11),tblDaily[WardCode],"FW")=0,"",SUMIFS(tblDaily[Deaths],tblDaily[EntryDate],DATE(2026,4,11),tblDaily[WardCode],"FW")),"")</f>
        <v/>
      </c>
      <c r="E134" s="5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5" t="str">
        <f>IFERROR(IF(SUMIFS(tblDaily[TransfersIn],tblDaily[EntryDate],DATE(2026,4,11),tblDaily[WardCode],"FW")=0,"",SUMIFS(tblDaily[TransfersIn],tblDaily[EntryDate],DATE(2026,4,11),tblDaily[WardCode],"FW")),"")</f>
        <v/>
      </c>
      <c r="G134" s="5" t="str">
        <f>IFERROR(IF(SUMIFS(tblDaily[TransfersOut],tblDaily[EntryDate],DATE(2026,4,11),tblDaily[WardCode],"FW")=0,"",SUMIFS(tblDaily[TransfersOut],tblDaily[EntryDate],DATE(2026,4,11),tblDaily[WardCode],"FW")),"")</f>
        <v/>
      </c>
      <c r="H134" s="5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IFERROR(IF(SUMIFS(tblDaily[Admissions],tblDaily[EntryDate],DATE(2026,4,12),tblDaily[WardCode],"FW")=0,"",SUMIFS(tblDaily[Admissions],tblDaily[EntryDate],DATE(2026,4,12),tblDaily[WardCode],"FW")),"")</f>
        <v/>
      </c>
      <c r="C135" s="5" t="str">
        <f>IFERROR(IF(SUMIFS(tblDaily[Discharges],tblDaily[EntryDate],DATE(2026,4,12),tblDaily[WardCode],"FW")=0,"",SUMIFS(tblDaily[Discharges],tblDaily[EntryDate],DATE(2026,4,12),tblDaily[WardCode],"FW")),"")</f>
        <v/>
      </c>
      <c r="D135" s="5" t="str">
        <f>IFERROR(IF(SUMIFS(tblDaily[Deaths],tblDaily[EntryDate],DATE(2026,4,12),tblDaily[WardCode],"FW")=0,"",SUMIFS(tblDaily[Deaths],tblDaily[EntryDate],DATE(2026,4,12),tblDaily[WardCode],"FW")),"")</f>
        <v/>
      </c>
      <c r="E135" s="5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5" t="str">
        <f>IFERROR(IF(SUMIFS(tblDaily[TransfersIn],tblDaily[EntryDate],DATE(2026,4,12),tblDaily[WardCode],"FW")=0,"",SUMIFS(tblDaily[TransfersIn],tblDaily[EntryDate],DATE(2026,4,12),tblDaily[WardCode],"FW")),"")</f>
        <v/>
      </c>
      <c r="G135" s="5" t="str">
        <f>IFERROR(IF(SUMIFS(tblDaily[TransfersOut],tblDaily[EntryDate],DATE(2026,4,12),tblDaily[WardCode],"FW")=0,"",SUMIFS(tblDaily[TransfersOut],tblDaily[EntryDate],DATE(2026,4,12),tblDaily[WardCode],"FW")),"")</f>
        <v/>
      </c>
      <c r="H135" s="5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IFERROR(IF(SUMIFS(tblDaily[Admissions],tblDaily[EntryDate],DATE(2026,4,13),tblDaily[WardCode],"FW")=0,"",SUMIFS(tblDaily[Admissions],tblDaily[EntryDate],DATE(2026,4,13),tblDaily[WardCode],"FW")),"")</f>
        <v/>
      </c>
      <c r="C136" s="5" t="str">
        <f>IFERROR(IF(SUMIFS(tblDaily[Discharges],tblDaily[EntryDate],DATE(2026,4,13),tblDaily[WardCode],"FW")=0,"",SUMIFS(tblDaily[Discharges],tblDaily[EntryDate],DATE(2026,4,13),tblDaily[WardCode],"FW")),"")</f>
        <v/>
      </c>
      <c r="D136" s="5" t="str">
        <f>IFERROR(IF(SUMIFS(tblDaily[Deaths],tblDaily[EntryDate],DATE(2026,4,13),tblDaily[WardCode],"FW")=0,"",SUMIFS(tblDaily[Deaths],tblDaily[EntryDate],DATE(2026,4,13),tblDaily[WardCode],"FW")),"")</f>
        <v/>
      </c>
      <c r="E136" s="5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5" t="str">
        <f>IFERROR(IF(SUMIFS(tblDaily[TransfersIn],tblDaily[EntryDate],DATE(2026,4,13),tblDaily[WardCode],"FW")=0,"",SUMIFS(tblDaily[TransfersIn],tblDaily[EntryDate],DATE(2026,4,13),tblDaily[WardCode],"FW")),"")</f>
        <v/>
      </c>
      <c r="G136" s="5" t="str">
        <f>IFERROR(IF(SUMIFS(tblDaily[TransfersOut],tblDaily[EntryDate],DATE(2026,4,13),tblDaily[WardCode],"FW")=0,"",SUMIFS(tblDaily[TransfersOut],tblDaily[EntryDate],DATE(2026,4,13),tblDaily[WardCode],"FW")),"")</f>
        <v/>
      </c>
      <c r="H136" s="5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IFERROR(IF(SUMIFS(tblDaily[Admissions],tblDaily[EntryDate],DATE(2026,4,14),tblDaily[WardCode],"FW")=0,"",SUMIFS(tblDaily[Admissions],tblDaily[EntryDate],DATE(2026,4,14),tblDaily[WardCode],"FW")),"")</f>
        <v/>
      </c>
      <c r="C137" s="5" t="str">
        <f>IFERROR(IF(SUMIFS(tblDaily[Discharges],tblDaily[EntryDate],DATE(2026,4,14),tblDaily[WardCode],"FW")=0,"",SUMIFS(tblDaily[Discharges],tblDaily[EntryDate],DATE(2026,4,14),tblDaily[WardCode],"FW")),"")</f>
        <v/>
      </c>
      <c r="D137" s="5" t="str">
        <f>IFERROR(IF(SUMIFS(tblDaily[Deaths],tblDaily[EntryDate],DATE(2026,4,14),tblDaily[WardCode],"FW")=0,"",SUMIFS(tblDaily[Deaths],tblDaily[EntryDate],DATE(2026,4,14),tblDaily[WardCode],"FW")),"")</f>
        <v/>
      </c>
      <c r="E137" s="5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5" t="str">
        <f>IFERROR(IF(SUMIFS(tblDaily[TransfersIn],tblDaily[EntryDate],DATE(2026,4,14),tblDaily[WardCode],"FW")=0,"",SUMIFS(tblDaily[TransfersIn],tblDaily[EntryDate],DATE(2026,4,14),tblDaily[WardCode],"FW")),"")</f>
        <v/>
      </c>
      <c r="G137" s="5" t="str">
        <f>IFERROR(IF(SUMIFS(tblDaily[TransfersOut],tblDaily[EntryDate],DATE(2026,4,14),tblDaily[WardCode],"FW")=0,"",SUMIFS(tblDaily[TransfersOut],tblDaily[EntryDate],DATE(2026,4,14),tblDaily[WardCode],"FW")),"")</f>
        <v/>
      </c>
      <c r="H137" s="5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IFERROR(IF(SUMIFS(tblDaily[Admissions],tblDaily[EntryDate],DATE(2026,4,15),tblDaily[WardCode],"FW")=0,"",SUMIFS(tblDaily[Admissions],tblDaily[EntryDate],DATE(2026,4,15),tblDaily[WardCode],"FW")),"")</f>
        <v/>
      </c>
      <c r="C138" s="5" t="str">
        <f>IFERROR(IF(SUMIFS(tblDaily[Discharges],tblDaily[EntryDate],DATE(2026,4,15),tblDaily[WardCode],"FW")=0,"",SUMIFS(tblDaily[Discharges],tblDaily[EntryDate],DATE(2026,4,15),tblDaily[WardCode],"FW")),"")</f>
        <v/>
      </c>
      <c r="D138" s="5" t="str">
        <f>IFERROR(IF(SUMIFS(tblDaily[Deaths],tblDaily[EntryDate],DATE(2026,4,15),tblDaily[WardCode],"FW")=0,"",SUMIFS(tblDaily[Deaths],tblDaily[EntryDate],DATE(2026,4,15),tblDaily[WardCode],"FW")),"")</f>
        <v/>
      </c>
      <c r="E138" s="5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5" t="str">
        <f>IFERROR(IF(SUMIFS(tblDaily[TransfersIn],tblDaily[EntryDate],DATE(2026,4,15),tblDaily[WardCode],"FW")=0,"",SUMIFS(tblDaily[TransfersIn],tblDaily[EntryDate],DATE(2026,4,15),tblDaily[WardCode],"FW")),"")</f>
        <v/>
      </c>
      <c r="G138" s="5" t="str">
        <f>IFERROR(IF(SUMIFS(tblDaily[TransfersOut],tblDaily[EntryDate],DATE(2026,4,15),tblDaily[WardCode],"FW")=0,"",SUMIFS(tblDaily[TransfersOut],tblDaily[EntryDate],DATE(2026,4,15),tblDaily[WardCode],"FW")),"")</f>
        <v/>
      </c>
      <c r="H138" s="5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IFERROR(IF(SUMIFS(tblDaily[Admissions],tblDaily[EntryDate],DATE(2026,4,16),tblDaily[WardCode],"FW")=0,"",SUMIFS(tblDaily[Admissions],tblDaily[EntryDate],DATE(2026,4,16),tblDaily[WardCode],"FW")),"")</f>
        <v/>
      </c>
      <c r="C139" s="5" t="str">
        <f>IFERROR(IF(SUMIFS(tblDaily[Discharges],tblDaily[EntryDate],DATE(2026,4,16),tblDaily[WardCode],"FW")=0,"",SUMIFS(tblDaily[Discharges],tblDaily[EntryDate],DATE(2026,4,16),tblDaily[WardCode],"FW")),"")</f>
        <v/>
      </c>
      <c r="D139" s="5" t="str">
        <f>IFERROR(IF(SUMIFS(tblDaily[Deaths],tblDaily[EntryDate],DATE(2026,4,16),tblDaily[WardCode],"FW")=0,"",SUMIFS(tblDaily[Deaths],tblDaily[EntryDate],DATE(2026,4,16),tblDaily[WardCode],"FW")),"")</f>
        <v/>
      </c>
      <c r="E139" s="5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5" t="str">
        <f>IFERROR(IF(SUMIFS(tblDaily[TransfersIn],tblDaily[EntryDate],DATE(2026,4,16),tblDaily[WardCode],"FW")=0,"",SUMIFS(tblDaily[TransfersIn],tblDaily[EntryDate],DATE(2026,4,16),tblDaily[WardCode],"FW")),"")</f>
        <v/>
      </c>
      <c r="G139" s="5" t="str">
        <f>IFERROR(IF(SUMIFS(tblDaily[TransfersOut],tblDaily[EntryDate],DATE(2026,4,16),tblDaily[WardCode],"FW")=0,"",SUMIFS(tblDaily[TransfersOut],tblDaily[EntryDate],DATE(2026,4,16),tblDaily[WardCode],"FW")),"")</f>
        <v/>
      </c>
      <c r="H139" s="5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IFERROR(IF(SUMIFS(tblDaily[Admissions],tblDaily[EntryDate],DATE(2026,4,17),tblDaily[WardCode],"FW")=0,"",SUMIFS(tblDaily[Admissions],tblDaily[EntryDate],DATE(2026,4,17),tblDaily[WardCode],"FW")),"")</f>
        <v/>
      </c>
      <c r="C140" s="5" t="str">
        <f>IFERROR(IF(SUMIFS(tblDaily[Discharges],tblDaily[EntryDate],DATE(2026,4,17),tblDaily[WardCode],"FW")=0,"",SUMIFS(tblDaily[Discharges],tblDaily[EntryDate],DATE(2026,4,17),tblDaily[WardCode],"FW")),"")</f>
        <v/>
      </c>
      <c r="D140" s="5" t="str">
        <f>IFERROR(IF(SUMIFS(tblDaily[Deaths],tblDaily[EntryDate],DATE(2026,4,17),tblDaily[WardCode],"FW")=0,"",SUMIFS(tblDaily[Deaths],tblDaily[EntryDate],DATE(2026,4,17),tblDaily[WardCode],"FW")),"")</f>
        <v/>
      </c>
      <c r="E140" s="5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5" t="str">
        <f>IFERROR(IF(SUMIFS(tblDaily[TransfersIn],tblDaily[EntryDate],DATE(2026,4,17),tblDaily[WardCode],"FW")=0,"",SUMIFS(tblDaily[TransfersIn],tblDaily[EntryDate],DATE(2026,4,17),tblDaily[WardCode],"FW")),"")</f>
        <v/>
      </c>
      <c r="G140" s="5" t="str">
        <f>IFERROR(IF(SUMIFS(tblDaily[TransfersOut],tblDaily[EntryDate],DATE(2026,4,17),tblDaily[WardCode],"FW")=0,"",SUMIFS(tblDaily[TransfersOut],tblDaily[EntryDate],DATE(2026,4,17),tblDaily[WardCode],"FW")),"")</f>
        <v/>
      </c>
      <c r="H140" s="5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IFERROR(IF(SUMIFS(tblDaily[Admissions],tblDaily[EntryDate],DATE(2026,4,18),tblDaily[WardCode],"FW")=0,"",SUMIFS(tblDaily[Admissions],tblDaily[EntryDate],DATE(2026,4,18),tblDaily[WardCode],"FW")),"")</f>
        <v/>
      </c>
      <c r="C141" s="5" t="str">
        <f>IFERROR(IF(SUMIFS(tblDaily[Discharges],tblDaily[EntryDate],DATE(2026,4,18),tblDaily[WardCode],"FW")=0,"",SUMIFS(tblDaily[Discharges],tblDaily[EntryDate],DATE(2026,4,18),tblDaily[WardCode],"FW")),"")</f>
        <v/>
      </c>
      <c r="D141" s="5" t="str">
        <f>IFERROR(IF(SUMIFS(tblDaily[Deaths],tblDaily[EntryDate],DATE(2026,4,18),tblDaily[WardCode],"FW")=0,"",SUMIFS(tblDaily[Deaths],tblDaily[EntryDate],DATE(2026,4,18),tblDaily[WardCode],"FW")),"")</f>
        <v/>
      </c>
      <c r="E141" s="5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5" t="str">
        <f>IFERROR(IF(SUMIFS(tblDaily[TransfersIn],tblDaily[EntryDate],DATE(2026,4,18),tblDaily[WardCode],"FW")=0,"",SUMIFS(tblDaily[TransfersIn],tblDaily[EntryDate],DATE(2026,4,18),tblDaily[WardCode],"FW")),"")</f>
        <v/>
      </c>
      <c r="G141" s="5" t="str">
        <f>IFERROR(IF(SUMIFS(tblDaily[TransfersOut],tblDaily[EntryDate],DATE(2026,4,18),tblDaily[WardCode],"FW")=0,"",SUMIFS(tblDaily[TransfersOut],tblDaily[EntryDate],DATE(2026,4,18),tblDaily[WardCode],"FW")),"")</f>
        <v/>
      </c>
      <c r="H141" s="5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IFERROR(IF(SUMIFS(tblDaily[Admissions],tblDaily[EntryDate],DATE(2026,4,19),tblDaily[WardCode],"FW")=0,"",SUMIFS(tblDaily[Admissions],tblDaily[EntryDate],DATE(2026,4,19),tblDaily[WardCode],"FW")),"")</f>
        <v/>
      </c>
      <c r="C142" s="5" t="str">
        <f>IFERROR(IF(SUMIFS(tblDaily[Discharges],tblDaily[EntryDate],DATE(2026,4,19),tblDaily[WardCode],"FW")=0,"",SUMIFS(tblDaily[Discharges],tblDaily[EntryDate],DATE(2026,4,19),tblDaily[WardCode],"FW")),"")</f>
        <v/>
      </c>
      <c r="D142" s="5" t="str">
        <f>IFERROR(IF(SUMIFS(tblDaily[Deaths],tblDaily[EntryDate],DATE(2026,4,19),tblDaily[WardCode],"FW")=0,"",SUMIFS(tblDaily[Deaths],tblDaily[EntryDate],DATE(2026,4,19),tblDaily[WardCode],"FW")),"")</f>
        <v/>
      </c>
      <c r="E142" s="5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5" t="str">
        <f>IFERROR(IF(SUMIFS(tblDaily[TransfersIn],tblDaily[EntryDate],DATE(2026,4,19),tblDaily[WardCode],"FW")=0,"",SUMIFS(tblDaily[TransfersIn],tblDaily[EntryDate],DATE(2026,4,19),tblDaily[WardCode],"FW")),"")</f>
        <v/>
      </c>
      <c r="G142" s="5" t="str">
        <f>IFERROR(IF(SUMIFS(tblDaily[TransfersOut],tblDaily[EntryDate],DATE(2026,4,19),tblDaily[WardCode],"FW")=0,"",SUMIFS(tblDaily[TransfersOut],tblDaily[EntryDate],DATE(2026,4,19),tblDaily[WardCode],"FW")),"")</f>
        <v/>
      </c>
      <c r="H142" s="5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IFERROR(IF(SUMIFS(tblDaily[Admissions],tblDaily[EntryDate],DATE(2026,4,20),tblDaily[WardCode],"FW")=0,"",SUMIFS(tblDaily[Admissions],tblDaily[EntryDate],DATE(2026,4,20),tblDaily[WardCode],"FW")),"")</f>
        <v/>
      </c>
      <c r="C143" s="5" t="str">
        <f>IFERROR(IF(SUMIFS(tblDaily[Discharges],tblDaily[EntryDate],DATE(2026,4,20),tblDaily[WardCode],"FW")=0,"",SUMIFS(tblDaily[Discharges],tblDaily[EntryDate],DATE(2026,4,20),tblDaily[WardCode],"FW")),"")</f>
        <v/>
      </c>
      <c r="D143" s="5" t="str">
        <f>IFERROR(IF(SUMIFS(tblDaily[Deaths],tblDaily[EntryDate],DATE(2026,4,20),tblDaily[WardCode],"FW")=0,"",SUMIFS(tblDaily[Deaths],tblDaily[EntryDate],DATE(2026,4,20),tblDaily[WardCode],"FW")),"")</f>
        <v/>
      </c>
      <c r="E143" s="5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5" t="str">
        <f>IFERROR(IF(SUMIFS(tblDaily[TransfersIn],tblDaily[EntryDate],DATE(2026,4,20),tblDaily[WardCode],"FW")=0,"",SUMIFS(tblDaily[TransfersIn],tblDaily[EntryDate],DATE(2026,4,20),tblDaily[WardCode],"FW")),"")</f>
        <v/>
      </c>
      <c r="G143" s="5" t="str">
        <f>IFERROR(IF(SUMIFS(tblDaily[TransfersOut],tblDaily[EntryDate],DATE(2026,4,20),tblDaily[WardCode],"FW")=0,"",SUMIFS(tblDaily[TransfersOut],tblDaily[EntryDate],DATE(2026,4,20),tblDaily[WardCode],"FW")),"")</f>
        <v/>
      </c>
      <c r="H143" s="5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IFERROR(IF(SUMIFS(tblDaily[Admissions],tblDaily[EntryDate],DATE(2026,4,21),tblDaily[WardCode],"FW")=0,"",SUMIFS(tblDaily[Admissions],tblDaily[EntryDate],DATE(2026,4,21),tblDaily[WardCode],"FW")),"")</f>
        <v/>
      </c>
      <c r="C144" s="5" t="str">
        <f>IFERROR(IF(SUMIFS(tblDaily[Discharges],tblDaily[EntryDate],DATE(2026,4,21),tblDaily[WardCode],"FW")=0,"",SUMIFS(tblDaily[Discharges],tblDaily[EntryDate],DATE(2026,4,21),tblDaily[WardCode],"FW")),"")</f>
        <v/>
      </c>
      <c r="D144" s="5" t="str">
        <f>IFERROR(IF(SUMIFS(tblDaily[Deaths],tblDaily[EntryDate],DATE(2026,4,21),tblDaily[WardCode],"FW")=0,"",SUMIFS(tblDaily[Deaths],tblDaily[EntryDate],DATE(2026,4,21),tblDaily[WardCode],"FW")),"")</f>
        <v/>
      </c>
      <c r="E144" s="5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5" t="str">
        <f>IFERROR(IF(SUMIFS(tblDaily[TransfersIn],tblDaily[EntryDate],DATE(2026,4,21),tblDaily[WardCode],"FW")=0,"",SUMIFS(tblDaily[TransfersIn],tblDaily[EntryDate],DATE(2026,4,21),tblDaily[WardCode],"FW")),"")</f>
        <v/>
      </c>
      <c r="G144" s="5" t="str">
        <f>IFERROR(IF(SUMIFS(tblDaily[TransfersOut],tblDaily[EntryDate],DATE(2026,4,21),tblDaily[WardCode],"FW")=0,"",SUMIFS(tblDaily[TransfersOut],tblDaily[EntryDate],DATE(2026,4,21),tblDaily[WardCode],"FW")),"")</f>
        <v/>
      </c>
      <c r="H144" s="5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IFERROR(IF(SUMIFS(tblDaily[Admissions],tblDaily[EntryDate],DATE(2026,4,22),tblDaily[WardCode],"FW")=0,"",SUMIFS(tblDaily[Admissions],tblDaily[EntryDate],DATE(2026,4,22),tblDaily[WardCode],"FW")),"")</f>
        <v/>
      </c>
      <c r="C145" s="5" t="str">
        <f>IFERROR(IF(SUMIFS(tblDaily[Discharges],tblDaily[EntryDate],DATE(2026,4,22),tblDaily[WardCode],"FW")=0,"",SUMIFS(tblDaily[Discharges],tblDaily[EntryDate],DATE(2026,4,22),tblDaily[WardCode],"FW")),"")</f>
        <v/>
      </c>
      <c r="D145" s="5" t="str">
        <f>IFERROR(IF(SUMIFS(tblDaily[Deaths],tblDaily[EntryDate],DATE(2026,4,22),tblDaily[WardCode],"FW")=0,"",SUMIFS(tblDaily[Deaths],tblDaily[EntryDate],DATE(2026,4,22),tblDaily[WardCode],"FW")),"")</f>
        <v/>
      </c>
      <c r="E145" s="5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5" t="str">
        <f>IFERROR(IF(SUMIFS(tblDaily[TransfersIn],tblDaily[EntryDate],DATE(2026,4,22),tblDaily[WardCode],"FW")=0,"",SUMIFS(tblDaily[TransfersIn],tblDaily[EntryDate],DATE(2026,4,22),tblDaily[WardCode],"FW")),"")</f>
        <v/>
      </c>
      <c r="G145" s="5" t="str">
        <f>IFERROR(IF(SUMIFS(tblDaily[TransfersOut],tblDaily[EntryDate],DATE(2026,4,22),tblDaily[WardCode],"FW")=0,"",SUMIFS(tblDaily[TransfersOut],tblDaily[EntryDate],DATE(2026,4,22),tblDaily[WardCode],"FW")),"")</f>
        <v/>
      </c>
      <c r="H145" s="5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IFERROR(IF(SUMIFS(tblDaily[Admissions],tblDaily[EntryDate],DATE(2026,4,23),tblDaily[WardCode],"FW")=0,"",SUMIFS(tblDaily[Admissions],tblDaily[EntryDate],DATE(2026,4,23),tblDaily[WardCode],"FW")),"")</f>
        <v/>
      </c>
      <c r="C146" s="5" t="str">
        <f>IFERROR(IF(SUMIFS(tblDaily[Discharges],tblDaily[EntryDate],DATE(2026,4,23),tblDaily[WardCode],"FW")=0,"",SUMIFS(tblDaily[Discharges],tblDaily[EntryDate],DATE(2026,4,23),tblDaily[WardCode],"FW")),"")</f>
        <v/>
      </c>
      <c r="D146" s="5" t="str">
        <f>IFERROR(IF(SUMIFS(tblDaily[Deaths],tblDaily[EntryDate],DATE(2026,4,23),tblDaily[WardCode],"FW")=0,"",SUMIFS(tblDaily[Deaths],tblDaily[EntryDate],DATE(2026,4,23),tblDaily[WardCode],"FW")),"")</f>
        <v/>
      </c>
      <c r="E146" s="5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5" t="str">
        <f>IFERROR(IF(SUMIFS(tblDaily[TransfersIn],tblDaily[EntryDate],DATE(2026,4,23),tblDaily[WardCode],"FW")=0,"",SUMIFS(tblDaily[TransfersIn],tblDaily[EntryDate],DATE(2026,4,23),tblDaily[WardCode],"FW")),"")</f>
        <v/>
      </c>
      <c r="G146" s="5" t="str">
        <f>IFERROR(IF(SUMIFS(tblDaily[TransfersOut],tblDaily[EntryDate],DATE(2026,4,23),tblDaily[WardCode],"FW")=0,"",SUMIFS(tblDaily[TransfersOut],tblDaily[EntryDate],DATE(2026,4,23),tblDaily[WardCode],"FW")),"")</f>
        <v/>
      </c>
      <c r="H146" s="5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IFERROR(IF(SUMIFS(tblDaily[Admissions],tblDaily[EntryDate],DATE(2026,4,24),tblDaily[WardCode],"FW")=0,"",SUMIFS(tblDaily[Admissions],tblDaily[EntryDate],DATE(2026,4,24),tblDaily[WardCode],"FW")),"")</f>
        <v/>
      </c>
      <c r="C147" s="5" t="str">
        <f>IFERROR(IF(SUMIFS(tblDaily[Discharges],tblDaily[EntryDate],DATE(2026,4,24),tblDaily[WardCode],"FW")=0,"",SUMIFS(tblDaily[Discharges],tblDaily[EntryDate],DATE(2026,4,24),tblDaily[WardCode],"FW")),"")</f>
        <v/>
      </c>
      <c r="D147" s="5" t="str">
        <f>IFERROR(IF(SUMIFS(tblDaily[Deaths],tblDaily[EntryDate],DATE(2026,4,24),tblDaily[WardCode],"FW")=0,"",SUMIFS(tblDaily[Deaths],tblDaily[EntryDate],DATE(2026,4,24),tblDaily[WardCode],"FW")),"")</f>
        <v/>
      </c>
      <c r="E147" s="5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5" t="str">
        <f>IFERROR(IF(SUMIFS(tblDaily[TransfersIn],tblDaily[EntryDate],DATE(2026,4,24),tblDaily[WardCode],"FW")=0,"",SUMIFS(tblDaily[TransfersIn],tblDaily[EntryDate],DATE(2026,4,24),tblDaily[WardCode],"FW")),"")</f>
        <v/>
      </c>
      <c r="G147" s="5" t="str">
        <f>IFERROR(IF(SUMIFS(tblDaily[TransfersOut],tblDaily[EntryDate],DATE(2026,4,24),tblDaily[WardCode],"FW")=0,"",SUMIFS(tblDaily[TransfersOut],tblDaily[EntryDate],DATE(2026,4,24),tblDaily[WardCode],"FW")),"")</f>
        <v/>
      </c>
      <c r="H147" s="5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IFERROR(IF(SUMIFS(tblDaily[Admissions],tblDaily[EntryDate],DATE(2026,4,25),tblDaily[WardCode],"FW")=0,"",SUMIFS(tblDaily[Admissions],tblDaily[EntryDate],DATE(2026,4,25),tblDaily[WardCode],"FW")),"")</f>
        <v/>
      </c>
      <c r="C148" s="5" t="str">
        <f>IFERROR(IF(SUMIFS(tblDaily[Discharges],tblDaily[EntryDate],DATE(2026,4,25),tblDaily[WardCode],"FW")=0,"",SUMIFS(tblDaily[Discharges],tblDaily[EntryDate],DATE(2026,4,25),tblDaily[WardCode],"FW")),"")</f>
        <v/>
      </c>
      <c r="D148" s="5" t="str">
        <f>IFERROR(IF(SUMIFS(tblDaily[Deaths],tblDaily[EntryDate],DATE(2026,4,25),tblDaily[WardCode],"FW")=0,"",SUMIFS(tblDaily[Deaths],tblDaily[EntryDate],DATE(2026,4,25),tblDaily[WardCode],"FW")),"")</f>
        <v/>
      </c>
      <c r="E148" s="5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5" t="str">
        <f>IFERROR(IF(SUMIFS(tblDaily[TransfersIn],tblDaily[EntryDate],DATE(2026,4,25),tblDaily[WardCode],"FW")=0,"",SUMIFS(tblDaily[TransfersIn],tblDaily[EntryDate],DATE(2026,4,25),tblDaily[WardCode],"FW")),"")</f>
        <v/>
      </c>
      <c r="G148" s="5" t="str">
        <f>IFERROR(IF(SUMIFS(tblDaily[TransfersOut],tblDaily[EntryDate],DATE(2026,4,25),tblDaily[WardCode],"FW")=0,"",SUMIFS(tblDaily[TransfersOut],tblDaily[EntryDate],DATE(2026,4,25),tblDaily[WardCode],"FW")),"")</f>
        <v/>
      </c>
      <c r="H148" s="5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IFERROR(IF(SUMIFS(tblDaily[Admissions],tblDaily[EntryDate],DATE(2026,4,26),tblDaily[WardCode],"FW")=0,"",SUMIFS(tblDaily[Admissions],tblDaily[EntryDate],DATE(2026,4,26),tblDaily[WardCode],"FW")),"")</f>
        <v/>
      </c>
      <c r="C149" s="5" t="str">
        <f>IFERROR(IF(SUMIFS(tblDaily[Discharges],tblDaily[EntryDate],DATE(2026,4,26),tblDaily[WardCode],"FW")=0,"",SUMIFS(tblDaily[Discharges],tblDaily[EntryDate],DATE(2026,4,26),tblDaily[WardCode],"FW")),"")</f>
        <v/>
      </c>
      <c r="D149" s="5" t="str">
        <f>IFERROR(IF(SUMIFS(tblDaily[Deaths],tblDaily[EntryDate],DATE(2026,4,26),tblDaily[WardCode],"FW")=0,"",SUMIFS(tblDaily[Deaths],tblDaily[EntryDate],DATE(2026,4,26),tblDaily[WardCode],"FW")),"")</f>
        <v/>
      </c>
      <c r="E149" s="5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5" t="str">
        <f>IFERROR(IF(SUMIFS(tblDaily[TransfersIn],tblDaily[EntryDate],DATE(2026,4,26),tblDaily[WardCode],"FW")=0,"",SUMIFS(tblDaily[TransfersIn],tblDaily[EntryDate],DATE(2026,4,26),tblDaily[WardCode],"FW")),"")</f>
        <v/>
      </c>
      <c r="G149" s="5" t="str">
        <f>IFERROR(IF(SUMIFS(tblDaily[TransfersOut],tblDaily[EntryDate],DATE(2026,4,26),tblDaily[WardCode],"FW")=0,"",SUMIFS(tblDaily[TransfersOut],tblDaily[EntryDate],DATE(2026,4,26),tblDaily[WardCode],"FW")),"")</f>
        <v/>
      </c>
      <c r="H149" s="5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IFERROR(IF(SUMIFS(tblDaily[Admissions],tblDaily[EntryDate],DATE(2026,4,27),tblDaily[WardCode],"FW")=0,"",SUMIFS(tblDaily[Admissions],tblDaily[EntryDate],DATE(2026,4,27),tblDaily[WardCode],"FW")),"")</f>
        <v/>
      </c>
      <c r="C150" s="5" t="str">
        <f>IFERROR(IF(SUMIFS(tblDaily[Discharges],tblDaily[EntryDate],DATE(2026,4,27),tblDaily[WardCode],"FW")=0,"",SUMIFS(tblDaily[Discharges],tblDaily[EntryDate],DATE(2026,4,27),tblDaily[WardCode],"FW")),"")</f>
        <v/>
      </c>
      <c r="D150" s="5" t="str">
        <f>IFERROR(IF(SUMIFS(tblDaily[Deaths],tblDaily[EntryDate],DATE(2026,4,27),tblDaily[WardCode],"FW")=0,"",SUMIFS(tblDaily[Deaths],tblDaily[EntryDate],DATE(2026,4,27),tblDaily[WardCode],"FW")),"")</f>
        <v/>
      </c>
      <c r="E150" s="5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5" t="str">
        <f>IFERROR(IF(SUMIFS(tblDaily[TransfersIn],tblDaily[EntryDate],DATE(2026,4,27),tblDaily[WardCode],"FW")=0,"",SUMIFS(tblDaily[TransfersIn],tblDaily[EntryDate],DATE(2026,4,27),tblDaily[WardCode],"FW")),"")</f>
        <v/>
      </c>
      <c r="G150" s="5" t="str">
        <f>IFERROR(IF(SUMIFS(tblDaily[TransfersOut],tblDaily[EntryDate],DATE(2026,4,27),tblDaily[WardCode],"FW")=0,"",SUMIFS(tblDaily[TransfersOut],tblDaily[EntryDate],DATE(2026,4,27),tblDaily[WardCode],"FW")),"")</f>
        <v/>
      </c>
      <c r="H150" s="5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IFERROR(IF(SUMIFS(tblDaily[Admissions],tblDaily[EntryDate],DATE(2026,4,28),tblDaily[WardCode],"FW")=0,"",SUMIFS(tblDaily[Admissions],tblDaily[EntryDate],DATE(2026,4,28),tblDaily[WardCode],"FW")),"")</f>
        <v/>
      </c>
      <c r="C151" s="5" t="str">
        <f>IFERROR(IF(SUMIFS(tblDaily[Discharges],tblDaily[EntryDate],DATE(2026,4,28),tblDaily[WardCode],"FW")=0,"",SUMIFS(tblDaily[Discharges],tblDaily[EntryDate],DATE(2026,4,28),tblDaily[WardCode],"FW")),"")</f>
        <v/>
      </c>
      <c r="D151" s="5" t="str">
        <f>IFERROR(IF(SUMIFS(tblDaily[Deaths],tblDaily[EntryDate],DATE(2026,4,28),tblDaily[WardCode],"FW")=0,"",SUMIFS(tblDaily[Deaths],tblDaily[EntryDate],DATE(2026,4,28),tblDaily[WardCode],"FW")),"")</f>
        <v/>
      </c>
      <c r="E151" s="5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5" t="str">
        <f>IFERROR(IF(SUMIFS(tblDaily[TransfersIn],tblDaily[EntryDate],DATE(2026,4,28),tblDaily[WardCode],"FW")=0,"",SUMIFS(tblDaily[TransfersIn],tblDaily[EntryDate],DATE(2026,4,28),tblDaily[WardCode],"FW")),"")</f>
        <v/>
      </c>
      <c r="G151" s="5" t="str">
        <f>IFERROR(IF(SUMIFS(tblDaily[TransfersOut],tblDaily[EntryDate],DATE(2026,4,28),tblDaily[WardCode],"FW")=0,"",SUMIFS(tblDaily[TransfersOut],tblDaily[EntryDate],DATE(2026,4,28),tblDaily[WardCode],"FW")),"")</f>
        <v/>
      </c>
      <c r="H151" s="5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IFERROR(IF(SUMIFS(tblDaily[Admissions],tblDaily[EntryDate],DATE(2026,4,29),tblDaily[WardCode],"FW")=0,"",SUMIFS(tblDaily[Admissions],tblDaily[EntryDate],DATE(2026,4,29),tblDaily[WardCode],"FW")),"")</f>
        <v/>
      </c>
      <c r="C152" s="5" t="str">
        <f>IFERROR(IF(SUMIFS(tblDaily[Discharges],tblDaily[EntryDate],DATE(2026,4,29),tblDaily[WardCode],"FW")=0,"",SUMIFS(tblDaily[Discharges],tblDaily[EntryDate],DATE(2026,4,29),tblDaily[WardCode],"FW")),"")</f>
        <v/>
      </c>
      <c r="D152" s="5" t="str">
        <f>IFERROR(IF(SUMIFS(tblDaily[Deaths],tblDaily[EntryDate],DATE(2026,4,29),tblDaily[WardCode],"FW")=0,"",SUMIFS(tblDaily[Deaths],tblDaily[EntryDate],DATE(2026,4,29),tblDaily[WardCode],"FW")),"")</f>
        <v/>
      </c>
      <c r="E152" s="5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5" t="str">
        <f>IFERROR(IF(SUMIFS(tblDaily[TransfersIn],tblDaily[EntryDate],DATE(2026,4,29),tblDaily[WardCode],"FW")=0,"",SUMIFS(tblDaily[TransfersIn],tblDaily[EntryDate],DATE(2026,4,29),tblDaily[WardCode],"FW")),"")</f>
        <v/>
      </c>
      <c r="G152" s="5" t="str">
        <f>IFERROR(IF(SUMIFS(tblDaily[TransfersOut],tblDaily[EntryDate],DATE(2026,4,29),tblDaily[WardCode],"FW")=0,"",SUMIFS(tblDaily[TransfersOut],tblDaily[EntryDate],DATE(2026,4,29),tblDaily[WardCode],"FW")),"")</f>
        <v/>
      </c>
      <c r="H152" s="5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IFERROR(IF(SUMIFS(tblDaily[Admissions],tblDaily[EntryDate],DATE(2026,4,30),tblDaily[WardCode],"FW")=0,"",SUMIFS(tblDaily[Admissions],tblDaily[EntryDate],DATE(2026,4,30),tblDaily[WardCode],"FW")),"")</f>
        <v/>
      </c>
      <c r="C153" s="5" t="str">
        <f>IFERROR(IF(SUMIFS(tblDaily[Discharges],tblDaily[EntryDate],DATE(2026,4,30),tblDaily[WardCode],"FW")=0,"",SUMIFS(tblDaily[Discharges],tblDaily[EntryDate],DATE(2026,4,30),tblDaily[WardCode],"FW")),"")</f>
        <v/>
      </c>
      <c r="D153" s="5" t="str">
        <f>IFERROR(IF(SUMIFS(tblDaily[Deaths],tblDaily[EntryDate],DATE(2026,4,30),tblDaily[WardCode],"FW")=0,"",SUMIFS(tblDaily[Deaths],tblDaily[EntryDate],DATE(2026,4,30),tblDaily[WardCode],"FW")),"")</f>
        <v/>
      </c>
      <c r="E153" s="5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5" t="str">
        <f>IFERROR(IF(SUMIFS(tblDaily[TransfersIn],tblDaily[EntryDate],DATE(2026,4,30),tblDaily[WardCode],"FW")=0,"",SUMIFS(tblDaily[TransfersIn],tblDaily[EntryDate],DATE(2026,4,30),tblDaily[WardCode],"FW")),"")</f>
        <v/>
      </c>
      <c r="G153" s="5" t="str">
        <f>IFERROR(IF(SUMIFS(tblDaily[TransfersOut],tblDaily[EntryDate],DATE(2026,4,30),tblDaily[WardCode],"FW")=0,"",SUMIFS(tblDaily[TransfersOut],tblDaily[EntryDate],DATE(2026,4,30),tblDaily[WardCode],"FW")),"")</f>
        <v/>
      </c>
      <c r="H153" s="5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96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89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IFERROR(IF(SUMIFS(tblDaily[Admissions],tblDaily[EntryDate],DATE(2026,5,1),tblDaily[WardCode],"FW")=0,"",SUMIFS(tblDaily[Admissions],tblDaily[EntryDate],DATE(2026,5,1),tblDaily[WardCode],"FW")),"")</f>
        <v/>
      </c>
      <c r="C163" s="5" t="str">
        <f>IFERROR(IF(SUMIFS(tblDaily[Discharges],tblDaily[EntryDate],DATE(2026,5,1),tblDaily[WardCode],"FW")=0,"",SUMIFS(tblDaily[Discharges],tblDaily[EntryDate],DATE(2026,5,1),tblDaily[WardCode],"FW")),"")</f>
        <v/>
      </c>
      <c r="D163" s="5" t="str">
        <f>IFERROR(IF(SUMIFS(tblDaily[Deaths],tblDaily[EntryDate],DATE(2026,5,1),tblDaily[WardCode],"FW")=0,"",SUMIFS(tblDaily[Deaths],tblDaily[EntryDate],DATE(2026,5,1),tblDaily[WardCode],"FW")),"")</f>
        <v/>
      </c>
      <c r="E163" s="5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5" t="str">
        <f>IFERROR(IF(SUMIFS(tblDaily[TransfersIn],tblDaily[EntryDate],DATE(2026,5,1),tblDaily[WardCode],"FW")=0,"",SUMIFS(tblDaily[TransfersIn],tblDaily[EntryDate],DATE(2026,5,1),tblDaily[WardCode],"FW")),"")</f>
        <v/>
      </c>
      <c r="G163" s="5" t="str">
        <f>IFERROR(IF(SUMIFS(tblDaily[TransfersOut],tblDaily[EntryDate],DATE(2026,5,1),tblDaily[WardCode],"FW")=0,"",SUMIFS(tblDaily[TransfersOut],tblDaily[EntryDate],DATE(2026,5,1),tblDaily[WardCode],"FW")),"")</f>
        <v/>
      </c>
      <c r="H163" s="5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IFERROR(IF(SUMIFS(tblDaily[Admissions],tblDaily[EntryDate],DATE(2026,5,2),tblDaily[WardCode],"FW")=0,"",SUMIFS(tblDaily[Admissions],tblDaily[EntryDate],DATE(2026,5,2),tblDaily[WardCode],"FW")),"")</f>
        <v/>
      </c>
      <c r="C164" s="5" t="str">
        <f>IFERROR(IF(SUMIFS(tblDaily[Discharges],tblDaily[EntryDate],DATE(2026,5,2),tblDaily[WardCode],"FW")=0,"",SUMIFS(tblDaily[Discharges],tblDaily[EntryDate],DATE(2026,5,2),tblDaily[WardCode],"FW")),"")</f>
        <v/>
      </c>
      <c r="D164" s="5" t="str">
        <f>IFERROR(IF(SUMIFS(tblDaily[Deaths],tblDaily[EntryDate],DATE(2026,5,2),tblDaily[WardCode],"FW")=0,"",SUMIFS(tblDaily[Deaths],tblDaily[EntryDate],DATE(2026,5,2),tblDaily[WardCode],"FW")),"")</f>
        <v/>
      </c>
      <c r="E164" s="5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5" t="str">
        <f>IFERROR(IF(SUMIFS(tblDaily[TransfersIn],tblDaily[EntryDate],DATE(2026,5,2),tblDaily[WardCode],"FW")=0,"",SUMIFS(tblDaily[TransfersIn],tblDaily[EntryDate],DATE(2026,5,2),tblDaily[WardCode],"FW")),"")</f>
        <v/>
      </c>
      <c r="G164" s="5" t="str">
        <f>IFERROR(IF(SUMIFS(tblDaily[TransfersOut],tblDaily[EntryDate],DATE(2026,5,2),tblDaily[WardCode],"FW")=0,"",SUMIFS(tblDaily[TransfersOut],tblDaily[EntryDate],DATE(2026,5,2),tblDaily[WardCode],"FW")),"")</f>
        <v/>
      </c>
      <c r="H164" s="5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IFERROR(IF(SUMIFS(tblDaily[Admissions],tblDaily[EntryDate],DATE(2026,5,3),tblDaily[WardCode],"FW")=0,"",SUMIFS(tblDaily[Admissions],tblDaily[EntryDate],DATE(2026,5,3),tblDaily[WardCode],"FW")),"")</f>
        <v/>
      </c>
      <c r="C165" s="5" t="str">
        <f>IFERROR(IF(SUMIFS(tblDaily[Discharges],tblDaily[EntryDate],DATE(2026,5,3),tblDaily[WardCode],"FW")=0,"",SUMIFS(tblDaily[Discharges],tblDaily[EntryDate],DATE(2026,5,3),tblDaily[WardCode],"FW")),"")</f>
        <v/>
      </c>
      <c r="D165" s="5" t="str">
        <f>IFERROR(IF(SUMIFS(tblDaily[Deaths],tblDaily[EntryDate],DATE(2026,5,3),tblDaily[WardCode],"FW")=0,"",SUMIFS(tblDaily[Deaths],tblDaily[EntryDate],DATE(2026,5,3),tblDaily[WardCode],"FW")),"")</f>
        <v/>
      </c>
      <c r="E165" s="5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5" t="str">
        <f>IFERROR(IF(SUMIFS(tblDaily[TransfersIn],tblDaily[EntryDate],DATE(2026,5,3),tblDaily[WardCode],"FW")=0,"",SUMIFS(tblDaily[TransfersIn],tblDaily[EntryDate],DATE(2026,5,3),tblDaily[WardCode],"FW")),"")</f>
        <v/>
      </c>
      <c r="G165" s="5" t="str">
        <f>IFERROR(IF(SUMIFS(tblDaily[TransfersOut],tblDaily[EntryDate],DATE(2026,5,3),tblDaily[WardCode],"FW")=0,"",SUMIFS(tblDaily[TransfersOut],tblDaily[EntryDate],DATE(2026,5,3),tblDaily[WardCode],"FW")),"")</f>
        <v/>
      </c>
      <c r="H165" s="5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IFERROR(IF(SUMIFS(tblDaily[Admissions],tblDaily[EntryDate],DATE(2026,5,4),tblDaily[WardCode],"FW")=0,"",SUMIFS(tblDaily[Admissions],tblDaily[EntryDate],DATE(2026,5,4),tblDaily[WardCode],"FW")),"")</f>
        <v/>
      </c>
      <c r="C166" s="5" t="str">
        <f>IFERROR(IF(SUMIFS(tblDaily[Discharges],tblDaily[EntryDate],DATE(2026,5,4),tblDaily[WardCode],"FW")=0,"",SUMIFS(tblDaily[Discharges],tblDaily[EntryDate],DATE(2026,5,4),tblDaily[WardCode],"FW")),"")</f>
        <v/>
      </c>
      <c r="D166" s="5" t="str">
        <f>IFERROR(IF(SUMIFS(tblDaily[Deaths],tblDaily[EntryDate],DATE(2026,5,4),tblDaily[WardCode],"FW")=0,"",SUMIFS(tblDaily[Deaths],tblDaily[EntryDate],DATE(2026,5,4),tblDaily[WardCode],"FW")),"")</f>
        <v/>
      </c>
      <c r="E166" s="5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5" t="str">
        <f>IFERROR(IF(SUMIFS(tblDaily[TransfersIn],tblDaily[EntryDate],DATE(2026,5,4),tblDaily[WardCode],"FW")=0,"",SUMIFS(tblDaily[TransfersIn],tblDaily[EntryDate],DATE(2026,5,4),tblDaily[WardCode],"FW")),"")</f>
        <v/>
      </c>
      <c r="G166" s="5" t="str">
        <f>IFERROR(IF(SUMIFS(tblDaily[TransfersOut],tblDaily[EntryDate],DATE(2026,5,4),tblDaily[WardCode],"FW")=0,"",SUMIFS(tblDaily[TransfersOut],tblDaily[EntryDate],DATE(2026,5,4),tblDaily[WardCode],"FW")),"")</f>
        <v/>
      </c>
      <c r="H166" s="5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IFERROR(IF(SUMIFS(tblDaily[Admissions],tblDaily[EntryDate],DATE(2026,5,5),tblDaily[WardCode],"FW")=0,"",SUMIFS(tblDaily[Admissions],tblDaily[EntryDate],DATE(2026,5,5),tblDaily[WardCode],"FW")),"")</f>
        <v/>
      </c>
      <c r="C167" s="5" t="str">
        <f>IFERROR(IF(SUMIFS(tblDaily[Discharges],tblDaily[EntryDate],DATE(2026,5,5),tblDaily[WardCode],"FW")=0,"",SUMIFS(tblDaily[Discharges],tblDaily[EntryDate],DATE(2026,5,5),tblDaily[WardCode],"FW")),"")</f>
        <v/>
      </c>
      <c r="D167" s="5" t="str">
        <f>IFERROR(IF(SUMIFS(tblDaily[Deaths],tblDaily[EntryDate],DATE(2026,5,5),tblDaily[WardCode],"FW")=0,"",SUMIFS(tblDaily[Deaths],tblDaily[EntryDate],DATE(2026,5,5),tblDaily[WardCode],"FW")),"")</f>
        <v/>
      </c>
      <c r="E167" s="5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5" t="str">
        <f>IFERROR(IF(SUMIFS(tblDaily[TransfersIn],tblDaily[EntryDate],DATE(2026,5,5),tblDaily[WardCode],"FW")=0,"",SUMIFS(tblDaily[TransfersIn],tblDaily[EntryDate],DATE(2026,5,5),tblDaily[WardCode],"FW")),"")</f>
        <v/>
      </c>
      <c r="G167" s="5" t="str">
        <f>IFERROR(IF(SUMIFS(tblDaily[TransfersOut],tblDaily[EntryDate],DATE(2026,5,5),tblDaily[WardCode],"FW")=0,"",SUMIFS(tblDaily[TransfersOut],tblDaily[EntryDate],DATE(2026,5,5),tblDaily[WardCode],"FW")),"")</f>
        <v/>
      </c>
      <c r="H167" s="5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IFERROR(IF(SUMIFS(tblDaily[Admissions],tblDaily[EntryDate],DATE(2026,5,6),tblDaily[WardCode],"FW")=0,"",SUMIFS(tblDaily[Admissions],tblDaily[EntryDate],DATE(2026,5,6),tblDaily[WardCode],"FW")),"")</f>
        <v/>
      </c>
      <c r="C168" s="5" t="str">
        <f>IFERROR(IF(SUMIFS(tblDaily[Discharges],tblDaily[EntryDate],DATE(2026,5,6),tblDaily[WardCode],"FW")=0,"",SUMIFS(tblDaily[Discharges],tblDaily[EntryDate],DATE(2026,5,6),tblDaily[WardCode],"FW")),"")</f>
        <v/>
      </c>
      <c r="D168" s="5" t="str">
        <f>IFERROR(IF(SUMIFS(tblDaily[Deaths],tblDaily[EntryDate],DATE(2026,5,6),tblDaily[WardCode],"FW")=0,"",SUMIFS(tblDaily[Deaths],tblDaily[EntryDate],DATE(2026,5,6),tblDaily[WardCode],"FW")),"")</f>
        <v/>
      </c>
      <c r="E168" s="5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5" t="str">
        <f>IFERROR(IF(SUMIFS(tblDaily[TransfersIn],tblDaily[EntryDate],DATE(2026,5,6),tblDaily[WardCode],"FW")=0,"",SUMIFS(tblDaily[TransfersIn],tblDaily[EntryDate],DATE(2026,5,6),tblDaily[WardCode],"FW")),"")</f>
        <v/>
      </c>
      <c r="G168" s="5" t="str">
        <f>IFERROR(IF(SUMIFS(tblDaily[TransfersOut],tblDaily[EntryDate],DATE(2026,5,6),tblDaily[WardCode],"FW")=0,"",SUMIFS(tblDaily[TransfersOut],tblDaily[EntryDate],DATE(2026,5,6),tblDaily[WardCode],"FW")),"")</f>
        <v/>
      </c>
      <c r="H168" s="5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IFERROR(IF(SUMIFS(tblDaily[Admissions],tblDaily[EntryDate],DATE(2026,5,7),tblDaily[WardCode],"FW")=0,"",SUMIFS(tblDaily[Admissions],tblDaily[EntryDate],DATE(2026,5,7),tblDaily[WardCode],"FW")),"")</f>
        <v/>
      </c>
      <c r="C169" s="5" t="str">
        <f>IFERROR(IF(SUMIFS(tblDaily[Discharges],tblDaily[EntryDate],DATE(2026,5,7),tblDaily[WardCode],"FW")=0,"",SUMIFS(tblDaily[Discharges],tblDaily[EntryDate],DATE(2026,5,7),tblDaily[WardCode],"FW")),"")</f>
        <v/>
      </c>
      <c r="D169" s="5" t="str">
        <f>IFERROR(IF(SUMIFS(tblDaily[Deaths],tblDaily[EntryDate],DATE(2026,5,7),tblDaily[WardCode],"FW")=0,"",SUMIFS(tblDaily[Deaths],tblDaily[EntryDate],DATE(2026,5,7),tblDaily[WardCode],"FW")),"")</f>
        <v/>
      </c>
      <c r="E169" s="5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5" t="str">
        <f>IFERROR(IF(SUMIFS(tblDaily[TransfersIn],tblDaily[EntryDate],DATE(2026,5,7),tblDaily[WardCode],"FW")=0,"",SUMIFS(tblDaily[TransfersIn],tblDaily[EntryDate],DATE(2026,5,7),tblDaily[WardCode],"FW")),"")</f>
        <v/>
      </c>
      <c r="G169" s="5" t="str">
        <f>IFERROR(IF(SUMIFS(tblDaily[TransfersOut],tblDaily[EntryDate],DATE(2026,5,7),tblDaily[WardCode],"FW")=0,"",SUMIFS(tblDaily[TransfersOut],tblDaily[EntryDate],DATE(2026,5,7),tblDaily[WardCode],"FW")),"")</f>
        <v/>
      </c>
      <c r="H169" s="5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IFERROR(IF(SUMIFS(tblDaily[Admissions],tblDaily[EntryDate],DATE(2026,5,8),tblDaily[WardCode],"FW")=0,"",SUMIFS(tblDaily[Admissions],tblDaily[EntryDate],DATE(2026,5,8),tblDaily[WardCode],"FW")),"")</f>
        <v/>
      </c>
      <c r="C170" s="5" t="str">
        <f>IFERROR(IF(SUMIFS(tblDaily[Discharges],tblDaily[EntryDate],DATE(2026,5,8),tblDaily[WardCode],"FW")=0,"",SUMIFS(tblDaily[Discharges],tblDaily[EntryDate],DATE(2026,5,8),tblDaily[WardCode],"FW")),"")</f>
        <v/>
      </c>
      <c r="D170" s="5" t="str">
        <f>IFERROR(IF(SUMIFS(tblDaily[Deaths],tblDaily[EntryDate],DATE(2026,5,8),tblDaily[WardCode],"FW")=0,"",SUMIFS(tblDaily[Deaths],tblDaily[EntryDate],DATE(2026,5,8),tblDaily[WardCode],"FW")),"")</f>
        <v/>
      </c>
      <c r="E170" s="5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5" t="str">
        <f>IFERROR(IF(SUMIFS(tblDaily[TransfersIn],tblDaily[EntryDate],DATE(2026,5,8),tblDaily[WardCode],"FW")=0,"",SUMIFS(tblDaily[TransfersIn],tblDaily[EntryDate],DATE(2026,5,8),tblDaily[WardCode],"FW")),"")</f>
        <v/>
      </c>
      <c r="G170" s="5" t="str">
        <f>IFERROR(IF(SUMIFS(tblDaily[TransfersOut],tblDaily[EntryDate],DATE(2026,5,8),tblDaily[WardCode],"FW")=0,"",SUMIFS(tblDaily[TransfersOut],tblDaily[EntryDate],DATE(2026,5,8),tblDaily[WardCode],"FW")),"")</f>
        <v/>
      </c>
      <c r="H170" s="5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IFERROR(IF(SUMIFS(tblDaily[Admissions],tblDaily[EntryDate],DATE(2026,5,9),tblDaily[WardCode],"FW")=0,"",SUMIFS(tblDaily[Admissions],tblDaily[EntryDate],DATE(2026,5,9),tblDaily[WardCode],"FW")),"")</f>
        <v/>
      </c>
      <c r="C171" s="5" t="str">
        <f>IFERROR(IF(SUMIFS(tblDaily[Discharges],tblDaily[EntryDate],DATE(2026,5,9),tblDaily[WardCode],"FW")=0,"",SUMIFS(tblDaily[Discharges],tblDaily[EntryDate],DATE(2026,5,9),tblDaily[WardCode],"FW")),"")</f>
        <v/>
      </c>
      <c r="D171" s="5" t="str">
        <f>IFERROR(IF(SUMIFS(tblDaily[Deaths],tblDaily[EntryDate],DATE(2026,5,9),tblDaily[WardCode],"FW")=0,"",SUMIFS(tblDaily[Deaths],tblDaily[EntryDate],DATE(2026,5,9),tblDaily[WardCode],"FW")),"")</f>
        <v/>
      </c>
      <c r="E171" s="5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5" t="str">
        <f>IFERROR(IF(SUMIFS(tblDaily[TransfersIn],tblDaily[EntryDate],DATE(2026,5,9),tblDaily[WardCode],"FW")=0,"",SUMIFS(tblDaily[TransfersIn],tblDaily[EntryDate],DATE(2026,5,9),tblDaily[WardCode],"FW")),"")</f>
        <v/>
      </c>
      <c r="G171" s="5" t="str">
        <f>IFERROR(IF(SUMIFS(tblDaily[TransfersOut],tblDaily[EntryDate],DATE(2026,5,9),tblDaily[WardCode],"FW")=0,"",SUMIFS(tblDaily[TransfersOut],tblDaily[EntryDate],DATE(2026,5,9),tblDaily[WardCode],"FW")),"")</f>
        <v/>
      </c>
      <c r="H171" s="5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IFERROR(IF(SUMIFS(tblDaily[Admissions],tblDaily[EntryDate],DATE(2026,5,10),tblDaily[WardCode],"FW")=0,"",SUMIFS(tblDaily[Admissions],tblDaily[EntryDate],DATE(2026,5,10),tblDaily[WardCode],"FW")),"")</f>
        <v/>
      </c>
      <c r="C172" s="5" t="str">
        <f>IFERROR(IF(SUMIFS(tblDaily[Discharges],tblDaily[EntryDate],DATE(2026,5,10),tblDaily[WardCode],"FW")=0,"",SUMIFS(tblDaily[Discharges],tblDaily[EntryDate],DATE(2026,5,10),tblDaily[WardCode],"FW")),"")</f>
        <v/>
      </c>
      <c r="D172" s="5" t="str">
        <f>IFERROR(IF(SUMIFS(tblDaily[Deaths],tblDaily[EntryDate],DATE(2026,5,10),tblDaily[WardCode],"FW")=0,"",SUMIFS(tblDaily[Deaths],tblDaily[EntryDate],DATE(2026,5,10),tblDaily[WardCode],"FW")),"")</f>
        <v/>
      </c>
      <c r="E172" s="5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5" t="str">
        <f>IFERROR(IF(SUMIFS(tblDaily[TransfersIn],tblDaily[EntryDate],DATE(2026,5,10),tblDaily[WardCode],"FW")=0,"",SUMIFS(tblDaily[TransfersIn],tblDaily[EntryDate],DATE(2026,5,10),tblDaily[WardCode],"FW")),"")</f>
        <v/>
      </c>
      <c r="G172" s="5" t="str">
        <f>IFERROR(IF(SUMIFS(tblDaily[TransfersOut],tblDaily[EntryDate],DATE(2026,5,10),tblDaily[WardCode],"FW")=0,"",SUMIFS(tblDaily[TransfersOut],tblDaily[EntryDate],DATE(2026,5,10),tblDaily[WardCode],"FW")),"")</f>
        <v/>
      </c>
      <c r="H172" s="5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IFERROR(IF(SUMIFS(tblDaily[Admissions],tblDaily[EntryDate],DATE(2026,5,11),tblDaily[WardCode],"FW")=0,"",SUMIFS(tblDaily[Admissions],tblDaily[EntryDate],DATE(2026,5,11),tblDaily[WardCode],"FW")),"")</f>
        <v/>
      </c>
      <c r="C173" s="5" t="str">
        <f>IFERROR(IF(SUMIFS(tblDaily[Discharges],tblDaily[EntryDate],DATE(2026,5,11),tblDaily[WardCode],"FW")=0,"",SUMIFS(tblDaily[Discharges],tblDaily[EntryDate],DATE(2026,5,11),tblDaily[WardCode],"FW")),"")</f>
        <v/>
      </c>
      <c r="D173" s="5" t="str">
        <f>IFERROR(IF(SUMIFS(tblDaily[Deaths],tblDaily[EntryDate],DATE(2026,5,11),tblDaily[WardCode],"FW")=0,"",SUMIFS(tblDaily[Deaths],tblDaily[EntryDate],DATE(2026,5,11),tblDaily[WardCode],"FW")),"")</f>
        <v/>
      </c>
      <c r="E173" s="5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5" t="str">
        <f>IFERROR(IF(SUMIFS(tblDaily[TransfersIn],tblDaily[EntryDate],DATE(2026,5,11),tblDaily[WardCode],"FW")=0,"",SUMIFS(tblDaily[TransfersIn],tblDaily[EntryDate],DATE(2026,5,11),tblDaily[WardCode],"FW")),"")</f>
        <v/>
      </c>
      <c r="G173" s="5" t="str">
        <f>IFERROR(IF(SUMIFS(tblDaily[TransfersOut],tblDaily[EntryDate],DATE(2026,5,11),tblDaily[WardCode],"FW")=0,"",SUMIFS(tblDaily[TransfersOut],tblDaily[EntryDate],DATE(2026,5,11),tblDaily[WardCode],"FW")),"")</f>
        <v/>
      </c>
      <c r="H173" s="5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IFERROR(IF(SUMIFS(tblDaily[Admissions],tblDaily[EntryDate],DATE(2026,5,12),tblDaily[WardCode],"FW")=0,"",SUMIFS(tblDaily[Admissions],tblDaily[EntryDate],DATE(2026,5,12),tblDaily[WardCode],"FW")),"")</f>
        <v/>
      </c>
      <c r="C174" s="5" t="str">
        <f>IFERROR(IF(SUMIFS(tblDaily[Discharges],tblDaily[EntryDate],DATE(2026,5,12),tblDaily[WardCode],"FW")=0,"",SUMIFS(tblDaily[Discharges],tblDaily[EntryDate],DATE(2026,5,12),tblDaily[WardCode],"FW")),"")</f>
        <v/>
      </c>
      <c r="D174" s="5" t="str">
        <f>IFERROR(IF(SUMIFS(tblDaily[Deaths],tblDaily[EntryDate],DATE(2026,5,12),tblDaily[WardCode],"FW")=0,"",SUMIFS(tblDaily[Deaths],tblDaily[EntryDate],DATE(2026,5,12),tblDaily[WardCode],"FW")),"")</f>
        <v/>
      </c>
      <c r="E174" s="5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5" t="str">
        <f>IFERROR(IF(SUMIFS(tblDaily[TransfersIn],tblDaily[EntryDate],DATE(2026,5,12),tblDaily[WardCode],"FW")=0,"",SUMIFS(tblDaily[TransfersIn],tblDaily[EntryDate],DATE(2026,5,12),tblDaily[WardCode],"FW")),"")</f>
        <v/>
      </c>
      <c r="G174" s="5" t="str">
        <f>IFERROR(IF(SUMIFS(tblDaily[TransfersOut],tblDaily[EntryDate],DATE(2026,5,12),tblDaily[WardCode],"FW")=0,"",SUMIFS(tblDaily[TransfersOut],tblDaily[EntryDate],DATE(2026,5,12),tblDaily[WardCode],"FW")),"")</f>
        <v/>
      </c>
      <c r="H174" s="5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IFERROR(IF(SUMIFS(tblDaily[Admissions],tblDaily[EntryDate],DATE(2026,5,13),tblDaily[WardCode],"FW")=0,"",SUMIFS(tblDaily[Admissions],tblDaily[EntryDate],DATE(2026,5,13),tblDaily[WardCode],"FW")),"")</f>
        <v/>
      </c>
      <c r="C175" s="5" t="str">
        <f>IFERROR(IF(SUMIFS(tblDaily[Discharges],tblDaily[EntryDate],DATE(2026,5,13),tblDaily[WardCode],"FW")=0,"",SUMIFS(tblDaily[Discharges],tblDaily[EntryDate],DATE(2026,5,13),tblDaily[WardCode],"FW")),"")</f>
        <v/>
      </c>
      <c r="D175" s="5" t="str">
        <f>IFERROR(IF(SUMIFS(tblDaily[Deaths],tblDaily[EntryDate],DATE(2026,5,13),tblDaily[WardCode],"FW")=0,"",SUMIFS(tblDaily[Deaths],tblDaily[EntryDate],DATE(2026,5,13),tblDaily[WardCode],"FW")),"")</f>
        <v/>
      </c>
      <c r="E175" s="5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5" t="str">
        <f>IFERROR(IF(SUMIFS(tblDaily[TransfersIn],tblDaily[EntryDate],DATE(2026,5,13),tblDaily[WardCode],"FW")=0,"",SUMIFS(tblDaily[TransfersIn],tblDaily[EntryDate],DATE(2026,5,13),tblDaily[WardCode],"FW")),"")</f>
        <v/>
      </c>
      <c r="G175" s="5" t="str">
        <f>IFERROR(IF(SUMIFS(tblDaily[TransfersOut],tblDaily[EntryDate],DATE(2026,5,13),tblDaily[WardCode],"FW")=0,"",SUMIFS(tblDaily[TransfersOut],tblDaily[EntryDate],DATE(2026,5,13),tblDaily[WardCode],"FW")),"")</f>
        <v/>
      </c>
      <c r="H175" s="5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IFERROR(IF(SUMIFS(tblDaily[Admissions],tblDaily[EntryDate],DATE(2026,5,14),tblDaily[WardCode],"FW")=0,"",SUMIFS(tblDaily[Admissions],tblDaily[EntryDate],DATE(2026,5,14),tblDaily[WardCode],"FW")),"")</f>
        <v/>
      </c>
      <c r="C176" s="5" t="str">
        <f>IFERROR(IF(SUMIFS(tblDaily[Discharges],tblDaily[EntryDate],DATE(2026,5,14),tblDaily[WardCode],"FW")=0,"",SUMIFS(tblDaily[Discharges],tblDaily[EntryDate],DATE(2026,5,14),tblDaily[WardCode],"FW")),"")</f>
        <v/>
      </c>
      <c r="D176" s="5" t="str">
        <f>IFERROR(IF(SUMIFS(tblDaily[Deaths],tblDaily[EntryDate],DATE(2026,5,14),tblDaily[WardCode],"FW")=0,"",SUMIFS(tblDaily[Deaths],tblDaily[EntryDate],DATE(2026,5,14),tblDaily[WardCode],"FW")),"")</f>
        <v/>
      </c>
      <c r="E176" s="5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5" t="str">
        <f>IFERROR(IF(SUMIFS(tblDaily[TransfersIn],tblDaily[EntryDate],DATE(2026,5,14),tblDaily[WardCode],"FW")=0,"",SUMIFS(tblDaily[TransfersIn],tblDaily[EntryDate],DATE(2026,5,14),tblDaily[WardCode],"FW")),"")</f>
        <v/>
      </c>
      <c r="G176" s="5" t="str">
        <f>IFERROR(IF(SUMIFS(tblDaily[TransfersOut],tblDaily[EntryDate],DATE(2026,5,14),tblDaily[WardCode],"FW")=0,"",SUMIFS(tblDaily[TransfersOut],tblDaily[EntryDate],DATE(2026,5,14),tblDaily[WardCode],"FW")),"")</f>
        <v/>
      </c>
      <c r="H176" s="5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IFERROR(IF(SUMIFS(tblDaily[Admissions],tblDaily[EntryDate],DATE(2026,5,15),tblDaily[WardCode],"FW")=0,"",SUMIFS(tblDaily[Admissions],tblDaily[EntryDate],DATE(2026,5,15),tblDaily[WardCode],"FW")),"")</f>
        <v/>
      </c>
      <c r="C177" s="5" t="str">
        <f>IFERROR(IF(SUMIFS(tblDaily[Discharges],tblDaily[EntryDate],DATE(2026,5,15),tblDaily[WardCode],"FW")=0,"",SUMIFS(tblDaily[Discharges],tblDaily[EntryDate],DATE(2026,5,15),tblDaily[WardCode],"FW")),"")</f>
        <v/>
      </c>
      <c r="D177" s="5" t="str">
        <f>IFERROR(IF(SUMIFS(tblDaily[Deaths],tblDaily[EntryDate],DATE(2026,5,15),tblDaily[WardCode],"FW")=0,"",SUMIFS(tblDaily[Deaths],tblDaily[EntryDate],DATE(2026,5,15),tblDaily[WardCode],"FW")),"")</f>
        <v/>
      </c>
      <c r="E177" s="5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5" t="str">
        <f>IFERROR(IF(SUMIFS(tblDaily[TransfersIn],tblDaily[EntryDate],DATE(2026,5,15),tblDaily[WardCode],"FW")=0,"",SUMIFS(tblDaily[TransfersIn],tblDaily[EntryDate],DATE(2026,5,15),tblDaily[WardCode],"FW")),"")</f>
        <v/>
      </c>
      <c r="G177" s="5" t="str">
        <f>IFERROR(IF(SUMIFS(tblDaily[TransfersOut],tblDaily[EntryDate],DATE(2026,5,15),tblDaily[WardCode],"FW")=0,"",SUMIFS(tblDaily[TransfersOut],tblDaily[EntryDate],DATE(2026,5,15),tblDaily[WardCode],"FW")),"")</f>
        <v/>
      </c>
      <c r="H177" s="5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IFERROR(IF(SUMIFS(tblDaily[Admissions],tblDaily[EntryDate],DATE(2026,5,16),tblDaily[WardCode],"FW")=0,"",SUMIFS(tblDaily[Admissions],tblDaily[EntryDate],DATE(2026,5,16),tblDaily[WardCode],"FW")),"")</f>
        <v/>
      </c>
      <c r="C178" s="5" t="str">
        <f>IFERROR(IF(SUMIFS(tblDaily[Discharges],tblDaily[EntryDate],DATE(2026,5,16),tblDaily[WardCode],"FW")=0,"",SUMIFS(tblDaily[Discharges],tblDaily[EntryDate],DATE(2026,5,16),tblDaily[WardCode],"FW")),"")</f>
        <v/>
      </c>
      <c r="D178" s="5" t="str">
        <f>IFERROR(IF(SUMIFS(tblDaily[Deaths],tblDaily[EntryDate],DATE(2026,5,16),tblDaily[WardCode],"FW")=0,"",SUMIFS(tblDaily[Deaths],tblDaily[EntryDate],DATE(2026,5,16),tblDaily[WardCode],"FW")),"")</f>
        <v/>
      </c>
      <c r="E178" s="5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5" t="str">
        <f>IFERROR(IF(SUMIFS(tblDaily[TransfersIn],tblDaily[EntryDate],DATE(2026,5,16),tblDaily[WardCode],"FW")=0,"",SUMIFS(tblDaily[TransfersIn],tblDaily[EntryDate],DATE(2026,5,16),tblDaily[WardCode],"FW")),"")</f>
        <v/>
      </c>
      <c r="G178" s="5" t="str">
        <f>IFERROR(IF(SUMIFS(tblDaily[TransfersOut],tblDaily[EntryDate],DATE(2026,5,16),tblDaily[WardCode],"FW")=0,"",SUMIFS(tblDaily[TransfersOut],tblDaily[EntryDate],DATE(2026,5,16),tblDaily[WardCode],"FW")),"")</f>
        <v/>
      </c>
      <c r="H178" s="5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IFERROR(IF(SUMIFS(tblDaily[Admissions],tblDaily[EntryDate],DATE(2026,5,17),tblDaily[WardCode],"FW")=0,"",SUMIFS(tblDaily[Admissions],tblDaily[EntryDate],DATE(2026,5,17),tblDaily[WardCode],"FW")),"")</f>
        <v/>
      </c>
      <c r="C179" s="5" t="str">
        <f>IFERROR(IF(SUMIFS(tblDaily[Discharges],tblDaily[EntryDate],DATE(2026,5,17),tblDaily[WardCode],"FW")=0,"",SUMIFS(tblDaily[Discharges],tblDaily[EntryDate],DATE(2026,5,17),tblDaily[WardCode],"FW")),"")</f>
        <v/>
      </c>
      <c r="D179" s="5" t="str">
        <f>IFERROR(IF(SUMIFS(tblDaily[Deaths],tblDaily[EntryDate],DATE(2026,5,17),tblDaily[WardCode],"FW")=0,"",SUMIFS(tblDaily[Deaths],tblDaily[EntryDate],DATE(2026,5,17),tblDaily[WardCode],"FW")),"")</f>
        <v/>
      </c>
      <c r="E179" s="5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5" t="str">
        <f>IFERROR(IF(SUMIFS(tblDaily[TransfersIn],tblDaily[EntryDate],DATE(2026,5,17),tblDaily[WardCode],"FW")=0,"",SUMIFS(tblDaily[TransfersIn],tblDaily[EntryDate],DATE(2026,5,17),tblDaily[WardCode],"FW")),"")</f>
        <v/>
      </c>
      <c r="G179" s="5" t="str">
        <f>IFERROR(IF(SUMIFS(tblDaily[TransfersOut],tblDaily[EntryDate],DATE(2026,5,17),tblDaily[WardCode],"FW")=0,"",SUMIFS(tblDaily[TransfersOut],tblDaily[EntryDate],DATE(2026,5,17),tblDaily[WardCode],"FW")),"")</f>
        <v/>
      </c>
      <c r="H179" s="5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IFERROR(IF(SUMIFS(tblDaily[Admissions],tblDaily[EntryDate],DATE(2026,5,18),tblDaily[WardCode],"FW")=0,"",SUMIFS(tblDaily[Admissions],tblDaily[EntryDate],DATE(2026,5,18),tblDaily[WardCode],"FW")),"")</f>
        <v/>
      </c>
      <c r="C180" s="5" t="str">
        <f>IFERROR(IF(SUMIFS(tblDaily[Discharges],tblDaily[EntryDate],DATE(2026,5,18),tblDaily[WardCode],"FW")=0,"",SUMIFS(tblDaily[Discharges],tblDaily[EntryDate],DATE(2026,5,18),tblDaily[WardCode],"FW")),"")</f>
        <v/>
      </c>
      <c r="D180" s="5" t="str">
        <f>IFERROR(IF(SUMIFS(tblDaily[Deaths],tblDaily[EntryDate],DATE(2026,5,18),tblDaily[WardCode],"FW")=0,"",SUMIFS(tblDaily[Deaths],tblDaily[EntryDate],DATE(2026,5,18),tblDaily[WardCode],"FW")),"")</f>
        <v/>
      </c>
      <c r="E180" s="5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5" t="str">
        <f>IFERROR(IF(SUMIFS(tblDaily[TransfersIn],tblDaily[EntryDate],DATE(2026,5,18),tblDaily[WardCode],"FW")=0,"",SUMIFS(tblDaily[TransfersIn],tblDaily[EntryDate],DATE(2026,5,18),tblDaily[WardCode],"FW")),"")</f>
        <v/>
      </c>
      <c r="G180" s="5" t="str">
        <f>IFERROR(IF(SUMIFS(tblDaily[TransfersOut],tblDaily[EntryDate],DATE(2026,5,18),tblDaily[WardCode],"FW")=0,"",SUMIFS(tblDaily[TransfersOut],tblDaily[EntryDate],DATE(2026,5,18),tblDaily[WardCode],"FW")),"")</f>
        <v/>
      </c>
      <c r="H180" s="5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IFERROR(IF(SUMIFS(tblDaily[Admissions],tblDaily[EntryDate],DATE(2026,5,19),tblDaily[WardCode],"FW")=0,"",SUMIFS(tblDaily[Admissions],tblDaily[EntryDate],DATE(2026,5,19),tblDaily[WardCode],"FW")),"")</f>
        <v/>
      </c>
      <c r="C181" s="5" t="str">
        <f>IFERROR(IF(SUMIFS(tblDaily[Discharges],tblDaily[EntryDate],DATE(2026,5,19),tblDaily[WardCode],"FW")=0,"",SUMIFS(tblDaily[Discharges],tblDaily[EntryDate],DATE(2026,5,19),tblDaily[WardCode],"FW")),"")</f>
        <v/>
      </c>
      <c r="D181" s="5" t="str">
        <f>IFERROR(IF(SUMIFS(tblDaily[Deaths],tblDaily[EntryDate],DATE(2026,5,19),tblDaily[WardCode],"FW")=0,"",SUMIFS(tblDaily[Deaths],tblDaily[EntryDate],DATE(2026,5,19),tblDaily[WardCode],"FW")),"")</f>
        <v/>
      </c>
      <c r="E181" s="5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5" t="str">
        <f>IFERROR(IF(SUMIFS(tblDaily[TransfersIn],tblDaily[EntryDate],DATE(2026,5,19),tblDaily[WardCode],"FW")=0,"",SUMIFS(tblDaily[TransfersIn],tblDaily[EntryDate],DATE(2026,5,19),tblDaily[WardCode],"FW")),"")</f>
        <v/>
      </c>
      <c r="G181" s="5" t="str">
        <f>IFERROR(IF(SUMIFS(tblDaily[TransfersOut],tblDaily[EntryDate],DATE(2026,5,19),tblDaily[WardCode],"FW")=0,"",SUMIFS(tblDaily[TransfersOut],tblDaily[EntryDate],DATE(2026,5,19),tblDaily[WardCode],"FW")),"")</f>
        <v/>
      </c>
      <c r="H181" s="5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IFERROR(IF(SUMIFS(tblDaily[Admissions],tblDaily[EntryDate],DATE(2026,5,20),tblDaily[WardCode],"FW")=0,"",SUMIFS(tblDaily[Admissions],tblDaily[EntryDate],DATE(2026,5,20),tblDaily[WardCode],"FW")),"")</f>
        <v/>
      </c>
      <c r="C182" s="5" t="str">
        <f>IFERROR(IF(SUMIFS(tblDaily[Discharges],tblDaily[EntryDate],DATE(2026,5,20),tblDaily[WardCode],"FW")=0,"",SUMIFS(tblDaily[Discharges],tblDaily[EntryDate],DATE(2026,5,20),tblDaily[WardCode],"FW")),"")</f>
        <v/>
      </c>
      <c r="D182" s="5" t="str">
        <f>IFERROR(IF(SUMIFS(tblDaily[Deaths],tblDaily[EntryDate],DATE(2026,5,20),tblDaily[WardCode],"FW")=0,"",SUMIFS(tblDaily[Deaths],tblDaily[EntryDate],DATE(2026,5,20),tblDaily[WardCode],"FW")),"")</f>
        <v/>
      </c>
      <c r="E182" s="5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5" t="str">
        <f>IFERROR(IF(SUMIFS(tblDaily[TransfersIn],tblDaily[EntryDate],DATE(2026,5,20),tblDaily[WardCode],"FW")=0,"",SUMIFS(tblDaily[TransfersIn],tblDaily[EntryDate],DATE(2026,5,20),tblDaily[WardCode],"FW")),"")</f>
        <v/>
      </c>
      <c r="G182" s="5" t="str">
        <f>IFERROR(IF(SUMIFS(tblDaily[TransfersOut],tblDaily[EntryDate],DATE(2026,5,20),tblDaily[WardCode],"FW")=0,"",SUMIFS(tblDaily[TransfersOut],tblDaily[EntryDate],DATE(2026,5,20),tblDaily[WardCode],"FW")),"")</f>
        <v/>
      </c>
      <c r="H182" s="5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IFERROR(IF(SUMIFS(tblDaily[Admissions],tblDaily[EntryDate],DATE(2026,5,21),tblDaily[WardCode],"FW")=0,"",SUMIFS(tblDaily[Admissions],tblDaily[EntryDate],DATE(2026,5,21),tblDaily[WardCode],"FW")),"")</f>
        <v/>
      </c>
      <c r="C183" s="5" t="str">
        <f>IFERROR(IF(SUMIFS(tblDaily[Discharges],tblDaily[EntryDate],DATE(2026,5,21),tblDaily[WardCode],"FW")=0,"",SUMIFS(tblDaily[Discharges],tblDaily[EntryDate],DATE(2026,5,21),tblDaily[WardCode],"FW")),"")</f>
        <v/>
      </c>
      <c r="D183" s="5" t="str">
        <f>IFERROR(IF(SUMIFS(tblDaily[Deaths],tblDaily[EntryDate],DATE(2026,5,21),tblDaily[WardCode],"FW")=0,"",SUMIFS(tblDaily[Deaths],tblDaily[EntryDate],DATE(2026,5,21),tblDaily[WardCode],"FW")),"")</f>
        <v/>
      </c>
      <c r="E183" s="5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5" t="str">
        <f>IFERROR(IF(SUMIFS(tblDaily[TransfersIn],tblDaily[EntryDate],DATE(2026,5,21),tblDaily[WardCode],"FW")=0,"",SUMIFS(tblDaily[TransfersIn],tblDaily[EntryDate],DATE(2026,5,21),tblDaily[WardCode],"FW")),"")</f>
        <v/>
      </c>
      <c r="G183" s="5" t="str">
        <f>IFERROR(IF(SUMIFS(tblDaily[TransfersOut],tblDaily[EntryDate],DATE(2026,5,21),tblDaily[WardCode],"FW")=0,"",SUMIFS(tblDaily[TransfersOut],tblDaily[EntryDate],DATE(2026,5,21),tblDaily[WardCode],"FW")),"")</f>
        <v/>
      </c>
      <c r="H183" s="5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IFERROR(IF(SUMIFS(tblDaily[Admissions],tblDaily[EntryDate],DATE(2026,5,22),tblDaily[WardCode],"FW")=0,"",SUMIFS(tblDaily[Admissions],tblDaily[EntryDate],DATE(2026,5,22),tblDaily[WardCode],"FW")),"")</f>
        <v/>
      </c>
      <c r="C184" s="5" t="str">
        <f>IFERROR(IF(SUMIFS(tblDaily[Discharges],tblDaily[EntryDate],DATE(2026,5,22),tblDaily[WardCode],"FW")=0,"",SUMIFS(tblDaily[Discharges],tblDaily[EntryDate],DATE(2026,5,22),tblDaily[WardCode],"FW")),"")</f>
        <v/>
      </c>
      <c r="D184" s="5" t="str">
        <f>IFERROR(IF(SUMIFS(tblDaily[Deaths],tblDaily[EntryDate],DATE(2026,5,22),tblDaily[WardCode],"FW")=0,"",SUMIFS(tblDaily[Deaths],tblDaily[EntryDate],DATE(2026,5,22),tblDaily[WardCode],"FW")),"")</f>
        <v/>
      </c>
      <c r="E184" s="5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5" t="str">
        <f>IFERROR(IF(SUMIFS(tblDaily[TransfersIn],tblDaily[EntryDate],DATE(2026,5,22),tblDaily[WardCode],"FW")=0,"",SUMIFS(tblDaily[TransfersIn],tblDaily[EntryDate],DATE(2026,5,22),tblDaily[WardCode],"FW")),"")</f>
        <v/>
      </c>
      <c r="G184" s="5" t="str">
        <f>IFERROR(IF(SUMIFS(tblDaily[TransfersOut],tblDaily[EntryDate],DATE(2026,5,22),tblDaily[WardCode],"FW")=0,"",SUMIFS(tblDaily[TransfersOut],tblDaily[EntryDate],DATE(2026,5,22),tblDaily[WardCode],"FW")),"")</f>
        <v/>
      </c>
      <c r="H184" s="5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IFERROR(IF(SUMIFS(tblDaily[Admissions],tblDaily[EntryDate],DATE(2026,5,23),tblDaily[WardCode],"FW")=0,"",SUMIFS(tblDaily[Admissions],tblDaily[EntryDate],DATE(2026,5,23),tblDaily[WardCode],"FW")),"")</f>
        <v/>
      </c>
      <c r="C185" s="5" t="str">
        <f>IFERROR(IF(SUMIFS(tblDaily[Discharges],tblDaily[EntryDate],DATE(2026,5,23),tblDaily[WardCode],"FW")=0,"",SUMIFS(tblDaily[Discharges],tblDaily[EntryDate],DATE(2026,5,23),tblDaily[WardCode],"FW")),"")</f>
        <v/>
      </c>
      <c r="D185" s="5" t="str">
        <f>IFERROR(IF(SUMIFS(tblDaily[Deaths],tblDaily[EntryDate],DATE(2026,5,23),tblDaily[WardCode],"FW")=0,"",SUMIFS(tblDaily[Deaths],tblDaily[EntryDate],DATE(2026,5,23),tblDaily[WardCode],"FW")),"")</f>
        <v/>
      </c>
      <c r="E185" s="5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5" t="str">
        <f>IFERROR(IF(SUMIFS(tblDaily[TransfersIn],tblDaily[EntryDate],DATE(2026,5,23),tblDaily[WardCode],"FW")=0,"",SUMIFS(tblDaily[TransfersIn],tblDaily[EntryDate],DATE(2026,5,23),tblDaily[WardCode],"FW")),"")</f>
        <v/>
      </c>
      <c r="G185" s="5" t="str">
        <f>IFERROR(IF(SUMIFS(tblDaily[TransfersOut],tblDaily[EntryDate],DATE(2026,5,23),tblDaily[WardCode],"FW")=0,"",SUMIFS(tblDaily[TransfersOut],tblDaily[EntryDate],DATE(2026,5,23),tblDaily[WardCode],"FW")),"")</f>
        <v/>
      </c>
      <c r="H185" s="5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IFERROR(IF(SUMIFS(tblDaily[Admissions],tblDaily[EntryDate],DATE(2026,5,24),tblDaily[WardCode],"FW")=0,"",SUMIFS(tblDaily[Admissions],tblDaily[EntryDate],DATE(2026,5,24),tblDaily[WardCode],"FW")),"")</f>
        <v/>
      </c>
      <c r="C186" s="5" t="str">
        <f>IFERROR(IF(SUMIFS(tblDaily[Discharges],tblDaily[EntryDate],DATE(2026,5,24),tblDaily[WardCode],"FW")=0,"",SUMIFS(tblDaily[Discharges],tblDaily[EntryDate],DATE(2026,5,24),tblDaily[WardCode],"FW")),"")</f>
        <v/>
      </c>
      <c r="D186" s="5" t="str">
        <f>IFERROR(IF(SUMIFS(tblDaily[Deaths],tblDaily[EntryDate],DATE(2026,5,24),tblDaily[WardCode],"FW")=0,"",SUMIFS(tblDaily[Deaths],tblDaily[EntryDate],DATE(2026,5,24),tblDaily[WardCode],"FW")),"")</f>
        <v/>
      </c>
      <c r="E186" s="5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5" t="str">
        <f>IFERROR(IF(SUMIFS(tblDaily[TransfersIn],tblDaily[EntryDate],DATE(2026,5,24),tblDaily[WardCode],"FW")=0,"",SUMIFS(tblDaily[TransfersIn],tblDaily[EntryDate],DATE(2026,5,24),tblDaily[WardCode],"FW")),"")</f>
        <v/>
      </c>
      <c r="G186" s="5" t="str">
        <f>IFERROR(IF(SUMIFS(tblDaily[TransfersOut],tblDaily[EntryDate],DATE(2026,5,24),tblDaily[WardCode],"FW")=0,"",SUMIFS(tblDaily[TransfersOut],tblDaily[EntryDate],DATE(2026,5,24),tblDaily[WardCode],"FW")),"")</f>
        <v/>
      </c>
      <c r="H186" s="5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IFERROR(IF(SUMIFS(tblDaily[Admissions],tblDaily[EntryDate],DATE(2026,5,25),tblDaily[WardCode],"FW")=0,"",SUMIFS(tblDaily[Admissions],tblDaily[EntryDate],DATE(2026,5,25),tblDaily[WardCode],"FW")),"")</f>
        <v/>
      </c>
      <c r="C187" s="5" t="str">
        <f>IFERROR(IF(SUMIFS(tblDaily[Discharges],tblDaily[EntryDate],DATE(2026,5,25),tblDaily[WardCode],"FW")=0,"",SUMIFS(tblDaily[Discharges],tblDaily[EntryDate],DATE(2026,5,25),tblDaily[WardCode],"FW")),"")</f>
        <v/>
      </c>
      <c r="D187" s="5" t="str">
        <f>IFERROR(IF(SUMIFS(tblDaily[Deaths],tblDaily[EntryDate],DATE(2026,5,25),tblDaily[WardCode],"FW")=0,"",SUMIFS(tblDaily[Deaths],tblDaily[EntryDate],DATE(2026,5,25),tblDaily[WardCode],"FW")),"")</f>
        <v/>
      </c>
      <c r="E187" s="5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5" t="str">
        <f>IFERROR(IF(SUMIFS(tblDaily[TransfersIn],tblDaily[EntryDate],DATE(2026,5,25),tblDaily[WardCode],"FW")=0,"",SUMIFS(tblDaily[TransfersIn],tblDaily[EntryDate],DATE(2026,5,25),tblDaily[WardCode],"FW")),"")</f>
        <v/>
      </c>
      <c r="G187" s="5" t="str">
        <f>IFERROR(IF(SUMIFS(tblDaily[TransfersOut],tblDaily[EntryDate],DATE(2026,5,25),tblDaily[WardCode],"FW")=0,"",SUMIFS(tblDaily[TransfersOut],tblDaily[EntryDate],DATE(2026,5,25),tblDaily[WardCode],"FW")),"")</f>
        <v/>
      </c>
      <c r="H187" s="5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IFERROR(IF(SUMIFS(tblDaily[Admissions],tblDaily[EntryDate],DATE(2026,5,26),tblDaily[WardCode],"FW")=0,"",SUMIFS(tblDaily[Admissions],tblDaily[EntryDate],DATE(2026,5,26),tblDaily[WardCode],"FW")),"")</f>
        <v/>
      </c>
      <c r="C188" s="5" t="str">
        <f>IFERROR(IF(SUMIFS(tblDaily[Discharges],tblDaily[EntryDate],DATE(2026,5,26),tblDaily[WardCode],"FW")=0,"",SUMIFS(tblDaily[Discharges],tblDaily[EntryDate],DATE(2026,5,26),tblDaily[WardCode],"FW")),"")</f>
        <v/>
      </c>
      <c r="D188" s="5" t="str">
        <f>IFERROR(IF(SUMIFS(tblDaily[Deaths],tblDaily[EntryDate],DATE(2026,5,26),tblDaily[WardCode],"FW")=0,"",SUMIFS(tblDaily[Deaths],tblDaily[EntryDate],DATE(2026,5,26),tblDaily[WardCode],"FW")),"")</f>
        <v/>
      </c>
      <c r="E188" s="5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5" t="str">
        <f>IFERROR(IF(SUMIFS(tblDaily[TransfersIn],tblDaily[EntryDate],DATE(2026,5,26),tblDaily[WardCode],"FW")=0,"",SUMIFS(tblDaily[TransfersIn],tblDaily[EntryDate],DATE(2026,5,26),tblDaily[WardCode],"FW")),"")</f>
        <v/>
      </c>
      <c r="G188" s="5" t="str">
        <f>IFERROR(IF(SUMIFS(tblDaily[TransfersOut],tblDaily[EntryDate],DATE(2026,5,26),tblDaily[WardCode],"FW")=0,"",SUMIFS(tblDaily[TransfersOut],tblDaily[EntryDate],DATE(2026,5,26),tblDaily[WardCode],"FW")),"")</f>
        <v/>
      </c>
      <c r="H188" s="5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IFERROR(IF(SUMIFS(tblDaily[Admissions],tblDaily[EntryDate],DATE(2026,5,27),tblDaily[WardCode],"FW")=0,"",SUMIFS(tblDaily[Admissions],tblDaily[EntryDate],DATE(2026,5,27),tblDaily[WardCode],"FW")),"")</f>
        <v/>
      </c>
      <c r="C189" s="5" t="str">
        <f>IFERROR(IF(SUMIFS(tblDaily[Discharges],tblDaily[EntryDate],DATE(2026,5,27),tblDaily[WardCode],"FW")=0,"",SUMIFS(tblDaily[Discharges],tblDaily[EntryDate],DATE(2026,5,27),tblDaily[WardCode],"FW")),"")</f>
        <v/>
      </c>
      <c r="D189" s="5" t="str">
        <f>IFERROR(IF(SUMIFS(tblDaily[Deaths],tblDaily[EntryDate],DATE(2026,5,27),tblDaily[WardCode],"FW")=0,"",SUMIFS(tblDaily[Deaths],tblDaily[EntryDate],DATE(2026,5,27),tblDaily[WardCode],"FW")),"")</f>
        <v/>
      </c>
      <c r="E189" s="5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5" t="str">
        <f>IFERROR(IF(SUMIFS(tblDaily[TransfersIn],tblDaily[EntryDate],DATE(2026,5,27),tblDaily[WardCode],"FW")=0,"",SUMIFS(tblDaily[TransfersIn],tblDaily[EntryDate],DATE(2026,5,27),tblDaily[WardCode],"FW")),"")</f>
        <v/>
      </c>
      <c r="G189" s="5" t="str">
        <f>IFERROR(IF(SUMIFS(tblDaily[TransfersOut],tblDaily[EntryDate],DATE(2026,5,27),tblDaily[WardCode],"FW")=0,"",SUMIFS(tblDaily[TransfersOut],tblDaily[EntryDate],DATE(2026,5,27),tblDaily[WardCode],"FW")),"")</f>
        <v/>
      </c>
      <c r="H189" s="5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IFERROR(IF(SUMIFS(tblDaily[Admissions],tblDaily[EntryDate],DATE(2026,5,28),tblDaily[WardCode],"FW")=0,"",SUMIFS(tblDaily[Admissions],tblDaily[EntryDate],DATE(2026,5,28),tblDaily[WardCode],"FW")),"")</f>
        <v/>
      </c>
      <c r="C190" s="5" t="str">
        <f>IFERROR(IF(SUMIFS(tblDaily[Discharges],tblDaily[EntryDate],DATE(2026,5,28),tblDaily[WardCode],"FW")=0,"",SUMIFS(tblDaily[Discharges],tblDaily[EntryDate],DATE(2026,5,28),tblDaily[WardCode],"FW")),"")</f>
        <v/>
      </c>
      <c r="D190" s="5" t="str">
        <f>IFERROR(IF(SUMIFS(tblDaily[Deaths],tblDaily[EntryDate],DATE(2026,5,28),tblDaily[WardCode],"FW")=0,"",SUMIFS(tblDaily[Deaths],tblDaily[EntryDate],DATE(2026,5,28),tblDaily[WardCode],"FW")),"")</f>
        <v/>
      </c>
      <c r="E190" s="5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5" t="str">
        <f>IFERROR(IF(SUMIFS(tblDaily[TransfersIn],tblDaily[EntryDate],DATE(2026,5,28),tblDaily[WardCode],"FW")=0,"",SUMIFS(tblDaily[TransfersIn],tblDaily[EntryDate],DATE(2026,5,28),tblDaily[WardCode],"FW")),"")</f>
        <v/>
      </c>
      <c r="G190" s="5" t="str">
        <f>IFERROR(IF(SUMIFS(tblDaily[TransfersOut],tblDaily[EntryDate],DATE(2026,5,28),tblDaily[WardCode],"FW")=0,"",SUMIFS(tblDaily[TransfersOut],tblDaily[EntryDate],DATE(2026,5,28),tblDaily[WardCode],"FW")),"")</f>
        <v/>
      </c>
      <c r="H190" s="5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IFERROR(IF(SUMIFS(tblDaily[Admissions],tblDaily[EntryDate],DATE(2026,5,29),tblDaily[WardCode],"FW")=0,"",SUMIFS(tblDaily[Admissions],tblDaily[EntryDate],DATE(2026,5,29),tblDaily[WardCode],"FW")),"")</f>
        <v/>
      </c>
      <c r="C191" s="5" t="str">
        <f>IFERROR(IF(SUMIFS(tblDaily[Discharges],tblDaily[EntryDate],DATE(2026,5,29),tblDaily[WardCode],"FW")=0,"",SUMIFS(tblDaily[Discharges],tblDaily[EntryDate],DATE(2026,5,29),tblDaily[WardCode],"FW")),"")</f>
        <v/>
      </c>
      <c r="D191" s="5" t="str">
        <f>IFERROR(IF(SUMIFS(tblDaily[Deaths],tblDaily[EntryDate],DATE(2026,5,29),tblDaily[WardCode],"FW")=0,"",SUMIFS(tblDaily[Deaths],tblDaily[EntryDate],DATE(2026,5,29),tblDaily[WardCode],"FW")),"")</f>
        <v/>
      </c>
      <c r="E191" s="5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5" t="str">
        <f>IFERROR(IF(SUMIFS(tblDaily[TransfersIn],tblDaily[EntryDate],DATE(2026,5,29),tblDaily[WardCode],"FW")=0,"",SUMIFS(tblDaily[TransfersIn],tblDaily[EntryDate],DATE(2026,5,29),tblDaily[WardCode],"FW")),"")</f>
        <v/>
      </c>
      <c r="G191" s="5" t="str">
        <f>IFERROR(IF(SUMIFS(tblDaily[TransfersOut],tblDaily[EntryDate],DATE(2026,5,29),tblDaily[WardCode],"FW")=0,"",SUMIFS(tblDaily[TransfersOut],tblDaily[EntryDate],DATE(2026,5,29),tblDaily[WardCode],"FW")),"")</f>
        <v/>
      </c>
      <c r="H191" s="5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IFERROR(IF(SUMIFS(tblDaily[Admissions],tblDaily[EntryDate],DATE(2026,5,30),tblDaily[WardCode],"FW")=0,"",SUMIFS(tblDaily[Admissions],tblDaily[EntryDate],DATE(2026,5,30),tblDaily[WardCode],"FW")),"")</f>
        <v/>
      </c>
      <c r="C192" s="5" t="str">
        <f>IFERROR(IF(SUMIFS(tblDaily[Discharges],tblDaily[EntryDate],DATE(2026,5,30),tblDaily[WardCode],"FW")=0,"",SUMIFS(tblDaily[Discharges],tblDaily[EntryDate],DATE(2026,5,30),tblDaily[WardCode],"FW")),"")</f>
        <v/>
      </c>
      <c r="D192" s="5" t="str">
        <f>IFERROR(IF(SUMIFS(tblDaily[Deaths],tblDaily[EntryDate],DATE(2026,5,30),tblDaily[WardCode],"FW")=0,"",SUMIFS(tblDaily[Deaths],tblDaily[EntryDate],DATE(2026,5,30),tblDaily[WardCode],"FW")),"")</f>
        <v/>
      </c>
      <c r="E192" s="5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5" t="str">
        <f>IFERROR(IF(SUMIFS(tblDaily[TransfersIn],tblDaily[EntryDate],DATE(2026,5,30),tblDaily[WardCode],"FW")=0,"",SUMIFS(tblDaily[TransfersIn],tblDaily[EntryDate],DATE(2026,5,30),tblDaily[WardCode],"FW")),"")</f>
        <v/>
      </c>
      <c r="G192" s="5" t="str">
        <f>IFERROR(IF(SUMIFS(tblDaily[TransfersOut],tblDaily[EntryDate],DATE(2026,5,30),tblDaily[WardCode],"FW")=0,"",SUMIFS(tblDaily[TransfersOut],tblDaily[EntryDate],DATE(2026,5,30),tblDaily[WardCode],"FW")),"")</f>
        <v/>
      </c>
      <c r="H192" s="5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IFERROR(IF(SUMIFS(tblDaily[Admissions],tblDaily[EntryDate],DATE(2026,5,31),tblDaily[WardCode],"FW")=0,"",SUMIFS(tblDaily[Admissions],tblDaily[EntryDate],DATE(2026,5,31),tblDaily[WardCode],"FW")),"")</f>
        <v/>
      </c>
      <c r="C193" s="5" t="str">
        <f>IFERROR(IF(SUMIFS(tblDaily[Discharges],tblDaily[EntryDate],DATE(2026,5,31),tblDaily[WardCode],"FW")=0,"",SUMIFS(tblDaily[Discharges],tblDaily[EntryDate],DATE(2026,5,31),tblDaily[WardCode],"FW")),"")</f>
        <v/>
      </c>
      <c r="D193" s="5" t="str">
        <f>IFERROR(IF(SUMIFS(tblDaily[Deaths],tblDaily[EntryDate],DATE(2026,5,31),tblDaily[WardCode],"FW")=0,"",SUMIFS(tblDaily[Deaths],tblDaily[EntryDate],DATE(2026,5,31),tblDaily[WardCode],"FW")),"")</f>
        <v/>
      </c>
      <c r="E193" s="5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5" t="str">
        <f>IFERROR(IF(SUMIFS(tblDaily[TransfersIn],tblDaily[EntryDate],DATE(2026,5,31),tblDaily[WardCode],"FW")=0,"",SUMIFS(tblDaily[TransfersIn],tblDaily[EntryDate],DATE(2026,5,31),tblDaily[WardCode],"FW")),"")</f>
        <v/>
      </c>
      <c r="G193" s="5" t="str">
        <f>IFERROR(IF(SUMIFS(tblDaily[TransfersOut],tblDaily[EntryDate],DATE(2026,5,31),tblDaily[WardCode],"FW")=0,"",SUMIFS(tblDaily[TransfersOut],tblDaily[EntryDate],DATE(2026,5,31),tblDaily[WardCode],"FW")),"")</f>
        <v/>
      </c>
      <c r="H193" s="5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95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96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89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IFERROR(IF(SUMIFS(tblDaily[Admissions],tblDaily[EntryDate],DATE(2026,6,1),tblDaily[WardCode],"FW")=0,"",SUMIFS(tblDaily[Admissions],tblDaily[EntryDate],DATE(2026,6,1),tblDaily[WardCode],"FW")),"")</f>
        <v/>
      </c>
      <c r="C202" s="5" t="str">
        <f>IFERROR(IF(SUMIFS(tblDaily[Discharges],tblDaily[EntryDate],DATE(2026,6,1),tblDaily[WardCode],"FW")=0,"",SUMIFS(tblDaily[Discharges],tblDaily[EntryDate],DATE(2026,6,1),tblDaily[WardCode],"FW")),"")</f>
        <v/>
      </c>
      <c r="D202" s="5" t="str">
        <f>IFERROR(IF(SUMIFS(tblDaily[Deaths],tblDaily[EntryDate],DATE(2026,6,1),tblDaily[WardCode],"FW")=0,"",SUMIFS(tblDaily[Deaths],tblDaily[EntryDate],DATE(2026,6,1),tblDaily[WardCode],"FW")),"")</f>
        <v/>
      </c>
      <c r="E202" s="5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5" t="str">
        <f>IFERROR(IF(SUMIFS(tblDaily[TransfersIn],tblDaily[EntryDate],DATE(2026,6,1),tblDaily[WardCode],"FW")=0,"",SUMIFS(tblDaily[TransfersIn],tblDaily[EntryDate],DATE(2026,6,1),tblDaily[WardCode],"FW")),"")</f>
        <v/>
      </c>
      <c r="G202" s="5" t="str">
        <f>IFERROR(IF(SUMIFS(tblDaily[TransfersOut],tblDaily[EntryDate],DATE(2026,6,1),tblDaily[WardCode],"FW")=0,"",SUMIFS(tblDaily[TransfersOut],tblDaily[EntryDate],DATE(2026,6,1),tblDaily[WardCode],"FW")),"")</f>
        <v/>
      </c>
      <c r="H202" s="5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IFERROR(IF(SUMIFS(tblDaily[Admissions],tblDaily[EntryDate],DATE(2026,6,2),tblDaily[WardCode],"FW")=0,"",SUMIFS(tblDaily[Admissions],tblDaily[EntryDate],DATE(2026,6,2),tblDaily[WardCode],"FW")),"")</f>
        <v/>
      </c>
      <c r="C203" s="5" t="str">
        <f>IFERROR(IF(SUMIFS(tblDaily[Discharges],tblDaily[EntryDate],DATE(2026,6,2),tblDaily[WardCode],"FW")=0,"",SUMIFS(tblDaily[Discharges],tblDaily[EntryDate],DATE(2026,6,2),tblDaily[WardCode],"FW")),"")</f>
        <v/>
      </c>
      <c r="D203" s="5" t="str">
        <f>IFERROR(IF(SUMIFS(tblDaily[Deaths],tblDaily[EntryDate],DATE(2026,6,2),tblDaily[WardCode],"FW")=0,"",SUMIFS(tblDaily[Deaths],tblDaily[EntryDate],DATE(2026,6,2),tblDaily[WardCode],"FW")),"")</f>
        <v/>
      </c>
      <c r="E203" s="5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5" t="str">
        <f>IFERROR(IF(SUMIFS(tblDaily[TransfersIn],tblDaily[EntryDate],DATE(2026,6,2),tblDaily[WardCode],"FW")=0,"",SUMIFS(tblDaily[TransfersIn],tblDaily[EntryDate],DATE(2026,6,2),tblDaily[WardCode],"FW")),"")</f>
        <v/>
      </c>
      <c r="G203" s="5" t="str">
        <f>IFERROR(IF(SUMIFS(tblDaily[TransfersOut],tblDaily[EntryDate],DATE(2026,6,2),tblDaily[WardCode],"FW")=0,"",SUMIFS(tblDaily[TransfersOut],tblDaily[EntryDate],DATE(2026,6,2),tblDaily[WardCode],"FW")),"")</f>
        <v/>
      </c>
      <c r="H203" s="5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IFERROR(IF(SUMIFS(tblDaily[Admissions],tblDaily[EntryDate],DATE(2026,6,3),tblDaily[WardCode],"FW")=0,"",SUMIFS(tblDaily[Admissions],tblDaily[EntryDate],DATE(2026,6,3),tblDaily[WardCode],"FW")),"")</f>
        <v/>
      </c>
      <c r="C204" s="5" t="str">
        <f>IFERROR(IF(SUMIFS(tblDaily[Discharges],tblDaily[EntryDate],DATE(2026,6,3),tblDaily[WardCode],"FW")=0,"",SUMIFS(tblDaily[Discharges],tblDaily[EntryDate],DATE(2026,6,3),tblDaily[WardCode],"FW")),"")</f>
        <v/>
      </c>
      <c r="D204" s="5" t="str">
        <f>IFERROR(IF(SUMIFS(tblDaily[Deaths],tblDaily[EntryDate],DATE(2026,6,3),tblDaily[WardCode],"FW")=0,"",SUMIFS(tblDaily[Deaths],tblDaily[EntryDate],DATE(2026,6,3),tblDaily[WardCode],"FW")),"")</f>
        <v/>
      </c>
      <c r="E204" s="5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5" t="str">
        <f>IFERROR(IF(SUMIFS(tblDaily[TransfersIn],tblDaily[EntryDate],DATE(2026,6,3),tblDaily[WardCode],"FW")=0,"",SUMIFS(tblDaily[TransfersIn],tblDaily[EntryDate],DATE(2026,6,3),tblDaily[WardCode],"FW")),"")</f>
        <v/>
      </c>
      <c r="G204" s="5" t="str">
        <f>IFERROR(IF(SUMIFS(tblDaily[TransfersOut],tblDaily[EntryDate],DATE(2026,6,3),tblDaily[WardCode],"FW")=0,"",SUMIFS(tblDaily[TransfersOut],tblDaily[EntryDate],DATE(2026,6,3),tblDaily[WardCode],"FW")),"")</f>
        <v/>
      </c>
      <c r="H204" s="5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IFERROR(IF(SUMIFS(tblDaily[Admissions],tblDaily[EntryDate],DATE(2026,6,4),tblDaily[WardCode],"FW")=0,"",SUMIFS(tblDaily[Admissions],tblDaily[EntryDate],DATE(2026,6,4),tblDaily[WardCode],"FW")),"")</f>
        <v/>
      </c>
      <c r="C205" s="5" t="str">
        <f>IFERROR(IF(SUMIFS(tblDaily[Discharges],tblDaily[EntryDate],DATE(2026,6,4),tblDaily[WardCode],"FW")=0,"",SUMIFS(tblDaily[Discharges],tblDaily[EntryDate],DATE(2026,6,4),tblDaily[WardCode],"FW")),"")</f>
        <v/>
      </c>
      <c r="D205" s="5" t="str">
        <f>IFERROR(IF(SUMIFS(tblDaily[Deaths],tblDaily[EntryDate],DATE(2026,6,4),tblDaily[WardCode],"FW")=0,"",SUMIFS(tblDaily[Deaths],tblDaily[EntryDate],DATE(2026,6,4),tblDaily[WardCode],"FW")),"")</f>
        <v/>
      </c>
      <c r="E205" s="5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5" t="str">
        <f>IFERROR(IF(SUMIFS(tblDaily[TransfersIn],tblDaily[EntryDate],DATE(2026,6,4),tblDaily[WardCode],"FW")=0,"",SUMIFS(tblDaily[TransfersIn],tblDaily[EntryDate],DATE(2026,6,4),tblDaily[WardCode],"FW")),"")</f>
        <v/>
      </c>
      <c r="G205" s="5" t="str">
        <f>IFERROR(IF(SUMIFS(tblDaily[TransfersOut],tblDaily[EntryDate],DATE(2026,6,4),tblDaily[WardCode],"FW")=0,"",SUMIFS(tblDaily[TransfersOut],tblDaily[EntryDate],DATE(2026,6,4),tblDaily[WardCode],"FW")),"")</f>
        <v/>
      </c>
      <c r="H205" s="5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IFERROR(IF(SUMIFS(tblDaily[Admissions],tblDaily[EntryDate],DATE(2026,6,5),tblDaily[WardCode],"FW")=0,"",SUMIFS(tblDaily[Admissions],tblDaily[EntryDate],DATE(2026,6,5),tblDaily[WardCode],"FW")),"")</f>
        <v/>
      </c>
      <c r="C206" s="5" t="str">
        <f>IFERROR(IF(SUMIFS(tblDaily[Discharges],tblDaily[EntryDate],DATE(2026,6,5),tblDaily[WardCode],"FW")=0,"",SUMIFS(tblDaily[Discharges],tblDaily[EntryDate],DATE(2026,6,5),tblDaily[WardCode],"FW")),"")</f>
        <v/>
      </c>
      <c r="D206" s="5" t="str">
        <f>IFERROR(IF(SUMIFS(tblDaily[Deaths],tblDaily[EntryDate],DATE(2026,6,5),tblDaily[WardCode],"FW")=0,"",SUMIFS(tblDaily[Deaths],tblDaily[EntryDate],DATE(2026,6,5),tblDaily[WardCode],"FW")),"")</f>
        <v/>
      </c>
      <c r="E206" s="5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5" t="str">
        <f>IFERROR(IF(SUMIFS(tblDaily[TransfersIn],tblDaily[EntryDate],DATE(2026,6,5),tblDaily[WardCode],"FW")=0,"",SUMIFS(tblDaily[TransfersIn],tblDaily[EntryDate],DATE(2026,6,5),tblDaily[WardCode],"FW")),"")</f>
        <v/>
      </c>
      <c r="G206" s="5" t="str">
        <f>IFERROR(IF(SUMIFS(tblDaily[TransfersOut],tblDaily[EntryDate],DATE(2026,6,5),tblDaily[WardCode],"FW")=0,"",SUMIFS(tblDaily[TransfersOut],tblDaily[EntryDate],DATE(2026,6,5),tblDaily[WardCode],"FW")),"")</f>
        <v/>
      </c>
      <c r="H206" s="5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IFERROR(IF(SUMIFS(tblDaily[Admissions],tblDaily[EntryDate],DATE(2026,6,6),tblDaily[WardCode],"FW")=0,"",SUMIFS(tblDaily[Admissions],tblDaily[EntryDate],DATE(2026,6,6),tblDaily[WardCode],"FW")),"")</f>
        <v/>
      </c>
      <c r="C207" s="5" t="str">
        <f>IFERROR(IF(SUMIFS(tblDaily[Discharges],tblDaily[EntryDate],DATE(2026,6,6),tblDaily[WardCode],"FW")=0,"",SUMIFS(tblDaily[Discharges],tblDaily[EntryDate],DATE(2026,6,6),tblDaily[WardCode],"FW")),"")</f>
        <v/>
      </c>
      <c r="D207" s="5" t="str">
        <f>IFERROR(IF(SUMIFS(tblDaily[Deaths],tblDaily[EntryDate],DATE(2026,6,6),tblDaily[WardCode],"FW")=0,"",SUMIFS(tblDaily[Deaths],tblDaily[EntryDate],DATE(2026,6,6),tblDaily[WardCode],"FW")),"")</f>
        <v/>
      </c>
      <c r="E207" s="5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5" t="str">
        <f>IFERROR(IF(SUMIFS(tblDaily[TransfersIn],tblDaily[EntryDate],DATE(2026,6,6),tblDaily[WardCode],"FW")=0,"",SUMIFS(tblDaily[TransfersIn],tblDaily[EntryDate],DATE(2026,6,6),tblDaily[WardCode],"FW")),"")</f>
        <v/>
      </c>
      <c r="G207" s="5" t="str">
        <f>IFERROR(IF(SUMIFS(tblDaily[TransfersOut],tblDaily[EntryDate],DATE(2026,6,6),tblDaily[WardCode],"FW")=0,"",SUMIFS(tblDaily[TransfersOut],tblDaily[EntryDate],DATE(2026,6,6),tblDaily[WardCode],"FW")),"")</f>
        <v/>
      </c>
      <c r="H207" s="5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IFERROR(IF(SUMIFS(tblDaily[Admissions],tblDaily[EntryDate],DATE(2026,6,7),tblDaily[WardCode],"FW")=0,"",SUMIFS(tblDaily[Admissions],tblDaily[EntryDate],DATE(2026,6,7),tblDaily[WardCode],"FW")),"")</f>
        <v/>
      </c>
      <c r="C208" s="5" t="str">
        <f>IFERROR(IF(SUMIFS(tblDaily[Discharges],tblDaily[EntryDate],DATE(2026,6,7),tblDaily[WardCode],"FW")=0,"",SUMIFS(tblDaily[Discharges],tblDaily[EntryDate],DATE(2026,6,7),tblDaily[WardCode],"FW")),"")</f>
        <v/>
      </c>
      <c r="D208" s="5" t="str">
        <f>IFERROR(IF(SUMIFS(tblDaily[Deaths],tblDaily[EntryDate],DATE(2026,6,7),tblDaily[WardCode],"FW")=0,"",SUMIFS(tblDaily[Deaths],tblDaily[EntryDate],DATE(2026,6,7),tblDaily[WardCode],"FW")),"")</f>
        <v/>
      </c>
      <c r="E208" s="5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5" t="str">
        <f>IFERROR(IF(SUMIFS(tblDaily[TransfersIn],tblDaily[EntryDate],DATE(2026,6,7),tblDaily[WardCode],"FW")=0,"",SUMIFS(tblDaily[TransfersIn],tblDaily[EntryDate],DATE(2026,6,7),tblDaily[WardCode],"FW")),"")</f>
        <v/>
      </c>
      <c r="G208" s="5" t="str">
        <f>IFERROR(IF(SUMIFS(tblDaily[TransfersOut],tblDaily[EntryDate],DATE(2026,6,7),tblDaily[WardCode],"FW")=0,"",SUMIFS(tblDaily[TransfersOut],tblDaily[EntryDate],DATE(2026,6,7),tblDaily[WardCode],"FW")),"")</f>
        <v/>
      </c>
      <c r="H208" s="5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IFERROR(IF(SUMIFS(tblDaily[Admissions],tblDaily[EntryDate],DATE(2026,6,8),tblDaily[WardCode],"FW")=0,"",SUMIFS(tblDaily[Admissions],tblDaily[EntryDate],DATE(2026,6,8),tblDaily[WardCode],"FW")),"")</f>
        <v/>
      </c>
      <c r="C209" s="5" t="str">
        <f>IFERROR(IF(SUMIFS(tblDaily[Discharges],tblDaily[EntryDate],DATE(2026,6,8),tblDaily[WardCode],"FW")=0,"",SUMIFS(tblDaily[Discharges],tblDaily[EntryDate],DATE(2026,6,8),tblDaily[WardCode],"FW")),"")</f>
        <v/>
      </c>
      <c r="D209" s="5" t="str">
        <f>IFERROR(IF(SUMIFS(tblDaily[Deaths],tblDaily[EntryDate],DATE(2026,6,8),tblDaily[WardCode],"FW")=0,"",SUMIFS(tblDaily[Deaths],tblDaily[EntryDate],DATE(2026,6,8),tblDaily[WardCode],"FW")),"")</f>
        <v/>
      </c>
      <c r="E209" s="5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5" t="str">
        <f>IFERROR(IF(SUMIFS(tblDaily[TransfersIn],tblDaily[EntryDate],DATE(2026,6,8),tblDaily[WardCode],"FW")=0,"",SUMIFS(tblDaily[TransfersIn],tblDaily[EntryDate],DATE(2026,6,8),tblDaily[WardCode],"FW")),"")</f>
        <v/>
      </c>
      <c r="G209" s="5" t="str">
        <f>IFERROR(IF(SUMIFS(tblDaily[TransfersOut],tblDaily[EntryDate],DATE(2026,6,8),tblDaily[WardCode],"FW")=0,"",SUMIFS(tblDaily[TransfersOut],tblDaily[EntryDate],DATE(2026,6,8),tblDaily[WardCode],"FW")),"")</f>
        <v/>
      </c>
      <c r="H209" s="5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IFERROR(IF(SUMIFS(tblDaily[Admissions],tblDaily[EntryDate],DATE(2026,6,9),tblDaily[WardCode],"FW")=0,"",SUMIFS(tblDaily[Admissions],tblDaily[EntryDate],DATE(2026,6,9),tblDaily[WardCode],"FW")),"")</f>
        <v/>
      </c>
      <c r="C210" s="5" t="str">
        <f>IFERROR(IF(SUMIFS(tblDaily[Discharges],tblDaily[EntryDate],DATE(2026,6,9),tblDaily[WardCode],"FW")=0,"",SUMIFS(tblDaily[Discharges],tblDaily[EntryDate],DATE(2026,6,9),tblDaily[WardCode],"FW")),"")</f>
        <v/>
      </c>
      <c r="D210" s="5" t="str">
        <f>IFERROR(IF(SUMIFS(tblDaily[Deaths],tblDaily[EntryDate],DATE(2026,6,9),tblDaily[WardCode],"FW")=0,"",SUMIFS(tblDaily[Deaths],tblDaily[EntryDate],DATE(2026,6,9),tblDaily[WardCode],"FW")),"")</f>
        <v/>
      </c>
      <c r="E210" s="5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5" t="str">
        <f>IFERROR(IF(SUMIFS(tblDaily[TransfersIn],tblDaily[EntryDate],DATE(2026,6,9),tblDaily[WardCode],"FW")=0,"",SUMIFS(tblDaily[TransfersIn],tblDaily[EntryDate],DATE(2026,6,9),tblDaily[WardCode],"FW")),"")</f>
        <v/>
      </c>
      <c r="G210" s="5" t="str">
        <f>IFERROR(IF(SUMIFS(tblDaily[TransfersOut],tblDaily[EntryDate],DATE(2026,6,9),tblDaily[WardCode],"FW")=0,"",SUMIFS(tblDaily[TransfersOut],tblDaily[EntryDate],DATE(2026,6,9),tblDaily[WardCode],"FW")),"")</f>
        <v/>
      </c>
      <c r="H210" s="5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IFERROR(IF(SUMIFS(tblDaily[Admissions],tblDaily[EntryDate],DATE(2026,6,10),tblDaily[WardCode],"FW")=0,"",SUMIFS(tblDaily[Admissions],tblDaily[EntryDate],DATE(2026,6,10),tblDaily[WardCode],"FW")),"")</f>
        <v/>
      </c>
      <c r="C211" s="5" t="str">
        <f>IFERROR(IF(SUMIFS(tblDaily[Discharges],tblDaily[EntryDate],DATE(2026,6,10),tblDaily[WardCode],"FW")=0,"",SUMIFS(tblDaily[Discharges],tblDaily[EntryDate],DATE(2026,6,10),tblDaily[WardCode],"FW")),"")</f>
        <v/>
      </c>
      <c r="D211" s="5" t="str">
        <f>IFERROR(IF(SUMIFS(tblDaily[Deaths],tblDaily[EntryDate],DATE(2026,6,10),tblDaily[WardCode],"FW")=0,"",SUMIFS(tblDaily[Deaths],tblDaily[EntryDate],DATE(2026,6,10),tblDaily[WardCode],"FW")),"")</f>
        <v/>
      </c>
      <c r="E211" s="5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5" t="str">
        <f>IFERROR(IF(SUMIFS(tblDaily[TransfersIn],tblDaily[EntryDate],DATE(2026,6,10),tblDaily[WardCode],"FW")=0,"",SUMIFS(tblDaily[TransfersIn],tblDaily[EntryDate],DATE(2026,6,10),tblDaily[WardCode],"FW")),"")</f>
        <v/>
      </c>
      <c r="G211" s="5" t="str">
        <f>IFERROR(IF(SUMIFS(tblDaily[TransfersOut],tblDaily[EntryDate],DATE(2026,6,10),tblDaily[WardCode],"FW")=0,"",SUMIFS(tblDaily[TransfersOut],tblDaily[EntryDate],DATE(2026,6,10),tblDaily[WardCode],"FW")),"")</f>
        <v/>
      </c>
      <c r="H211" s="5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IFERROR(IF(SUMIFS(tblDaily[Admissions],tblDaily[EntryDate],DATE(2026,6,11),tblDaily[WardCode],"FW")=0,"",SUMIFS(tblDaily[Admissions],tblDaily[EntryDate],DATE(2026,6,11),tblDaily[WardCode],"FW")),"")</f>
        <v/>
      </c>
      <c r="C212" s="5" t="str">
        <f>IFERROR(IF(SUMIFS(tblDaily[Discharges],tblDaily[EntryDate],DATE(2026,6,11),tblDaily[WardCode],"FW")=0,"",SUMIFS(tblDaily[Discharges],tblDaily[EntryDate],DATE(2026,6,11),tblDaily[WardCode],"FW")),"")</f>
        <v/>
      </c>
      <c r="D212" s="5" t="str">
        <f>IFERROR(IF(SUMIFS(tblDaily[Deaths],tblDaily[EntryDate],DATE(2026,6,11),tblDaily[WardCode],"FW")=0,"",SUMIFS(tblDaily[Deaths],tblDaily[EntryDate],DATE(2026,6,11),tblDaily[WardCode],"FW")),"")</f>
        <v/>
      </c>
      <c r="E212" s="5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5" t="str">
        <f>IFERROR(IF(SUMIFS(tblDaily[TransfersIn],tblDaily[EntryDate],DATE(2026,6,11),tblDaily[WardCode],"FW")=0,"",SUMIFS(tblDaily[TransfersIn],tblDaily[EntryDate],DATE(2026,6,11),tblDaily[WardCode],"FW")),"")</f>
        <v/>
      </c>
      <c r="G212" s="5" t="str">
        <f>IFERROR(IF(SUMIFS(tblDaily[TransfersOut],tblDaily[EntryDate],DATE(2026,6,11),tblDaily[WardCode],"FW")=0,"",SUMIFS(tblDaily[TransfersOut],tblDaily[EntryDate],DATE(2026,6,11),tblDaily[WardCode],"FW")),"")</f>
        <v/>
      </c>
      <c r="H212" s="5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IFERROR(IF(SUMIFS(tblDaily[Admissions],tblDaily[EntryDate],DATE(2026,6,12),tblDaily[WardCode],"FW")=0,"",SUMIFS(tblDaily[Admissions],tblDaily[EntryDate],DATE(2026,6,12),tblDaily[WardCode],"FW")),"")</f>
        <v/>
      </c>
      <c r="C213" s="5" t="str">
        <f>IFERROR(IF(SUMIFS(tblDaily[Discharges],tblDaily[EntryDate],DATE(2026,6,12),tblDaily[WardCode],"FW")=0,"",SUMIFS(tblDaily[Discharges],tblDaily[EntryDate],DATE(2026,6,12),tblDaily[WardCode],"FW")),"")</f>
        <v/>
      </c>
      <c r="D213" s="5" t="str">
        <f>IFERROR(IF(SUMIFS(tblDaily[Deaths],tblDaily[EntryDate],DATE(2026,6,12),tblDaily[WardCode],"FW")=0,"",SUMIFS(tblDaily[Deaths],tblDaily[EntryDate],DATE(2026,6,12),tblDaily[WardCode],"FW")),"")</f>
        <v/>
      </c>
      <c r="E213" s="5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5" t="str">
        <f>IFERROR(IF(SUMIFS(tblDaily[TransfersIn],tblDaily[EntryDate],DATE(2026,6,12),tblDaily[WardCode],"FW")=0,"",SUMIFS(tblDaily[TransfersIn],tblDaily[EntryDate],DATE(2026,6,12),tblDaily[WardCode],"FW")),"")</f>
        <v/>
      </c>
      <c r="G213" s="5" t="str">
        <f>IFERROR(IF(SUMIFS(tblDaily[TransfersOut],tblDaily[EntryDate],DATE(2026,6,12),tblDaily[WardCode],"FW")=0,"",SUMIFS(tblDaily[TransfersOut],tblDaily[EntryDate],DATE(2026,6,12),tblDaily[WardCode],"FW")),"")</f>
        <v/>
      </c>
      <c r="H213" s="5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IFERROR(IF(SUMIFS(tblDaily[Admissions],tblDaily[EntryDate],DATE(2026,6,13),tblDaily[WardCode],"FW")=0,"",SUMIFS(tblDaily[Admissions],tblDaily[EntryDate],DATE(2026,6,13),tblDaily[WardCode],"FW")),"")</f>
        <v/>
      </c>
      <c r="C214" s="5" t="str">
        <f>IFERROR(IF(SUMIFS(tblDaily[Discharges],tblDaily[EntryDate],DATE(2026,6,13),tblDaily[WardCode],"FW")=0,"",SUMIFS(tblDaily[Discharges],tblDaily[EntryDate],DATE(2026,6,13),tblDaily[WardCode],"FW")),"")</f>
        <v/>
      </c>
      <c r="D214" s="5" t="str">
        <f>IFERROR(IF(SUMIFS(tblDaily[Deaths],tblDaily[EntryDate],DATE(2026,6,13),tblDaily[WardCode],"FW")=0,"",SUMIFS(tblDaily[Deaths],tblDaily[EntryDate],DATE(2026,6,13),tblDaily[WardCode],"FW")),"")</f>
        <v/>
      </c>
      <c r="E214" s="5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5" t="str">
        <f>IFERROR(IF(SUMIFS(tblDaily[TransfersIn],tblDaily[EntryDate],DATE(2026,6,13),tblDaily[WardCode],"FW")=0,"",SUMIFS(tblDaily[TransfersIn],tblDaily[EntryDate],DATE(2026,6,13),tblDaily[WardCode],"FW")),"")</f>
        <v/>
      </c>
      <c r="G214" s="5" t="str">
        <f>IFERROR(IF(SUMIFS(tblDaily[TransfersOut],tblDaily[EntryDate],DATE(2026,6,13),tblDaily[WardCode],"FW")=0,"",SUMIFS(tblDaily[TransfersOut],tblDaily[EntryDate],DATE(2026,6,13),tblDaily[WardCode],"FW")),"")</f>
        <v/>
      </c>
      <c r="H214" s="5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IFERROR(IF(SUMIFS(tblDaily[Admissions],tblDaily[EntryDate],DATE(2026,6,14),tblDaily[WardCode],"FW")=0,"",SUMIFS(tblDaily[Admissions],tblDaily[EntryDate],DATE(2026,6,14),tblDaily[WardCode],"FW")),"")</f>
        <v/>
      </c>
      <c r="C215" s="5" t="str">
        <f>IFERROR(IF(SUMIFS(tblDaily[Discharges],tblDaily[EntryDate],DATE(2026,6,14),tblDaily[WardCode],"FW")=0,"",SUMIFS(tblDaily[Discharges],tblDaily[EntryDate],DATE(2026,6,14),tblDaily[WardCode],"FW")),"")</f>
        <v/>
      </c>
      <c r="D215" s="5" t="str">
        <f>IFERROR(IF(SUMIFS(tblDaily[Deaths],tblDaily[EntryDate],DATE(2026,6,14),tblDaily[WardCode],"FW")=0,"",SUMIFS(tblDaily[Deaths],tblDaily[EntryDate],DATE(2026,6,14),tblDaily[WardCode],"FW")),"")</f>
        <v/>
      </c>
      <c r="E215" s="5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5" t="str">
        <f>IFERROR(IF(SUMIFS(tblDaily[TransfersIn],tblDaily[EntryDate],DATE(2026,6,14),tblDaily[WardCode],"FW")=0,"",SUMIFS(tblDaily[TransfersIn],tblDaily[EntryDate],DATE(2026,6,14),tblDaily[WardCode],"FW")),"")</f>
        <v/>
      </c>
      <c r="G215" s="5" t="str">
        <f>IFERROR(IF(SUMIFS(tblDaily[TransfersOut],tblDaily[EntryDate],DATE(2026,6,14),tblDaily[WardCode],"FW")=0,"",SUMIFS(tblDaily[TransfersOut],tblDaily[EntryDate],DATE(2026,6,14),tblDaily[WardCode],"FW")),"")</f>
        <v/>
      </c>
      <c r="H215" s="5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IFERROR(IF(SUMIFS(tblDaily[Admissions],tblDaily[EntryDate],DATE(2026,6,15),tblDaily[WardCode],"FW")=0,"",SUMIFS(tblDaily[Admissions],tblDaily[EntryDate],DATE(2026,6,15),tblDaily[WardCode],"FW")),"")</f>
        <v/>
      </c>
      <c r="C216" s="5" t="str">
        <f>IFERROR(IF(SUMIFS(tblDaily[Discharges],tblDaily[EntryDate],DATE(2026,6,15),tblDaily[WardCode],"FW")=0,"",SUMIFS(tblDaily[Discharges],tblDaily[EntryDate],DATE(2026,6,15),tblDaily[WardCode],"FW")),"")</f>
        <v/>
      </c>
      <c r="D216" s="5" t="str">
        <f>IFERROR(IF(SUMIFS(tblDaily[Deaths],tblDaily[EntryDate],DATE(2026,6,15),tblDaily[WardCode],"FW")=0,"",SUMIFS(tblDaily[Deaths],tblDaily[EntryDate],DATE(2026,6,15),tblDaily[WardCode],"FW")),"")</f>
        <v/>
      </c>
      <c r="E216" s="5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5" t="str">
        <f>IFERROR(IF(SUMIFS(tblDaily[TransfersIn],tblDaily[EntryDate],DATE(2026,6,15),tblDaily[WardCode],"FW")=0,"",SUMIFS(tblDaily[TransfersIn],tblDaily[EntryDate],DATE(2026,6,15),tblDaily[WardCode],"FW")),"")</f>
        <v/>
      </c>
      <c r="G216" s="5" t="str">
        <f>IFERROR(IF(SUMIFS(tblDaily[TransfersOut],tblDaily[EntryDate],DATE(2026,6,15),tblDaily[WardCode],"FW")=0,"",SUMIFS(tblDaily[TransfersOut],tblDaily[EntryDate],DATE(2026,6,15),tblDaily[WardCode],"FW")),"")</f>
        <v/>
      </c>
      <c r="H216" s="5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IFERROR(IF(SUMIFS(tblDaily[Admissions],tblDaily[EntryDate],DATE(2026,6,16),tblDaily[WardCode],"FW")=0,"",SUMIFS(tblDaily[Admissions],tblDaily[EntryDate],DATE(2026,6,16),tblDaily[WardCode],"FW")),"")</f>
        <v/>
      </c>
      <c r="C217" s="5" t="str">
        <f>IFERROR(IF(SUMIFS(tblDaily[Discharges],tblDaily[EntryDate],DATE(2026,6,16),tblDaily[WardCode],"FW")=0,"",SUMIFS(tblDaily[Discharges],tblDaily[EntryDate],DATE(2026,6,16),tblDaily[WardCode],"FW")),"")</f>
        <v/>
      </c>
      <c r="D217" s="5" t="str">
        <f>IFERROR(IF(SUMIFS(tblDaily[Deaths],tblDaily[EntryDate],DATE(2026,6,16),tblDaily[WardCode],"FW")=0,"",SUMIFS(tblDaily[Deaths],tblDaily[EntryDate],DATE(2026,6,16),tblDaily[WardCode],"FW")),"")</f>
        <v/>
      </c>
      <c r="E217" s="5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5" t="str">
        <f>IFERROR(IF(SUMIFS(tblDaily[TransfersIn],tblDaily[EntryDate],DATE(2026,6,16),tblDaily[WardCode],"FW")=0,"",SUMIFS(tblDaily[TransfersIn],tblDaily[EntryDate],DATE(2026,6,16),tblDaily[WardCode],"FW")),"")</f>
        <v/>
      </c>
      <c r="G217" s="5" t="str">
        <f>IFERROR(IF(SUMIFS(tblDaily[TransfersOut],tblDaily[EntryDate],DATE(2026,6,16),tblDaily[WardCode],"FW")=0,"",SUMIFS(tblDaily[TransfersOut],tblDaily[EntryDate],DATE(2026,6,16),tblDaily[WardCode],"FW")),"")</f>
        <v/>
      </c>
      <c r="H217" s="5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IFERROR(IF(SUMIFS(tblDaily[Admissions],tblDaily[EntryDate],DATE(2026,6,17),tblDaily[WardCode],"FW")=0,"",SUMIFS(tblDaily[Admissions],tblDaily[EntryDate],DATE(2026,6,17),tblDaily[WardCode],"FW")),"")</f>
        <v/>
      </c>
      <c r="C218" s="5" t="str">
        <f>IFERROR(IF(SUMIFS(tblDaily[Discharges],tblDaily[EntryDate],DATE(2026,6,17),tblDaily[WardCode],"FW")=0,"",SUMIFS(tblDaily[Discharges],tblDaily[EntryDate],DATE(2026,6,17),tblDaily[WardCode],"FW")),"")</f>
        <v/>
      </c>
      <c r="D218" s="5" t="str">
        <f>IFERROR(IF(SUMIFS(tblDaily[Deaths],tblDaily[EntryDate],DATE(2026,6,17),tblDaily[WardCode],"FW")=0,"",SUMIFS(tblDaily[Deaths],tblDaily[EntryDate],DATE(2026,6,17),tblDaily[WardCode],"FW")),"")</f>
        <v/>
      </c>
      <c r="E218" s="5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5" t="str">
        <f>IFERROR(IF(SUMIFS(tblDaily[TransfersIn],tblDaily[EntryDate],DATE(2026,6,17),tblDaily[WardCode],"FW")=0,"",SUMIFS(tblDaily[TransfersIn],tblDaily[EntryDate],DATE(2026,6,17),tblDaily[WardCode],"FW")),"")</f>
        <v/>
      </c>
      <c r="G218" s="5" t="str">
        <f>IFERROR(IF(SUMIFS(tblDaily[TransfersOut],tblDaily[EntryDate],DATE(2026,6,17),tblDaily[WardCode],"FW")=0,"",SUMIFS(tblDaily[TransfersOut],tblDaily[EntryDate],DATE(2026,6,17),tblDaily[WardCode],"FW")),"")</f>
        <v/>
      </c>
      <c r="H218" s="5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IFERROR(IF(SUMIFS(tblDaily[Admissions],tblDaily[EntryDate],DATE(2026,6,18),tblDaily[WardCode],"FW")=0,"",SUMIFS(tblDaily[Admissions],tblDaily[EntryDate],DATE(2026,6,18),tblDaily[WardCode],"FW")),"")</f>
        <v/>
      </c>
      <c r="C219" s="5" t="str">
        <f>IFERROR(IF(SUMIFS(tblDaily[Discharges],tblDaily[EntryDate],DATE(2026,6,18),tblDaily[WardCode],"FW")=0,"",SUMIFS(tblDaily[Discharges],tblDaily[EntryDate],DATE(2026,6,18),tblDaily[WardCode],"FW")),"")</f>
        <v/>
      </c>
      <c r="D219" s="5" t="str">
        <f>IFERROR(IF(SUMIFS(tblDaily[Deaths],tblDaily[EntryDate],DATE(2026,6,18),tblDaily[WardCode],"FW")=0,"",SUMIFS(tblDaily[Deaths],tblDaily[EntryDate],DATE(2026,6,18),tblDaily[WardCode],"FW")),"")</f>
        <v/>
      </c>
      <c r="E219" s="5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5" t="str">
        <f>IFERROR(IF(SUMIFS(tblDaily[TransfersIn],tblDaily[EntryDate],DATE(2026,6,18),tblDaily[WardCode],"FW")=0,"",SUMIFS(tblDaily[TransfersIn],tblDaily[EntryDate],DATE(2026,6,18),tblDaily[WardCode],"FW")),"")</f>
        <v/>
      </c>
      <c r="G219" s="5" t="str">
        <f>IFERROR(IF(SUMIFS(tblDaily[TransfersOut],tblDaily[EntryDate],DATE(2026,6,18),tblDaily[WardCode],"FW")=0,"",SUMIFS(tblDaily[TransfersOut],tblDaily[EntryDate],DATE(2026,6,18),tblDaily[WardCode],"FW")),"")</f>
        <v/>
      </c>
      <c r="H219" s="5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IFERROR(IF(SUMIFS(tblDaily[Admissions],tblDaily[EntryDate],DATE(2026,6,19),tblDaily[WardCode],"FW")=0,"",SUMIFS(tblDaily[Admissions],tblDaily[EntryDate],DATE(2026,6,19),tblDaily[WardCode],"FW")),"")</f>
        <v/>
      </c>
      <c r="C220" s="5" t="str">
        <f>IFERROR(IF(SUMIFS(tblDaily[Discharges],tblDaily[EntryDate],DATE(2026,6,19),tblDaily[WardCode],"FW")=0,"",SUMIFS(tblDaily[Discharges],tblDaily[EntryDate],DATE(2026,6,19),tblDaily[WardCode],"FW")),"")</f>
        <v/>
      </c>
      <c r="D220" s="5" t="str">
        <f>IFERROR(IF(SUMIFS(tblDaily[Deaths],tblDaily[EntryDate],DATE(2026,6,19),tblDaily[WardCode],"FW")=0,"",SUMIFS(tblDaily[Deaths],tblDaily[EntryDate],DATE(2026,6,19),tblDaily[WardCode],"FW")),"")</f>
        <v/>
      </c>
      <c r="E220" s="5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5" t="str">
        <f>IFERROR(IF(SUMIFS(tblDaily[TransfersIn],tblDaily[EntryDate],DATE(2026,6,19),tblDaily[WardCode],"FW")=0,"",SUMIFS(tblDaily[TransfersIn],tblDaily[EntryDate],DATE(2026,6,19),tblDaily[WardCode],"FW")),"")</f>
        <v/>
      </c>
      <c r="G220" s="5" t="str">
        <f>IFERROR(IF(SUMIFS(tblDaily[TransfersOut],tblDaily[EntryDate],DATE(2026,6,19),tblDaily[WardCode],"FW")=0,"",SUMIFS(tblDaily[TransfersOut],tblDaily[EntryDate],DATE(2026,6,19),tblDaily[WardCode],"FW")),"")</f>
        <v/>
      </c>
      <c r="H220" s="5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IFERROR(IF(SUMIFS(tblDaily[Admissions],tblDaily[EntryDate],DATE(2026,6,20),tblDaily[WardCode],"FW")=0,"",SUMIFS(tblDaily[Admissions],tblDaily[EntryDate],DATE(2026,6,20),tblDaily[WardCode],"FW")),"")</f>
        <v/>
      </c>
      <c r="C221" s="5" t="str">
        <f>IFERROR(IF(SUMIFS(tblDaily[Discharges],tblDaily[EntryDate],DATE(2026,6,20),tblDaily[WardCode],"FW")=0,"",SUMIFS(tblDaily[Discharges],tblDaily[EntryDate],DATE(2026,6,20),tblDaily[WardCode],"FW")),"")</f>
        <v/>
      </c>
      <c r="D221" s="5" t="str">
        <f>IFERROR(IF(SUMIFS(tblDaily[Deaths],tblDaily[EntryDate],DATE(2026,6,20),tblDaily[WardCode],"FW")=0,"",SUMIFS(tblDaily[Deaths],tblDaily[EntryDate],DATE(2026,6,20),tblDaily[WardCode],"FW")),"")</f>
        <v/>
      </c>
      <c r="E221" s="5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5" t="str">
        <f>IFERROR(IF(SUMIFS(tblDaily[TransfersIn],tblDaily[EntryDate],DATE(2026,6,20),tblDaily[WardCode],"FW")=0,"",SUMIFS(tblDaily[TransfersIn],tblDaily[EntryDate],DATE(2026,6,20),tblDaily[WardCode],"FW")),"")</f>
        <v/>
      </c>
      <c r="G221" s="5" t="str">
        <f>IFERROR(IF(SUMIFS(tblDaily[TransfersOut],tblDaily[EntryDate],DATE(2026,6,20),tblDaily[WardCode],"FW")=0,"",SUMIFS(tblDaily[TransfersOut],tblDaily[EntryDate],DATE(2026,6,20),tblDaily[WardCode],"FW")),"")</f>
        <v/>
      </c>
      <c r="H221" s="5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IFERROR(IF(SUMIFS(tblDaily[Admissions],tblDaily[EntryDate],DATE(2026,6,21),tblDaily[WardCode],"FW")=0,"",SUMIFS(tblDaily[Admissions],tblDaily[EntryDate],DATE(2026,6,21),tblDaily[WardCode],"FW")),"")</f>
        <v/>
      </c>
      <c r="C222" s="5" t="str">
        <f>IFERROR(IF(SUMIFS(tblDaily[Discharges],tblDaily[EntryDate],DATE(2026,6,21),tblDaily[WardCode],"FW")=0,"",SUMIFS(tblDaily[Discharges],tblDaily[EntryDate],DATE(2026,6,21),tblDaily[WardCode],"FW")),"")</f>
        <v/>
      </c>
      <c r="D222" s="5" t="str">
        <f>IFERROR(IF(SUMIFS(tblDaily[Deaths],tblDaily[EntryDate],DATE(2026,6,21),tblDaily[WardCode],"FW")=0,"",SUMIFS(tblDaily[Deaths],tblDaily[EntryDate],DATE(2026,6,21),tblDaily[WardCode],"FW")),"")</f>
        <v/>
      </c>
      <c r="E222" s="5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5" t="str">
        <f>IFERROR(IF(SUMIFS(tblDaily[TransfersIn],tblDaily[EntryDate],DATE(2026,6,21),tblDaily[WardCode],"FW")=0,"",SUMIFS(tblDaily[TransfersIn],tblDaily[EntryDate],DATE(2026,6,21),tblDaily[WardCode],"FW")),"")</f>
        <v/>
      </c>
      <c r="G222" s="5" t="str">
        <f>IFERROR(IF(SUMIFS(tblDaily[TransfersOut],tblDaily[EntryDate],DATE(2026,6,21),tblDaily[WardCode],"FW")=0,"",SUMIFS(tblDaily[TransfersOut],tblDaily[EntryDate],DATE(2026,6,21),tblDaily[WardCode],"FW")),"")</f>
        <v/>
      </c>
      <c r="H222" s="5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IFERROR(IF(SUMIFS(tblDaily[Admissions],tblDaily[EntryDate],DATE(2026,6,22),tblDaily[WardCode],"FW")=0,"",SUMIFS(tblDaily[Admissions],tblDaily[EntryDate],DATE(2026,6,22),tblDaily[WardCode],"FW")),"")</f>
        <v/>
      </c>
      <c r="C223" s="5" t="str">
        <f>IFERROR(IF(SUMIFS(tblDaily[Discharges],tblDaily[EntryDate],DATE(2026,6,22),tblDaily[WardCode],"FW")=0,"",SUMIFS(tblDaily[Discharges],tblDaily[EntryDate],DATE(2026,6,22),tblDaily[WardCode],"FW")),"")</f>
        <v/>
      </c>
      <c r="D223" s="5" t="str">
        <f>IFERROR(IF(SUMIFS(tblDaily[Deaths],tblDaily[EntryDate],DATE(2026,6,22),tblDaily[WardCode],"FW")=0,"",SUMIFS(tblDaily[Deaths],tblDaily[EntryDate],DATE(2026,6,22),tblDaily[WardCode],"FW")),"")</f>
        <v/>
      </c>
      <c r="E223" s="5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5" t="str">
        <f>IFERROR(IF(SUMIFS(tblDaily[TransfersIn],tblDaily[EntryDate],DATE(2026,6,22),tblDaily[WardCode],"FW")=0,"",SUMIFS(tblDaily[TransfersIn],tblDaily[EntryDate],DATE(2026,6,22),tblDaily[WardCode],"FW")),"")</f>
        <v/>
      </c>
      <c r="G223" s="5" t="str">
        <f>IFERROR(IF(SUMIFS(tblDaily[TransfersOut],tblDaily[EntryDate],DATE(2026,6,22),tblDaily[WardCode],"FW")=0,"",SUMIFS(tblDaily[TransfersOut],tblDaily[EntryDate],DATE(2026,6,22),tblDaily[WardCode],"FW")),"")</f>
        <v/>
      </c>
      <c r="H223" s="5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IFERROR(IF(SUMIFS(tblDaily[Admissions],tblDaily[EntryDate],DATE(2026,6,23),tblDaily[WardCode],"FW")=0,"",SUMIFS(tblDaily[Admissions],tblDaily[EntryDate],DATE(2026,6,23),tblDaily[WardCode],"FW")),"")</f>
        <v/>
      </c>
      <c r="C224" s="5" t="str">
        <f>IFERROR(IF(SUMIFS(tblDaily[Discharges],tblDaily[EntryDate],DATE(2026,6,23),tblDaily[WardCode],"FW")=0,"",SUMIFS(tblDaily[Discharges],tblDaily[EntryDate],DATE(2026,6,23),tblDaily[WardCode],"FW")),"")</f>
        <v/>
      </c>
      <c r="D224" s="5" t="str">
        <f>IFERROR(IF(SUMIFS(tblDaily[Deaths],tblDaily[EntryDate],DATE(2026,6,23),tblDaily[WardCode],"FW")=0,"",SUMIFS(tblDaily[Deaths],tblDaily[EntryDate],DATE(2026,6,23),tblDaily[WardCode],"FW")),"")</f>
        <v/>
      </c>
      <c r="E224" s="5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5" t="str">
        <f>IFERROR(IF(SUMIFS(tblDaily[TransfersIn],tblDaily[EntryDate],DATE(2026,6,23),tblDaily[WardCode],"FW")=0,"",SUMIFS(tblDaily[TransfersIn],tblDaily[EntryDate],DATE(2026,6,23),tblDaily[WardCode],"FW")),"")</f>
        <v/>
      </c>
      <c r="G224" s="5" t="str">
        <f>IFERROR(IF(SUMIFS(tblDaily[TransfersOut],tblDaily[EntryDate],DATE(2026,6,23),tblDaily[WardCode],"FW")=0,"",SUMIFS(tblDaily[TransfersOut],tblDaily[EntryDate],DATE(2026,6,23),tblDaily[WardCode],"FW")),"")</f>
        <v/>
      </c>
      <c r="H224" s="5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IFERROR(IF(SUMIFS(tblDaily[Admissions],tblDaily[EntryDate],DATE(2026,6,24),tblDaily[WardCode],"FW")=0,"",SUMIFS(tblDaily[Admissions],tblDaily[EntryDate],DATE(2026,6,24),tblDaily[WardCode],"FW")),"")</f>
        <v/>
      </c>
      <c r="C225" s="5" t="str">
        <f>IFERROR(IF(SUMIFS(tblDaily[Discharges],tblDaily[EntryDate],DATE(2026,6,24),tblDaily[WardCode],"FW")=0,"",SUMIFS(tblDaily[Discharges],tblDaily[EntryDate],DATE(2026,6,24),tblDaily[WardCode],"FW")),"")</f>
        <v/>
      </c>
      <c r="D225" s="5" t="str">
        <f>IFERROR(IF(SUMIFS(tblDaily[Deaths],tblDaily[EntryDate],DATE(2026,6,24),tblDaily[WardCode],"FW")=0,"",SUMIFS(tblDaily[Deaths],tblDaily[EntryDate],DATE(2026,6,24),tblDaily[WardCode],"FW")),"")</f>
        <v/>
      </c>
      <c r="E225" s="5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5" t="str">
        <f>IFERROR(IF(SUMIFS(tblDaily[TransfersIn],tblDaily[EntryDate],DATE(2026,6,24),tblDaily[WardCode],"FW")=0,"",SUMIFS(tblDaily[TransfersIn],tblDaily[EntryDate],DATE(2026,6,24),tblDaily[WardCode],"FW")),"")</f>
        <v/>
      </c>
      <c r="G225" s="5" t="str">
        <f>IFERROR(IF(SUMIFS(tblDaily[TransfersOut],tblDaily[EntryDate],DATE(2026,6,24),tblDaily[WardCode],"FW")=0,"",SUMIFS(tblDaily[TransfersOut],tblDaily[EntryDate],DATE(2026,6,24),tblDaily[WardCode],"FW")),"")</f>
        <v/>
      </c>
      <c r="H225" s="5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IFERROR(IF(SUMIFS(tblDaily[Admissions],tblDaily[EntryDate],DATE(2026,6,25),tblDaily[WardCode],"FW")=0,"",SUMIFS(tblDaily[Admissions],tblDaily[EntryDate],DATE(2026,6,25),tblDaily[WardCode],"FW")),"")</f>
        <v/>
      </c>
      <c r="C226" s="5" t="str">
        <f>IFERROR(IF(SUMIFS(tblDaily[Discharges],tblDaily[EntryDate],DATE(2026,6,25),tblDaily[WardCode],"FW")=0,"",SUMIFS(tblDaily[Discharges],tblDaily[EntryDate],DATE(2026,6,25),tblDaily[WardCode],"FW")),"")</f>
        <v/>
      </c>
      <c r="D226" s="5" t="str">
        <f>IFERROR(IF(SUMIFS(tblDaily[Deaths],tblDaily[EntryDate],DATE(2026,6,25),tblDaily[WardCode],"FW")=0,"",SUMIFS(tblDaily[Deaths],tblDaily[EntryDate],DATE(2026,6,25),tblDaily[WardCode],"FW")),"")</f>
        <v/>
      </c>
      <c r="E226" s="5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5" t="str">
        <f>IFERROR(IF(SUMIFS(tblDaily[TransfersIn],tblDaily[EntryDate],DATE(2026,6,25),tblDaily[WardCode],"FW")=0,"",SUMIFS(tblDaily[TransfersIn],tblDaily[EntryDate],DATE(2026,6,25),tblDaily[WardCode],"FW")),"")</f>
        <v/>
      </c>
      <c r="G226" s="5" t="str">
        <f>IFERROR(IF(SUMIFS(tblDaily[TransfersOut],tblDaily[EntryDate],DATE(2026,6,25),tblDaily[WardCode],"FW")=0,"",SUMIFS(tblDaily[TransfersOut],tblDaily[EntryDate],DATE(2026,6,25),tblDaily[WardCode],"FW")),"")</f>
        <v/>
      </c>
      <c r="H226" s="5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IFERROR(IF(SUMIFS(tblDaily[Admissions],tblDaily[EntryDate],DATE(2026,6,26),tblDaily[WardCode],"FW")=0,"",SUMIFS(tblDaily[Admissions],tblDaily[EntryDate],DATE(2026,6,26),tblDaily[WardCode],"FW")),"")</f>
        <v/>
      </c>
      <c r="C227" s="5" t="str">
        <f>IFERROR(IF(SUMIFS(tblDaily[Discharges],tblDaily[EntryDate],DATE(2026,6,26),tblDaily[WardCode],"FW")=0,"",SUMIFS(tblDaily[Discharges],tblDaily[EntryDate],DATE(2026,6,26),tblDaily[WardCode],"FW")),"")</f>
        <v/>
      </c>
      <c r="D227" s="5" t="str">
        <f>IFERROR(IF(SUMIFS(tblDaily[Deaths],tblDaily[EntryDate],DATE(2026,6,26),tblDaily[WardCode],"FW")=0,"",SUMIFS(tblDaily[Deaths],tblDaily[EntryDate],DATE(2026,6,26),tblDaily[WardCode],"FW")),"")</f>
        <v/>
      </c>
      <c r="E227" s="5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5" t="str">
        <f>IFERROR(IF(SUMIFS(tblDaily[TransfersIn],tblDaily[EntryDate],DATE(2026,6,26),tblDaily[WardCode],"FW")=0,"",SUMIFS(tblDaily[TransfersIn],tblDaily[EntryDate],DATE(2026,6,26),tblDaily[WardCode],"FW")),"")</f>
        <v/>
      </c>
      <c r="G227" s="5" t="str">
        <f>IFERROR(IF(SUMIFS(tblDaily[TransfersOut],tblDaily[EntryDate],DATE(2026,6,26),tblDaily[WardCode],"FW")=0,"",SUMIFS(tblDaily[TransfersOut],tblDaily[EntryDate],DATE(2026,6,26),tblDaily[WardCode],"FW")),"")</f>
        <v/>
      </c>
      <c r="H227" s="5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IFERROR(IF(SUMIFS(tblDaily[Admissions],tblDaily[EntryDate],DATE(2026,6,27),tblDaily[WardCode],"FW")=0,"",SUMIFS(tblDaily[Admissions],tblDaily[EntryDate],DATE(2026,6,27),tblDaily[WardCode],"FW")),"")</f>
        <v/>
      </c>
      <c r="C228" s="5" t="str">
        <f>IFERROR(IF(SUMIFS(tblDaily[Discharges],tblDaily[EntryDate],DATE(2026,6,27),tblDaily[WardCode],"FW")=0,"",SUMIFS(tblDaily[Discharges],tblDaily[EntryDate],DATE(2026,6,27),tblDaily[WardCode],"FW")),"")</f>
        <v/>
      </c>
      <c r="D228" s="5" t="str">
        <f>IFERROR(IF(SUMIFS(tblDaily[Deaths],tblDaily[EntryDate],DATE(2026,6,27),tblDaily[WardCode],"FW")=0,"",SUMIFS(tblDaily[Deaths],tblDaily[EntryDate],DATE(2026,6,27),tblDaily[WardCode],"FW")),"")</f>
        <v/>
      </c>
      <c r="E228" s="5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5" t="str">
        <f>IFERROR(IF(SUMIFS(tblDaily[TransfersIn],tblDaily[EntryDate],DATE(2026,6,27),tblDaily[WardCode],"FW")=0,"",SUMIFS(tblDaily[TransfersIn],tblDaily[EntryDate],DATE(2026,6,27),tblDaily[WardCode],"FW")),"")</f>
        <v/>
      </c>
      <c r="G228" s="5" t="str">
        <f>IFERROR(IF(SUMIFS(tblDaily[TransfersOut],tblDaily[EntryDate],DATE(2026,6,27),tblDaily[WardCode],"FW")=0,"",SUMIFS(tblDaily[TransfersOut],tblDaily[EntryDate],DATE(2026,6,27),tblDaily[WardCode],"FW")),"")</f>
        <v/>
      </c>
      <c r="H228" s="5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IFERROR(IF(SUMIFS(tblDaily[Admissions],tblDaily[EntryDate],DATE(2026,6,28),tblDaily[WardCode],"FW")=0,"",SUMIFS(tblDaily[Admissions],tblDaily[EntryDate],DATE(2026,6,28),tblDaily[WardCode],"FW")),"")</f>
        <v/>
      </c>
      <c r="C229" s="5" t="str">
        <f>IFERROR(IF(SUMIFS(tblDaily[Discharges],tblDaily[EntryDate],DATE(2026,6,28),tblDaily[WardCode],"FW")=0,"",SUMIFS(tblDaily[Discharges],tblDaily[EntryDate],DATE(2026,6,28),tblDaily[WardCode],"FW")),"")</f>
        <v/>
      </c>
      <c r="D229" s="5" t="str">
        <f>IFERROR(IF(SUMIFS(tblDaily[Deaths],tblDaily[EntryDate],DATE(2026,6,28),tblDaily[WardCode],"FW")=0,"",SUMIFS(tblDaily[Deaths],tblDaily[EntryDate],DATE(2026,6,28),tblDaily[WardCode],"FW")),"")</f>
        <v/>
      </c>
      <c r="E229" s="5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5" t="str">
        <f>IFERROR(IF(SUMIFS(tblDaily[TransfersIn],tblDaily[EntryDate],DATE(2026,6,28),tblDaily[WardCode],"FW")=0,"",SUMIFS(tblDaily[TransfersIn],tblDaily[EntryDate],DATE(2026,6,28),tblDaily[WardCode],"FW")),"")</f>
        <v/>
      </c>
      <c r="G229" s="5" t="str">
        <f>IFERROR(IF(SUMIFS(tblDaily[TransfersOut],tblDaily[EntryDate],DATE(2026,6,28),tblDaily[WardCode],"FW")=0,"",SUMIFS(tblDaily[TransfersOut],tblDaily[EntryDate],DATE(2026,6,28),tblDaily[WardCode],"FW")),"")</f>
        <v/>
      </c>
      <c r="H229" s="5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IFERROR(IF(SUMIFS(tblDaily[Admissions],tblDaily[EntryDate],DATE(2026,6,29),tblDaily[WardCode],"FW")=0,"",SUMIFS(tblDaily[Admissions],tblDaily[EntryDate],DATE(2026,6,29),tblDaily[WardCode],"FW")),"")</f>
        <v/>
      </c>
      <c r="C230" s="5" t="str">
        <f>IFERROR(IF(SUMIFS(tblDaily[Discharges],tblDaily[EntryDate],DATE(2026,6,29),tblDaily[WardCode],"FW")=0,"",SUMIFS(tblDaily[Discharges],tblDaily[EntryDate],DATE(2026,6,29),tblDaily[WardCode],"FW")),"")</f>
        <v/>
      </c>
      <c r="D230" s="5" t="str">
        <f>IFERROR(IF(SUMIFS(tblDaily[Deaths],tblDaily[EntryDate],DATE(2026,6,29),tblDaily[WardCode],"FW")=0,"",SUMIFS(tblDaily[Deaths],tblDaily[EntryDate],DATE(2026,6,29),tblDaily[WardCode],"FW")),"")</f>
        <v/>
      </c>
      <c r="E230" s="5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5" t="str">
        <f>IFERROR(IF(SUMIFS(tblDaily[TransfersIn],tblDaily[EntryDate],DATE(2026,6,29),tblDaily[WardCode],"FW")=0,"",SUMIFS(tblDaily[TransfersIn],tblDaily[EntryDate],DATE(2026,6,29),tblDaily[WardCode],"FW")),"")</f>
        <v/>
      </c>
      <c r="G230" s="5" t="str">
        <f>IFERROR(IF(SUMIFS(tblDaily[TransfersOut],tblDaily[EntryDate],DATE(2026,6,29),tblDaily[WardCode],"FW")=0,"",SUMIFS(tblDaily[TransfersOut],tblDaily[EntryDate],DATE(2026,6,29),tblDaily[WardCode],"FW")),"")</f>
        <v/>
      </c>
      <c r="H230" s="5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IFERROR(IF(SUMIFS(tblDaily[Admissions],tblDaily[EntryDate],DATE(2026,6,30),tblDaily[WardCode],"FW")=0,"",SUMIFS(tblDaily[Admissions],tblDaily[EntryDate],DATE(2026,6,30),tblDaily[WardCode],"FW")),"")</f>
        <v/>
      </c>
      <c r="C231" s="5" t="str">
        <f>IFERROR(IF(SUMIFS(tblDaily[Discharges],tblDaily[EntryDate],DATE(2026,6,30),tblDaily[WardCode],"FW")=0,"",SUMIFS(tblDaily[Discharges],tblDaily[EntryDate],DATE(2026,6,30),tblDaily[WardCode],"FW")),"")</f>
        <v/>
      </c>
      <c r="D231" s="5" t="str">
        <f>IFERROR(IF(SUMIFS(tblDaily[Deaths],tblDaily[EntryDate],DATE(2026,6,30),tblDaily[WardCode],"FW")=0,"",SUMIFS(tblDaily[Deaths],tblDaily[EntryDate],DATE(2026,6,30),tblDaily[WardCode],"FW")),"")</f>
        <v/>
      </c>
      <c r="E231" s="5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5" t="str">
        <f>IFERROR(IF(SUMIFS(tblDaily[TransfersIn],tblDaily[EntryDate],DATE(2026,6,30),tblDaily[WardCode],"FW")=0,"",SUMIFS(tblDaily[TransfersIn],tblDaily[EntryDate],DATE(2026,6,30),tblDaily[WardCode],"FW")),"")</f>
        <v/>
      </c>
      <c r="G231" s="5" t="str">
        <f>IFERROR(IF(SUMIFS(tblDaily[TransfersOut],tblDaily[EntryDate],DATE(2026,6,30),tblDaily[WardCode],"FW")=0,"",SUMIFS(tblDaily[TransfersOut],tblDaily[EntryDate],DATE(2026,6,30),tblDaily[WardCode],"FW")),"")</f>
        <v/>
      </c>
      <c r="H231" s="5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96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89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IFERROR(IF(SUMIFS(tblDaily[Admissions],tblDaily[EntryDate],DATE(2026,7,1),tblDaily[WardCode],"FW")=0,"",SUMIFS(tblDaily[Admissions],tblDaily[EntryDate],DATE(2026,7,1),tblDaily[WardCode],"FW")),"")</f>
        <v/>
      </c>
      <c r="C241" s="5" t="str">
        <f>IFERROR(IF(SUMIFS(tblDaily[Discharges],tblDaily[EntryDate],DATE(2026,7,1),tblDaily[WardCode],"FW")=0,"",SUMIFS(tblDaily[Discharges],tblDaily[EntryDate],DATE(2026,7,1),tblDaily[WardCode],"FW")),"")</f>
        <v/>
      </c>
      <c r="D241" s="5" t="str">
        <f>IFERROR(IF(SUMIFS(tblDaily[Deaths],tblDaily[EntryDate],DATE(2026,7,1),tblDaily[WardCode],"FW")=0,"",SUMIFS(tblDaily[Deaths],tblDaily[EntryDate],DATE(2026,7,1),tblDaily[WardCode],"FW")),"")</f>
        <v/>
      </c>
      <c r="E241" s="5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5" t="str">
        <f>IFERROR(IF(SUMIFS(tblDaily[TransfersIn],tblDaily[EntryDate],DATE(2026,7,1),tblDaily[WardCode],"FW")=0,"",SUMIFS(tblDaily[TransfersIn],tblDaily[EntryDate],DATE(2026,7,1),tblDaily[WardCode],"FW")),"")</f>
        <v/>
      </c>
      <c r="G241" s="5" t="str">
        <f>IFERROR(IF(SUMIFS(tblDaily[TransfersOut],tblDaily[EntryDate],DATE(2026,7,1),tblDaily[WardCode],"FW")=0,"",SUMIFS(tblDaily[TransfersOut],tblDaily[EntryDate],DATE(2026,7,1),tblDaily[WardCode],"FW")),"")</f>
        <v/>
      </c>
      <c r="H241" s="5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IFERROR(IF(SUMIFS(tblDaily[Admissions],tblDaily[EntryDate],DATE(2026,7,2),tblDaily[WardCode],"FW")=0,"",SUMIFS(tblDaily[Admissions],tblDaily[EntryDate],DATE(2026,7,2),tblDaily[WardCode],"FW")),"")</f>
        <v/>
      </c>
      <c r="C242" s="5" t="str">
        <f>IFERROR(IF(SUMIFS(tblDaily[Discharges],tblDaily[EntryDate],DATE(2026,7,2),tblDaily[WardCode],"FW")=0,"",SUMIFS(tblDaily[Discharges],tblDaily[EntryDate],DATE(2026,7,2),tblDaily[WardCode],"FW")),"")</f>
        <v/>
      </c>
      <c r="D242" s="5" t="str">
        <f>IFERROR(IF(SUMIFS(tblDaily[Deaths],tblDaily[EntryDate],DATE(2026,7,2),tblDaily[WardCode],"FW")=0,"",SUMIFS(tblDaily[Deaths],tblDaily[EntryDate],DATE(2026,7,2),tblDaily[WardCode],"FW")),"")</f>
        <v/>
      </c>
      <c r="E242" s="5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5" t="str">
        <f>IFERROR(IF(SUMIFS(tblDaily[TransfersIn],tblDaily[EntryDate],DATE(2026,7,2),tblDaily[WardCode],"FW")=0,"",SUMIFS(tblDaily[TransfersIn],tblDaily[EntryDate],DATE(2026,7,2),tblDaily[WardCode],"FW")),"")</f>
        <v/>
      </c>
      <c r="G242" s="5" t="str">
        <f>IFERROR(IF(SUMIFS(tblDaily[TransfersOut],tblDaily[EntryDate],DATE(2026,7,2),tblDaily[WardCode],"FW")=0,"",SUMIFS(tblDaily[TransfersOut],tblDaily[EntryDate],DATE(2026,7,2),tblDaily[WardCode],"FW")),"")</f>
        <v/>
      </c>
      <c r="H242" s="5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IFERROR(IF(SUMIFS(tblDaily[Admissions],tblDaily[EntryDate],DATE(2026,7,3),tblDaily[WardCode],"FW")=0,"",SUMIFS(tblDaily[Admissions],tblDaily[EntryDate],DATE(2026,7,3),tblDaily[WardCode],"FW")),"")</f>
        <v/>
      </c>
      <c r="C243" s="5" t="str">
        <f>IFERROR(IF(SUMIFS(tblDaily[Discharges],tblDaily[EntryDate],DATE(2026,7,3),tblDaily[WardCode],"FW")=0,"",SUMIFS(tblDaily[Discharges],tblDaily[EntryDate],DATE(2026,7,3),tblDaily[WardCode],"FW")),"")</f>
        <v/>
      </c>
      <c r="D243" s="5" t="str">
        <f>IFERROR(IF(SUMIFS(tblDaily[Deaths],tblDaily[EntryDate],DATE(2026,7,3),tblDaily[WardCode],"FW")=0,"",SUMIFS(tblDaily[Deaths],tblDaily[EntryDate],DATE(2026,7,3),tblDaily[WardCode],"FW")),"")</f>
        <v/>
      </c>
      <c r="E243" s="5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5" t="str">
        <f>IFERROR(IF(SUMIFS(tblDaily[TransfersIn],tblDaily[EntryDate],DATE(2026,7,3),tblDaily[WardCode],"FW")=0,"",SUMIFS(tblDaily[TransfersIn],tblDaily[EntryDate],DATE(2026,7,3),tblDaily[WardCode],"FW")),"")</f>
        <v/>
      </c>
      <c r="G243" s="5" t="str">
        <f>IFERROR(IF(SUMIFS(tblDaily[TransfersOut],tblDaily[EntryDate],DATE(2026,7,3),tblDaily[WardCode],"FW")=0,"",SUMIFS(tblDaily[TransfersOut],tblDaily[EntryDate],DATE(2026,7,3),tblDaily[WardCode],"FW")),"")</f>
        <v/>
      </c>
      <c r="H243" s="5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IFERROR(IF(SUMIFS(tblDaily[Admissions],tblDaily[EntryDate],DATE(2026,7,4),tblDaily[WardCode],"FW")=0,"",SUMIFS(tblDaily[Admissions],tblDaily[EntryDate],DATE(2026,7,4),tblDaily[WardCode],"FW")),"")</f>
        <v/>
      </c>
      <c r="C244" s="5" t="str">
        <f>IFERROR(IF(SUMIFS(tblDaily[Discharges],tblDaily[EntryDate],DATE(2026,7,4),tblDaily[WardCode],"FW")=0,"",SUMIFS(tblDaily[Discharges],tblDaily[EntryDate],DATE(2026,7,4),tblDaily[WardCode],"FW")),"")</f>
        <v/>
      </c>
      <c r="D244" s="5" t="str">
        <f>IFERROR(IF(SUMIFS(tblDaily[Deaths],tblDaily[EntryDate],DATE(2026,7,4),tblDaily[WardCode],"FW")=0,"",SUMIFS(tblDaily[Deaths],tblDaily[EntryDate],DATE(2026,7,4),tblDaily[WardCode],"FW")),"")</f>
        <v/>
      </c>
      <c r="E244" s="5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5" t="str">
        <f>IFERROR(IF(SUMIFS(tblDaily[TransfersIn],tblDaily[EntryDate],DATE(2026,7,4),tblDaily[WardCode],"FW")=0,"",SUMIFS(tblDaily[TransfersIn],tblDaily[EntryDate],DATE(2026,7,4),tblDaily[WardCode],"FW")),"")</f>
        <v/>
      </c>
      <c r="G244" s="5" t="str">
        <f>IFERROR(IF(SUMIFS(tblDaily[TransfersOut],tblDaily[EntryDate],DATE(2026,7,4),tblDaily[WardCode],"FW")=0,"",SUMIFS(tblDaily[TransfersOut],tblDaily[EntryDate],DATE(2026,7,4),tblDaily[WardCode],"FW")),"")</f>
        <v/>
      </c>
      <c r="H244" s="5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IFERROR(IF(SUMIFS(tblDaily[Admissions],tblDaily[EntryDate],DATE(2026,7,5),tblDaily[WardCode],"FW")=0,"",SUMIFS(tblDaily[Admissions],tblDaily[EntryDate],DATE(2026,7,5),tblDaily[WardCode],"FW")),"")</f>
        <v/>
      </c>
      <c r="C245" s="5" t="str">
        <f>IFERROR(IF(SUMIFS(tblDaily[Discharges],tblDaily[EntryDate],DATE(2026,7,5),tblDaily[WardCode],"FW")=0,"",SUMIFS(tblDaily[Discharges],tblDaily[EntryDate],DATE(2026,7,5),tblDaily[WardCode],"FW")),"")</f>
        <v/>
      </c>
      <c r="D245" s="5" t="str">
        <f>IFERROR(IF(SUMIFS(tblDaily[Deaths],tblDaily[EntryDate],DATE(2026,7,5),tblDaily[WardCode],"FW")=0,"",SUMIFS(tblDaily[Deaths],tblDaily[EntryDate],DATE(2026,7,5),tblDaily[WardCode],"FW")),"")</f>
        <v/>
      </c>
      <c r="E245" s="5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5" t="str">
        <f>IFERROR(IF(SUMIFS(tblDaily[TransfersIn],tblDaily[EntryDate],DATE(2026,7,5),tblDaily[WardCode],"FW")=0,"",SUMIFS(tblDaily[TransfersIn],tblDaily[EntryDate],DATE(2026,7,5),tblDaily[WardCode],"FW")),"")</f>
        <v/>
      </c>
      <c r="G245" s="5" t="str">
        <f>IFERROR(IF(SUMIFS(tblDaily[TransfersOut],tblDaily[EntryDate],DATE(2026,7,5),tblDaily[WardCode],"FW")=0,"",SUMIFS(tblDaily[TransfersOut],tblDaily[EntryDate],DATE(2026,7,5),tblDaily[WardCode],"FW")),"")</f>
        <v/>
      </c>
      <c r="H245" s="5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IFERROR(IF(SUMIFS(tblDaily[Admissions],tblDaily[EntryDate],DATE(2026,7,6),tblDaily[WardCode],"FW")=0,"",SUMIFS(tblDaily[Admissions],tblDaily[EntryDate],DATE(2026,7,6),tblDaily[WardCode],"FW")),"")</f>
        <v/>
      </c>
      <c r="C246" s="5" t="str">
        <f>IFERROR(IF(SUMIFS(tblDaily[Discharges],tblDaily[EntryDate],DATE(2026,7,6),tblDaily[WardCode],"FW")=0,"",SUMIFS(tblDaily[Discharges],tblDaily[EntryDate],DATE(2026,7,6),tblDaily[WardCode],"FW")),"")</f>
        <v/>
      </c>
      <c r="D246" s="5" t="str">
        <f>IFERROR(IF(SUMIFS(tblDaily[Deaths],tblDaily[EntryDate],DATE(2026,7,6),tblDaily[WardCode],"FW")=0,"",SUMIFS(tblDaily[Deaths],tblDaily[EntryDate],DATE(2026,7,6),tblDaily[WardCode],"FW")),"")</f>
        <v/>
      </c>
      <c r="E246" s="5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5" t="str">
        <f>IFERROR(IF(SUMIFS(tblDaily[TransfersIn],tblDaily[EntryDate],DATE(2026,7,6),tblDaily[WardCode],"FW")=0,"",SUMIFS(tblDaily[TransfersIn],tblDaily[EntryDate],DATE(2026,7,6),tblDaily[WardCode],"FW")),"")</f>
        <v/>
      </c>
      <c r="G246" s="5" t="str">
        <f>IFERROR(IF(SUMIFS(tblDaily[TransfersOut],tblDaily[EntryDate],DATE(2026,7,6),tblDaily[WardCode],"FW")=0,"",SUMIFS(tblDaily[TransfersOut],tblDaily[EntryDate],DATE(2026,7,6),tblDaily[WardCode],"FW")),"")</f>
        <v/>
      </c>
      <c r="H246" s="5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IFERROR(IF(SUMIFS(tblDaily[Admissions],tblDaily[EntryDate],DATE(2026,7,7),tblDaily[WardCode],"FW")=0,"",SUMIFS(tblDaily[Admissions],tblDaily[EntryDate],DATE(2026,7,7),tblDaily[WardCode],"FW")),"")</f>
        <v/>
      </c>
      <c r="C247" s="5" t="str">
        <f>IFERROR(IF(SUMIFS(tblDaily[Discharges],tblDaily[EntryDate],DATE(2026,7,7),tblDaily[WardCode],"FW")=0,"",SUMIFS(tblDaily[Discharges],tblDaily[EntryDate],DATE(2026,7,7),tblDaily[WardCode],"FW")),"")</f>
        <v/>
      </c>
      <c r="D247" s="5" t="str">
        <f>IFERROR(IF(SUMIFS(tblDaily[Deaths],tblDaily[EntryDate],DATE(2026,7,7),tblDaily[WardCode],"FW")=0,"",SUMIFS(tblDaily[Deaths],tblDaily[EntryDate],DATE(2026,7,7),tblDaily[WardCode],"FW")),"")</f>
        <v/>
      </c>
      <c r="E247" s="5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5" t="str">
        <f>IFERROR(IF(SUMIFS(tblDaily[TransfersIn],tblDaily[EntryDate],DATE(2026,7,7),tblDaily[WardCode],"FW")=0,"",SUMIFS(tblDaily[TransfersIn],tblDaily[EntryDate],DATE(2026,7,7),tblDaily[WardCode],"FW")),"")</f>
        <v/>
      </c>
      <c r="G247" s="5" t="str">
        <f>IFERROR(IF(SUMIFS(tblDaily[TransfersOut],tblDaily[EntryDate],DATE(2026,7,7),tblDaily[WardCode],"FW")=0,"",SUMIFS(tblDaily[TransfersOut],tblDaily[EntryDate],DATE(2026,7,7),tblDaily[WardCode],"FW")),"")</f>
        <v/>
      </c>
      <c r="H247" s="5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IFERROR(IF(SUMIFS(tblDaily[Admissions],tblDaily[EntryDate],DATE(2026,7,8),tblDaily[WardCode],"FW")=0,"",SUMIFS(tblDaily[Admissions],tblDaily[EntryDate],DATE(2026,7,8),tblDaily[WardCode],"FW")),"")</f>
        <v/>
      </c>
      <c r="C248" s="5" t="str">
        <f>IFERROR(IF(SUMIFS(tblDaily[Discharges],tblDaily[EntryDate],DATE(2026,7,8),tblDaily[WardCode],"FW")=0,"",SUMIFS(tblDaily[Discharges],tblDaily[EntryDate],DATE(2026,7,8),tblDaily[WardCode],"FW")),"")</f>
        <v/>
      </c>
      <c r="D248" s="5" t="str">
        <f>IFERROR(IF(SUMIFS(tblDaily[Deaths],tblDaily[EntryDate],DATE(2026,7,8),tblDaily[WardCode],"FW")=0,"",SUMIFS(tblDaily[Deaths],tblDaily[EntryDate],DATE(2026,7,8),tblDaily[WardCode],"FW")),"")</f>
        <v/>
      </c>
      <c r="E248" s="5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5" t="str">
        <f>IFERROR(IF(SUMIFS(tblDaily[TransfersIn],tblDaily[EntryDate],DATE(2026,7,8),tblDaily[WardCode],"FW")=0,"",SUMIFS(tblDaily[TransfersIn],tblDaily[EntryDate],DATE(2026,7,8),tblDaily[WardCode],"FW")),"")</f>
        <v/>
      </c>
      <c r="G248" s="5" t="str">
        <f>IFERROR(IF(SUMIFS(tblDaily[TransfersOut],tblDaily[EntryDate],DATE(2026,7,8),tblDaily[WardCode],"FW")=0,"",SUMIFS(tblDaily[TransfersOut],tblDaily[EntryDate],DATE(2026,7,8),tblDaily[WardCode],"FW")),"")</f>
        <v/>
      </c>
      <c r="H248" s="5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IFERROR(IF(SUMIFS(tblDaily[Admissions],tblDaily[EntryDate],DATE(2026,7,9),tblDaily[WardCode],"FW")=0,"",SUMIFS(tblDaily[Admissions],tblDaily[EntryDate],DATE(2026,7,9),tblDaily[WardCode],"FW")),"")</f>
        <v/>
      </c>
      <c r="C249" s="5" t="str">
        <f>IFERROR(IF(SUMIFS(tblDaily[Discharges],tblDaily[EntryDate],DATE(2026,7,9),tblDaily[WardCode],"FW")=0,"",SUMIFS(tblDaily[Discharges],tblDaily[EntryDate],DATE(2026,7,9),tblDaily[WardCode],"FW")),"")</f>
        <v/>
      </c>
      <c r="D249" s="5" t="str">
        <f>IFERROR(IF(SUMIFS(tblDaily[Deaths],tblDaily[EntryDate],DATE(2026,7,9),tblDaily[WardCode],"FW")=0,"",SUMIFS(tblDaily[Deaths],tblDaily[EntryDate],DATE(2026,7,9),tblDaily[WardCode],"FW")),"")</f>
        <v/>
      </c>
      <c r="E249" s="5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5" t="str">
        <f>IFERROR(IF(SUMIFS(tblDaily[TransfersIn],tblDaily[EntryDate],DATE(2026,7,9),tblDaily[WardCode],"FW")=0,"",SUMIFS(tblDaily[TransfersIn],tblDaily[EntryDate],DATE(2026,7,9),tblDaily[WardCode],"FW")),"")</f>
        <v/>
      </c>
      <c r="G249" s="5" t="str">
        <f>IFERROR(IF(SUMIFS(tblDaily[TransfersOut],tblDaily[EntryDate],DATE(2026,7,9),tblDaily[WardCode],"FW")=0,"",SUMIFS(tblDaily[TransfersOut],tblDaily[EntryDate],DATE(2026,7,9),tblDaily[WardCode],"FW")),"")</f>
        <v/>
      </c>
      <c r="H249" s="5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IFERROR(IF(SUMIFS(tblDaily[Admissions],tblDaily[EntryDate],DATE(2026,7,10),tblDaily[WardCode],"FW")=0,"",SUMIFS(tblDaily[Admissions],tblDaily[EntryDate],DATE(2026,7,10),tblDaily[WardCode],"FW")),"")</f>
        <v/>
      </c>
      <c r="C250" s="5" t="str">
        <f>IFERROR(IF(SUMIFS(tblDaily[Discharges],tblDaily[EntryDate],DATE(2026,7,10),tblDaily[WardCode],"FW")=0,"",SUMIFS(tblDaily[Discharges],tblDaily[EntryDate],DATE(2026,7,10),tblDaily[WardCode],"FW")),"")</f>
        <v/>
      </c>
      <c r="D250" s="5" t="str">
        <f>IFERROR(IF(SUMIFS(tblDaily[Deaths],tblDaily[EntryDate],DATE(2026,7,10),tblDaily[WardCode],"FW")=0,"",SUMIFS(tblDaily[Deaths],tblDaily[EntryDate],DATE(2026,7,10),tblDaily[WardCode],"FW")),"")</f>
        <v/>
      </c>
      <c r="E250" s="5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5" t="str">
        <f>IFERROR(IF(SUMIFS(tblDaily[TransfersIn],tblDaily[EntryDate],DATE(2026,7,10),tblDaily[WardCode],"FW")=0,"",SUMIFS(tblDaily[TransfersIn],tblDaily[EntryDate],DATE(2026,7,10),tblDaily[WardCode],"FW")),"")</f>
        <v/>
      </c>
      <c r="G250" s="5" t="str">
        <f>IFERROR(IF(SUMIFS(tblDaily[TransfersOut],tblDaily[EntryDate],DATE(2026,7,10),tblDaily[WardCode],"FW")=0,"",SUMIFS(tblDaily[TransfersOut],tblDaily[EntryDate],DATE(2026,7,10),tblDaily[WardCode],"FW")),"")</f>
        <v/>
      </c>
      <c r="H250" s="5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IFERROR(IF(SUMIFS(tblDaily[Admissions],tblDaily[EntryDate],DATE(2026,7,11),tblDaily[WardCode],"FW")=0,"",SUMIFS(tblDaily[Admissions],tblDaily[EntryDate],DATE(2026,7,11),tblDaily[WardCode],"FW")),"")</f>
        <v/>
      </c>
      <c r="C251" s="5" t="str">
        <f>IFERROR(IF(SUMIFS(tblDaily[Discharges],tblDaily[EntryDate],DATE(2026,7,11),tblDaily[WardCode],"FW")=0,"",SUMIFS(tblDaily[Discharges],tblDaily[EntryDate],DATE(2026,7,11),tblDaily[WardCode],"FW")),"")</f>
        <v/>
      </c>
      <c r="D251" s="5" t="str">
        <f>IFERROR(IF(SUMIFS(tblDaily[Deaths],tblDaily[EntryDate],DATE(2026,7,11),tblDaily[WardCode],"FW")=0,"",SUMIFS(tblDaily[Deaths],tblDaily[EntryDate],DATE(2026,7,11),tblDaily[WardCode],"FW")),"")</f>
        <v/>
      </c>
      <c r="E251" s="5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5" t="str">
        <f>IFERROR(IF(SUMIFS(tblDaily[TransfersIn],tblDaily[EntryDate],DATE(2026,7,11),tblDaily[WardCode],"FW")=0,"",SUMIFS(tblDaily[TransfersIn],tblDaily[EntryDate],DATE(2026,7,11),tblDaily[WardCode],"FW")),"")</f>
        <v/>
      </c>
      <c r="G251" s="5" t="str">
        <f>IFERROR(IF(SUMIFS(tblDaily[TransfersOut],tblDaily[EntryDate],DATE(2026,7,11),tblDaily[WardCode],"FW")=0,"",SUMIFS(tblDaily[TransfersOut],tblDaily[EntryDate],DATE(2026,7,11),tblDaily[WardCode],"FW")),"")</f>
        <v/>
      </c>
      <c r="H251" s="5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IFERROR(IF(SUMIFS(tblDaily[Admissions],tblDaily[EntryDate],DATE(2026,7,12),tblDaily[WardCode],"FW")=0,"",SUMIFS(tblDaily[Admissions],tblDaily[EntryDate],DATE(2026,7,12),tblDaily[WardCode],"FW")),"")</f>
        <v/>
      </c>
      <c r="C252" s="5" t="str">
        <f>IFERROR(IF(SUMIFS(tblDaily[Discharges],tblDaily[EntryDate],DATE(2026,7,12),tblDaily[WardCode],"FW")=0,"",SUMIFS(tblDaily[Discharges],tblDaily[EntryDate],DATE(2026,7,12),tblDaily[WardCode],"FW")),"")</f>
        <v/>
      </c>
      <c r="D252" s="5" t="str">
        <f>IFERROR(IF(SUMIFS(tblDaily[Deaths],tblDaily[EntryDate],DATE(2026,7,12),tblDaily[WardCode],"FW")=0,"",SUMIFS(tblDaily[Deaths],tblDaily[EntryDate],DATE(2026,7,12),tblDaily[WardCode],"FW")),"")</f>
        <v/>
      </c>
      <c r="E252" s="5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5" t="str">
        <f>IFERROR(IF(SUMIFS(tblDaily[TransfersIn],tblDaily[EntryDate],DATE(2026,7,12),tblDaily[WardCode],"FW")=0,"",SUMIFS(tblDaily[TransfersIn],tblDaily[EntryDate],DATE(2026,7,12),tblDaily[WardCode],"FW")),"")</f>
        <v/>
      </c>
      <c r="G252" s="5" t="str">
        <f>IFERROR(IF(SUMIFS(tblDaily[TransfersOut],tblDaily[EntryDate],DATE(2026,7,12),tblDaily[WardCode],"FW")=0,"",SUMIFS(tblDaily[TransfersOut],tblDaily[EntryDate],DATE(2026,7,12),tblDaily[WardCode],"FW")),"")</f>
        <v/>
      </c>
      <c r="H252" s="5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IFERROR(IF(SUMIFS(tblDaily[Admissions],tblDaily[EntryDate],DATE(2026,7,13),tblDaily[WardCode],"FW")=0,"",SUMIFS(tblDaily[Admissions],tblDaily[EntryDate],DATE(2026,7,13),tblDaily[WardCode],"FW")),"")</f>
        <v/>
      </c>
      <c r="C253" s="5" t="str">
        <f>IFERROR(IF(SUMIFS(tblDaily[Discharges],tblDaily[EntryDate],DATE(2026,7,13),tblDaily[WardCode],"FW")=0,"",SUMIFS(tblDaily[Discharges],tblDaily[EntryDate],DATE(2026,7,13),tblDaily[WardCode],"FW")),"")</f>
        <v/>
      </c>
      <c r="D253" s="5" t="str">
        <f>IFERROR(IF(SUMIFS(tblDaily[Deaths],tblDaily[EntryDate],DATE(2026,7,13),tblDaily[WardCode],"FW")=0,"",SUMIFS(tblDaily[Deaths],tblDaily[EntryDate],DATE(2026,7,13),tblDaily[WardCode],"FW")),"")</f>
        <v/>
      </c>
      <c r="E253" s="5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5" t="str">
        <f>IFERROR(IF(SUMIFS(tblDaily[TransfersIn],tblDaily[EntryDate],DATE(2026,7,13),tblDaily[WardCode],"FW")=0,"",SUMIFS(tblDaily[TransfersIn],tblDaily[EntryDate],DATE(2026,7,13),tblDaily[WardCode],"FW")),"")</f>
        <v/>
      </c>
      <c r="G253" s="5" t="str">
        <f>IFERROR(IF(SUMIFS(tblDaily[TransfersOut],tblDaily[EntryDate],DATE(2026,7,13),tblDaily[WardCode],"FW")=0,"",SUMIFS(tblDaily[TransfersOut],tblDaily[EntryDate],DATE(2026,7,13),tblDaily[WardCode],"FW")),"")</f>
        <v/>
      </c>
      <c r="H253" s="5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IFERROR(IF(SUMIFS(tblDaily[Admissions],tblDaily[EntryDate],DATE(2026,7,14),tblDaily[WardCode],"FW")=0,"",SUMIFS(tblDaily[Admissions],tblDaily[EntryDate],DATE(2026,7,14),tblDaily[WardCode],"FW")),"")</f>
        <v/>
      </c>
      <c r="C254" s="5" t="str">
        <f>IFERROR(IF(SUMIFS(tblDaily[Discharges],tblDaily[EntryDate],DATE(2026,7,14),tblDaily[WardCode],"FW")=0,"",SUMIFS(tblDaily[Discharges],tblDaily[EntryDate],DATE(2026,7,14),tblDaily[WardCode],"FW")),"")</f>
        <v/>
      </c>
      <c r="D254" s="5" t="str">
        <f>IFERROR(IF(SUMIFS(tblDaily[Deaths],tblDaily[EntryDate],DATE(2026,7,14),tblDaily[WardCode],"FW")=0,"",SUMIFS(tblDaily[Deaths],tblDaily[EntryDate],DATE(2026,7,14),tblDaily[WardCode],"FW")),"")</f>
        <v/>
      </c>
      <c r="E254" s="5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5" t="str">
        <f>IFERROR(IF(SUMIFS(tblDaily[TransfersIn],tblDaily[EntryDate],DATE(2026,7,14),tblDaily[WardCode],"FW")=0,"",SUMIFS(tblDaily[TransfersIn],tblDaily[EntryDate],DATE(2026,7,14),tblDaily[WardCode],"FW")),"")</f>
        <v/>
      </c>
      <c r="G254" s="5" t="str">
        <f>IFERROR(IF(SUMIFS(tblDaily[TransfersOut],tblDaily[EntryDate],DATE(2026,7,14),tblDaily[WardCode],"FW")=0,"",SUMIFS(tblDaily[TransfersOut],tblDaily[EntryDate],DATE(2026,7,14),tblDaily[WardCode],"FW")),"")</f>
        <v/>
      </c>
      <c r="H254" s="5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IFERROR(IF(SUMIFS(tblDaily[Admissions],tblDaily[EntryDate],DATE(2026,7,15),tblDaily[WardCode],"FW")=0,"",SUMIFS(tblDaily[Admissions],tblDaily[EntryDate],DATE(2026,7,15),tblDaily[WardCode],"FW")),"")</f>
        <v/>
      </c>
      <c r="C255" s="5" t="str">
        <f>IFERROR(IF(SUMIFS(tblDaily[Discharges],tblDaily[EntryDate],DATE(2026,7,15),tblDaily[WardCode],"FW")=0,"",SUMIFS(tblDaily[Discharges],tblDaily[EntryDate],DATE(2026,7,15),tblDaily[WardCode],"FW")),"")</f>
        <v/>
      </c>
      <c r="D255" s="5" t="str">
        <f>IFERROR(IF(SUMIFS(tblDaily[Deaths],tblDaily[EntryDate],DATE(2026,7,15),tblDaily[WardCode],"FW")=0,"",SUMIFS(tblDaily[Deaths],tblDaily[EntryDate],DATE(2026,7,15),tblDaily[WardCode],"FW")),"")</f>
        <v/>
      </c>
      <c r="E255" s="5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5" t="str">
        <f>IFERROR(IF(SUMIFS(tblDaily[TransfersIn],tblDaily[EntryDate],DATE(2026,7,15),tblDaily[WardCode],"FW")=0,"",SUMIFS(tblDaily[TransfersIn],tblDaily[EntryDate],DATE(2026,7,15),tblDaily[WardCode],"FW")),"")</f>
        <v/>
      </c>
      <c r="G255" s="5" t="str">
        <f>IFERROR(IF(SUMIFS(tblDaily[TransfersOut],tblDaily[EntryDate],DATE(2026,7,15),tblDaily[WardCode],"FW")=0,"",SUMIFS(tblDaily[TransfersOut],tblDaily[EntryDate],DATE(2026,7,15),tblDaily[WardCode],"FW")),"")</f>
        <v/>
      </c>
      <c r="H255" s="5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IFERROR(IF(SUMIFS(tblDaily[Admissions],tblDaily[EntryDate],DATE(2026,7,16),tblDaily[WardCode],"FW")=0,"",SUMIFS(tblDaily[Admissions],tblDaily[EntryDate],DATE(2026,7,16),tblDaily[WardCode],"FW")),"")</f>
        <v/>
      </c>
      <c r="C256" s="5" t="str">
        <f>IFERROR(IF(SUMIFS(tblDaily[Discharges],tblDaily[EntryDate],DATE(2026,7,16),tblDaily[WardCode],"FW")=0,"",SUMIFS(tblDaily[Discharges],tblDaily[EntryDate],DATE(2026,7,16),tblDaily[WardCode],"FW")),"")</f>
        <v/>
      </c>
      <c r="D256" s="5" t="str">
        <f>IFERROR(IF(SUMIFS(tblDaily[Deaths],tblDaily[EntryDate],DATE(2026,7,16),tblDaily[WardCode],"FW")=0,"",SUMIFS(tblDaily[Deaths],tblDaily[EntryDate],DATE(2026,7,16),tblDaily[WardCode],"FW")),"")</f>
        <v/>
      </c>
      <c r="E256" s="5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5" t="str">
        <f>IFERROR(IF(SUMIFS(tblDaily[TransfersIn],tblDaily[EntryDate],DATE(2026,7,16),tblDaily[WardCode],"FW")=0,"",SUMIFS(tblDaily[TransfersIn],tblDaily[EntryDate],DATE(2026,7,16),tblDaily[WardCode],"FW")),"")</f>
        <v/>
      </c>
      <c r="G256" s="5" t="str">
        <f>IFERROR(IF(SUMIFS(tblDaily[TransfersOut],tblDaily[EntryDate],DATE(2026,7,16),tblDaily[WardCode],"FW")=0,"",SUMIFS(tblDaily[TransfersOut],tblDaily[EntryDate],DATE(2026,7,16),tblDaily[WardCode],"FW")),"")</f>
        <v/>
      </c>
      <c r="H256" s="5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IFERROR(IF(SUMIFS(tblDaily[Admissions],tblDaily[EntryDate],DATE(2026,7,17),tblDaily[WardCode],"FW")=0,"",SUMIFS(tblDaily[Admissions],tblDaily[EntryDate],DATE(2026,7,17),tblDaily[WardCode],"FW")),"")</f>
        <v/>
      </c>
      <c r="C257" s="5" t="str">
        <f>IFERROR(IF(SUMIFS(tblDaily[Discharges],tblDaily[EntryDate],DATE(2026,7,17),tblDaily[WardCode],"FW")=0,"",SUMIFS(tblDaily[Discharges],tblDaily[EntryDate],DATE(2026,7,17),tblDaily[WardCode],"FW")),"")</f>
        <v/>
      </c>
      <c r="D257" s="5" t="str">
        <f>IFERROR(IF(SUMIFS(tblDaily[Deaths],tblDaily[EntryDate],DATE(2026,7,17),tblDaily[WardCode],"FW")=0,"",SUMIFS(tblDaily[Deaths],tblDaily[EntryDate],DATE(2026,7,17),tblDaily[WardCode],"FW")),"")</f>
        <v/>
      </c>
      <c r="E257" s="5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5" t="str">
        <f>IFERROR(IF(SUMIFS(tblDaily[TransfersIn],tblDaily[EntryDate],DATE(2026,7,17),tblDaily[WardCode],"FW")=0,"",SUMIFS(tblDaily[TransfersIn],tblDaily[EntryDate],DATE(2026,7,17),tblDaily[WardCode],"FW")),"")</f>
        <v/>
      </c>
      <c r="G257" s="5" t="str">
        <f>IFERROR(IF(SUMIFS(tblDaily[TransfersOut],tblDaily[EntryDate],DATE(2026,7,17),tblDaily[WardCode],"FW")=0,"",SUMIFS(tblDaily[TransfersOut],tblDaily[EntryDate],DATE(2026,7,17),tblDaily[WardCode],"FW")),"")</f>
        <v/>
      </c>
      <c r="H257" s="5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IFERROR(IF(SUMIFS(tblDaily[Admissions],tblDaily[EntryDate],DATE(2026,7,18),tblDaily[WardCode],"FW")=0,"",SUMIFS(tblDaily[Admissions],tblDaily[EntryDate],DATE(2026,7,18),tblDaily[WardCode],"FW")),"")</f>
        <v/>
      </c>
      <c r="C258" s="5" t="str">
        <f>IFERROR(IF(SUMIFS(tblDaily[Discharges],tblDaily[EntryDate],DATE(2026,7,18),tblDaily[WardCode],"FW")=0,"",SUMIFS(tblDaily[Discharges],tblDaily[EntryDate],DATE(2026,7,18),tblDaily[WardCode],"FW")),"")</f>
        <v/>
      </c>
      <c r="D258" s="5" t="str">
        <f>IFERROR(IF(SUMIFS(tblDaily[Deaths],tblDaily[EntryDate],DATE(2026,7,18),tblDaily[WardCode],"FW")=0,"",SUMIFS(tblDaily[Deaths],tblDaily[EntryDate],DATE(2026,7,18),tblDaily[WardCode],"FW")),"")</f>
        <v/>
      </c>
      <c r="E258" s="5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5" t="str">
        <f>IFERROR(IF(SUMIFS(tblDaily[TransfersIn],tblDaily[EntryDate],DATE(2026,7,18),tblDaily[WardCode],"FW")=0,"",SUMIFS(tblDaily[TransfersIn],tblDaily[EntryDate],DATE(2026,7,18),tblDaily[WardCode],"FW")),"")</f>
        <v/>
      </c>
      <c r="G258" s="5" t="str">
        <f>IFERROR(IF(SUMIFS(tblDaily[TransfersOut],tblDaily[EntryDate],DATE(2026,7,18),tblDaily[WardCode],"FW")=0,"",SUMIFS(tblDaily[TransfersOut],tblDaily[EntryDate],DATE(2026,7,18),tblDaily[WardCode],"FW")),"")</f>
        <v/>
      </c>
      <c r="H258" s="5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IFERROR(IF(SUMIFS(tblDaily[Admissions],tblDaily[EntryDate],DATE(2026,7,19),tblDaily[WardCode],"FW")=0,"",SUMIFS(tblDaily[Admissions],tblDaily[EntryDate],DATE(2026,7,19),tblDaily[WardCode],"FW")),"")</f>
        <v/>
      </c>
      <c r="C259" s="5" t="str">
        <f>IFERROR(IF(SUMIFS(tblDaily[Discharges],tblDaily[EntryDate],DATE(2026,7,19),tblDaily[WardCode],"FW")=0,"",SUMIFS(tblDaily[Discharges],tblDaily[EntryDate],DATE(2026,7,19),tblDaily[WardCode],"FW")),"")</f>
        <v/>
      </c>
      <c r="D259" s="5" t="str">
        <f>IFERROR(IF(SUMIFS(tblDaily[Deaths],tblDaily[EntryDate],DATE(2026,7,19),tblDaily[WardCode],"FW")=0,"",SUMIFS(tblDaily[Deaths],tblDaily[EntryDate],DATE(2026,7,19),tblDaily[WardCode],"FW")),"")</f>
        <v/>
      </c>
      <c r="E259" s="5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5" t="str">
        <f>IFERROR(IF(SUMIFS(tblDaily[TransfersIn],tblDaily[EntryDate],DATE(2026,7,19),tblDaily[WardCode],"FW")=0,"",SUMIFS(tblDaily[TransfersIn],tblDaily[EntryDate],DATE(2026,7,19),tblDaily[WardCode],"FW")),"")</f>
        <v/>
      </c>
      <c r="G259" s="5" t="str">
        <f>IFERROR(IF(SUMIFS(tblDaily[TransfersOut],tblDaily[EntryDate],DATE(2026,7,19),tblDaily[WardCode],"FW")=0,"",SUMIFS(tblDaily[TransfersOut],tblDaily[EntryDate],DATE(2026,7,19),tblDaily[WardCode],"FW")),"")</f>
        <v/>
      </c>
      <c r="H259" s="5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IFERROR(IF(SUMIFS(tblDaily[Admissions],tblDaily[EntryDate],DATE(2026,7,20),tblDaily[WardCode],"FW")=0,"",SUMIFS(tblDaily[Admissions],tblDaily[EntryDate],DATE(2026,7,20),tblDaily[WardCode],"FW")),"")</f>
        <v/>
      </c>
      <c r="C260" s="5" t="str">
        <f>IFERROR(IF(SUMIFS(tblDaily[Discharges],tblDaily[EntryDate],DATE(2026,7,20),tblDaily[WardCode],"FW")=0,"",SUMIFS(tblDaily[Discharges],tblDaily[EntryDate],DATE(2026,7,20),tblDaily[WardCode],"FW")),"")</f>
        <v/>
      </c>
      <c r="D260" s="5" t="str">
        <f>IFERROR(IF(SUMIFS(tblDaily[Deaths],tblDaily[EntryDate],DATE(2026,7,20),tblDaily[WardCode],"FW")=0,"",SUMIFS(tblDaily[Deaths],tblDaily[EntryDate],DATE(2026,7,20),tblDaily[WardCode],"FW")),"")</f>
        <v/>
      </c>
      <c r="E260" s="5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5" t="str">
        <f>IFERROR(IF(SUMIFS(tblDaily[TransfersIn],tblDaily[EntryDate],DATE(2026,7,20),tblDaily[WardCode],"FW")=0,"",SUMIFS(tblDaily[TransfersIn],tblDaily[EntryDate],DATE(2026,7,20),tblDaily[WardCode],"FW")),"")</f>
        <v/>
      </c>
      <c r="G260" s="5" t="str">
        <f>IFERROR(IF(SUMIFS(tblDaily[TransfersOut],tblDaily[EntryDate],DATE(2026,7,20),tblDaily[WardCode],"FW")=0,"",SUMIFS(tblDaily[TransfersOut],tblDaily[EntryDate],DATE(2026,7,20),tblDaily[WardCode],"FW")),"")</f>
        <v/>
      </c>
      <c r="H260" s="5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IFERROR(IF(SUMIFS(tblDaily[Admissions],tblDaily[EntryDate],DATE(2026,7,21),tblDaily[WardCode],"FW")=0,"",SUMIFS(tblDaily[Admissions],tblDaily[EntryDate],DATE(2026,7,21),tblDaily[WardCode],"FW")),"")</f>
        <v/>
      </c>
      <c r="C261" s="5" t="str">
        <f>IFERROR(IF(SUMIFS(tblDaily[Discharges],tblDaily[EntryDate],DATE(2026,7,21),tblDaily[WardCode],"FW")=0,"",SUMIFS(tblDaily[Discharges],tblDaily[EntryDate],DATE(2026,7,21),tblDaily[WardCode],"FW")),"")</f>
        <v/>
      </c>
      <c r="D261" s="5" t="str">
        <f>IFERROR(IF(SUMIFS(tblDaily[Deaths],tblDaily[EntryDate],DATE(2026,7,21),tblDaily[WardCode],"FW")=0,"",SUMIFS(tblDaily[Deaths],tblDaily[EntryDate],DATE(2026,7,21),tblDaily[WardCode],"FW")),"")</f>
        <v/>
      </c>
      <c r="E261" s="5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5" t="str">
        <f>IFERROR(IF(SUMIFS(tblDaily[TransfersIn],tblDaily[EntryDate],DATE(2026,7,21),tblDaily[WardCode],"FW")=0,"",SUMIFS(tblDaily[TransfersIn],tblDaily[EntryDate],DATE(2026,7,21),tblDaily[WardCode],"FW")),"")</f>
        <v/>
      </c>
      <c r="G261" s="5" t="str">
        <f>IFERROR(IF(SUMIFS(tblDaily[TransfersOut],tblDaily[EntryDate],DATE(2026,7,21),tblDaily[WardCode],"FW")=0,"",SUMIFS(tblDaily[TransfersOut],tblDaily[EntryDate],DATE(2026,7,21),tblDaily[WardCode],"FW")),"")</f>
        <v/>
      </c>
      <c r="H261" s="5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IFERROR(IF(SUMIFS(tblDaily[Admissions],tblDaily[EntryDate],DATE(2026,7,22),tblDaily[WardCode],"FW")=0,"",SUMIFS(tblDaily[Admissions],tblDaily[EntryDate],DATE(2026,7,22),tblDaily[WardCode],"FW")),"")</f>
        <v/>
      </c>
      <c r="C262" s="5" t="str">
        <f>IFERROR(IF(SUMIFS(tblDaily[Discharges],tblDaily[EntryDate],DATE(2026,7,22),tblDaily[WardCode],"FW")=0,"",SUMIFS(tblDaily[Discharges],tblDaily[EntryDate],DATE(2026,7,22),tblDaily[WardCode],"FW")),"")</f>
        <v/>
      </c>
      <c r="D262" s="5" t="str">
        <f>IFERROR(IF(SUMIFS(tblDaily[Deaths],tblDaily[EntryDate],DATE(2026,7,22),tblDaily[WardCode],"FW")=0,"",SUMIFS(tblDaily[Deaths],tblDaily[EntryDate],DATE(2026,7,22),tblDaily[WardCode],"FW")),"")</f>
        <v/>
      </c>
      <c r="E262" s="5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5" t="str">
        <f>IFERROR(IF(SUMIFS(tblDaily[TransfersIn],tblDaily[EntryDate],DATE(2026,7,22),tblDaily[WardCode],"FW")=0,"",SUMIFS(tblDaily[TransfersIn],tblDaily[EntryDate],DATE(2026,7,22),tblDaily[WardCode],"FW")),"")</f>
        <v/>
      </c>
      <c r="G262" s="5" t="str">
        <f>IFERROR(IF(SUMIFS(tblDaily[TransfersOut],tblDaily[EntryDate],DATE(2026,7,22),tblDaily[WardCode],"FW")=0,"",SUMIFS(tblDaily[TransfersOut],tblDaily[EntryDate],DATE(2026,7,22),tblDaily[WardCode],"FW")),"")</f>
        <v/>
      </c>
      <c r="H262" s="5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IFERROR(IF(SUMIFS(tblDaily[Admissions],tblDaily[EntryDate],DATE(2026,7,23),tblDaily[WardCode],"FW")=0,"",SUMIFS(tblDaily[Admissions],tblDaily[EntryDate],DATE(2026,7,23),tblDaily[WardCode],"FW")),"")</f>
        <v/>
      </c>
      <c r="C263" s="5" t="str">
        <f>IFERROR(IF(SUMIFS(tblDaily[Discharges],tblDaily[EntryDate],DATE(2026,7,23),tblDaily[WardCode],"FW")=0,"",SUMIFS(tblDaily[Discharges],tblDaily[EntryDate],DATE(2026,7,23),tblDaily[WardCode],"FW")),"")</f>
        <v/>
      </c>
      <c r="D263" s="5" t="str">
        <f>IFERROR(IF(SUMIFS(tblDaily[Deaths],tblDaily[EntryDate],DATE(2026,7,23),tblDaily[WardCode],"FW")=0,"",SUMIFS(tblDaily[Deaths],tblDaily[EntryDate],DATE(2026,7,23),tblDaily[WardCode],"FW")),"")</f>
        <v/>
      </c>
      <c r="E263" s="5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5" t="str">
        <f>IFERROR(IF(SUMIFS(tblDaily[TransfersIn],tblDaily[EntryDate],DATE(2026,7,23),tblDaily[WardCode],"FW")=0,"",SUMIFS(tblDaily[TransfersIn],tblDaily[EntryDate],DATE(2026,7,23),tblDaily[WardCode],"FW")),"")</f>
        <v/>
      </c>
      <c r="G263" s="5" t="str">
        <f>IFERROR(IF(SUMIFS(tblDaily[TransfersOut],tblDaily[EntryDate],DATE(2026,7,23),tblDaily[WardCode],"FW")=0,"",SUMIFS(tblDaily[TransfersOut],tblDaily[EntryDate],DATE(2026,7,23),tblDaily[WardCode],"FW")),"")</f>
        <v/>
      </c>
      <c r="H263" s="5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IFERROR(IF(SUMIFS(tblDaily[Admissions],tblDaily[EntryDate],DATE(2026,7,24),tblDaily[WardCode],"FW")=0,"",SUMIFS(tblDaily[Admissions],tblDaily[EntryDate],DATE(2026,7,24),tblDaily[WardCode],"FW")),"")</f>
        <v/>
      </c>
      <c r="C264" s="5" t="str">
        <f>IFERROR(IF(SUMIFS(tblDaily[Discharges],tblDaily[EntryDate],DATE(2026,7,24),tblDaily[WardCode],"FW")=0,"",SUMIFS(tblDaily[Discharges],tblDaily[EntryDate],DATE(2026,7,24),tblDaily[WardCode],"FW")),"")</f>
        <v/>
      </c>
      <c r="D264" s="5" t="str">
        <f>IFERROR(IF(SUMIFS(tblDaily[Deaths],tblDaily[EntryDate],DATE(2026,7,24),tblDaily[WardCode],"FW")=0,"",SUMIFS(tblDaily[Deaths],tblDaily[EntryDate],DATE(2026,7,24),tblDaily[WardCode],"FW")),"")</f>
        <v/>
      </c>
      <c r="E264" s="5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5" t="str">
        <f>IFERROR(IF(SUMIFS(tblDaily[TransfersIn],tblDaily[EntryDate],DATE(2026,7,24),tblDaily[WardCode],"FW")=0,"",SUMIFS(tblDaily[TransfersIn],tblDaily[EntryDate],DATE(2026,7,24),tblDaily[WardCode],"FW")),"")</f>
        <v/>
      </c>
      <c r="G264" s="5" t="str">
        <f>IFERROR(IF(SUMIFS(tblDaily[TransfersOut],tblDaily[EntryDate],DATE(2026,7,24),tblDaily[WardCode],"FW")=0,"",SUMIFS(tblDaily[TransfersOut],tblDaily[EntryDate],DATE(2026,7,24),tblDaily[WardCode],"FW")),"")</f>
        <v/>
      </c>
      <c r="H264" s="5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IFERROR(IF(SUMIFS(tblDaily[Admissions],tblDaily[EntryDate],DATE(2026,7,25),tblDaily[WardCode],"FW")=0,"",SUMIFS(tblDaily[Admissions],tblDaily[EntryDate],DATE(2026,7,25),tblDaily[WardCode],"FW")),"")</f>
        <v/>
      </c>
      <c r="C265" s="5" t="str">
        <f>IFERROR(IF(SUMIFS(tblDaily[Discharges],tblDaily[EntryDate],DATE(2026,7,25),tblDaily[WardCode],"FW")=0,"",SUMIFS(tblDaily[Discharges],tblDaily[EntryDate],DATE(2026,7,25),tblDaily[WardCode],"FW")),"")</f>
        <v/>
      </c>
      <c r="D265" s="5" t="str">
        <f>IFERROR(IF(SUMIFS(tblDaily[Deaths],tblDaily[EntryDate],DATE(2026,7,25),tblDaily[WardCode],"FW")=0,"",SUMIFS(tblDaily[Deaths],tblDaily[EntryDate],DATE(2026,7,25),tblDaily[WardCode],"FW")),"")</f>
        <v/>
      </c>
      <c r="E265" s="5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5" t="str">
        <f>IFERROR(IF(SUMIFS(tblDaily[TransfersIn],tblDaily[EntryDate],DATE(2026,7,25),tblDaily[WardCode],"FW")=0,"",SUMIFS(tblDaily[TransfersIn],tblDaily[EntryDate],DATE(2026,7,25),tblDaily[WardCode],"FW")),"")</f>
        <v/>
      </c>
      <c r="G265" s="5" t="str">
        <f>IFERROR(IF(SUMIFS(tblDaily[TransfersOut],tblDaily[EntryDate],DATE(2026,7,25),tblDaily[WardCode],"FW")=0,"",SUMIFS(tblDaily[TransfersOut],tblDaily[EntryDate],DATE(2026,7,25),tblDaily[WardCode],"FW")),"")</f>
        <v/>
      </c>
      <c r="H265" s="5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IFERROR(IF(SUMIFS(tblDaily[Admissions],tblDaily[EntryDate],DATE(2026,7,26),tblDaily[WardCode],"FW")=0,"",SUMIFS(tblDaily[Admissions],tblDaily[EntryDate],DATE(2026,7,26),tblDaily[WardCode],"FW")),"")</f>
        <v/>
      </c>
      <c r="C266" s="5" t="str">
        <f>IFERROR(IF(SUMIFS(tblDaily[Discharges],tblDaily[EntryDate],DATE(2026,7,26),tblDaily[WardCode],"FW")=0,"",SUMIFS(tblDaily[Discharges],tblDaily[EntryDate],DATE(2026,7,26),tblDaily[WardCode],"FW")),"")</f>
        <v/>
      </c>
      <c r="D266" s="5" t="str">
        <f>IFERROR(IF(SUMIFS(tblDaily[Deaths],tblDaily[EntryDate],DATE(2026,7,26),tblDaily[WardCode],"FW")=0,"",SUMIFS(tblDaily[Deaths],tblDaily[EntryDate],DATE(2026,7,26),tblDaily[WardCode],"FW")),"")</f>
        <v/>
      </c>
      <c r="E266" s="5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5" t="str">
        <f>IFERROR(IF(SUMIFS(tblDaily[TransfersIn],tblDaily[EntryDate],DATE(2026,7,26),tblDaily[WardCode],"FW")=0,"",SUMIFS(tblDaily[TransfersIn],tblDaily[EntryDate],DATE(2026,7,26),tblDaily[WardCode],"FW")),"")</f>
        <v/>
      </c>
      <c r="G266" s="5" t="str">
        <f>IFERROR(IF(SUMIFS(tblDaily[TransfersOut],tblDaily[EntryDate],DATE(2026,7,26),tblDaily[WardCode],"FW")=0,"",SUMIFS(tblDaily[TransfersOut],tblDaily[EntryDate],DATE(2026,7,26),tblDaily[WardCode],"FW")),"")</f>
        <v/>
      </c>
      <c r="H266" s="5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IFERROR(IF(SUMIFS(tblDaily[Admissions],tblDaily[EntryDate],DATE(2026,7,27),tblDaily[WardCode],"FW")=0,"",SUMIFS(tblDaily[Admissions],tblDaily[EntryDate],DATE(2026,7,27),tblDaily[WardCode],"FW")),"")</f>
        <v/>
      </c>
      <c r="C267" s="5" t="str">
        <f>IFERROR(IF(SUMIFS(tblDaily[Discharges],tblDaily[EntryDate],DATE(2026,7,27),tblDaily[WardCode],"FW")=0,"",SUMIFS(tblDaily[Discharges],tblDaily[EntryDate],DATE(2026,7,27),tblDaily[WardCode],"FW")),"")</f>
        <v/>
      </c>
      <c r="D267" s="5" t="str">
        <f>IFERROR(IF(SUMIFS(tblDaily[Deaths],tblDaily[EntryDate],DATE(2026,7,27),tblDaily[WardCode],"FW")=0,"",SUMIFS(tblDaily[Deaths],tblDaily[EntryDate],DATE(2026,7,27),tblDaily[WardCode],"FW")),"")</f>
        <v/>
      </c>
      <c r="E267" s="5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5" t="str">
        <f>IFERROR(IF(SUMIFS(tblDaily[TransfersIn],tblDaily[EntryDate],DATE(2026,7,27),tblDaily[WardCode],"FW")=0,"",SUMIFS(tblDaily[TransfersIn],tblDaily[EntryDate],DATE(2026,7,27),tblDaily[WardCode],"FW")),"")</f>
        <v/>
      </c>
      <c r="G267" s="5" t="str">
        <f>IFERROR(IF(SUMIFS(tblDaily[TransfersOut],tblDaily[EntryDate],DATE(2026,7,27),tblDaily[WardCode],"FW")=0,"",SUMIFS(tblDaily[TransfersOut],tblDaily[EntryDate],DATE(2026,7,27),tblDaily[WardCode],"FW")),"")</f>
        <v/>
      </c>
      <c r="H267" s="5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IFERROR(IF(SUMIFS(tblDaily[Admissions],tblDaily[EntryDate],DATE(2026,7,28),tblDaily[WardCode],"FW")=0,"",SUMIFS(tblDaily[Admissions],tblDaily[EntryDate],DATE(2026,7,28),tblDaily[WardCode],"FW")),"")</f>
        <v/>
      </c>
      <c r="C268" s="5" t="str">
        <f>IFERROR(IF(SUMIFS(tblDaily[Discharges],tblDaily[EntryDate],DATE(2026,7,28),tblDaily[WardCode],"FW")=0,"",SUMIFS(tblDaily[Discharges],tblDaily[EntryDate],DATE(2026,7,28),tblDaily[WardCode],"FW")),"")</f>
        <v/>
      </c>
      <c r="D268" s="5" t="str">
        <f>IFERROR(IF(SUMIFS(tblDaily[Deaths],tblDaily[EntryDate],DATE(2026,7,28),tblDaily[WardCode],"FW")=0,"",SUMIFS(tblDaily[Deaths],tblDaily[EntryDate],DATE(2026,7,28),tblDaily[WardCode],"FW")),"")</f>
        <v/>
      </c>
      <c r="E268" s="5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5" t="str">
        <f>IFERROR(IF(SUMIFS(tblDaily[TransfersIn],tblDaily[EntryDate],DATE(2026,7,28),tblDaily[WardCode],"FW")=0,"",SUMIFS(tblDaily[TransfersIn],tblDaily[EntryDate],DATE(2026,7,28),tblDaily[WardCode],"FW")),"")</f>
        <v/>
      </c>
      <c r="G268" s="5" t="str">
        <f>IFERROR(IF(SUMIFS(tblDaily[TransfersOut],tblDaily[EntryDate],DATE(2026,7,28),tblDaily[WardCode],"FW")=0,"",SUMIFS(tblDaily[TransfersOut],tblDaily[EntryDate],DATE(2026,7,28),tblDaily[WardCode],"FW")),"")</f>
        <v/>
      </c>
      <c r="H268" s="5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IFERROR(IF(SUMIFS(tblDaily[Admissions],tblDaily[EntryDate],DATE(2026,7,29),tblDaily[WardCode],"FW")=0,"",SUMIFS(tblDaily[Admissions],tblDaily[EntryDate],DATE(2026,7,29),tblDaily[WardCode],"FW")),"")</f>
        <v/>
      </c>
      <c r="C269" s="5" t="str">
        <f>IFERROR(IF(SUMIFS(tblDaily[Discharges],tblDaily[EntryDate],DATE(2026,7,29),tblDaily[WardCode],"FW")=0,"",SUMIFS(tblDaily[Discharges],tblDaily[EntryDate],DATE(2026,7,29),tblDaily[WardCode],"FW")),"")</f>
        <v/>
      </c>
      <c r="D269" s="5" t="str">
        <f>IFERROR(IF(SUMIFS(tblDaily[Deaths],tblDaily[EntryDate],DATE(2026,7,29),tblDaily[WardCode],"FW")=0,"",SUMIFS(tblDaily[Deaths],tblDaily[EntryDate],DATE(2026,7,29),tblDaily[WardCode],"FW")),"")</f>
        <v/>
      </c>
      <c r="E269" s="5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5" t="str">
        <f>IFERROR(IF(SUMIFS(tblDaily[TransfersIn],tblDaily[EntryDate],DATE(2026,7,29),tblDaily[WardCode],"FW")=0,"",SUMIFS(tblDaily[TransfersIn],tblDaily[EntryDate],DATE(2026,7,29),tblDaily[WardCode],"FW")),"")</f>
        <v/>
      </c>
      <c r="G269" s="5" t="str">
        <f>IFERROR(IF(SUMIFS(tblDaily[TransfersOut],tblDaily[EntryDate],DATE(2026,7,29),tblDaily[WardCode],"FW")=0,"",SUMIFS(tblDaily[TransfersOut],tblDaily[EntryDate],DATE(2026,7,29),tblDaily[WardCode],"FW")),"")</f>
        <v/>
      </c>
      <c r="H269" s="5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IFERROR(IF(SUMIFS(tblDaily[Admissions],tblDaily[EntryDate],DATE(2026,7,30),tblDaily[WardCode],"FW")=0,"",SUMIFS(tblDaily[Admissions],tblDaily[EntryDate],DATE(2026,7,30),tblDaily[WardCode],"FW")),"")</f>
        <v/>
      </c>
      <c r="C270" s="5" t="str">
        <f>IFERROR(IF(SUMIFS(tblDaily[Discharges],tblDaily[EntryDate],DATE(2026,7,30),tblDaily[WardCode],"FW")=0,"",SUMIFS(tblDaily[Discharges],tblDaily[EntryDate],DATE(2026,7,30),tblDaily[WardCode],"FW")),"")</f>
        <v/>
      </c>
      <c r="D270" s="5" t="str">
        <f>IFERROR(IF(SUMIFS(tblDaily[Deaths],tblDaily[EntryDate],DATE(2026,7,30),tblDaily[WardCode],"FW")=0,"",SUMIFS(tblDaily[Deaths],tblDaily[EntryDate],DATE(2026,7,30),tblDaily[WardCode],"FW")),"")</f>
        <v/>
      </c>
      <c r="E270" s="5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5" t="str">
        <f>IFERROR(IF(SUMIFS(tblDaily[TransfersIn],tblDaily[EntryDate],DATE(2026,7,30),tblDaily[WardCode],"FW")=0,"",SUMIFS(tblDaily[TransfersIn],tblDaily[EntryDate],DATE(2026,7,30),tblDaily[WardCode],"FW")),"")</f>
        <v/>
      </c>
      <c r="G270" s="5" t="str">
        <f>IFERROR(IF(SUMIFS(tblDaily[TransfersOut],tblDaily[EntryDate],DATE(2026,7,30),tblDaily[WardCode],"FW")=0,"",SUMIFS(tblDaily[TransfersOut],tblDaily[EntryDate],DATE(2026,7,30),tblDaily[WardCode],"FW")),"")</f>
        <v/>
      </c>
      <c r="H270" s="5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IFERROR(IF(SUMIFS(tblDaily[Admissions],tblDaily[EntryDate],DATE(2026,7,31),tblDaily[WardCode],"FW")=0,"",SUMIFS(tblDaily[Admissions],tblDaily[EntryDate],DATE(2026,7,31),tblDaily[WardCode],"FW")),"")</f>
        <v/>
      </c>
      <c r="C271" s="5" t="str">
        <f>IFERROR(IF(SUMIFS(tblDaily[Discharges],tblDaily[EntryDate],DATE(2026,7,31),tblDaily[WardCode],"FW")=0,"",SUMIFS(tblDaily[Discharges],tblDaily[EntryDate],DATE(2026,7,31),tblDaily[WardCode],"FW")),"")</f>
        <v/>
      </c>
      <c r="D271" s="5" t="str">
        <f>IFERROR(IF(SUMIFS(tblDaily[Deaths],tblDaily[EntryDate],DATE(2026,7,31),tblDaily[WardCode],"FW")=0,"",SUMIFS(tblDaily[Deaths],tblDaily[EntryDate],DATE(2026,7,31),tblDaily[WardCode],"FW")),"")</f>
        <v/>
      </c>
      <c r="E271" s="5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5" t="str">
        <f>IFERROR(IF(SUMIFS(tblDaily[TransfersIn],tblDaily[EntryDate],DATE(2026,7,31),tblDaily[WardCode],"FW")=0,"",SUMIFS(tblDaily[TransfersIn],tblDaily[EntryDate],DATE(2026,7,31),tblDaily[WardCode],"FW")),"")</f>
        <v/>
      </c>
      <c r="G271" s="5" t="str">
        <f>IFERROR(IF(SUMIFS(tblDaily[TransfersOut],tblDaily[EntryDate],DATE(2026,7,31),tblDaily[WardCode],"FW")=0,"",SUMIFS(tblDaily[TransfersOut],tblDaily[EntryDate],DATE(2026,7,31),tblDaily[WardCode],"FW")),"")</f>
        <v/>
      </c>
      <c r="H271" s="5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95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96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89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IFERROR(IF(SUMIFS(tblDaily[Admissions],tblDaily[EntryDate],DATE(2026,8,1),tblDaily[WardCode],"FW")=0,"",SUMIFS(tblDaily[Admissions],tblDaily[EntryDate],DATE(2026,8,1),tblDaily[WardCode],"FW")),"")</f>
        <v/>
      </c>
      <c r="C280" s="5" t="str">
        <f>IFERROR(IF(SUMIFS(tblDaily[Discharges],tblDaily[EntryDate],DATE(2026,8,1),tblDaily[WardCode],"FW")=0,"",SUMIFS(tblDaily[Discharges],tblDaily[EntryDate],DATE(2026,8,1),tblDaily[WardCode],"FW")),"")</f>
        <v/>
      </c>
      <c r="D280" s="5" t="str">
        <f>IFERROR(IF(SUMIFS(tblDaily[Deaths],tblDaily[EntryDate],DATE(2026,8,1),tblDaily[WardCode],"FW")=0,"",SUMIFS(tblDaily[Deaths],tblDaily[EntryDate],DATE(2026,8,1),tblDaily[WardCode],"FW")),"")</f>
        <v/>
      </c>
      <c r="E280" s="5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5" t="str">
        <f>IFERROR(IF(SUMIFS(tblDaily[TransfersIn],tblDaily[EntryDate],DATE(2026,8,1),tblDaily[WardCode],"FW")=0,"",SUMIFS(tblDaily[TransfersIn],tblDaily[EntryDate],DATE(2026,8,1),tblDaily[WardCode],"FW")),"")</f>
        <v/>
      </c>
      <c r="G280" s="5" t="str">
        <f>IFERROR(IF(SUMIFS(tblDaily[TransfersOut],tblDaily[EntryDate],DATE(2026,8,1),tblDaily[WardCode],"FW")=0,"",SUMIFS(tblDaily[TransfersOut],tblDaily[EntryDate],DATE(2026,8,1),tblDaily[WardCode],"FW")),"")</f>
        <v/>
      </c>
      <c r="H280" s="5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IFERROR(IF(SUMIFS(tblDaily[Admissions],tblDaily[EntryDate],DATE(2026,8,2),tblDaily[WardCode],"FW")=0,"",SUMIFS(tblDaily[Admissions],tblDaily[EntryDate],DATE(2026,8,2),tblDaily[WardCode],"FW")),"")</f>
        <v/>
      </c>
      <c r="C281" s="5" t="str">
        <f>IFERROR(IF(SUMIFS(tblDaily[Discharges],tblDaily[EntryDate],DATE(2026,8,2),tblDaily[WardCode],"FW")=0,"",SUMIFS(tblDaily[Discharges],tblDaily[EntryDate],DATE(2026,8,2),tblDaily[WardCode],"FW")),"")</f>
        <v/>
      </c>
      <c r="D281" s="5" t="str">
        <f>IFERROR(IF(SUMIFS(tblDaily[Deaths],tblDaily[EntryDate],DATE(2026,8,2),tblDaily[WardCode],"FW")=0,"",SUMIFS(tblDaily[Deaths],tblDaily[EntryDate],DATE(2026,8,2),tblDaily[WardCode],"FW")),"")</f>
        <v/>
      </c>
      <c r="E281" s="5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5" t="str">
        <f>IFERROR(IF(SUMIFS(tblDaily[TransfersIn],tblDaily[EntryDate],DATE(2026,8,2),tblDaily[WardCode],"FW")=0,"",SUMIFS(tblDaily[TransfersIn],tblDaily[EntryDate],DATE(2026,8,2),tblDaily[WardCode],"FW")),"")</f>
        <v/>
      </c>
      <c r="G281" s="5" t="str">
        <f>IFERROR(IF(SUMIFS(tblDaily[TransfersOut],tblDaily[EntryDate],DATE(2026,8,2),tblDaily[WardCode],"FW")=0,"",SUMIFS(tblDaily[TransfersOut],tblDaily[EntryDate],DATE(2026,8,2),tblDaily[WardCode],"FW")),"")</f>
        <v/>
      </c>
      <c r="H281" s="5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IFERROR(IF(SUMIFS(tblDaily[Admissions],tblDaily[EntryDate],DATE(2026,8,3),tblDaily[WardCode],"FW")=0,"",SUMIFS(tblDaily[Admissions],tblDaily[EntryDate],DATE(2026,8,3),tblDaily[WardCode],"FW")),"")</f>
        <v/>
      </c>
      <c r="C282" s="5" t="str">
        <f>IFERROR(IF(SUMIFS(tblDaily[Discharges],tblDaily[EntryDate],DATE(2026,8,3),tblDaily[WardCode],"FW")=0,"",SUMIFS(tblDaily[Discharges],tblDaily[EntryDate],DATE(2026,8,3),tblDaily[WardCode],"FW")),"")</f>
        <v/>
      </c>
      <c r="D282" s="5" t="str">
        <f>IFERROR(IF(SUMIFS(tblDaily[Deaths],tblDaily[EntryDate],DATE(2026,8,3),tblDaily[WardCode],"FW")=0,"",SUMIFS(tblDaily[Deaths],tblDaily[EntryDate],DATE(2026,8,3),tblDaily[WardCode],"FW")),"")</f>
        <v/>
      </c>
      <c r="E282" s="5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5" t="str">
        <f>IFERROR(IF(SUMIFS(tblDaily[TransfersIn],tblDaily[EntryDate],DATE(2026,8,3),tblDaily[WardCode],"FW")=0,"",SUMIFS(tblDaily[TransfersIn],tblDaily[EntryDate],DATE(2026,8,3),tblDaily[WardCode],"FW")),"")</f>
        <v/>
      </c>
      <c r="G282" s="5" t="str">
        <f>IFERROR(IF(SUMIFS(tblDaily[TransfersOut],tblDaily[EntryDate],DATE(2026,8,3),tblDaily[WardCode],"FW")=0,"",SUMIFS(tblDaily[TransfersOut],tblDaily[EntryDate],DATE(2026,8,3),tblDaily[WardCode],"FW")),"")</f>
        <v/>
      </c>
      <c r="H282" s="5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IFERROR(IF(SUMIFS(tblDaily[Admissions],tblDaily[EntryDate],DATE(2026,8,4),tblDaily[WardCode],"FW")=0,"",SUMIFS(tblDaily[Admissions],tblDaily[EntryDate],DATE(2026,8,4),tblDaily[WardCode],"FW")),"")</f>
        <v/>
      </c>
      <c r="C283" s="5" t="str">
        <f>IFERROR(IF(SUMIFS(tblDaily[Discharges],tblDaily[EntryDate],DATE(2026,8,4),tblDaily[WardCode],"FW")=0,"",SUMIFS(tblDaily[Discharges],tblDaily[EntryDate],DATE(2026,8,4),tblDaily[WardCode],"FW")),"")</f>
        <v/>
      </c>
      <c r="D283" s="5" t="str">
        <f>IFERROR(IF(SUMIFS(tblDaily[Deaths],tblDaily[EntryDate],DATE(2026,8,4),tblDaily[WardCode],"FW")=0,"",SUMIFS(tblDaily[Deaths],tblDaily[EntryDate],DATE(2026,8,4),tblDaily[WardCode],"FW")),"")</f>
        <v/>
      </c>
      <c r="E283" s="5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5" t="str">
        <f>IFERROR(IF(SUMIFS(tblDaily[TransfersIn],tblDaily[EntryDate],DATE(2026,8,4),tblDaily[WardCode],"FW")=0,"",SUMIFS(tblDaily[TransfersIn],tblDaily[EntryDate],DATE(2026,8,4),tblDaily[WardCode],"FW")),"")</f>
        <v/>
      </c>
      <c r="G283" s="5" t="str">
        <f>IFERROR(IF(SUMIFS(tblDaily[TransfersOut],tblDaily[EntryDate],DATE(2026,8,4),tblDaily[WardCode],"FW")=0,"",SUMIFS(tblDaily[TransfersOut],tblDaily[EntryDate],DATE(2026,8,4),tblDaily[WardCode],"FW")),"")</f>
        <v/>
      </c>
      <c r="H283" s="5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IFERROR(IF(SUMIFS(tblDaily[Admissions],tblDaily[EntryDate],DATE(2026,8,5),tblDaily[WardCode],"FW")=0,"",SUMIFS(tblDaily[Admissions],tblDaily[EntryDate],DATE(2026,8,5),tblDaily[WardCode],"FW")),"")</f>
        <v/>
      </c>
      <c r="C284" s="5" t="str">
        <f>IFERROR(IF(SUMIFS(tblDaily[Discharges],tblDaily[EntryDate],DATE(2026,8,5),tblDaily[WardCode],"FW")=0,"",SUMIFS(tblDaily[Discharges],tblDaily[EntryDate],DATE(2026,8,5),tblDaily[WardCode],"FW")),"")</f>
        <v/>
      </c>
      <c r="D284" s="5" t="str">
        <f>IFERROR(IF(SUMIFS(tblDaily[Deaths],tblDaily[EntryDate],DATE(2026,8,5),tblDaily[WardCode],"FW")=0,"",SUMIFS(tblDaily[Deaths],tblDaily[EntryDate],DATE(2026,8,5),tblDaily[WardCode],"FW")),"")</f>
        <v/>
      </c>
      <c r="E284" s="5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5" t="str">
        <f>IFERROR(IF(SUMIFS(tblDaily[TransfersIn],tblDaily[EntryDate],DATE(2026,8,5),tblDaily[WardCode],"FW")=0,"",SUMIFS(tblDaily[TransfersIn],tblDaily[EntryDate],DATE(2026,8,5),tblDaily[WardCode],"FW")),"")</f>
        <v/>
      </c>
      <c r="G284" s="5" t="str">
        <f>IFERROR(IF(SUMIFS(tblDaily[TransfersOut],tblDaily[EntryDate],DATE(2026,8,5),tblDaily[WardCode],"FW")=0,"",SUMIFS(tblDaily[TransfersOut],tblDaily[EntryDate],DATE(2026,8,5),tblDaily[WardCode],"FW")),"")</f>
        <v/>
      </c>
      <c r="H284" s="5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IFERROR(IF(SUMIFS(tblDaily[Admissions],tblDaily[EntryDate],DATE(2026,8,6),tblDaily[WardCode],"FW")=0,"",SUMIFS(tblDaily[Admissions],tblDaily[EntryDate],DATE(2026,8,6),tblDaily[WardCode],"FW")),"")</f>
        <v/>
      </c>
      <c r="C285" s="5" t="str">
        <f>IFERROR(IF(SUMIFS(tblDaily[Discharges],tblDaily[EntryDate],DATE(2026,8,6),tblDaily[WardCode],"FW")=0,"",SUMIFS(tblDaily[Discharges],tblDaily[EntryDate],DATE(2026,8,6),tblDaily[WardCode],"FW")),"")</f>
        <v/>
      </c>
      <c r="D285" s="5" t="str">
        <f>IFERROR(IF(SUMIFS(tblDaily[Deaths],tblDaily[EntryDate],DATE(2026,8,6),tblDaily[WardCode],"FW")=0,"",SUMIFS(tblDaily[Deaths],tblDaily[EntryDate],DATE(2026,8,6),tblDaily[WardCode],"FW")),"")</f>
        <v/>
      </c>
      <c r="E285" s="5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5" t="str">
        <f>IFERROR(IF(SUMIFS(tblDaily[TransfersIn],tblDaily[EntryDate],DATE(2026,8,6),tblDaily[WardCode],"FW")=0,"",SUMIFS(tblDaily[TransfersIn],tblDaily[EntryDate],DATE(2026,8,6),tblDaily[WardCode],"FW")),"")</f>
        <v/>
      </c>
      <c r="G285" s="5" t="str">
        <f>IFERROR(IF(SUMIFS(tblDaily[TransfersOut],tblDaily[EntryDate],DATE(2026,8,6),tblDaily[WardCode],"FW")=0,"",SUMIFS(tblDaily[TransfersOut],tblDaily[EntryDate],DATE(2026,8,6),tblDaily[WardCode],"FW")),"")</f>
        <v/>
      </c>
      <c r="H285" s="5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IFERROR(IF(SUMIFS(tblDaily[Admissions],tblDaily[EntryDate],DATE(2026,8,7),tblDaily[WardCode],"FW")=0,"",SUMIFS(tblDaily[Admissions],tblDaily[EntryDate],DATE(2026,8,7),tblDaily[WardCode],"FW")),"")</f>
        <v/>
      </c>
      <c r="C286" s="5" t="str">
        <f>IFERROR(IF(SUMIFS(tblDaily[Discharges],tblDaily[EntryDate],DATE(2026,8,7),tblDaily[WardCode],"FW")=0,"",SUMIFS(tblDaily[Discharges],tblDaily[EntryDate],DATE(2026,8,7),tblDaily[WardCode],"FW")),"")</f>
        <v/>
      </c>
      <c r="D286" s="5" t="str">
        <f>IFERROR(IF(SUMIFS(tblDaily[Deaths],tblDaily[EntryDate],DATE(2026,8,7),tblDaily[WardCode],"FW")=0,"",SUMIFS(tblDaily[Deaths],tblDaily[EntryDate],DATE(2026,8,7),tblDaily[WardCode],"FW")),"")</f>
        <v/>
      </c>
      <c r="E286" s="5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5" t="str">
        <f>IFERROR(IF(SUMIFS(tblDaily[TransfersIn],tblDaily[EntryDate],DATE(2026,8,7),tblDaily[WardCode],"FW")=0,"",SUMIFS(tblDaily[TransfersIn],tblDaily[EntryDate],DATE(2026,8,7),tblDaily[WardCode],"FW")),"")</f>
        <v/>
      </c>
      <c r="G286" s="5" t="str">
        <f>IFERROR(IF(SUMIFS(tblDaily[TransfersOut],tblDaily[EntryDate],DATE(2026,8,7),tblDaily[WardCode],"FW")=0,"",SUMIFS(tblDaily[TransfersOut],tblDaily[EntryDate],DATE(2026,8,7),tblDaily[WardCode],"FW")),"")</f>
        <v/>
      </c>
      <c r="H286" s="5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IFERROR(IF(SUMIFS(tblDaily[Admissions],tblDaily[EntryDate],DATE(2026,8,8),tblDaily[WardCode],"FW")=0,"",SUMIFS(tblDaily[Admissions],tblDaily[EntryDate],DATE(2026,8,8),tblDaily[WardCode],"FW")),"")</f>
        <v/>
      </c>
      <c r="C287" s="5" t="str">
        <f>IFERROR(IF(SUMIFS(tblDaily[Discharges],tblDaily[EntryDate],DATE(2026,8,8),tblDaily[WardCode],"FW")=0,"",SUMIFS(tblDaily[Discharges],tblDaily[EntryDate],DATE(2026,8,8),tblDaily[WardCode],"FW")),"")</f>
        <v/>
      </c>
      <c r="D287" s="5" t="str">
        <f>IFERROR(IF(SUMIFS(tblDaily[Deaths],tblDaily[EntryDate],DATE(2026,8,8),tblDaily[WardCode],"FW")=0,"",SUMIFS(tblDaily[Deaths],tblDaily[EntryDate],DATE(2026,8,8),tblDaily[WardCode],"FW")),"")</f>
        <v/>
      </c>
      <c r="E287" s="5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5" t="str">
        <f>IFERROR(IF(SUMIFS(tblDaily[TransfersIn],tblDaily[EntryDate],DATE(2026,8,8),tblDaily[WardCode],"FW")=0,"",SUMIFS(tblDaily[TransfersIn],tblDaily[EntryDate],DATE(2026,8,8),tblDaily[WardCode],"FW")),"")</f>
        <v/>
      </c>
      <c r="G287" s="5" t="str">
        <f>IFERROR(IF(SUMIFS(tblDaily[TransfersOut],tblDaily[EntryDate],DATE(2026,8,8),tblDaily[WardCode],"FW")=0,"",SUMIFS(tblDaily[TransfersOut],tblDaily[EntryDate],DATE(2026,8,8),tblDaily[WardCode],"FW")),"")</f>
        <v/>
      </c>
      <c r="H287" s="5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IFERROR(IF(SUMIFS(tblDaily[Admissions],tblDaily[EntryDate],DATE(2026,8,9),tblDaily[WardCode],"FW")=0,"",SUMIFS(tblDaily[Admissions],tblDaily[EntryDate],DATE(2026,8,9),tblDaily[WardCode],"FW")),"")</f>
        <v/>
      </c>
      <c r="C288" s="5" t="str">
        <f>IFERROR(IF(SUMIFS(tblDaily[Discharges],tblDaily[EntryDate],DATE(2026,8,9),tblDaily[WardCode],"FW")=0,"",SUMIFS(tblDaily[Discharges],tblDaily[EntryDate],DATE(2026,8,9),tblDaily[WardCode],"FW")),"")</f>
        <v/>
      </c>
      <c r="D288" s="5" t="str">
        <f>IFERROR(IF(SUMIFS(tblDaily[Deaths],tblDaily[EntryDate],DATE(2026,8,9),tblDaily[WardCode],"FW")=0,"",SUMIFS(tblDaily[Deaths],tblDaily[EntryDate],DATE(2026,8,9),tblDaily[WardCode],"FW")),"")</f>
        <v/>
      </c>
      <c r="E288" s="5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5" t="str">
        <f>IFERROR(IF(SUMIFS(tblDaily[TransfersIn],tblDaily[EntryDate],DATE(2026,8,9),tblDaily[WardCode],"FW")=0,"",SUMIFS(tblDaily[TransfersIn],tblDaily[EntryDate],DATE(2026,8,9),tblDaily[WardCode],"FW")),"")</f>
        <v/>
      </c>
      <c r="G288" s="5" t="str">
        <f>IFERROR(IF(SUMIFS(tblDaily[TransfersOut],tblDaily[EntryDate],DATE(2026,8,9),tblDaily[WardCode],"FW")=0,"",SUMIFS(tblDaily[TransfersOut],tblDaily[EntryDate],DATE(2026,8,9),tblDaily[WardCode],"FW")),"")</f>
        <v/>
      </c>
      <c r="H288" s="5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IFERROR(IF(SUMIFS(tblDaily[Admissions],tblDaily[EntryDate],DATE(2026,8,10),tblDaily[WardCode],"FW")=0,"",SUMIFS(tblDaily[Admissions],tblDaily[EntryDate],DATE(2026,8,10),tblDaily[WardCode],"FW")),"")</f>
        <v/>
      </c>
      <c r="C289" s="5" t="str">
        <f>IFERROR(IF(SUMIFS(tblDaily[Discharges],tblDaily[EntryDate],DATE(2026,8,10),tblDaily[WardCode],"FW")=0,"",SUMIFS(tblDaily[Discharges],tblDaily[EntryDate],DATE(2026,8,10),tblDaily[WardCode],"FW")),"")</f>
        <v/>
      </c>
      <c r="D289" s="5" t="str">
        <f>IFERROR(IF(SUMIFS(tblDaily[Deaths],tblDaily[EntryDate],DATE(2026,8,10),tblDaily[WardCode],"FW")=0,"",SUMIFS(tblDaily[Deaths],tblDaily[EntryDate],DATE(2026,8,10),tblDaily[WardCode],"FW")),"")</f>
        <v/>
      </c>
      <c r="E289" s="5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5" t="str">
        <f>IFERROR(IF(SUMIFS(tblDaily[TransfersIn],tblDaily[EntryDate],DATE(2026,8,10),tblDaily[WardCode],"FW")=0,"",SUMIFS(tblDaily[TransfersIn],tblDaily[EntryDate],DATE(2026,8,10),tblDaily[WardCode],"FW")),"")</f>
        <v/>
      </c>
      <c r="G289" s="5" t="str">
        <f>IFERROR(IF(SUMIFS(tblDaily[TransfersOut],tblDaily[EntryDate],DATE(2026,8,10),tblDaily[WardCode],"FW")=0,"",SUMIFS(tblDaily[TransfersOut],tblDaily[EntryDate],DATE(2026,8,10),tblDaily[WardCode],"FW")),"")</f>
        <v/>
      </c>
      <c r="H289" s="5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IFERROR(IF(SUMIFS(tblDaily[Admissions],tblDaily[EntryDate],DATE(2026,8,11),tblDaily[WardCode],"FW")=0,"",SUMIFS(tblDaily[Admissions],tblDaily[EntryDate],DATE(2026,8,11),tblDaily[WardCode],"FW")),"")</f>
        <v/>
      </c>
      <c r="C290" s="5" t="str">
        <f>IFERROR(IF(SUMIFS(tblDaily[Discharges],tblDaily[EntryDate],DATE(2026,8,11),tblDaily[WardCode],"FW")=0,"",SUMIFS(tblDaily[Discharges],tblDaily[EntryDate],DATE(2026,8,11),tblDaily[WardCode],"FW")),"")</f>
        <v/>
      </c>
      <c r="D290" s="5" t="str">
        <f>IFERROR(IF(SUMIFS(tblDaily[Deaths],tblDaily[EntryDate],DATE(2026,8,11),tblDaily[WardCode],"FW")=0,"",SUMIFS(tblDaily[Deaths],tblDaily[EntryDate],DATE(2026,8,11),tblDaily[WardCode],"FW")),"")</f>
        <v/>
      </c>
      <c r="E290" s="5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5" t="str">
        <f>IFERROR(IF(SUMIFS(tblDaily[TransfersIn],tblDaily[EntryDate],DATE(2026,8,11),tblDaily[WardCode],"FW")=0,"",SUMIFS(tblDaily[TransfersIn],tblDaily[EntryDate],DATE(2026,8,11),tblDaily[WardCode],"FW")),"")</f>
        <v/>
      </c>
      <c r="G290" s="5" t="str">
        <f>IFERROR(IF(SUMIFS(tblDaily[TransfersOut],tblDaily[EntryDate],DATE(2026,8,11),tblDaily[WardCode],"FW")=0,"",SUMIFS(tblDaily[TransfersOut],tblDaily[EntryDate],DATE(2026,8,11),tblDaily[WardCode],"FW")),"")</f>
        <v/>
      </c>
      <c r="H290" s="5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IFERROR(IF(SUMIFS(tblDaily[Admissions],tblDaily[EntryDate],DATE(2026,8,12),tblDaily[WardCode],"FW")=0,"",SUMIFS(tblDaily[Admissions],tblDaily[EntryDate],DATE(2026,8,12),tblDaily[WardCode],"FW")),"")</f>
        <v/>
      </c>
      <c r="C291" s="5" t="str">
        <f>IFERROR(IF(SUMIFS(tblDaily[Discharges],tblDaily[EntryDate],DATE(2026,8,12),tblDaily[WardCode],"FW")=0,"",SUMIFS(tblDaily[Discharges],tblDaily[EntryDate],DATE(2026,8,12),tblDaily[WardCode],"FW")),"")</f>
        <v/>
      </c>
      <c r="D291" s="5" t="str">
        <f>IFERROR(IF(SUMIFS(tblDaily[Deaths],tblDaily[EntryDate],DATE(2026,8,12),tblDaily[WardCode],"FW")=0,"",SUMIFS(tblDaily[Deaths],tblDaily[EntryDate],DATE(2026,8,12),tblDaily[WardCode],"FW")),"")</f>
        <v/>
      </c>
      <c r="E291" s="5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5" t="str">
        <f>IFERROR(IF(SUMIFS(tblDaily[TransfersIn],tblDaily[EntryDate],DATE(2026,8,12),tblDaily[WardCode],"FW")=0,"",SUMIFS(tblDaily[TransfersIn],tblDaily[EntryDate],DATE(2026,8,12),tblDaily[WardCode],"FW")),"")</f>
        <v/>
      </c>
      <c r="G291" s="5" t="str">
        <f>IFERROR(IF(SUMIFS(tblDaily[TransfersOut],tblDaily[EntryDate],DATE(2026,8,12),tblDaily[WardCode],"FW")=0,"",SUMIFS(tblDaily[TransfersOut],tblDaily[EntryDate],DATE(2026,8,12),tblDaily[WardCode],"FW")),"")</f>
        <v/>
      </c>
      <c r="H291" s="5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IFERROR(IF(SUMIFS(tblDaily[Admissions],tblDaily[EntryDate],DATE(2026,8,13),tblDaily[WardCode],"FW")=0,"",SUMIFS(tblDaily[Admissions],tblDaily[EntryDate],DATE(2026,8,13),tblDaily[WardCode],"FW")),"")</f>
        <v/>
      </c>
      <c r="C292" s="5" t="str">
        <f>IFERROR(IF(SUMIFS(tblDaily[Discharges],tblDaily[EntryDate],DATE(2026,8,13),tblDaily[WardCode],"FW")=0,"",SUMIFS(tblDaily[Discharges],tblDaily[EntryDate],DATE(2026,8,13),tblDaily[WardCode],"FW")),"")</f>
        <v/>
      </c>
      <c r="D292" s="5" t="str">
        <f>IFERROR(IF(SUMIFS(tblDaily[Deaths],tblDaily[EntryDate],DATE(2026,8,13),tblDaily[WardCode],"FW")=0,"",SUMIFS(tblDaily[Deaths],tblDaily[EntryDate],DATE(2026,8,13),tblDaily[WardCode],"FW")),"")</f>
        <v/>
      </c>
      <c r="E292" s="5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5" t="str">
        <f>IFERROR(IF(SUMIFS(tblDaily[TransfersIn],tblDaily[EntryDate],DATE(2026,8,13),tblDaily[WardCode],"FW")=0,"",SUMIFS(tblDaily[TransfersIn],tblDaily[EntryDate],DATE(2026,8,13),tblDaily[WardCode],"FW")),"")</f>
        <v/>
      </c>
      <c r="G292" s="5" t="str">
        <f>IFERROR(IF(SUMIFS(tblDaily[TransfersOut],tblDaily[EntryDate],DATE(2026,8,13),tblDaily[WardCode],"FW")=0,"",SUMIFS(tblDaily[TransfersOut],tblDaily[EntryDate],DATE(2026,8,13),tblDaily[WardCode],"FW")),"")</f>
        <v/>
      </c>
      <c r="H292" s="5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IFERROR(IF(SUMIFS(tblDaily[Admissions],tblDaily[EntryDate],DATE(2026,8,14),tblDaily[WardCode],"FW")=0,"",SUMIFS(tblDaily[Admissions],tblDaily[EntryDate],DATE(2026,8,14),tblDaily[WardCode],"FW")),"")</f>
        <v/>
      </c>
      <c r="C293" s="5" t="str">
        <f>IFERROR(IF(SUMIFS(tblDaily[Discharges],tblDaily[EntryDate],DATE(2026,8,14),tblDaily[WardCode],"FW")=0,"",SUMIFS(tblDaily[Discharges],tblDaily[EntryDate],DATE(2026,8,14),tblDaily[WardCode],"FW")),"")</f>
        <v/>
      </c>
      <c r="D293" s="5" t="str">
        <f>IFERROR(IF(SUMIFS(tblDaily[Deaths],tblDaily[EntryDate],DATE(2026,8,14),tblDaily[WardCode],"FW")=0,"",SUMIFS(tblDaily[Deaths],tblDaily[EntryDate],DATE(2026,8,14),tblDaily[WardCode],"FW")),"")</f>
        <v/>
      </c>
      <c r="E293" s="5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5" t="str">
        <f>IFERROR(IF(SUMIFS(tblDaily[TransfersIn],tblDaily[EntryDate],DATE(2026,8,14),tblDaily[WardCode],"FW")=0,"",SUMIFS(tblDaily[TransfersIn],tblDaily[EntryDate],DATE(2026,8,14),tblDaily[WardCode],"FW")),"")</f>
        <v/>
      </c>
      <c r="G293" s="5" t="str">
        <f>IFERROR(IF(SUMIFS(tblDaily[TransfersOut],tblDaily[EntryDate],DATE(2026,8,14),tblDaily[WardCode],"FW")=0,"",SUMIFS(tblDaily[TransfersOut],tblDaily[EntryDate],DATE(2026,8,14),tblDaily[WardCode],"FW")),"")</f>
        <v/>
      </c>
      <c r="H293" s="5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IFERROR(IF(SUMIFS(tblDaily[Admissions],tblDaily[EntryDate],DATE(2026,8,15),tblDaily[WardCode],"FW")=0,"",SUMIFS(tblDaily[Admissions],tblDaily[EntryDate],DATE(2026,8,15),tblDaily[WardCode],"FW")),"")</f>
        <v/>
      </c>
      <c r="C294" s="5" t="str">
        <f>IFERROR(IF(SUMIFS(tblDaily[Discharges],tblDaily[EntryDate],DATE(2026,8,15),tblDaily[WardCode],"FW")=0,"",SUMIFS(tblDaily[Discharges],tblDaily[EntryDate],DATE(2026,8,15),tblDaily[WardCode],"FW")),"")</f>
        <v/>
      </c>
      <c r="D294" s="5" t="str">
        <f>IFERROR(IF(SUMIFS(tblDaily[Deaths],tblDaily[EntryDate],DATE(2026,8,15),tblDaily[WardCode],"FW")=0,"",SUMIFS(tblDaily[Deaths],tblDaily[EntryDate],DATE(2026,8,15),tblDaily[WardCode],"FW")),"")</f>
        <v/>
      </c>
      <c r="E294" s="5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5" t="str">
        <f>IFERROR(IF(SUMIFS(tblDaily[TransfersIn],tblDaily[EntryDate],DATE(2026,8,15),tblDaily[WardCode],"FW")=0,"",SUMIFS(tblDaily[TransfersIn],tblDaily[EntryDate],DATE(2026,8,15),tblDaily[WardCode],"FW")),"")</f>
        <v/>
      </c>
      <c r="G294" s="5" t="str">
        <f>IFERROR(IF(SUMIFS(tblDaily[TransfersOut],tblDaily[EntryDate],DATE(2026,8,15),tblDaily[WardCode],"FW")=0,"",SUMIFS(tblDaily[TransfersOut],tblDaily[EntryDate],DATE(2026,8,15),tblDaily[WardCode],"FW")),"")</f>
        <v/>
      </c>
      <c r="H294" s="5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IFERROR(IF(SUMIFS(tblDaily[Admissions],tblDaily[EntryDate],DATE(2026,8,16),tblDaily[WardCode],"FW")=0,"",SUMIFS(tblDaily[Admissions],tblDaily[EntryDate],DATE(2026,8,16),tblDaily[WardCode],"FW")),"")</f>
        <v/>
      </c>
      <c r="C295" s="5" t="str">
        <f>IFERROR(IF(SUMIFS(tblDaily[Discharges],tblDaily[EntryDate],DATE(2026,8,16),tblDaily[WardCode],"FW")=0,"",SUMIFS(tblDaily[Discharges],tblDaily[EntryDate],DATE(2026,8,16),tblDaily[WardCode],"FW")),"")</f>
        <v/>
      </c>
      <c r="D295" s="5" t="str">
        <f>IFERROR(IF(SUMIFS(tblDaily[Deaths],tblDaily[EntryDate],DATE(2026,8,16),tblDaily[WardCode],"FW")=0,"",SUMIFS(tblDaily[Deaths],tblDaily[EntryDate],DATE(2026,8,16),tblDaily[WardCode],"FW")),"")</f>
        <v/>
      </c>
      <c r="E295" s="5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5" t="str">
        <f>IFERROR(IF(SUMIFS(tblDaily[TransfersIn],tblDaily[EntryDate],DATE(2026,8,16),tblDaily[WardCode],"FW")=0,"",SUMIFS(tblDaily[TransfersIn],tblDaily[EntryDate],DATE(2026,8,16),tblDaily[WardCode],"FW")),"")</f>
        <v/>
      </c>
      <c r="G295" s="5" t="str">
        <f>IFERROR(IF(SUMIFS(tblDaily[TransfersOut],tblDaily[EntryDate],DATE(2026,8,16),tblDaily[WardCode],"FW")=0,"",SUMIFS(tblDaily[TransfersOut],tblDaily[EntryDate],DATE(2026,8,16),tblDaily[WardCode],"FW")),"")</f>
        <v/>
      </c>
      <c r="H295" s="5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IFERROR(IF(SUMIFS(tblDaily[Admissions],tblDaily[EntryDate],DATE(2026,8,17),tblDaily[WardCode],"FW")=0,"",SUMIFS(tblDaily[Admissions],tblDaily[EntryDate],DATE(2026,8,17),tblDaily[WardCode],"FW")),"")</f>
        <v/>
      </c>
      <c r="C296" s="5" t="str">
        <f>IFERROR(IF(SUMIFS(tblDaily[Discharges],tblDaily[EntryDate],DATE(2026,8,17),tblDaily[WardCode],"FW")=0,"",SUMIFS(tblDaily[Discharges],tblDaily[EntryDate],DATE(2026,8,17),tblDaily[WardCode],"FW")),"")</f>
        <v/>
      </c>
      <c r="D296" s="5" t="str">
        <f>IFERROR(IF(SUMIFS(tblDaily[Deaths],tblDaily[EntryDate],DATE(2026,8,17),tblDaily[WardCode],"FW")=0,"",SUMIFS(tblDaily[Deaths],tblDaily[EntryDate],DATE(2026,8,17),tblDaily[WardCode],"FW")),"")</f>
        <v/>
      </c>
      <c r="E296" s="5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5" t="str">
        <f>IFERROR(IF(SUMIFS(tblDaily[TransfersIn],tblDaily[EntryDate],DATE(2026,8,17),tblDaily[WardCode],"FW")=0,"",SUMIFS(tblDaily[TransfersIn],tblDaily[EntryDate],DATE(2026,8,17),tblDaily[WardCode],"FW")),"")</f>
        <v/>
      </c>
      <c r="G296" s="5" t="str">
        <f>IFERROR(IF(SUMIFS(tblDaily[TransfersOut],tblDaily[EntryDate],DATE(2026,8,17),tblDaily[WardCode],"FW")=0,"",SUMIFS(tblDaily[TransfersOut],tblDaily[EntryDate],DATE(2026,8,17),tblDaily[WardCode],"FW")),"")</f>
        <v/>
      </c>
      <c r="H296" s="5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IFERROR(IF(SUMIFS(tblDaily[Admissions],tblDaily[EntryDate],DATE(2026,8,18),tblDaily[WardCode],"FW")=0,"",SUMIFS(tblDaily[Admissions],tblDaily[EntryDate],DATE(2026,8,18),tblDaily[WardCode],"FW")),"")</f>
        <v/>
      </c>
      <c r="C297" s="5" t="str">
        <f>IFERROR(IF(SUMIFS(tblDaily[Discharges],tblDaily[EntryDate],DATE(2026,8,18),tblDaily[WardCode],"FW")=0,"",SUMIFS(tblDaily[Discharges],tblDaily[EntryDate],DATE(2026,8,18),tblDaily[WardCode],"FW")),"")</f>
        <v/>
      </c>
      <c r="D297" s="5" t="str">
        <f>IFERROR(IF(SUMIFS(tblDaily[Deaths],tblDaily[EntryDate],DATE(2026,8,18),tblDaily[WardCode],"FW")=0,"",SUMIFS(tblDaily[Deaths],tblDaily[EntryDate],DATE(2026,8,18),tblDaily[WardCode],"FW")),"")</f>
        <v/>
      </c>
      <c r="E297" s="5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5" t="str">
        <f>IFERROR(IF(SUMIFS(tblDaily[TransfersIn],tblDaily[EntryDate],DATE(2026,8,18),tblDaily[WardCode],"FW")=0,"",SUMIFS(tblDaily[TransfersIn],tblDaily[EntryDate],DATE(2026,8,18),tblDaily[WardCode],"FW")),"")</f>
        <v/>
      </c>
      <c r="G297" s="5" t="str">
        <f>IFERROR(IF(SUMIFS(tblDaily[TransfersOut],tblDaily[EntryDate],DATE(2026,8,18),tblDaily[WardCode],"FW")=0,"",SUMIFS(tblDaily[TransfersOut],tblDaily[EntryDate],DATE(2026,8,18),tblDaily[WardCode],"FW")),"")</f>
        <v/>
      </c>
      <c r="H297" s="5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IFERROR(IF(SUMIFS(tblDaily[Admissions],tblDaily[EntryDate],DATE(2026,8,19),tblDaily[WardCode],"FW")=0,"",SUMIFS(tblDaily[Admissions],tblDaily[EntryDate],DATE(2026,8,19),tblDaily[WardCode],"FW")),"")</f>
        <v/>
      </c>
      <c r="C298" s="5" t="str">
        <f>IFERROR(IF(SUMIFS(tblDaily[Discharges],tblDaily[EntryDate],DATE(2026,8,19),tblDaily[WardCode],"FW")=0,"",SUMIFS(tblDaily[Discharges],tblDaily[EntryDate],DATE(2026,8,19),tblDaily[WardCode],"FW")),"")</f>
        <v/>
      </c>
      <c r="D298" s="5" t="str">
        <f>IFERROR(IF(SUMIFS(tblDaily[Deaths],tblDaily[EntryDate],DATE(2026,8,19),tblDaily[WardCode],"FW")=0,"",SUMIFS(tblDaily[Deaths],tblDaily[EntryDate],DATE(2026,8,19),tblDaily[WardCode],"FW")),"")</f>
        <v/>
      </c>
      <c r="E298" s="5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5" t="str">
        <f>IFERROR(IF(SUMIFS(tblDaily[TransfersIn],tblDaily[EntryDate],DATE(2026,8,19),tblDaily[WardCode],"FW")=0,"",SUMIFS(tblDaily[TransfersIn],tblDaily[EntryDate],DATE(2026,8,19),tblDaily[WardCode],"FW")),"")</f>
        <v/>
      </c>
      <c r="G298" s="5" t="str">
        <f>IFERROR(IF(SUMIFS(tblDaily[TransfersOut],tblDaily[EntryDate],DATE(2026,8,19),tblDaily[WardCode],"FW")=0,"",SUMIFS(tblDaily[TransfersOut],tblDaily[EntryDate],DATE(2026,8,19),tblDaily[WardCode],"FW")),"")</f>
        <v/>
      </c>
      <c r="H298" s="5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IFERROR(IF(SUMIFS(tblDaily[Admissions],tblDaily[EntryDate],DATE(2026,8,20),tblDaily[WardCode],"FW")=0,"",SUMIFS(tblDaily[Admissions],tblDaily[EntryDate],DATE(2026,8,20),tblDaily[WardCode],"FW")),"")</f>
        <v/>
      </c>
      <c r="C299" s="5" t="str">
        <f>IFERROR(IF(SUMIFS(tblDaily[Discharges],tblDaily[EntryDate],DATE(2026,8,20),tblDaily[WardCode],"FW")=0,"",SUMIFS(tblDaily[Discharges],tblDaily[EntryDate],DATE(2026,8,20),tblDaily[WardCode],"FW")),"")</f>
        <v/>
      </c>
      <c r="D299" s="5" t="str">
        <f>IFERROR(IF(SUMIFS(tblDaily[Deaths],tblDaily[EntryDate],DATE(2026,8,20),tblDaily[WardCode],"FW")=0,"",SUMIFS(tblDaily[Deaths],tblDaily[EntryDate],DATE(2026,8,20),tblDaily[WardCode],"FW")),"")</f>
        <v/>
      </c>
      <c r="E299" s="5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5" t="str">
        <f>IFERROR(IF(SUMIFS(tblDaily[TransfersIn],tblDaily[EntryDate],DATE(2026,8,20),tblDaily[WardCode],"FW")=0,"",SUMIFS(tblDaily[TransfersIn],tblDaily[EntryDate],DATE(2026,8,20),tblDaily[WardCode],"FW")),"")</f>
        <v/>
      </c>
      <c r="G299" s="5" t="str">
        <f>IFERROR(IF(SUMIFS(tblDaily[TransfersOut],tblDaily[EntryDate],DATE(2026,8,20),tblDaily[WardCode],"FW")=0,"",SUMIFS(tblDaily[TransfersOut],tblDaily[EntryDate],DATE(2026,8,20),tblDaily[WardCode],"FW")),"")</f>
        <v/>
      </c>
      <c r="H299" s="5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IFERROR(IF(SUMIFS(tblDaily[Admissions],tblDaily[EntryDate],DATE(2026,8,21),tblDaily[WardCode],"FW")=0,"",SUMIFS(tblDaily[Admissions],tblDaily[EntryDate],DATE(2026,8,21),tblDaily[WardCode],"FW")),"")</f>
        <v/>
      </c>
      <c r="C300" s="5" t="str">
        <f>IFERROR(IF(SUMIFS(tblDaily[Discharges],tblDaily[EntryDate],DATE(2026,8,21),tblDaily[WardCode],"FW")=0,"",SUMIFS(tblDaily[Discharges],tblDaily[EntryDate],DATE(2026,8,21),tblDaily[WardCode],"FW")),"")</f>
        <v/>
      </c>
      <c r="D300" s="5" t="str">
        <f>IFERROR(IF(SUMIFS(tblDaily[Deaths],tblDaily[EntryDate],DATE(2026,8,21),tblDaily[WardCode],"FW")=0,"",SUMIFS(tblDaily[Deaths],tblDaily[EntryDate],DATE(2026,8,21),tblDaily[WardCode],"FW")),"")</f>
        <v/>
      </c>
      <c r="E300" s="5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5" t="str">
        <f>IFERROR(IF(SUMIFS(tblDaily[TransfersIn],tblDaily[EntryDate],DATE(2026,8,21),tblDaily[WardCode],"FW")=0,"",SUMIFS(tblDaily[TransfersIn],tblDaily[EntryDate],DATE(2026,8,21),tblDaily[WardCode],"FW")),"")</f>
        <v/>
      </c>
      <c r="G300" s="5" t="str">
        <f>IFERROR(IF(SUMIFS(tblDaily[TransfersOut],tblDaily[EntryDate],DATE(2026,8,21),tblDaily[WardCode],"FW")=0,"",SUMIFS(tblDaily[TransfersOut],tblDaily[EntryDate],DATE(2026,8,21),tblDaily[WardCode],"FW")),"")</f>
        <v/>
      </c>
      <c r="H300" s="5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IFERROR(IF(SUMIFS(tblDaily[Admissions],tblDaily[EntryDate],DATE(2026,8,22),tblDaily[WardCode],"FW")=0,"",SUMIFS(tblDaily[Admissions],tblDaily[EntryDate],DATE(2026,8,22),tblDaily[WardCode],"FW")),"")</f>
        <v/>
      </c>
      <c r="C301" s="5" t="str">
        <f>IFERROR(IF(SUMIFS(tblDaily[Discharges],tblDaily[EntryDate],DATE(2026,8,22),tblDaily[WardCode],"FW")=0,"",SUMIFS(tblDaily[Discharges],tblDaily[EntryDate],DATE(2026,8,22),tblDaily[WardCode],"FW")),"")</f>
        <v/>
      </c>
      <c r="D301" s="5" t="str">
        <f>IFERROR(IF(SUMIFS(tblDaily[Deaths],tblDaily[EntryDate],DATE(2026,8,22),tblDaily[WardCode],"FW")=0,"",SUMIFS(tblDaily[Deaths],tblDaily[EntryDate],DATE(2026,8,22),tblDaily[WardCode],"FW")),"")</f>
        <v/>
      </c>
      <c r="E301" s="5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5" t="str">
        <f>IFERROR(IF(SUMIFS(tblDaily[TransfersIn],tblDaily[EntryDate],DATE(2026,8,22),tblDaily[WardCode],"FW")=0,"",SUMIFS(tblDaily[TransfersIn],tblDaily[EntryDate],DATE(2026,8,22),tblDaily[WardCode],"FW")),"")</f>
        <v/>
      </c>
      <c r="G301" s="5" t="str">
        <f>IFERROR(IF(SUMIFS(tblDaily[TransfersOut],tblDaily[EntryDate],DATE(2026,8,22),tblDaily[WardCode],"FW")=0,"",SUMIFS(tblDaily[TransfersOut],tblDaily[EntryDate],DATE(2026,8,22),tblDaily[WardCode],"FW")),"")</f>
        <v/>
      </c>
      <c r="H301" s="5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IFERROR(IF(SUMIFS(tblDaily[Admissions],tblDaily[EntryDate],DATE(2026,8,23),tblDaily[WardCode],"FW")=0,"",SUMIFS(tblDaily[Admissions],tblDaily[EntryDate],DATE(2026,8,23),tblDaily[WardCode],"FW")),"")</f>
        <v/>
      </c>
      <c r="C302" s="5" t="str">
        <f>IFERROR(IF(SUMIFS(tblDaily[Discharges],tblDaily[EntryDate],DATE(2026,8,23),tblDaily[WardCode],"FW")=0,"",SUMIFS(tblDaily[Discharges],tblDaily[EntryDate],DATE(2026,8,23),tblDaily[WardCode],"FW")),"")</f>
        <v/>
      </c>
      <c r="D302" s="5" t="str">
        <f>IFERROR(IF(SUMIFS(tblDaily[Deaths],tblDaily[EntryDate],DATE(2026,8,23),tblDaily[WardCode],"FW")=0,"",SUMIFS(tblDaily[Deaths],tblDaily[EntryDate],DATE(2026,8,23),tblDaily[WardCode],"FW")),"")</f>
        <v/>
      </c>
      <c r="E302" s="5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5" t="str">
        <f>IFERROR(IF(SUMIFS(tblDaily[TransfersIn],tblDaily[EntryDate],DATE(2026,8,23),tblDaily[WardCode],"FW")=0,"",SUMIFS(tblDaily[TransfersIn],tblDaily[EntryDate],DATE(2026,8,23),tblDaily[WardCode],"FW")),"")</f>
        <v/>
      </c>
      <c r="G302" s="5" t="str">
        <f>IFERROR(IF(SUMIFS(tblDaily[TransfersOut],tblDaily[EntryDate],DATE(2026,8,23),tblDaily[WardCode],"FW")=0,"",SUMIFS(tblDaily[TransfersOut],tblDaily[EntryDate],DATE(2026,8,23),tblDaily[WardCode],"FW")),"")</f>
        <v/>
      </c>
      <c r="H302" s="5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IFERROR(IF(SUMIFS(tblDaily[Admissions],tblDaily[EntryDate],DATE(2026,8,24),tblDaily[WardCode],"FW")=0,"",SUMIFS(tblDaily[Admissions],tblDaily[EntryDate],DATE(2026,8,24),tblDaily[WardCode],"FW")),"")</f>
        <v/>
      </c>
      <c r="C303" s="5" t="str">
        <f>IFERROR(IF(SUMIFS(tblDaily[Discharges],tblDaily[EntryDate],DATE(2026,8,24),tblDaily[WardCode],"FW")=0,"",SUMIFS(tblDaily[Discharges],tblDaily[EntryDate],DATE(2026,8,24),tblDaily[WardCode],"FW")),"")</f>
        <v/>
      </c>
      <c r="D303" s="5" t="str">
        <f>IFERROR(IF(SUMIFS(tblDaily[Deaths],tblDaily[EntryDate],DATE(2026,8,24),tblDaily[WardCode],"FW")=0,"",SUMIFS(tblDaily[Deaths],tblDaily[EntryDate],DATE(2026,8,24),tblDaily[WardCode],"FW")),"")</f>
        <v/>
      </c>
      <c r="E303" s="5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5" t="str">
        <f>IFERROR(IF(SUMIFS(tblDaily[TransfersIn],tblDaily[EntryDate],DATE(2026,8,24),tblDaily[WardCode],"FW")=0,"",SUMIFS(tblDaily[TransfersIn],tblDaily[EntryDate],DATE(2026,8,24),tblDaily[WardCode],"FW")),"")</f>
        <v/>
      </c>
      <c r="G303" s="5" t="str">
        <f>IFERROR(IF(SUMIFS(tblDaily[TransfersOut],tblDaily[EntryDate],DATE(2026,8,24),tblDaily[WardCode],"FW")=0,"",SUMIFS(tblDaily[TransfersOut],tblDaily[EntryDate],DATE(2026,8,24),tblDaily[WardCode],"FW")),"")</f>
        <v/>
      </c>
      <c r="H303" s="5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IFERROR(IF(SUMIFS(tblDaily[Admissions],tblDaily[EntryDate],DATE(2026,8,25),tblDaily[WardCode],"FW")=0,"",SUMIFS(tblDaily[Admissions],tblDaily[EntryDate],DATE(2026,8,25),tblDaily[WardCode],"FW")),"")</f>
        <v/>
      </c>
      <c r="C304" s="5" t="str">
        <f>IFERROR(IF(SUMIFS(tblDaily[Discharges],tblDaily[EntryDate],DATE(2026,8,25),tblDaily[WardCode],"FW")=0,"",SUMIFS(tblDaily[Discharges],tblDaily[EntryDate],DATE(2026,8,25),tblDaily[WardCode],"FW")),"")</f>
        <v/>
      </c>
      <c r="D304" s="5" t="str">
        <f>IFERROR(IF(SUMIFS(tblDaily[Deaths],tblDaily[EntryDate],DATE(2026,8,25),tblDaily[WardCode],"FW")=0,"",SUMIFS(tblDaily[Deaths],tblDaily[EntryDate],DATE(2026,8,25),tblDaily[WardCode],"FW")),"")</f>
        <v/>
      </c>
      <c r="E304" s="5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5" t="str">
        <f>IFERROR(IF(SUMIFS(tblDaily[TransfersIn],tblDaily[EntryDate],DATE(2026,8,25),tblDaily[WardCode],"FW")=0,"",SUMIFS(tblDaily[TransfersIn],tblDaily[EntryDate],DATE(2026,8,25),tblDaily[WardCode],"FW")),"")</f>
        <v/>
      </c>
      <c r="G304" s="5" t="str">
        <f>IFERROR(IF(SUMIFS(tblDaily[TransfersOut],tblDaily[EntryDate],DATE(2026,8,25),tblDaily[WardCode],"FW")=0,"",SUMIFS(tblDaily[TransfersOut],tblDaily[EntryDate],DATE(2026,8,25),tblDaily[WardCode],"FW")),"")</f>
        <v/>
      </c>
      <c r="H304" s="5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IFERROR(IF(SUMIFS(tblDaily[Admissions],tblDaily[EntryDate],DATE(2026,8,26),tblDaily[WardCode],"FW")=0,"",SUMIFS(tblDaily[Admissions],tblDaily[EntryDate],DATE(2026,8,26),tblDaily[WardCode],"FW")),"")</f>
        <v/>
      </c>
      <c r="C305" s="5" t="str">
        <f>IFERROR(IF(SUMIFS(tblDaily[Discharges],tblDaily[EntryDate],DATE(2026,8,26),tblDaily[WardCode],"FW")=0,"",SUMIFS(tblDaily[Discharges],tblDaily[EntryDate],DATE(2026,8,26),tblDaily[WardCode],"FW")),"")</f>
        <v/>
      </c>
      <c r="D305" s="5" t="str">
        <f>IFERROR(IF(SUMIFS(tblDaily[Deaths],tblDaily[EntryDate],DATE(2026,8,26),tblDaily[WardCode],"FW")=0,"",SUMIFS(tblDaily[Deaths],tblDaily[EntryDate],DATE(2026,8,26),tblDaily[WardCode],"FW")),"")</f>
        <v/>
      </c>
      <c r="E305" s="5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5" t="str">
        <f>IFERROR(IF(SUMIFS(tblDaily[TransfersIn],tblDaily[EntryDate],DATE(2026,8,26),tblDaily[WardCode],"FW")=0,"",SUMIFS(tblDaily[TransfersIn],tblDaily[EntryDate],DATE(2026,8,26),tblDaily[WardCode],"FW")),"")</f>
        <v/>
      </c>
      <c r="G305" s="5" t="str">
        <f>IFERROR(IF(SUMIFS(tblDaily[TransfersOut],tblDaily[EntryDate],DATE(2026,8,26),tblDaily[WardCode],"FW")=0,"",SUMIFS(tblDaily[TransfersOut],tblDaily[EntryDate],DATE(2026,8,26),tblDaily[WardCode],"FW")),"")</f>
        <v/>
      </c>
      <c r="H305" s="5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IFERROR(IF(SUMIFS(tblDaily[Admissions],tblDaily[EntryDate],DATE(2026,8,27),tblDaily[WardCode],"FW")=0,"",SUMIFS(tblDaily[Admissions],tblDaily[EntryDate],DATE(2026,8,27),tblDaily[WardCode],"FW")),"")</f>
        <v/>
      </c>
      <c r="C306" s="5" t="str">
        <f>IFERROR(IF(SUMIFS(tblDaily[Discharges],tblDaily[EntryDate],DATE(2026,8,27),tblDaily[WardCode],"FW")=0,"",SUMIFS(tblDaily[Discharges],tblDaily[EntryDate],DATE(2026,8,27),tblDaily[WardCode],"FW")),"")</f>
        <v/>
      </c>
      <c r="D306" s="5" t="str">
        <f>IFERROR(IF(SUMIFS(tblDaily[Deaths],tblDaily[EntryDate],DATE(2026,8,27),tblDaily[WardCode],"FW")=0,"",SUMIFS(tblDaily[Deaths],tblDaily[EntryDate],DATE(2026,8,27),tblDaily[WardCode],"FW")),"")</f>
        <v/>
      </c>
      <c r="E306" s="5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5" t="str">
        <f>IFERROR(IF(SUMIFS(tblDaily[TransfersIn],tblDaily[EntryDate],DATE(2026,8,27),tblDaily[WardCode],"FW")=0,"",SUMIFS(tblDaily[TransfersIn],tblDaily[EntryDate],DATE(2026,8,27),tblDaily[WardCode],"FW")),"")</f>
        <v/>
      </c>
      <c r="G306" s="5" t="str">
        <f>IFERROR(IF(SUMIFS(tblDaily[TransfersOut],tblDaily[EntryDate],DATE(2026,8,27),tblDaily[WardCode],"FW")=0,"",SUMIFS(tblDaily[TransfersOut],tblDaily[EntryDate],DATE(2026,8,27),tblDaily[WardCode],"FW")),"")</f>
        <v/>
      </c>
      <c r="H306" s="5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IFERROR(IF(SUMIFS(tblDaily[Admissions],tblDaily[EntryDate],DATE(2026,8,28),tblDaily[WardCode],"FW")=0,"",SUMIFS(tblDaily[Admissions],tblDaily[EntryDate],DATE(2026,8,28),tblDaily[WardCode],"FW")),"")</f>
        <v/>
      </c>
      <c r="C307" s="5" t="str">
        <f>IFERROR(IF(SUMIFS(tblDaily[Discharges],tblDaily[EntryDate],DATE(2026,8,28),tblDaily[WardCode],"FW")=0,"",SUMIFS(tblDaily[Discharges],tblDaily[EntryDate],DATE(2026,8,28),tblDaily[WardCode],"FW")),"")</f>
        <v/>
      </c>
      <c r="D307" s="5" t="str">
        <f>IFERROR(IF(SUMIFS(tblDaily[Deaths],tblDaily[EntryDate],DATE(2026,8,28),tblDaily[WardCode],"FW")=0,"",SUMIFS(tblDaily[Deaths],tblDaily[EntryDate],DATE(2026,8,28),tblDaily[WardCode],"FW")),"")</f>
        <v/>
      </c>
      <c r="E307" s="5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5" t="str">
        <f>IFERROR(IF(SUMIFS(tblDaily[TransfersIn],tblDaily[EntryDate],DATE(2026,8,28),tblDaily[WardCode],"FW")=0,"",SUMIFS(tblDaily[TransfersIn],tblDaily[EntryDate],DATE(2026,8,28),tblDaily[WardCode],"FW")),"")</f>
        <v/>
      </c>
      <c r="G307" s="5" t="str">
        <f>IFERROR(IF(SUMIFS(tblDaily[TransfersOut],tblDaily[EntryDate],DATE(2026,8,28),tblDaily[WardCode],"FW")=0,"",SUMIFS(tblDaily[TransfersOut],tblDaily[EntryDate],DATE(2026,8,28),tblDaily[WardCode],"FW")),"")</f>
        <v/>
      </c>
      <c r="H307" s="5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IFERROR(IF(SUMIFS(tblDaily[Admissions],tblDaily[EntryDate],DATE(2026,8,29),tblDaily[WardCode],"FW")=0,"",SUMIFS(tblDaily[Admissions],tblDaily[EntryDate],DATE(2026,8,29),tblDaily[WardCode],"FW")),"")</f>
        <v/>
      </c>
      <c r="C308" s="5" t="str">
        <f>IFERROR(IF(SUMIFS(tblDaily[Discharges],tblDaily[EntryDate],DATE(2026,8,29),tblDaily[WardCode],"FW")=0,"",SUMIFS(tblDaily[Discharges],tblDaily[EntryDate],DATE(2026,8,29),tblDaily[WardCode],"FW")),"")</f>
        <v/>
      </c>
      <c r="D308" s="5" t="str">
        <f>IFERROR(IF(SUMIFS(tblDaily[Deaths],tblDaily[EntryDate],DATE(2026,8,29),tblDaily[WardCode],"FW")=0,"",SUMIFS(tblDaily[Deaths],tblDaily[EntryDate],DATE(2026,8,29),tblDaily[WardCode],"FW")),"")</f>
        <v/>
      </c>
      <c r="E308" s="5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5" t="str">
        <f>IFERROR(IF(SUMIFS(tblDaily[TransfersIn],tblDaily[EntryDate],DATE(2026,8,29),tblDaily[WardCode],"FW")=0,"",SUMIFS(tblDaily[TransfersIn],tblDaily[EntryDate],DATE(2026,8,29),tblDaily[WardCode],"FW")),"")</f>
        <v/>
      </c>
      <c r="G308" s="5" t="str">
        <f>IFERROR(IF(SUMIFS(tblDaily[TransfersOut],tblDaily[EntryDate],DATE(2026,8,29),tblDaily[WardCode],"FW")=0,"",SUMIFS(tblDaily[TransfersOut],tblDaily[EntryDate],DATE(2026,8,29),tblDaily[WardCode],"FW")),"")</f>
        <v/>
      </c>
      <c r="H308" s="5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IFERROR(IF(SUMIFS(tblDaily[Admissions],tblDaily[EntryDate],DATE(2026,8,30),tblDaily[WardCode],"FW")=0,"",SUMIFS(tblDaily[Admissions],tblDaily[EntryDate],DATE(2026,8,30),tblDaily[WardCode],"FW")),"")</f>
        <v/>
      </c>
      <c r="C309" s="5" t="str">
        <f>IFERROR(IF(SUMIFS(tblDaily[Discharges],tblDaily[EntryDate],DATE(2026,8,30),tblDaily[WardCode],"FW")=0,"",SUMIFS(tblDaily[Discharges],tblDaily[EntryDate],DATE(2026,8,30),tblDaily[WardCode],"FW")),"")</f>
        <v/>
      </c>
      <c r="D309" s="5" t="str">
        <f>IFERROR(IF(SUMIFS(tblDaily[Deaths],tblDaily[EntryDate],DATE(2026,8,30),tblDaily[WardCode],"FW")=0,"",SUMIFS(tblDaily[Deaths],tblDaily[EntryDate],DATE(2026,8,30),tblDaily[WardCode],"FW")),"")</f>
        <v/>
      </c>
      <c r="E309" s="5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5" t="str">
        <f>IFERROR(IF(SUMIFS(tblDaily[TransfersIn],tblDaily[EntryDate],DATE(2026,8,30),tblDaily[WardCode],"FW")=0,"",SUMIFS(tblDaily[TransfersIn],tblDaily[EntryDate],DATE(2026,8,30),tblDaily[WardCode],"FW")),"")</f>
        <v/>
      </c>
      <c r="G309" s="5" t="str">
        <f>IFERROR(IF(SUMIFS(tblDaily[TransfersOut],tblDaily[EntryDate],DATE(2026,8,30),tblDaily[WardCode],"FW")=0,"",SUMIFS(tblDaily[TransfersOut],tblDaily[EntryDate],DATE(2026,8,30),tblDaily[WardCode],"FW")),"")</f>
        <v/>
      </c>
      <c r="H309" s="5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IFERROR(IF(SUMIFS(tblDaily[Admissions],tblDaily[EntryDate],DATE(2026,8,31),tblDaily[WardCode],"FW")=0,"",SUMIFS(tblDaily[Admissions],tblDaily[EntryDate],DATE(2026,8,31),tblDaily[WardCode],"FW")),"")</f>
        <v/>
      </c>
      <c r="C310" s="5" t="str">
        <f>IFERROR(IF(SUMIFS(tblDaily[Discharges],tblDaily[EntryDate],DATE(2026,8,31),tblDaily[WardCode],"FW")=0,"",SUMIFS(tblDaily[Discharges],tblDaily[EntryDate],DATE(2026,8,31),tblDaily[WardCode],"FW")),"")</f>
        <v/>
      </c>
      <c r="D310" s="5" t="str">
        <f>IFERROR(IF(SUMIFS(tblDaily[Deaths],tblDaily[EntryDate],DATE(2026,8,31),tblDaily[WardCode],"FW")=0,"",SUMIFS(tblDaily[Deaths],tblDaily[EntryDate],DATE(2026,8,31),tblDaily[WardCode],"FW")),"")</f>
        <v/>
      </c>
      <c r="E310" s="5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5" t="str">
        <f>IFERROR(IF(SUMIFS(tblDaily[TransfersIn],tblDaily[EntryDate],DATE(2026,8,31),tblDaily[WardCode],"FW")=0,"",SUMIFS(tblDaily[TransfersIn],tblDaily[EntryDate],DATE(2026,8,31),tblDaily[WardCode],"FW")),"")</f>
        <v/>
      </c>
      <c r="G310" s="5" t="str">
        <f>IFERROR(IF(SUMIFS(tblDaily[TransfersOut],tblDaily[EntryDate],DATE(2026,8,31),tblDaily[WardCode],"FW")=0,"",SUMIFS(tblDaily[TransfersOut],tblDaily[EntryDate],DATE(2026,8,31),tblDaily[WardCode],"FW")),"")</f>
        <v/>
      </c>
      <c r="H310" s="5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95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96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89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IFERROR(IF(SUMIFS(tblDaily[Admissions],tblDaily[EntryDate],DATE(2026,9,1),tblDaily[WardCode],"FW")=0,"",SUMIFS(tblDaily[Admissions],tblDaily[EntryDate],DATE(2026,9,1),tblDaily[WardCode],"FW")),"")</f>
        <v/>
      </c>
      <c r="C319" s="5" t="str">
        <f>IFERROR(IF(SUMIFS(tblDaily[Discharges],tblDaily[EntryDate],DATE(2026,9,1),tblDaily[WardCode],"FW")=0,"",SUMIFS(tblDaily[Discharges],tblDaily[EntryDate],DATE(2026,9,1),tblDaily[WardCode],"FW")),"")</f>
        <v/>
      </c>
      <c r="D319" s="5" t="str">
        <f>IFERROR(IF(SUMIFS(tblDaily[Deaths],tblDaily[EntryDate],DATE(2026,9,1),tblDaily[WardCode],"FW")=0,"",SUMIFS(tblDaily[Deaths],tblDaily[EntryDate],DATE(2026,9,1),tblDaily[WardCode],"FW")),"")</f>
        <v/>
      </c>
      <c r="E319" s="5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5" t="str">
        <f>IFERROR(IF(SUMIFS(tblDaily[TransfersIn],tblDaily[EntryDate],DATE(2026,9,1),tblDaily[WardCode],"FW")=0,"",SUMIFS(tblDaily[TransfersIn],tblDaily[EntryDate],DATE(2026,9,1),tblDaily[WardCode],"FW")),"")</f>
        <v/>
      </c>
      <c r="G319" s="5" t="str">
        <f>IFERROR(IF(SUMIFS(tblDaily[TransfersOut],tblDaily[EntryDate],DATE(2026,9,1),tblDaily[WardCode],"FW")=0,"",SUMIFS(tblDaily[TransfersOut],tblDaily[EntryDate],DATE(2026,9,1),tblDaily[WardCode],"FW")),"")</f>
        <v/>
      </c>
      <c r="H319" s="5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IFERROR(IF(SUMIFS(tblDaily[Admissions],tblDaily[EntryDate],DATE(2026,9,2),tblDaily[WardCode],"FW")=0,"",SUMIFS(tblDaily[Admissions],tblDaily[EntryDate],DATE(2026,9,2),tblDaily[WardCode],"FW")),"")</f>
        <v/>
      </c>
      <c r="C320" s="5" t="str">
        <f>IFERROR(IF(SUMIFS(tblDaily[Discharges],tblDaily[EntryDate],DATE(2026,9,2),tblDaily[WardCode],"FW")=0,"",SUMIFS(tblDaily[Discharges],tblDaily[EntryDate],DATE(2026,9,2),tblDaily[WardCode],"FW")),"")</f>
        <v/>
      </c>
      <c r="D320" s="5" t="str">
        <f>IFERROR(IF(SUMIFS(tblDaily[Deaths],tblDaily[EntryDate],DATE(2026,9,2),tblDaily[WardCode],"FW")=0,"",SUMIFS(tblDaily[Deaths],tblDaily[EntryDate],DATE(2026,9,2),tblDaily[WardCode],"FW")),"")</f>
        <v/>
      </c>
      <c r="E320" s="5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5" t="str">
        <f>IFERROR(IF(SUMIFS(tblDaily[TransfersIn],tblDaily[EntryDate],DATE(2026,9,2),tblDaily[WardCode],"FW")=0,"",SUMIFS(tblDaily[TransfersIn],tblDaily[EntryDate],DATE(2026,9,2),tblDaily[WardCode],"FW")),"")</f>
        <v/>
      </c>
      <c r="G320" s="5" t="str">
        <f>IFERROR(IF(SUMIFS(tblDaily[TransfersOut],tblDaily[EntryDate],DATE(2026,9,2),tblDaily[WardCode],"FW")=0,"",SUMIFS(tblDaily[TransfersOut],tblDaily[EntryDate],DATE(2026,9,2),tblDaily[WardCode],"FW")),"")</f>
        <v/>
      </c>
      <c r="H320" s="5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IFERROR(IF(SUMIFS(tblDaily[Admissions],tblDaily[EntryDate],DATE(2026,9,3),tblDaily[WardCode],"FW")=0,"",SUMIFS(tblDaily[Admissions],tblDaily[EntryDate],DATE(2026,9,3),tblDaily[WardCode],"FW")),"")</f>
        <v/>
      </c>
      <c r="C321" s="5" t="str">
        <f>IFERROR(IF(SUMIFS(tblDaily[Discharges],tblDaily[EntryDate],DATE(2026,9,3),tblDaily[WardCode],"FW")=0,"",SUMIFS(tblDaily[Discharges],tblDaily[EntryDate],DATE(2026,9,3),tblDaily[WardCode],"FW")),"")</f>
        <v/>
      </c>
      <c r="D321" s="5" t="str">
        <f>IFERROR(IF(SUMIFS(tblDaily[Deaths],tblDaily[EntryDate],DATE(2026,9,3),tblDaily[WardCode],"FW")=0,"",SUMIFS(tblDaily[Deaths],tblDaily[EntryDate],DATE(2026,9,3),tblDaily[WardCode],"FW")),"")</f>
        <v/>
      </c>
      <c r="E321" s="5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5" t="str">
        <f>IFERROR(IF(SUMIFS(tblDaily[TransfersIn],tblDaily[EntryDate],DATE(2026,9,3),tblDaily[WardCode],"FW")=0,"",SUMIFS(tblDaily[TransfersIn],tblDaily[EntryDate],DATE(2026,9,3),tblDaily[WardCode],"FW")),"")</f>
        <v/>
      </c>
      <c r="G321" s="5" t="str">
        <f>IFERROR(IF(SUMIFS(tblDaily[TransfersOut],tblDaily[EntryDate],DATE(2026,9,3),tblDaily[WardCode],"FW")=0,"",SUMIFS(tblDaily[TransfersOut],tblDaily[EntryDate],DATE(2026,9,3),tblDaily[WardCode],"FW")),"")</f>
        <v/>
      </c>
      <c r="H321" s="5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IFERROR(IF(SUMIFS(tblDaily[Admissions],tblDaily[EntryDate],DATE(2026,9,4),tblDaily[WardCode],"FW")=0,"",SUMIFS(tblDaily[Admissions],tblDaily[EntryDate],DATE(2026,9,4),tblDaily[WardCode],"FW")),"")</f>
        <v/>
      </c>
      <c r="C322" s="5" t="str">
        <f>IFERROR(IF(SUMIFS(tblDaily[Discharges],tblDaily[EntryDate],DATE(2026,9,4),tblDaily[WardCode],"FW")=0,"",SUMIFS(tblDaily[Discharges],tblDaily[EntryDate],DATE(2026,9,4),tblDaily[WardCode],"FW")),"")</f>
        <v/>
      </c>
      <c r="D322" s="5" t="str">
        <f>IFERROR(IF(SUMIFS(tblDaily[Deaths],tblDaily[EntryDate],DATE(2026,9,4),tblDaily[WardCode],"FW")=0,"",SUMIFS(tblDaily[Deaths],tblDaily[EntryDate],DATE(2026,9,4),tblDaily[WardCode],"FW")),"")</f>
        <v/>
      </c>
      <c r="E322" s="5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5" t="str">
        <f>IFERROR(IF(SUMIFS(tblDaily[TransfersIn],tblDaily[EntryDate],DATE(2026,9,4),tblDaily[WardCode],"FW")=0,"",SUMIFS(tblDaily[TransfersIn],tblDaily[EntryDate],DATE(2026,9,4),tblDaily[WardCode],"FW")),"")</f>
        <v/>
      </c>
      <c r="G322" s="5" t="str">
        <f>IFERROR(IF(SUMIFS(tblDaily[TransfersOut],tblDaily[EntryDate],DATE(2026,9,4),tblDaily[WardCode],"FW")=0,"",SUMIFS(tblDaily[TransfersOut],tblDaily[EntryDate],DATE(2026,9,4),tblDaily[WardCode],"FW")),"")</f>
        <v/>
      </c>
      <c r="H322" s="5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IFERROR(IF(SUMIFS(tblDaily[Admissions],tblDaily[EntryDate],DATE(2026,9,5),tblDaily[WardCode],"FW")=0,"",SUMIFS(tblDaily[Admissions],tblDaily[EntryDate],DATE(2026,9,5),tblDaily[WardCode],"FW")),"")</f>
        <v/>
      </c>
      <c r="C323" s="5" t="str">
        <f>IFERROR(IF(SUMIFS(tblDaily[Discharges],tblDaily[EntryDate],DATE(2026,9,5),tblDaily[WardCode],"FW")=0,"",SUMIFS(tblDaily[Discharges],tblDaily[EntryDate],DATE(2026,9,5),tblDaily[WardCode],"FW")),"")</f>
        <v/>
      </c>
      <c r="D323" s="5" t="str">
        <f>IFERROR(IF(SUMIFS(tblDaily[Deaths],tblDaily[EntryDate],DATE(2026,9,5),tblDaily[WardCode],"FW")=0,"",SUMIFS(tblDaily[Deaths],tblDaily[EntryDate],DATE(2026,9,5),tblDaily[WardCode],"FW")),"")</f>
        <v/>
      </c>
      <c r="E323" s="5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5" t="str">
        <f>IFERROR(IF(SUMIFS(tblDaily[TransfersIn],tblDaily[EntryDate],DATE(2026,9,5),tblDaily[WardCode],"FW")=0,"",SUMIFS(tblDaily[TransfersIn],tblDaily[EntryDate],DATE(2026,9,5),tblDaily[WardCode],"FW")),"")</f>
        <v/>
      </c>
      <c r="G323" s="5" t="str">
        <f>IFERROR(IF(SUMIFS(tblDaily[TransfersOut],tblDaily[EntryDate],DATE(2026,9,5),tblDaily[WardCode],"FW")=0,"",SUMIFS(tblDaily[TransfersOut],tblDaily[EntryDate],DATE(2026,9,5),tblDaily[WardCode],"FW")),"")</f>
        <v/>
      </c>
      <c r="H323" s="5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IFERROR(IF(SUMIFS(tblDaily[Admissions],tblDaily[EntryDate],DATE(2026,9,6),tblDaily[WardCode],"FW")=0,"",SUMIFS(tblDaily[Admissions],tblDaily[EntryDate],DATE(2026,9,6),tblDaily[WardCode],"FW")),"")</f>
        <v/>
      </c>
      <c r="C324" s="5" t="str">
        <f>IFERROR(IF(SUMIFS(tblDaily[Discharges],tblDaily[EntryDate],DATE(2026,9,6),tblDaily[WardCode],"FW")=0,"",SUMIFS(tblDaily[Discharges],tblDaily[EntryDate],DATE(2026,9,6),tblDaily[WardCode],"FW")),"")</f>
        <v/>
      </c>
      <c r="D324" s="5" t="str">
        <f>IFERROR(IF(SUMIFS(tblDaily[Deaths],tblDaily[EntryDate],DATE(2026,9,6),tblDaily[WardCode],"FW")=0,"",SUMIFS(tblDaily[Deaths],tblDaily[EntryDate],DATE(2026,9,6),tblDaily[WardCode],"FW")),"")</f>
        <v/>
      </c>
      <c r="E324" s="5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5" t="str">
        <f>IFERROR(IF(SUMIFS(tblDaily[TransfersIn],tblDaily[EntryDate],DATE(2026,9,6),tblDaily[WardCode],"FW")=0,"",SUMIFS(tblDaily[TransfersIn],tblDaily[EntryDate],DATE(2026,9,6),tblDaily[WardCode],"FW")),"")</f>
        <v/>
      </c>
      <c r="G324" s="5" t="str">
        <f>IFERROR(IF(SUMIFS(tblDaily[TransfersOut],tblDaily[EntryDate],DATE(2026,9,6),tblDaily[WardCode],"FW")=0,"",SUMIFS(tblDaily[TransfersOut],tblDaily[EntryDate],DATE(2026,9,6),tblDaily[WardCode],"FW")),"")</f>
        <v/>
      </c>
      <c r="H324" s="5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IFERROR(IF(SUMIFS(tblDaily[Admissions],tblDaily[EntryDate],DATE(2026,9,7),tblDaily[WardCode],"FW")=0,"",SUMIFS(tblDaily[Admissions],tblDaily[EntryDate],DATE(2026,9,7),tblDaily[WardCode],"FW")),"")</f>
        <v/>
      </c>
      <c r="C325" s="5" t="str">
        <f>IFERROR(IF(SUMIFS(tblDaily[Discharges],tblDaily[EntryDate],DATE(2026,9,7),tblDaily[WardCode],"FW")=0,"",SUMIFS(tblDaily[Discharges],tblDaily[EntryDate],DATE(2026,9,7),tblDaily[WardCode],"FW")),"")</f>
        <v/>
      </c>
      <c r="D325" s="5" t="str">
        <f>IFERROR(IF(SUMIFS(tblDaily[Deaths],tblDaily[EntryDate],DATE(2026,9,7),tblDaily[WardCode],"FW")=0,"",SUMIFS(tblDaily[Deaths],tblDaily[EntryDate],DATE(2026,9,7),tblDaily[WardCode],"FW")),"")</f>
        <v/>
      </c>
      <c r="E325" s="5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5" t="str">
        <f>IFERROR(IF(SUMIFS(tblDaily[TransfersIn],tblDaily[EntryDate],DATE(2026,9,7),tblDaily[WardCode],"FW")=0,"",SUMIFS(tblDaily[TransfersIn],tblDaily[EntryDate],DATE(2026,9,7),tblDaily[WardCode],"FW")),"")</f>
        <v/>
      </c>
      <c r="G325" s="5" t="str">
        <f>IFERROR(IF(SUMIFS(tblDaily[TransfersOut],tblDaily[EntryDate],DATE(2026,9,7),tblDaily[WardCode],"FW")=0,"",SUMIFS(tblDaily[TransfersOut],tblDaily[EntryDate],DATE(2026,9,7),tblDaily[WardCode],"FW")),"")</f>
        <v/>
      </c>
      <c r="H325" s="5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IFERROR(IF(SUMIFS(tblDaily[Admissions],tblDaily[EntryDate],DATE(2026,9,8),tblDaily[WardCode],"FW")=0,"",SUMIFS(tblDaily[Admissions],tblDaily[EntryDate],DATE(2026,9,8),tblDaily[WardCode],"FW")),"")</f>
        <v/>
      </c>
      <c r="C326" s="5" t="str">
        <f>IFERROR(IF(SUMIFS(tblDaily[Discharges],tblDaily[EntryDate],DATE(2026,9,8),tblDaily[WardCode],"FW")=0,"",SUMIFS(tblDaily[Discharges],tblDaily[EntryDate],DATE(2026,9,8),tblDaily[WardCode],"FW")),"")</f>
        <v/>
      </c>
      <c r="D326" s="5" t="str">
        <f>IFERROR(IF(SUMIFS(tblDaily[Deaths],tblDaily[EntryDate],DATE(2026,9,8),tblDaily[WardCode],"FW")=0,"",SUMIFS(tblDaily[Deaths],tblDaily[EntryDate],DATE(2026,9,8),tblDaily[WardCode],"FW")),"")</f>
        <v/>
      </c>
      <c r="E326" s="5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5" t="str">
        <f>IFERROR(IF(SUMIFS(tblDaily[TransfersIn],tblDaily[EntryDate],DATE(2026,9,8),tblDaily[WardCode],"FW")=0,"",SUMIFS(tblDaily[TransfersIn],tblDaily[EntryDate],DATE(2026,9,8),tblDaily[WardCode],"FW")),"")</f>
        <v/>
      </c>
      <c r="G326" s="5" t="str">
        <f>IFERROR(IF(SUMIFS(tblDaily[TransfersOut],tblDaily[EntryDate],DATE(2026,9,8),tblDaily[WardCode],"FW")=0,"",SUMIFS(tblDaily[TransfersOut],tblDaily[EntryDate],DATE(2026,9,8),tblDaily[WardCode],"FW")),"")</f>
        <v/>
      </c>
      <c r="H326" s="5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IFERROR(IF(SUMIFS(tblDaily[Admissions],tblDaily[EntryDate],DATE(2026,9,9),tblDaily[WardCode],"FW")=0,"",SUMIFS(tblDaily[Admissions],tblDaily[EntryDate],DATE(2026,9,9),tblDaily[WardCode],"FW")),"")</f>
        <v/>
      </c>
      <c r="C327" s="5" t="str">
        <f>IFERROR(IF(SUMIFS(tblDaily[Discharges],tblDaily[EntryDate],DATE(2026,9,9),tblDaily[WardCode],"FW")=0,"",SUMIFS(tblDaily[Discharges],tblDaily[EntryDate],DATE(2026,9,9),tblDaily[WardCode],"FW")),"")</f>
        <v/>
      </c>
      <c r="D327" s="5" t="str">
        <f>IFERROR(IF(SUMIFS(tblDaily[Deaths],tblDaily[EntryDate],DATE(2026,9,9),tblDaily[WardCode],"FW")=0,"",SUMIFS(tblDaily[Deaths],tblDaily[EntryDate],DATE(2026,9,9),tblDaily[WardCode],"FW")),"")</f>
        <v/>
      </c>
      <c r="E327" s="5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5" t="str">
        <f>IFERROR(IF(SUMIFS(tblDaily[TransfersIn],tblDaily[EntryDate],DATE(2026,9,9),tblDaily[WardCode],"FW")=0,"",SUMIFS(tblDaily[TransfersIn],tblDaily[EntryDate],DATE(2026,9,9),tblDaily[WardCode],"FW")),"")</f>
        <v/>
      </c>
      <c r="G327" s="5" t="str">
        <f>IFERROR(IF(SUMIFS(tblDaily[TransfersOut],tblDaily[EntryDate],DATE(2026,9,9),tblDaily[WardCode],"FW")=0,"",SUMIFS(tblDaily[TransfersOut],tblDaily[EntryDate],DATE(2026,9,9),tblDaily[WardCode],"FW")),"")</f>
        <v/>
      </c>
      <c r="H327" s="5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IFERROR(IF(SUMIFS(tblDaily[Admissions],tblDaily[EntryDate],DATE(2026,9,10),tblDaily[WardCode],"FW")=0,"",SUMIFS(tblDaily[Admissions],tblDaily[EntryDate],DATE(2026,9,10),tblDaily[WardCode],"FW")),"")</f>
        <v/>
      </c>
      <c r="C328" s="5" t="str">
        <f>IFERROR(IF(SUMIFS(tblDaily[Discharges],tblDaily[EntryDate],DATE(2026,9,10),tblDaily[WardCode],"FW")=0,"",SUMIFS(tblDaily[Discharges],tblDaily[EntryDate],DATE(2026,9,10),tblDaily[WardCode],"FW")),"")</f>
        <v/>
      </c>
      <c r="D328" s="5" t="str">
        <f>IFERROR(IF(SUMIFS(tblDaily[Deaths],tblDaily[EntryDate],DATE(2026,9,10),tblDaily[WardCode],"FW")=0,"",SUMIFS(tblDaily[Deaths],tblDaily[EntryDate],DATE(2026,9,10),tblDaily[WardCode],"FW")),"")</f>
        <v/>
      </c>
      <c r="E328" s="5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5" t="str">
        <f>IFERROR(IF(SUMIFS(tblDaily[TransfersIn],tblDaily[EntryDate],DATE(2026,9,10),tblDaily[WardCode],"FW")=0,"",SUMIFS(tblDaily[TransfersIn],tblDaily[EntryDate],DATE(2026,9,10),tblDaily[WardCode],"FW")),"")</f>
        <v/>
      </c>
      <c r="G328" s="5" t="str">
        <f>IFERROR(IF(SUMIFS(tblDaily[TransfersOut],tblDaily[EntryDate],DATE(2026,9,10),tblDaily[WardCode],"FW")=0,"",SUMIFS(tblDaily[TransfersOut],tblDaily[EntryDate],DATE(2026,9,10),tblDaily[WardCode],"FW")),"")</f>
        <v/>
      </c>
      <c r="H328" s="5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IFERROR(IF(SUMIFS(tblDaily[Admissions],tblDaily[EntryDate],DATE(2026,9,11),tblDaily[WardCode],"FW")=0,"",SUMIFS(tblDaily[Admissions],tblDaily[EntryDate],DATE(2026,9,11),tblDaily[WardCode],"FW")),"")</f>
        <v/>
      </c>
      <c r="C329" s="5" t="str">
        <f>IFERROR(IF(SUMIFS(tblDaily[Discharges],tblDaily[EntryDate],DATE(2026,9,11),tblDaily[WardCode],"FW")=0,"",SUMIFS(tblDaily[Discharges],tblDaily[EntryDate],DATE(2026,9,11),tblDaily[WardCode],"FW")),"")</f>
        <v/>
      </c>
      <c r="D329" s="5" t="str">
        <f>IFERROR(IF(SUMIFS(tblDaily[Deaths],tblDaily[EntryDate],DATE(2026,9,11),tblDaily[WardCode],"FW")=0,"",SUMIFS(tblDaily[Deaths],tblDaily[EntryDate],DATE(2026,9,11),tblDaily[WardCode],"FW")),"")</f>
        <v/>
      </c>
      <c r="E329" s="5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5" t="str">
        <f>IFERROR(IF(SUMIFS(tblDaily[TransfersIn],tblDaily[EntryDate],DATE(2026,9,11),tblDaily[WardCode],"FW")=0,"",SUMIFS(tblDaily[TransfersIn],tblDaily[EntryDate],DATE(2026,9,11),tblDaily[WardCode],"FW")),"")</f>
        <v/>
      </c>
      <c r="G329" s="5" t="str">
        <f>IFERROR(IF(SUMIFS(tblDaily[TransfersOut],tblDaily[EntryDate],DATE(2026,9,11),tblDaily[WardCode],"FW")=0,"",SUMIFS(tblDaily[TransfersOut],tblDaily[EntryDate],DATE(2026,9,11),tblDaily[WardCode],"FW")),"")</f>
        <v/>
      </c>
      <c r="H329" s="5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IFERROR(IF(SUMIFS(tblDaily[Admissions],tblDaily[EntryDate],DATE(2026,9,12),tblDaily[WardCode],"FW")=0,"",SUMIFS(tblDaily[Admissions],tblDaily[EntryDate],DATE(2026,9,12),tblDaily[WardCode],"FW")),"")</f>
        <v/>
      </c>
      <c r="C330" s="5" t="str">
        <f>IFERROR(IF(SUMIFS(tblDaily[Discharges],tblDaily[EntryDate],DATE(2026,9,12),tblDaily[WardCode],"FW")=0,"",SUMIFS(tblDaily[Discharges],tblDaily[EntryDate],DATE(2026,9,12),tblDaily[WardCode],"FW")),"")</f>
        <v/>
      </c>
      <c r="D330" s="5" t="str">
        <f>IFERROR(IF(SUMIFS(tblDaily[Deaths],tblDaily[EntryDate],DATE(2026,9,12),tblDaily[WardCode],"FW")=0,"",SUMIFS(tblDaily[Deaths],tblDaily[EntryDate],DATE(2026,9,12),tblDaily[WardCode],"FW")),"")</f>
        <v/>
      </c>
      <c r="E330" s="5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5" t="str">
        <f>IFERROR(IF(SUMIFS(tblDaily[TransfersIn],tblDaily[EntryDate],DATE(2026,9,12),tblDaily[WardCode],"FW")=0,"",SUMIFS(tblDaily[TransfersIn],tblDaily[EntryDate],DATE(2026,9,12),tblDaily[WardCode],"FW")),"")</f>
        <v/>
      </c>
      <c r="G330" s="5" t="str">
        <f>IFERROR(IF(SUMIFS(tblDaily[TransfersOut],tblDaily[EntryDate],DATE(2026,9,12),tblDaily[WardCode],"FW")=0,"",SUMIFS(tblDaily[TransfersOut],tblDaily[EntryDate],DATE(2026,9,12),tblDaily[WardCode],"FW")),"")</f>
        <v/>
      </c>
      <c r="H330" s="5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IFERROR(IF(SUMIFS(tblDaily[Admissions],tblDaily[EntryDate],DATE(2026,9,13),tblDaily[WardCode],"FW")=0,"",SUMIFS(tblDaily[Admissions],tblDaily[EntryDate],DATE(2026,9,13),tblDaily[WardCode],"FW")),"")</f>
        <v/>
      </c>
      <c r="C331" s="5" t="str">
        <f>IFERROR(IF(SUMIFS(tblDaily[Discharges],tblDaily[EntryDate],DATE(2026,9,13),tblDaily[WardCode],"FW")=0,"",SUMIFS(tblDaily[Discharges],tblDaily[EntryDate],DATE(2026,9,13),tblDaily[WardCode],"FW")),"")</f>
        <v/>
      </c>
      <c r="D331" s="5" t="str">
        <f>IFERROR(IF(SUMIFS(tblDaily[Deaths],tblDaily[EntryDate],DATE(2026,9,13),tblDaily[WardCode],"FW")=0,"",SUMIFS(tblDaily[Deaths],tblDaily[EntryDate],DATE(2026,9,13),tblDaily[WardCode],"FW")),"")</f>
        <v/>
      </c>
      <c r="E331" s="5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5" t="str">
        <f>IFERROR(IF(SUMIFS(tblDaily[TransfersIn],tblDaily[EntryDate],DATE(2026,9,13),tblDaily[WardCode],"FW")=0,"",SUMIFS(tblDaily[TransfersIn],tblDaily[EntryDate],DATE(2026,9,13),tblDaily[WardCode],"FW")),"")</f>
        <v/>
      </c>
      <c r="G331" s="5" t="str">
        <f>IFERROR(IF(SUMIFS(tblDaily[TransfersOut],tblDaily[EntryDate],DATE(2026,9,13),tblDaily[WardCode],"FW")=0,"",SUMIFS(tblDaily[TransfersOut],tblDaily[EntryDate],DATE(2026,9,13),tblDaily[WardCode],"FW")),"")</f>
        <v/>
      </c>
      <c r="H331" s="5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IFERROR(IF(SUMIFS(tblDaily[Admissions],tblDaily[EntryDate],DATE(2026,9,14),tblDaily[WardCode],"FW")=0,"",SUMIFS(tblDaily[Admissions],tblDaily[EntryDate],DATE(2026,9,14),tblDaily[WardCode],"FW")),"")</f>
        <v/>
      </c>
      <c r="C332" s="5" t="str">
        <f>IFERROR(IF(SUMIFS(tblDaily[Discharges],tblDaily[EntryDate],DATE(2026,9,14),tblDaily[WardCode],"FW")=0,"",SUMIFS(tblDaily[Discharges],tblDaily[EntryDate],DATE(2026,9,14),tblDaily[WardCode],"FW")),"")</f>
        <v/>
      </c>
      <c r="D332" s="5" t="str">
        <f>IFERROR(IF(SUMIFS(tblDaily[Deaths],tblDaily[EntryDate],DATE(2026,9,14),tblDaily[WardCode],"FW")=0,"",SUMIFS(tblDaily[Deaths],tblDaily[EntryDate],DATE(2026,9,14),tblDaily[WardCode],"FW")),"")</f>
        <v/>
      </c>
      <c r="E332" s="5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5" t="str">
        <f>IFERROR(IF(SUMIFS(tblDaily[TransfersIn],tblDaily[EntryDate],DATE(2026,9,14),tblDaily[WardCode],"FW")=0,"",SUMIFS(tblDaily[TransfersIn],tblDaily[EntryDate],DATE(2026,9,14),tblDaily[WardCode],"FW")),"")</f>
        <v/>
      </c>
      <c r="G332" s="5" t="str">
        <f>IFERROR(IF(SUMIFS(tblDaily[TransfersOut],tblDaily[EntryDate],DATE(2026,9,14),tblDaily[WardCode],"FW")=0,"",SUMIFS(tblDaily[TransfersOut],tblDaily[EntryDate],DATE(2026,9,14),tblDaily[WardCode],"FW")),"")</f>
        <v/>
      </c>
      <c r="H332" s="5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IFERROR(IF(SUMIFS(tblDaily[Admissions],tblDaily[EntryDate],DATE(2026,9,15),tblDaily[WardCode],"FW")=0,"",SUMIFS(tblDaily[Admissions],tblDaily[EntryDate],DATE(2026,9,15),tblDaily[WardCode],"FW")),"")</f>
        <v/>
      </c>
      <c r="C333" s="5" t="str">
        <f>IFERROR(IF(SUMIFS(tblDaily[Discharges],tblDaily[EntryDate],DATE(2026,9,15),tblDaily[WardCode],"FW")=0,"",SUMIFS(tblDaily[Discharges],tblDaily[EntryDate],DATE(2026,9,15),tblDaily[WardCode],"FW")),"")</f>
        <v/>
      </c>
      <c r="D333" s="5" t="str">
        <f>IFERROR(IF(SUMIFS(tblDaily[Deaths],tblDaily[EntryDate],DATE(2026,9,15),tblDaily[WardCode],"FW")=0,"",SUMIFS(tblDaily[Deaths],tblDaily[EntryDate],DATE(2026,9,15),tblDaily[WardCode],"FW")),"")</f>
        <v/>
      </c>
      <c r="E333" s="5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5" t="str">
        <f>IFERROR(IF(SUMIFS(tblDaily[TransfersIn],tblDaily[EntryDate],DATE(2026,9,15),tblDaily[WardCode],"FW")=0,"",SUMIFS(tblDaily[TransfersIn],tblDaily[EntryDate],DATE(2026,9,15),tblDaily[WardCode],"FW")),"")</f>
        <v/>
      </c>
      <c r="G333" s="5" t="str">
        <f>IFERROR(IF(SUMIFS(tblDaily[TransfersOut],tblDaily[EntryDate],DATE(2026,9,15),tblDaily[WardCode],"FW")=0,"",SUMIFS(tblDaily[TransfersOut],tblDaily[EntryDate],DATE(2026,9,15),tblDaily[WardCode],"FW")),"")</f>
        <v/>
      </c>
      <c r="H333" s="5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IFERROR(IF(SUMIFS(tblDaily[Admissions],tblDaily[EntryDate],DATE(2026,9,16),tblDaily[WardCode],"FW")=0,"",SUMIFS(tblDaily[Admissions],tblDaily[EntryDate],DATE(2026,9,16),tblDaily[WardCode],"FW")),"")</f>
        <v/>
      </c>
      <c r="C334" s="5" t="str">
        <f>IFERROR(IF(SUMIFS(tblDaily[Discharges],tblDaily[EntryDate],DATE(2026,9,16),tblDaily[WardCode],"FW")=0,"",SUMIFS(tblDaily[Discharges],tblDaily[EntryDate],DATE(2026,9,16),tblDaily[WardCode],"FW")),"")</f>
        <v/>
      </c>
      <c r="D334" s="5" t="str">
        <f>IFERROR(IF(SUMIFS(tblDaily[Deaths],tblDaily[EntryDate],DATE(2026,9,16),tblDaily[WardCode],"FW")=0,"",SUMIFS(tblDaily[Deaths],tblDaily[EntryDate],DATE(2026,9,16),tblDaily[WardCode],"FW")),"")</f>
        <v/>
      </c>
      <c r="E334" s="5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5" t="str">
        <f>IFERROR(IF(SUMIFS(tblDaily[TransfersIn],tblDaily[EntryDate],DATE(2026,9,16),tblDaily[WardCode],"FW")=0,"",SUMIFS(tblDaily[TransfersIn],tblDaily[EntryDate],DATE(2026,9,16),tblDaily[WardCode],"FW")),"")</f>
        <v/>
      </c>
      <c r="G334" s="5" t="str">
        <f>IFERROR(IF(SUMIFS(tblDaily[TransfersOut],tblDaily[EntryDate],DATE(2026,9,16),tblDaily[WardCode],"FW")=0,"",SUMIFS(tblDaily[TransfersOut],tblDaily[EntryDate],DATE(2026,9,16),tblDaily[WardCode],"FW")),"")</f>
        <v/>
      </c>
      <c r="H334" s="5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IFERROR(IF(SUMIFS(tblDaily[Admissions],tblDaily[EntryDate],DATE(2026,9,17),tblDaily[WardCode],"FW")=0,"",SUMIFS(tblDaily[Admissions],tblDaily[EntryDate],DATE(2026,9,17),tblDaily[WardCode],"FW")),"")</f>
        <v/>
      </c>
      <c r="C335" s="5" t="str">
        <f>IFERROR(IF(SUMIFS(tblDaily[Discharges],tblDaily[EntryDate],DATE(2026,9,17),tblDaily[WardCode],"FW")=0,"",SUMIFS(tblDaily[Discharges],tblDaily[EntryDate],DATE(2026,9,17),tblDaily[WardCode],"FW")),"")</f>
        <v/>
      </c>
      <c r="D335" s="5" t="str">
        <f>IFERROR(IF(SUMIFS(tblDaily[Deaths],tblDaily[EntryDate],DATE(2026,9,17),tblDaily[WardCode],"FW")=0,"",SUMIFS(tblDaily[Deaths],tblDaily[EntryDate],DATE(2026,9,17),tblDaily[WardCode],"FW")),"")</f>
        <v/>
      </c>
      <c r="E335" s="5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5" t="str">
        <f>IFERROR(IF(SUMIFS(tblDaily[TransfersIn],tblDaily[EntryDate],DATE(2026,9,17),tblDaily[WardCode],"FW")=0,"",SUMIFS(tblDaily[TransfersIn],tblDaily[EntryDate],DATE(2026,9,17),tblDaily[WardCode],"FW")),"")</f>
        <v/>
      </c>
      <c r="G335" s="5" t="str">
        <f>IFERROR(IF(SUMIFS(tblDaily[TransfersOut],tblDaily[EntryDate],DATE(2026,9,17),tblDaily[WardCode],"FW")=0,"",SUMIFS(tblDaily[TransfersOut],tblDaily[EntryDate],DATE(2026,9,17),tblDaily[WardCode],"FW")),"")</f>
        <v/>
      </c>
      <c r="H335" s="5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IFERROR(IF(SUMIFS(tblDaily[Admissions],tblDaily[EntryDate],DATE(2026,9,18),tblDaily[WardCode],"FW")=0,"",SUMIFS(tblDaily[Admissions],tblDaily[EntryDate],DATE(2026,9,18),tblDaily[WardCode],"FW")),"")</f>
        <v/>
      </c>
      <c r="C336" s="5" t="str">
        <f>IFERROR(IF(SUMIFS(tblDaily[Discharges],tblDaily[EntryDate],DATE(2026,9,18),tblDaily[WardCode],"FW")=0,"",SUMIFS(tblDaily[Discharges],tblDaily[EntryDate],DATE(2026,9,18),tblDaily[WardCode],"FW")),"")</f>
        <v/>
      </c>
      <c r="D336" s="5" t="str">
        <f>IFERROR(IF(SUMIFS(tblDaily[Deaths],tblDaily[EntryDate],DATE(2026,9,18),tblDaily[WardCode],"FW")=0,"",SUMIFS(tblDaily[Deaths],tblDaily[EntryDate],DATE(2026,9,18),tblDaily[WardCode],"FW")),"")</f>
        <v/>
      </c>
      <c r="E336" s="5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5" t="str">
        <f>IFERROR(IF(SUMIFS(tblDaily[TransfersIn],tblDaily[EntryDate],DATE(2026,9,18),tblDaily[WardCode],"FW")=0,"",SUMIFS(tblDaily[TransfersIn],tblDaily[EntryDate],DATE(2026,9,18),tblDaily[WardCode],"FW")),"")</f>
        <v/>
      </c>
      <c r="G336" s="5" t="str">
        <f>IFERROR(IF(SUMIFS(tblDaily[TransfersOut],tblDaily[EntryDate],DATE(2026,9,18),tblDaily[WardCode],"FW")=0,"",SUMIFS(tblDaily[TransfersOut],tblDaily[EntryDate],DATE(2026,9,18),tblDaily[WardCode],"FW")),"")</f>
        <v/>
      </c>
      <c r="H336" s="5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IFERROR(IF(SUMIFS(tblDaily[Admissions],tblDaily[EntryDate],DATE(2026,9,19),tblDaily[WardCode],"FW")=0,"",SUMIFS(tblDaily[Admissions],tblDaily[EntryDate],DATE(2026,9,19),tblDaily[WardCode],"FW")),"")</f>
        <v/>
      </c>
      <c r="C337" s="5" t="str">
        <f>IFERROR(IF(SUMIFS(tblDaily[Discharges],tblDaily[EntryDate],DATE(2026,9,19),tblDaily[WardCode],"FW")=0,"",SUMIFS(tblDaily[Discharges],tblDaily[EntryDate],DATE(2026,9,19),tblDaily[WardCode],"FW")),"")</f>
        <v/>
      </c>
      <c r="D337" s="5" t="str">
        <f>IFERROR(IF(SUMIFS(tblDaily[Deaths],tblDaily[EntryDate],DATE(2026,9,19),tblDaily[WardCode],"FW")=0,"",SUMIFS(tblDaily[Deaths],tblDaily[EntryDate],DATE(2026,9,19),tblDaily[WardCode],"FW")),"")</f>
        <v/>
      </c>
      <c r="E337" s="5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5" t="str">
        <f>IFERROR(IF(SUMIFS(tblDaily[TransfersIn],tblDaily[EntryDate],DATE(2026,9,19),tblDaily[WardCode],"FW")=0,"",SUMIFS(tblDaily[TransfersIn],tblDaily[EntryDate],DATE(2026,9,19),tblDaily[WardCode],"FW")),"")</f>
        <v/>
      </c>
      <c r="G337" s="5" t="str">
        <f>IFERROR(IF(SUMIFS(tblDaily[TransfersOut],tblDaily[EntryDate],DATE(2026,9,19),tblDaily[WardCode],"FW")=0,"",SUMIFS(tblDaily[TransfersOut],tblDaily[EntryDate],DATE(2026,9,19),tblDaily[WardCode],"FW")),"")</f>
        <v/>
      </c>
      <c r="H337" s="5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IFERROR(IF(SUMIFS(tblDaily[Admissions],tblDaily[EntryDate],DATE(2026,9,20),tblDaily[WardCode],"FW")=0,"",SUMIFS(tblDaily[Admissions],tblDaily[EntryDate],DATE(2026,9,20),tblDaily[WardCode],"FW")),"")</f>
        <v/>
      </c>
      <c r="C338" s="5" t="str">
        <f>IFERROR(IF(SUMIFS(tblDaily[Discharges],tblDaily[EntryDate],DATE(2026,9,20),tblDaily[WardCode],"FW")=0,"",SUMIFS(tblDaily[Discharges],tblDaily[EntryDate],DATE(2026,9,20),tblDaily[WardCode],"FW")),"")</f>
        <v/>
      </c>
      <c r="D338" s="5" t="str">
        <f>IFERROR(IF(SUMIFS(tblDaily[Deaths],tblDaily[EntryDate],DATE(2026,9,20),tblDaily[WardCode],"FW")=0,"",SUMIFS(tblDaily[Deaths],tblDaily[EntryDate],DATE(2026,9,20),tblDaily[WardCode],"FW")),"")</f>
        <v/>
      </c>
      <c r="E338" s="5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5" t="str">
        <f>IFERROR(IF(SUMIFS(tblDaily[TransfersIn],tblDaily[EntryDate],DATE(2026,9,20),tblDaily[WardCode],"FW")=0,"",SUMIFS(tblDaily[TransfersIn],tblDaily[EntryDate],DATE(2026,9,20),tblDaily[WardCode],"FW")),"")</f>
        <v/>
      </c>
      <c r="G338" s="5" t="str">
        <f>IFERROR(IF(SUMIFS(tblDaily[TransfersOut],tblDaily[EntryDate],DATE(2026,9,20),tblDaily[WardCode],"FW")=0,"",SUMIFS(tblDaily[TransfersOut],tblDaily[EntryDate],DATE(2026,9,20),tblDaily[WardCode],"FW")),"")</f>
        <v/>
      </c>
      <c r="H338" s="5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IFERROR(IF(SUMIFS(tblDaily[Admissions],tblDaily[EntryDate],DATE(2026,9,21),tblDaily[WardCode],"FW")=0,"",SUMIFS(tblDaily[Admissions],tblDaily[EntryDate],DATE(2026,9,21),tblDaily[WardCode],"FW")),"")</f>
        <v/>
      </c>
      <c r="C339" s="5" t="str">
        <f>IFERROR(IF(SUMIFS(tblDaily[Discharges],tblDaily[EntryDate],DATE(2026,9,21),tblDaily[WardCode],"FW")=0,"",SUMIFS(tblDaily[Discharges],tblDaily[EntryDate],DATE(2026,9,21),tblDaily[WardCode],"FW")),"")</f>
        <v/>
      </c>
      <c r="D339" s="5" t="str">
        <f>IFERROR(IF(SUMIFS(tblDaily[Deaths],tblDaily[EntryDate],DATE(2026,9,21),tblDaily[WardCode],"FW")=0,"",SUMIFS(tblDaily[Deaths],tblDaily[EntryDate],DATE(2026,9,21),tblDaily[WardCode],"FW")),"")</f>
        <v/>
      </c>
      <c r="E339" s="5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5" t="str">
        <f>IFERROR(IF(SUMIFS(tblDaily[TransfersIn],tblDaily[EntryDate],DATE(2026,9,21),tblDaily[WardCode],"FW")=0,"",SUMIFS(tblDaily[TransfersIn],tblDaily[EntryDate],DATE(2026,9,21),tblDaily[WardCode],"FW")),"")</f>
        <v/>
      </c>
      <c r="G339" s="5" t="str">
        <f>IFERROR(IF(SUMIFS(tblDaily[TransfersOut],tblDaily[EntryDate],DATE(2026,9,21),tblDaily[WardCode],"FW")=0,"",SUMIFS(tblDaily[TransfersOut],tblDaily[EntryDate],DATE(2026,9,21),tblDaily[WardCode],"FW")),"")</f>
        <v/>
      </c>
      <c r="H339" s="5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IFERROR(IF(SUMIFS(tblDaily[Admissions],tblDaily[EntryDate],DATE(2026,9,22),tblDaily[WardCode],"FW")=0,"",SUMIFS(tblDaily[Admissions],tblDaily[EntryDate],DATE(2026,9,22),tblDaily[WardCode],"FW")),"")</f>
        <v/>
      </c>
      <c r="C340" s="5" t="str">
        <f>IFERROR(IF(SUMIFS(tblDaily[Discharges],tblDaily[EntryDate],DATE(2026,9,22),tblDaily[WardCode],"FW")=0,"",SUMIFS(tblDaily[Discharges],tblDaily[EntryDate],DATE(2026,9,22),tblDaily[WardCode],"FW")),"")</f>
        <v/>
      </c>
      <c r="D340" s="5" t="str">
        <f>IFERROR(IF(SUMIFS(tblDaily[Deaths],tblDaily[EntryDate],DATE(2026,9,22),tblDaily[WardCode],"FW")=0,"",SUMIFS(tblDaily[Deaths],tblDaily[EntryDate],DATE(2026,9,22),tblDaily[WardCode],"FW")),"")</f>
        <v/>
      </c>
      <c r="E340" s="5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5" t="str">
        <f>IFERROR(IF(SUMIFS(tblDaily[TransfersIn],tblDaily[EntryDate],DATE(2026,9,22),tblDaily[WardCode],"FW")=0,"",SUMIFS(tblDaily[TransfersIn],tblDaily[EntryDate],DATE(2026,9,22),tblDaily[WardCode],"FW")),"")</f>
        <v/>
      </c>
      <c r="G340" s="5" t="str">
        <f>IFERROR(IF(SUMIFS(tblDaily[TransfersOut],tblDaily[EntryDate],DATE(2026,9,22),tblDaily[WardCode],"FW")=0,"",SUMIFS(tblDaily[TransfersOut],tblDaily[EntryDate],DATE(2026,9,22),tblDaily[WardCode],"FW")),"")</f>
        <v/>
      </c>
      <c r="H340" s="5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IFERROR(IF(SUMIFS(tblDaily[Admissions],tblDaily[EntryDate],DATE(2026,9,23),tblDaily[WardCode],"FW")=0,"",SUMIFS(tblDaily[Admissions],tblDaily[EntryDate],DATE(2026,9,23),tblDaily[WardCode],"FW")),"")</f>
        <v/>
      </c>
      <c r="C341" s="5" t="str">
        <f>IFERROR(IF(SUMIFS(tblDaily[Discharges],tblDaily[EntryDate],DATE(2026,9,23),tblDaily[WardCode],"FW")=0,"",SUMIFS(tblDaily[Discharges],tblDaily[EntryDate],DATE(2026,9,23),tblDaily[WardCode],"FW")),"")</f>
        <v/>
      </c>
      <c r="D341" s="5" t="str">
        <f>IFERROR(IF(SUMIFS(tblDaily[Deaths],tblDaily[EntryDate],DATE(2026,9,23),tblDaily[WardCode],"FW")=0,"",SUMIFS(tblDaily[Deaths],tblDaily[EntryDate],DATE(2026,9,23),tblDaily[WardCode],"FW")),"")</f>
        <v/>
      </c>
      <c r="E341" s="5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5" t="str">
        <f>IFERROR(IF(SUMIFS(tblDaily[TransfersIn],tblDaily[EntryDate],DATE(2026,9,23),tblDaily[WardCode],"FW")=0,"",SUMIFS(tblDaily[TransfersIn],tblDaily[EntryDate],DATE(2026,9,23),tblDaily[WardCode],"FW")),"")</f>
        <v/>
      </c>
      <c r="G341" s="5" t="str">
        <f>IFERROR(IF(SUMIFS(tblDaily[TransfersOut],tblDaily[EntryDate],DATE(2026,9,23),tblDaily[WardCode],"FW")=0,"",SUMIFS(tblDaily[TransfersOut],tblDaily[EntryDate],DATE(2026,9,23),tblDaily[WardCode],"FW")),"")</f>
        <v/>
      </c>
      <c r="H341" s="5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IFERROR(IF(SUMIFS(tblDaily[Admissions],tblDaily[EntryDate],DATE(2026,9,24),tblDaily[WardCode],"FW")=0,"",SUMIFS(tblDaily[Admissions],tblDaily[EntryDate],DATE(2026,9,24),tblDaily[WardCode],"FW")),"")</f>
        <v/>
      </c>
      <c r="C342" s="5" t="str">
        <f>IFERROR(IF(SUMIFS(tblDaily[Discharges],tblDaily[EntryDate],DATE(2026,9,24),tblDaily[WardCode],"FW")=0,"",SUMIFS(tblDaily[Discharges],tblDaily[EntryDate],DATE(2026,9,24),tblDaily[WardCode],"FW")),"")</f>
        <v/>
      </c>
      <c r="D342" s="5" t="str">
        <f>IFERROR(IF(SUMIFS(tblDaily[Deaths],tblDaily[EntryDate],DATE(2026,9,24),tblDaily[WardCode],"FW")=0,"",SUMIFS(tblDaily[Deaths],tblDaily[EntryDate],DATE(2026,9,24),tblDaily[WardCode],"FW")),"")</f>
        <v/>
      </c>
      <c r="E342" s="5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5" t="str">
        <f>IFERROR(IF(SUMIFS(tblDaily[TransfersIn],tblDaily[EntryDate],DATE(2026,9,24),tblDaily[WardCode],"FW")=0,"",SUMIFS(tblDaily[TransfersIn],tblDaily[EntryDate],DATE(2026,9,24),tblDaily[WardCode],"FW")),"")</f>
        <v/>
      </c>
      <c r="G342" s="5" t="str">
        <f>IFERROR(IF(SUMIFS(tblDaily[TransfersOut],tblDaily[EntryDate],DATE(2026,9,24),tblDaily[WardCode],"FW")=0,"",SUMIFS(tblDaily[TransfersOut],tblDaily[EntryDate],DATE(2026,9,24),tblDaily[WardCode],"FW")),"")</f>
        <v/>
      </c>
      <c r="H342" s="5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IFERROR(IF(SUMIFS(tblDaily[Admissions],tblDaily[EntryDate],DATE(2026,9,25),tblDaily[WardCode],"FW")=0,"",SUMIFS(tblDaily[Admissions],tblDaily[EntryDate],DATE(2026,9,25),tblDaily[WardCode],"FW")),"")</f>
        <v/>
      </c>
      <c r="C343" s="5" t="str">
        <f>IFERROR(IF(SUMIFS(tblDaily[Discharges],tblDaily[EntryDate],DATE(2026,9,25),tblDaily[WardCode],"FW")=0,"",SUMIFS(tblDaily[Discharges],tblDaily[EntryDate],DATE(2026,9,25),tblDaily[WardCode],"FW")),"")</f>
        <v/>
      </c>
      <c r="D343" s="5" t="str">
        <f>IFERROR(IF(SUMIFS(tblDaily[Deaths],tblDaily[EntryDate],DATE(2026,9,25),tblDaily[WardCode],"FW")=0,"",SUMIFS(tblDaily[Deaths],tblDaily[EntryDate],DATE(2026,9,25),tblDaily[WardCode],"FW")),"")</f>
        <v/>
      </c>
      <c r="E343" s="5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5" t="str">
        <f>IFERROR(IF(SUMIFS(tblDaily[TransfersIn],tblDaily[EntryDate],DATE(2026,9,25),tblDaily[WardCode],"FW")=0,"",SUMIFS(tblDaily[TransfersIn],tblDaily[EntryDate],DATE(2026,9,25),tblDaily[WardCode],"FW")),"")</f>
        <v/>
      </c>
      <c r="G343" s="5" t="str">
        <f>IFERROR(IF(SUMIFS(tblDaily[TransfersOut],tblDaily[EntryDate],DATE(2026,9,25),tblDaily[WardCode],"FW")=0,"",SUMIFS(tblDaily[TransfersOut],tblDaily[EntryDate],DATE(2026,9,25),tblDaily[WardCode],"FW")),"")</f>
        <v/>
      </c>
      <c r="H343" s="5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IFERROR(IF(SUMIFS(tblDaily[Admissions],tblDaily[EntryDate],DATE(2026,9,26),tblDaily[WardCode],"FW")=0,"",SUMIFS(tblDaily[Admissions],tblDaily[EntryDate],DATE(2026,9,26),tblDaily[WardCode],"FW")),"")</f>
        <v/>
      </c>
      <c r="C344" s="5" t="str">
        <f>IFERROR(IF(SUMIFS(tblDaily[Discharges],tblDaily[EntryDate],DATE(2026,9,26),tblDaily[WardCode],"FW")=0,"",SUMIFS(tblDaily[Discharges],tblDaily[EntryDate],DATE(2026,9,26),tblDaily[WardCode],"FW")),"")</f>
        <v/>
      </c>
      <c r="D344" s="5" t="str">
        <f>IFERROR(IF(SUMIFS(tblDaily[Deaths],tblDaily[EntryDate],DATE(2026,9,26),tblDaily[WardCode],"FW")=0,"",SUMIFS(tblDaily[Deaths],tblDaily[EntryDate],DATE(2026,9,26),tblDaily[WardCode],"FW")),"")</f>
        <v/>
      </c>
      <c r="E344" s="5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5" t="str">
        <f>IFERROR(IF(SUMIFS(tblDaily[TransfersIn],tblDaily[EntryDate],DATE(2026,9,26),tblDaily[WardCode],"FW")=0,"",SUMIFS(tblDaily[TransfersIn],tblDaily[EntryDate],DATE(2026,9,26),tblDaily[WardCode],"FW")),"")</f>
        <v/>
      </c>
      <c r="G344" s="5" t="str">
        <f>IFERROR(IF(SUMIFS(tblDaily[TransfersOut],tblDaily[EntryDate],DATE(2026,9,26),tblDaily[WardCode],"FW")=0,"",SUMIFS(tblDaily[TransfersOut],tblDaily[EntryDate],DATE(2026,9,26),tblDaily[WardCode],"FW")),"")</f>
        <v/>
      </c>
      <c r="H344" s="5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IFERROR(IF(SUMIFS(tblDaily[Admissions],tblDaily[EntryDate],DATE(2026,9,27),tblDaily[WardCode],"FW")=0,"",SUMIFS(tblDaily[Admissions],tblDaily[EntryDate],DATE(2026,9,27),tblDaily[WardCode],"FW")),"")</f>
        <v/>
      </c>
      <c r="C345" s="5" t="str">
        <f>IFERROR(IF(SUMIFS(tblDaily[Discharges],tblDaily[EntryDate],DATE(2026,9,27),tblDaily[WardCode],"FW")=0,"",SUMIFS(tblDaily[Discharges],tblDaily[EntryDate],DATE(2026,9,27),tblDaily[WardCode],"FW")),"")</f>
        <v/>
      </c>
      <c r="D345" s="5" t="str">
        <f>IFERROR(IF(SUMIFS(tblDaily[Deaths],tblDaily[EntryDate],DATE(2026,9,27),tblDaily[WardCode],"FW")=0,"",SUMIFS(tblDaily[Deaths],tblDaily[EntryDate],DATE(2026,9,27),tblDaily[WardCode],"FW")),"")</f>
        <v/>
      </c>
      <c r="E345" s="5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5" t="str">
        <f>IFERROR(IF(SUMIFS(tblDaily[TransfersIn],tblDaily[EntryDate],DATE(2026,9,27),tblDaily[WardCode],"FW")=0,"",SUMIFS(tblDaily[TransfersIn],tblDaily[EntryDate],DATE(2026,9,27),tblDaily[WardCode],"FW")),"")</f>
        <v/>
      </c>
      <c r="G345" s="5" t="str">
        <f>IFERROR(IF(SUMIFS(tblDaily[TransfersOut],tblDaily[EntryDate],DATE(2026,9,27),tblDaily[WardCode],"FW")=0,"",SUMIFS(tblDaily[TransfersOut],tblDaily[EntryDate],DATE(2026,9,27),tblDaily[WardCode],"FW")),"")</f>
        <v/>
      </c>
      <c r="H345" s="5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IFERROR(IF(SUMIFS(tblDaily[Admissions],tblDaily[EntryDate],DATE(2026,9,28),tblDaily[WardCode],"FW")=0,"",SUMIFS(tblDaily[Admissions],tblDaily[EntryDate],DATE(2026,9,28),tblDaily[WardCode],"FW")),"")</f>
        <v/>
      </c>
      <c r="C346" s="5" t="str">
        <f>IFERROR(IF(SUMIFS(tblDaily[Discharges],tblDaily[EntryDate],DATE(2026,9,28),tblDaily[WardCode],"FW")=0,"",SUMIFS(tblDaily[Discharges],tblDaily[EntryDate],DATE(2026,9,28),tblDaily[WardCode],"FW")),"")</f>
        <v/>
      </c>
      <c r="D346" s="5" t="str">
        <f>IFERROR(IF(SUMIFS(tblDaily[Deaths],tblDaily[EntryDate],DATE(2026,9,28),tblDaily[WardCode],"FW")=0,"",SUMIFS(tblDaily[Deaths],tblDaily[EntryDate],DATE(2026,9,28),tblDaily[WardCode],"FW")),"")</f>
        <v/>
      </c>
      <c r="E346" s="5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5" t="str">
        <f>IFERROR(IF(SUMIFS(tblDaily[TransfersIn],tblDaily[EntryDate],DATE(2026,9,28),tblDaily[WardCode],"FW")=0,"",SUMIFS(tblDaily[TransfersIn],tblDaily[EntryDate],DATE(2026,9,28),tblDaily[WardCode],"FW")),"")</f>
        <v/>
      </c>
      <c r="G346" s="5" t="str">
        <f>IFERROR(IF(SUMIFS(tblDaily[TransfersOut],tblDaily[EntryDate],DATE(2026,9,28),tblDaily[WardCode],"FW")=0,"",SUMIFS(tblDaily[TransfersOut],tblDaily[EntryDate],DATE(2026,9,28),tblDaily[WardCode],"FW")),"")</f>
        <v/>
      </c>
      <c r="H346" s="5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IFERROR(IF(SUMIFS(tblDaily[Admissions],tblDaily[EntryDate],DATE(2026,9,29),tblDaily[WardCode],"FW")=0,"",SUMIFS(tblDaily[Admissions],tblDaily[EntryDate],DATE(2026,9,29),tblDaily[WardCode],"FW")),"")</f>
        <v/>
      </c>
      <c r="C347" s="5" t="str">
        <f>IFERROR(IF(SUMIFS(tblDaily[Discharges],tblDaily[EntryDate],DATE(2026,9,29),tblDaily[WardCode],"FW")=0,"",SUMIFS(tblDaily[Discharges],tblDaily[EntryDate],DATE(2026,9,29),tblDaily[WardCode],"FW")),"")</f>
        <v/>
      </c>
      <c r="D347" s="5" t="str">
        <f>IFERROR(IF(SUMIFS(tblDaily[Deaths],tblDaily[EntryDate],DATE(2026,9,29),tblDaily[WardCode],"FW")=0,"",SUMIFS(tblDaily[Deaths],tblDaily[EntryDate],DATE(2026,9,29),tblDaily[WardCode],"FW")),"")</f>
        <v/>
      </c>
      <c r="E347" s="5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5" t="str">
        <f>IFERROR(IF(SUMIFS(tblDaily[TransfersIn],tblDaily[EntryDate],DATE(2026,9,29),tblDaily[WardCode],"FW")=0,"",SUMIFS(tblDaily[TransfersIn],tblDaily[EntryDate],DATE(2026,9,29),tblDaily[WardCode],"FW")),"")</f>
        <v/>
      </c>
      <c r="G347" s="5" t="str">
        <f>IFERROR(IF(SUMIFS(tblDaily[TransfersOut],tblDaily[EntryDate],DATE(2026,9,29),tblDaily[WardCode],"FW")=0,"",SUMIFS(tblDaily[TransfersOut],tblDaily[EntryDate],DATE(2026,9,29),tblDaily[WardCode],"FW")),"")</f>
        <v/>
      </c>
      <c r="H347" s="5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IFERROR(IF(SUMIFS(tblDaily[Admissions],tblDaily[EntryDate],DATE(2026,9,30),tblDaily[WardCode],"FW")=0,"",SUMIFS(tblDaily[Admissions],tblDaily[EntryDate],DATE(2026,9,30),tblDaily[WardCode],"FW")),"")</f>
        <v/>
      </c>
      <c r="C348" s="5" t="str">
        <f>IFERROR(IF(SUMIFS(tblDaily[Discharges],tblDaily[EntryDate],DATE(2026,9,30),tblDaily[WardCode],"FW")=0,"",SUMIFS(tblDaily[Discharges],tblDaily[EntryDate],DATE(2026,9,30),tblDaily[WardCode],"FW")),"")</f>
        <v/>
      </c>
      <c r="D348" s="5" t="str">
        <f>IFERROR(IF(SUMIFS(tblDaily[Deaths],tblDaily[EntryDate],DATE(2026,9,30),tblDaily[WardCode],"FW")=0,"",SUMIFS(tblDaily[Deaths],tblDaily[EntryDate],DATE(2026,9,30),tblDaily[WardCode],"FW")),"")</f>
        <v/>
      </c>
      <c r="E348" s="5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5" t="str">
        <f>IFERROR(IF(SUMIFS(tblDaily[TransfersIn],tblDaily[EntryDate],DATE(2026,9,30),tblDaily[WardCode],"FW")=0,"",SUMIFS(tblDaily[TransfersIn],tblDaily[EntryDate],DATE(2026,9,30),tblDaily[WardCode],"FW")),"")</f>
        <v/>
      </c>
      <c r="G348" s="5" t="str">
        <f>IFERROR(IF(SUMIFS(tblDaily[TransfersOut],tblDaily[EntryDate],DATE(2026,9,30),tblDaily[WardCode],"FW")=0,"",SUMIFS(tblDaily[TransfersOut],tblDaily[EntryDate],DATE(2026,9,30),tblDaily[WardCode],"FW")),"")</f>
        <v/>
      </c>
      <c r="H348" s="5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96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89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IFERROR(IF(SUMIFS(tblDaily[Admissions],tblDaily[EntryDate],DATE(2026,10,1),tblDaily[WardCode],"FW")=0,"",SUMIFS(tblDaily[Admissions],tblDaily[EntryDate],DATE(2026,10,1),tblDaily[WardCode],"FW")),"")</f>
        <v/>
      </c>
      <c r="C358" s="5" t="str">
        <f>IFERROR(IF(SUMIFS(tblDaily[Discharges],tblDaily[EntryDate],DATE(2026,10,1),tblDaily[WardCode],"FW")=0,"",SUMIFS(tblDaily[Discharges],tblDaily[EntryDate],DATE(2026,10,1),tblDaily[WardCode],"FW")),"")</f>
        <v/>
      </c>
      <c r="D358" s="5" t="str">
        <f>IFERROR(IF(SUMIFS(tblDaily[Deaths],tblDaily[EntryDate],DATE(2026,10,1),tblDaily[WardCode],"FW")=0,"",SUMIFS(tblDaily[Deaths],tblDaily[EntryDate],DATE(2026,10,1),tblDaily[WardCode],"FW")),"")</f>
        <v/>
      </c>
      <c r="E358" s="5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5" t="str">
        <f>IFERROR(IF(SUMIFS(tblDaily[TransfersIn],tblDaily[EntryDate],DATE(2026,10,1),tblDaily[WardCode],"FW")=0,"",SUMIFS(tblDaily[TransfersIn],tblDaily[EntryDate],DATE(2026,10,1),tblDaily[WardCode],"FW")),"")</f>
        <v/>
      </c>
      <c r="G358" s="5" t="str">
        <f>IFERROR(IF(SUMIFS(tblDaily[TransfersOut],tblDaily[EntryDate],DATE(2026,10,1),tblDaily[WardCode],"FW")=0,"",SUMIFS(tblDaily[TransfersOut],tblDaily[EntryDate],DATE(2026,10,1),tblDaily[WardCode],"FW")),"")</f>
        <v/>
      </c>
      <c r="H358" s="5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IFERROR(IF(SUMIFS(tblDaily[Admissions],tblDaily[EntryDate],DATE(2026,10,2),tblDaily[WardCode],"FW")=0,"",SUMIFS(tblDaily[Admissions],tblDaily[EntryDate],DATE(2026,10,2),tblDaily[WardCode],"FW")),"")</f>
        <v/>
      </c>
      <c r="C359" s="5" t="str">
        <f>IFERROR(IF(SUMIFS(tblDaily[Discharges],tblDaily[EntryDate],DATE(2026,10,2),tblDaily[WardCode],"FW")=0,"",SUMIFS(tblDaily[Discharges],tblDaily[EntryDate],DATE(2026,10,2),tblDaily[WardCode],"FW")),"")</f>
        <v/>
      </c>
      <c r="D359" s="5" t="str">
        <f>IFERROR(IF(SUMIFS(tblDaily[Deaths],tblDaily[EntryDate],DATE(2026,10,2),tblDaily[WardCode],"FW")=0,"",SUMIFS(tblDaily[Deaths],tblDaily[EntryDate],DATE(2026,10,2),tblDaily[WardCode],"FW")),"")</f>
        <v/>
      </c>
      <c r="E359" s="5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5" t="str">
        <f>IFERROR(IF(SUMIFS(tblDaily[TransfersIn],tblDaily[EntryDate],DATE(2026,10,2),tblDaily[WardCode],"FW")=0,"",SUMIFS(tblDaily[TransfersIn],tblDaily[EntryDate],DATE(2026,10,2),tblDaily[WardCode],"FW")),"")</f>
        <v/>
      </c>
      <c r="G359" s="5" t="str">
        <f>IFERROR(IF(SUMIFS(tblDaily[TransfersOut],tblDaily[EntryDate],DATE(2026,10,2),tblDaily[WardCode],"FW")=0,"",SUMIFS(tblDaily[TransfersOut],tblDaily[EntryDate],DATE(2026,10,2),tblDaily[WardCode],"FW")),"")</f>
        <v/>
      </c>
      <c r="H359" s="5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IFERROR(IF(SUMIFS(tblDaily[Admissions],tblDaily[EntryDate],DATE(2026,10,3),tblDaily[WardCode],"FW")=0,"",SUMIFS(tblDaily[Admissions],tblDaily[EntryDate],DATE(2026,10,3),tblDaily[WardCode],"FW")),"")</f>
        <v/>
      </c>
      <c r="C360" s="5" t="str">
        <f>IFERROR(IF(SUMIFS(tblDaily[Discharges],tblDaily[EntryDate],DATE(2026,10,3),tblDaily[WardCode],"FW")=0,"",SUMIFS(tblDaily[Discharges],tblDaily[EntryDate],DATE(2026,10,3),tblDaily[WardCode],"FW")),"")</f>
        <v/>
      </c>
      <c r="D360" s="5" t="str">
        <f>IFERROR(IF(SUMIFS(tblDaily[Deaths],tblDaily[EntryDate],DATE(2026,10,3),tblDaily[WardCode],"FW")=0,"",SUMIFS(tblDaily[Deaths],tblDaily[EntryDate],DATE(2026,10,3),tblDaily[WardCode],"FW")),"")</f>
        <v/>
      </c>
      <c r="E360" s="5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5" t="str">
        <f>IFERROR(IF(SUMIFS(tblDaily[TransfersIn],tblDaily[EntryDate],DATE(2026,10,3),tblDaily[WardCode],"FW")=0,"",SUMIFS(tblDaily[TransfersIn],tblDaily[EntryDate],DATE(2026,10,3),tblDaily[WardCode],"FW")),"")</f>
        <v/>
      </c>
      <c r="G360" s="5" t="str">
        <f>IFERROR(IF(SUMIFS(tblDaily[TransfersOut],tblDaily[EntryDate],DATE(2026,10,3),tblDaily[WardCode],"FW")=0,"",SUMIFS(tblDaily[TransfersOut],tblDaily[EntryDate],DATE(2026,10,3),tblDaily[WardCode],"FW")),"")</f>
        <v/>
      </c>
      <c r="H360" s="5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IFERROR(IF(SUMIFS(tblDaily[Admissions],tblDaily[EntryDate],DATE(2026,10,4),tblDaily[WardCode],"FW")=0,"",SUMIFS(tblDaily[Admissions],tblDaily[EntryDate],DATE(2026,10,4),tblDaily[WardCode],"FW")),"")</f>
        <v/>
      </c>
      <c r="C361" s="5" t="str">
        <f>IFERROR(IF(SUMIFS(tblDaily[Discharges],tblDaily[EntryDate],DATE(2026,10,4),tblDaily[WardCode],"FW")=0,"",SUMIFS(tblDaily[Discharges],tblDaily[EntryDate],DATE(2026,10,4),tblDaily[WardCode],"FW")),"")</f>
        <v/>
      </c>
      <c r="D361" s="5" t="str">
        <f>IFERROR(IF(SUMIFS(tblDaily[Deaths],tblDaily[EntryDate],DATE(2026,10,4),tblDaily[WardCode],"FW")=0,"",SUMIFS(tblDaily[Deaths],tblDaily[EntryDate],DATE(2026,10,4),tblDaily[WardCode],"FW")),"")</f>
        <v/>
      </c>
      <c r="E361" s="5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5" t="str">
        <f>IFERROR(IF(SUMIFS(tblDaily[TransfersIn],tblDaily[EntryDate],DATE(2026,10,4),tblDaily[WardCode],"FW")=0,"",SUMIFS(tblDaily[TransfersIn],tblDaily[EntryDate],DATE(2026,10,4),tblDaily[WardCode],"FW")),"")</f>
        <v/>
      </c>
      <c r="G361" s="5" t="str">
        <f>IFERROR(IF(SUMIFS(tblDaily[TransfersOut],tblDaily[EntryDate],DATE(2026,10,4),tblDaily[WardCode],"FW")=0,"",SUMIFS(tblDaily[TransfersOut],tblDaily[EntryDate],DATE(2026,10,4),tblDaily[WardCode],"FW")),"")</f>
        <v/>
      </c>
      <c r="H361" s="5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IFERROR(IF(SUMIFS(tblDaily[Admissions],tblDaily[EntryDate],DATE(2026,10,5),tblDaily[WardCode],"FW")=0,"",SUMIFS(tblDaily[Admissions],tblDaily[EntryDate],DATE(2026,10,5),tblDaily[WardCode],"FW")),"")</f>
        <v/>
      </c>
      <c r="C362" s="5" t="str">
        <f>IFERROR(IF(SUMIFS(tblDaily[Discharges],tblDaily[EntryDate],DATE(2026,10,5),tblDaily[WardCode],"FW")=0,"",SUMIFS(tblDaily[Discharges],tblDaily[EntryDate],DATE(2026,10,5),tblDaily[WardCode],"FW")),"")</f>
        <v/>
      </c>
      <c r="D362" s="5" t="str">
        <f>IFERROR(IF(SUMIFS(tblDaily[Deaths],tblDaily[EntryDate],DATE(2026,10,5),tblDaily[WardCode],"FW")=0,"",SUMIFS(tblDaily[Deaths],tblDaily[EntryDate],DATE(2026,10,5),tblDaily[WardCode],"FW")),"")</f>
        <v/>
      </c>
      <c r="E362" s="5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5" t="str">
        <f>IFERROR(IF(SUMIFS(tblDaily[TransfersIn],tblDaily[EntryDate],DATE(2026,10,5),tblDaily[WardCode],"FW")=0,"",SUMIFS(tblDaily[TransfersIn],tblDaily[EntryDate],DATE(2026,10,5),tblDaily[WardCode],"FW")),"")</f>
        <v/>
      </c>
      <c r="G362" s="5" t="str">
        <f>IFERROR(IF(SUMIFS(tblDaily[TransfersOut],tblDaily[EntryDate],DATE(2026,10,5),tblDaily[WardCode],"FW")=0,"",SUMIFS(tblDaily[TransfersOut],tblDaily[EntryDate],DATE(2026,10,5),tblDaily[WardCode],"FW")),"")</f>
        <v/>
      </c>
      <c r="H362" s="5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IFERROR(IF(SUMIFS(tblDaily[Admissions],tblDaily[EntryDate],DATE(2026,10,6),tblDaily[WardCode],"FW")=0,"",SUMIFS(tblDaily[Admissions],tblDaily[EntryDate],DATE(2026,10,6),tblDaily[WardCode],"FW")),"")</f>
        <v/>
      </c>
      <c r="C363" s="5" t="str">
        <f>IFERROR(IF(SUMIFS(tblDaily[Discharges],tblDaily[EntryDate],DATE(2026,10,6),tblDaily[WardCode],"FW")=0,"",SUMIFS(tblDaily[Discharges],tblDaily[EntryDate],DATE(2026,10,6),tblDaily[WardCode],"FW")),"")</f>
        <v/>
      </c>
      <c r="D363" s="5" t="str">
        <f>IFERROR(IF(SUMIFS(tblDaily[Deaths],tblDaily[EntryDate],DATE(2026,10,6),tblDaily[WardCode],"FW")=0,"",SUMIFS(tblDaily[Deaths],tblDaily[EntryDate],DATE(2026,10,6),tblDaily[WardCode],"FW")),"")</f>
        <v/>
      </c>
      <c r="E363" s="5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5" t="str">
        <f>IFERROR(IF(SUMIFS(tblDaily[TransfersIn],tblDaily[EntryDate],DATE(2026,10,6),tblDaily[WardCode],"FW")=0,"",SUMIFS(tblDaily[TransfersIn],tblDaily[EntryDate],DATE(2026,10,6),tblDaily[WardCode],"FW")),"")</f>
        <v/>
      </c>
      <c r="G363" s="5" t="str">
        <f>IFERROR(IF(SUMIFS(tblDaily[TransfersOut],tblDaily[EntryDate],DATE(2026,10,6),tblDaily[WardCode],"FW")=0,"",SUMIFS(tblDaily[TransfersOut],tblDaily[EntryDate],DATE(2026,10,6),tblDaily[WardCode],"FW")),"")</f>
        <v/>
      </c>
      <c r="H363" s="5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IFERROR(IF(SUMIFS(tblDaily[Admissions],tblDaily[EntryDate],DATE(2026,10,7),tblDaily[WardCode],"FW")=0,"",SUMIFS(tblDaily[Admissions],tblDaily[EntryDate],DATE(2026,10,7),tblDaily[WardCode],"FW")),"")</f>
        <v/>
      </c>
      <c r="C364" s="5" t="str">
        <f>IFERROR(IF(SUMIFS(tblDaily[Discharges],tblDaily[EntryDate],DATE(2026,10,7),tblDaily[WardCode],"FW")=0,"",SUMIFS(tblDaily[Discharges],tblDaily[EntryDate],DATE(2026,10,7),tblDaily[WardCode],"FW")),"")</f>
        <v/>
      </c>
      <c r="D364" s="5" t="str">
        <f>IFERROR(IF(SUMIFS(tblDaily[Deaths],tblDaily[EntryDate],DATE(2026,10,7),tblDaily[WardCode],"FW")=0,"",SUMIFS(tblDaily[Deaths],tblDaily[EntryDate],DATE(2026,10,7),tblDaily[WardCode],"FW")),"")</f>
        <v/>
      </c>
      <c r="E364" s="5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5" t="str">
        <f>IFERROR(IF(SUMIFS(tblDaily[TransfersIn],tblDaily[EntryDate],DATE(2026,10,7),tblDaily[WardCode],"FW")=0,"",SUMIFS(tblDaily[TransfersIn],tblDaily[EntryDate],DATE(2026,10,7),tblDaily[WardCode],"FW")),"")</f>
        <v/>
      </c>
      <c r="G364" s="5" t="str">
        <f>IFERROR(IF(SUMIFS(tblDaily[TransfersOut],tblDaily[EntryDate],DATE(2026,10,7),tblDaily[WardCode],"FW")=0,"",SUMIFS(tblDaily[TransfersOut],tblDaily[EntryDate],DATE(2026,10,7),tblDaily[WardCode],"FW")),"")</f>
        <v/>
      </c>
      <c r="H364" s="5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IFERROR(IF(SUMIFS(tblDaily[Admissions],tblDaily[EntryDate],DATE(2026,10,8),tblDaily[WardCode],"FW")=0,"",SUMIFS(tblDaily[Admissions],tblDaily[EntryDate],DATE(2026,10,8),tblDaily[WardCode],"FW")),"")</f>
        <v/>
      </c>
      <c r="C365" s="5" t="str">
        <f>IFERROR(IF(SUMIFS(tblDaily[Discharges],tblDaily[EntryDate],DATE(2026,10,8),tblDaily[WardCode],"FW")=0,"",SUMIFS(tblDaily[Discharges],tblDaily[EntryDate],DATE(2026,10,8),tblDaily[WardCode],"FW")),"")</f>
        <v/>
      </c>
      <c r="D365" s="5" t="str">
        <f>IFERROR(IF(SUMIFS(tblDaily[Deaths],tblDaily[EntryDate],DATE(2026,10,8),tblDaily[WardCode],"FW")=0,"",SUMIFS(tblDaily[Deaths],tblDaily[EntryDate],DATE(2026,10,8),tblDaily[WardCode],"FW")),"")</f>
        <v/>
      </c>
      <c r="E365" s="5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5" t="str">
        <f>IFERROR(IF(SUMIFS(tblDaily[TransfersIn],tblDaily[EntryDate],DATE(2026,10,8),tblDaily[WardCode],"FW")=0,"",SUMIFS(tblDaily[TransfersIn],tblDaily[EntryDate],DATE(2026,10,8),tblDaily[WardCode],"FW")),"")</f>
        <v/>
      </c>
      <c r="G365" s="5" t="str">
        <f>IFERROR(IF(SUMIFS(tblDaily[TransfersOut],tblDaily[EntryDate],DATE(2026,10,8),tblDaily[WardCode],"FW")=0,"",SUMIFS(tblDaily[TransfersOut],tblDaily[EntryDate],DATE(2026,10,8),tblDaily[WardCode],"FW")),"")</f>
        <v/>
      </c>
      <c r="H365" s="5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IFERROR(IF(SUMIFS(tblDaily[Admissions],tblDaily[EntryDate],DATE(2026,10,9),tblDaily[WardCode],"FW")=0,"",SUMIFS(tblDaily[Admissions],tblDaily[EntryDate],DATE(2026,10,9),tblDaily[WardCode],"FW")),"")</f>
        <v/>
      </c>
      <c r="C366" s="5" t="str">
        <f>IFERROR(IF(SUMIFS(tblDaily[Discharges],tblDaily[EntryDate],DATE(2026,10,9),tblDaily[WardCode],"FW")=0,"",SUMIFS(tblDaily[Discharges],tblDaily[EntryDate],DATE(2026,10,9),tblDaily[WardCode],"FW")),"")</f>
        <v/>
      </c>
      <c r="D366" s="5" t="str">
        <f>IFERROR(IF(SUMIFS(tblDaily[Deaths],tblDaily[EntryDate],DATE(2026,10,9),tblDaily[WardCode],"FW")=0,"",SUMIFS(tblDaily[Deaths],tblDaily[EntryDate],DATE(2026,10,9),tblDaily[WardCode],"FW")),"")</f>
        <v/>
      </c>
      <c r="E366" s="5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5" t="str">
        <f>IFERROR(IF(SUMIFS(tblDaily[TransfersIn],tblDaily[EntryDate],DATE(2026,10,9),tblDaily[WardCode],"FW")=0,"",SUMIFS(tblDaily[TransfersIn],tblDaily[EntryDate],DATE(2026,10,9),tblDaily[WardCode],"FW")),"")</f>
        <v/>
      </c>
      <c r="G366" s="5" t="str">
        <f>IFERROR(IF(SUMIFS(tblDaily[TransfersOut],tblDaily[EntryDate],DATE(2026,10,9),tblDaily[WardCode],"FW")=0,"",SUMIFS(tblDaily[TransfersOut],tblDaily[EntryDate],DATE(2026,10,9),tblDaily[WardCode],"FW")),"")</f>
        <v/>
      </c>
      <c r="H366" s="5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IFERROR(IF(SUMIFS(tblDaily[Admissions],tblDaily[EntryDate],DATE(2026,10,10),tblDaily[WardCode],"FW")=0,"",SUMIFS(tblDaily[Admissions],tblDaily[EntryDate],DATE(2026,10,10),tblDaily[WardCode],"FW")),"")</f>
        <v/>
      </c>
      <c r="C367" s="5" t="str">
        <f>IFERROR(IF(SUMIFS(tblDaily[Discharges],tblDaily[EntryDate],DATE(2026,10,10),tblDaily[WardCode],"FW")=0,"",SUMIFS(tblDaily[Discharges],tblDaily[EntryDate],DATE(2026,10,10),tblDaily[WardCode],"FW")),"")</f>
        <v/>
      </c>
      <c r="D367" s="5" t="str">
        <f>IFERROR(IF(SUMIFS(tblDaily[Deaths],tblDaily[EntryDate],DATE(2026,10,10),tblDaily[WardCode],"FW")=0,"",SUMIFS(tblDaily[Deaths],tblDaily[EntryDate],DATE(2026,10,10),tblDaily[WardCode],"FW")),"")</f>
        <v/>
      </c>
      <c r="E367" s="5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5" t="str">
        <f>IFERROR(IF(SUMIFS(tblDaily[TransfersIn],tblDaily[EntryDate],DATE(2026,10,10),tblDaily[WardCode],"FW")=0,"",SUMIFS(tblDaily[TransfersIn],tblDaily[EntryDate],DATE(2026,10,10),tblDaily[WardCode],"FW")),"")</f>
        <v/>
      </c>
      <c r="G367" s="5" t="str">
        <f>IFERROR(IF(SUMIFS(tblDaily[TransfersOut],tblDaily[EntryDate],DATE(2026,10,10),tblDaily[WardCode],"FW")=0,"",SUMIFS(tblDaily[TransfersOut],tblDaily[EntryDate],DATE(2026,10,10),tblDaily[WardCode],"FW")),"")</f>
        <v/>
      </c>
      <c r="H367" s="5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IFERROR(IF(SUMIFS(tblDaily[Admissions],tblDaily[EntryDate],DATE(2026,10,11),tblDaily[WardCode],"FW")=0,"",SUMIFS(tblDaily[Admissions],tblDaily[EntryDate],DATE(2026,10,11),tblDaily[WardCode],"FW")),"")</f>
        <v/>
      </c>
      <c r="C368" s="5" t="str">
        <f>IFERROR(IF(SUMIFS(tblDaily[Discharges],tblDaily[EntryDate],DATE(2026,10,11),tblDaily[WardCode],"FW")=0,"",SUMIFS(tblDaily[Discharges],tblDaily[EntryDate],DATE(2026,10,11),tblDaily[WardCode],"FW")),"")</f>
        <v/>
      </c>
      <c r="D368" s="5" t="str">
        <f>IFERROR(IF(SUMIFS(tblDaily[Deaths],tblDaily[EntryDate],DATE(2026,10,11),tblDaily[WardCode],"FW")=0,"",SUMIFS(tblDaily[Deaths],tblDaily[EntryDate],DATE(2026,10,11),tblDaily[WardCode],"FW")),"")</f>
        <v/>
      </c>
      <c r="E368" s="5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5" t="str">
        <f>IFERROR(IF(SUMIFS(tblDaily[TransfersIn],tblDaily[EntryDate],DATE(2026,10,11),tblDaily[WardCode],"FW")=0,"",SUMIFS(tblDaily[TransfersIn],tblDaily[EntryDate],DATE(2026,10,11),tblDaily[WardCode],"FW")),"")</f>
        <v/>
      </c>
      <c r="G368" s="5" t="str">
        <f>IFERROR(IF(SUMIFS(tblDaily[TransfersOut],tblDaily[EntryDate],DATE(2026,10,11),tblDaily[WardCode],"FW")=0,"",SUMIFS(tblDaily[TransfersOut],tblDaily[EntryDate],DATE(2026,10,11),tblDaily[WardCode],"FW")),"")</f>
        <v/>
      </c>
      <c r="H368" s="5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IFERROR(IF(SUMIFS(tblDaily[Admissions],tblDaily[EntryDate],DATE(2026,10,12),tblDaily[WardCode],"FW")=0,"",SUMIFS(tblDaily[Admissions],tblDaily[EntryDate],DATE(2026,10,12),tblDaily[WardCode],"FW")),"")</f>
        <v/>
      </c>
      <c r="C369" s="5" t="str">
        <f>IFERROR(IF(SUMIFS(tblDaily[Discharges],tblDaily[EntryDate],DATE(2026,10,12),tblDaily[WardCode],"FW")=0,"",SUMIFS(tblDaily[Discharges],tblDaily[EntryDate],DATE(2026,10,12),tblDaily[WardCode],"FW")),"")</f>
        <v/>
      </c>
      <c r="D369" s="5" t="str">
        <f>IFERROR(IF(SUMIFS(tblDaily[Deaths],tblDaily[EntryDate],DATE(2026,10,12),tblDaily[WardCode],"FW")=0,"",SUMIFS(tblDaily[Deaths],tblDaily[EntryDate],DATE(2026,10,12),tblDaily[WardCode],"FW")),"")</f>
        <v/>
      </c>
      <c r="E369" s="5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5" t="str">
        <f>IFERROR(IF(SUMIFS(tblDaily[TransfersIn],tblDaily[EntryDate],DATE(2026,10,12),tblDaily[WardCode],"FW")=0,"",SUMIFS(tblDaily[TransfersIn],tblDaily[EntryDate],DATE(2026,10,12),tblDaily[WardCode],"FW")),"")</f>
        <v/>
      </c>
      <c r="G369" s="5" t="str">
        <f>IFERROR(IF(SUMIFS(tblDaily[TransfersOut],tblDaily[EntryDate],DATE(2026,10,12),tblDaily[WardCode],"FW")=0,"",SUMIFS(tblDaily[TransfersOut],tblDaily[EntryDate],DATE(2026,10,12),tblDaily[WardCode],"FW")),"")</f>
        <v/>
      </c>
      <c r="H369" s="5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IFERROR(IF(SUMIFS(tblDaily[Admissions],tblDaily[EntryDate],DATE(2026,10,13),tblDaily[WardCode],"FW")=0,"",SUMIFS(tblDaily[Admissions],tblDaily[EntryDate],DATE(2026,10,13),tblDaily[WardCode],"FW")),"")</f>
        <v/>
      </c>
      <c r="C370" s="5" t="str">
        <f>IFERROR(IF(SUMIFS(tblDaily[Discharges],tblDaily[EntryDate],DATE(2026,10,13),tblDaily[WardCode],"FW")=0,"",SUMIFS(tblDaily[Discharges],tblDaily[EntryDate],DATE(2026,10,13),tblDaily[WardCode],"FW")),"")</f>
        <v/>
      </c>
      <c r="D370" s="5" t="str">
        <f>IFERROR(IF(SUMIFS(tblDaily[Deaths],tblDaily[EntryDate],DATE(2026,10,13),tblDaily[WardCode],"FW")=0,"",SUMIFS(tblDaily[Deaths],tblDaily[EntryDate],DATE(2026,10,13),tblDaily[WardCode],"FW")),"")</f>
        <v/>
      </c>
      <c r="E370" s="5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5" t="str">
        <f>IFERROR(IF(SUMIFS(tblDaily[TransfersIn],tblDaily[EntryDate],DATE(2026,10,13),tblDaily[WardCode],"FW")=0,"",SUMIFS(tblDaily[TransfersIn],tblDaily[EntryDate],DATE(2026,10,13),tblDaily[WardCode],"FW")),"")</f>
        <v/>
      </c>
      <c r="G370" s="5" t="str">
        <f>IFERROR(IF(SUMIFS(tblDaily[TransfersOut],tblDaily[EntryDate],DATE(2026,10,13),tblDaily[WardCode],"FW")=0,"",SUMIFS(tblDaily[TransfersOut],tblDaily[EntryDate],DATE(2026,10,13),tblDaily[WardCode],"FW")),"")</f>
        <v/>
      </c>
      <c r="H370" s="5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IFERROR(IF(SUMIFS(tblDaily[Admissions],tblDaily[EntryDate],DATE(2026,10,14),tblDaily[WardCode],"FW")=0,"",SUMIFS(tblDaily[Admissions],tblDaily[EntryDate],DATE(2026,10,14),tblDaily[WardCode],"FW")),"")</f>
        <v/>
      </c>
      <c r="C371" s="5" t="str">
        <f>IFERROR(IF(SUMIFS(tblDaily[Discharges],tblDaily[EntryDate],DATE(2026,10,14),tblDaily[WardCode],"FW")=0,"",SUMIFS(tblDaily[Discharges],tblDaily[EntryDate],DATE(2026,10,14),tblDaily[WardCode],"FW")),"")</f>
        <v/>
      </c>
      <c r="D371" s="5" t="str">
        <f>IFERROR(IF(SUMIFS(tblDaily[Deaths],tblDaily[EntryDate],DATE(2026,10,14),tblDaily[WardCode],"FW")=0,"",SUMIFS(tblDaily[Deaths],tblDaily[EntryDate],DATE(2026,10,14),tblDaily[WardCode],"FW")),"")</f>
        <v/>
      </c>
      <c r="E371" s="5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5" t="str">
        <f>IFERROR(IF(SUMIFS(tblDaily[TransfersIn],tblDaily[EntryDate],DATE(2026,10,14),tblDaily[WardCode],"FW")=0,"",SUMIFS(tblDaily[TransfersIn],tblDaily[EntryDate],DATE(2026,10,14),tblDaily[WardCode],"FW")),"")</f>
        <v/>
      </c>
      <c r="G371" s="5" t="str">
        <f>IFERROR(IF(SUMIFS(tblDaily[TransfersOut],tblDaily[EntryDate],DATE(2026,10,14),tblDaily[WardCode],"FW")=0,"",SUMIFS(tblDaily[TransfersOut],tblDaily[EntryDate],DATE(2026,10,14),tblDaily[WardCode],"FW")),"")</f>
        <v/>
      </c>
      <c r="H371" s="5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IFERROR(IF(SUMIFS(tblDaily[Admissions],tblDaily[EntryDate],DATE(2026,10,15),tblDaily[WardCode],"FW")=0,"",SUMIFS(tblDaily[Admissions],tblDaily[EntryDate],DATE(2026,10,15),tblDaily[WardCode],"FW")),"")</f>
        <v/>
      </c>
      <c r="C372" s="5" t="str">
        <f>IFERROR(IF(SUMIFS(tblDaily[Discharges],tblDaily[EntryDate],DATE(2026,10,15),tblDaily[WardCode],"FW")=0,"",SUMIFS(tblDaily[Discharges],tblDaily[EntryDate],DATE(2026,10,15),tblDaily[WardCode],"FW")),"")</f>
        <v/>
      </c>
      <c r="D372" s="5" t="str">
        <f>IFERROR(IF(SUMIFS(tblDaily[Deaths],tblDaily[EntryDate],DATE(2026,10,15),tblDaily[WardCode],"FW")=0,"",SUMIFS(tblDaily[Deaths],tblDaily[EntryDate],DATE(2026,10,15),tblDaily[WardCode],"FW")),"")</f>
        <v/>
      </c>
      <c r="E372" s="5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5" t="str">
        <f>IFERROR(IF(SUMIFS(tblDaily[TransfersIn],tblDaily[EntryDate],DATE(2026,10,15),tblDaily[WardCode],"FW")=0,"",SUMIFS(tblDaily[TransfersIn],tblDaily[EntryDate],DATE(2026,10,15),tblDaily[WardCode],"FW")),"")</f>
        <v/>
      </c>
      <c r="G372" s="5" t="str">
        <f>IFERROR(IF(SUMIFS(tblDaily[TransfersOut],tblDaily[EntryDate],DATE(2026,10,15),tblDaily[WardCode],"FW")=0,"",SUMIFS(tblDaily[TransfersOut],tblDaily[EntryDate],DATE(2026,10,15),tblDaily[WardCode],"FW")),"")</f>
        <v/>
      </c>
      <c r="H372" s="5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IFERROR(IF(SUMIFS(tblDaily[Admissions],tblDaily[EntryDate],DATE(2026,10,16),tblDaily[WardCode],"FW")=0,"",SUMIFS(tblDaily[Admissions],tblDaily[EntryDate],DATE(2026,10,16),tblDaily[WardCode],"FW")),"")</f>
        <v/>
      </c>
      <c r="C373" s="5" t="str">
        <f>IFERROR(IF(SUMIFS(tblDaily[Discharges],tblDaily[EntryDate],DATE(2026,10,16),tblDaily[WardCode],"FW")=0,"",SUMIFS(tblDaily[Discharges],tblDaily[EntryDate],DATE(2026,10,16),tblDaily[WardCode],"FW")),"")</f>
        <v/>
      </c>
      <c r="D373" s="5" t="str">
        <f>IFERROR(IF(SUMIFS(tblDaily[Deaths],tblDaily[EntryDate],DATE(2026,10,16),tblDaily[WardCode],"FW")=0,"",SUMIFS(tblDaily[Deaths],tblDaily[EntryDate],DATE(2026,10,16),tblDaily[WardCode],"FW")),"")</f>
        <v/>
      </c>
      <c r="E373" s="5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5" t="str">
        <f>IFERROR(IF(SUMIFS(tblDaily[TransfersIn],tblDaily[EntryDate],DATE(2026,10,16),tblDaily[WardCode],"FW")=0,"",SUMIFS(tblDaily[TransfersIn],tblDaily[EntryDate],DATE(2026,10,16),tblDaily[WardCode],"FW")),"")</f>
        <v/>
      </c>
      <c r="G373" s="5" t="str">
        <f>IFERROR(IF(SUMIFS(tblDaily[TransfersOut],tblDaily[EntryDate],DATE(2026,10,16),tblDaily[WardCode],"FW")=0,"",SUMIFS(tblDaily[TransfersOut],tblDaily[EntryDate],DATE(2026,10,16),tblDaily[WardCode],"FW")),"")</f>
        <v/>
      </c>
      <c r="H373" s="5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IFERROR(IF(SUMIFS(tblDaily[Admissions],tblDaily[EntryDate],DATE(2026,10,17),tblDaily[WardCode],"FW")=0,"",SUMIFS(tblDaily[Admissions],tblDaily[EntryDate],DATE(2026,10,17),tblDaily[WardCode],"FW")),"")</f>
        <v/>
      </c>
      <c r="C374" s="5" t="str">
        <f>IFERROR(IF(SUMIFS(tblDaily[Discharges],tblDaily[EntryDate],DATE(2026,10,17),tblDaily[WardCode],"FW")=0,"",SUMIFS(tblDaily[Discharges],tblDaily[EntryDate],DATE(2026,10,17),tblDaily[WardCode],"FW")),"")</f>
        <v/>
      </c>
      <c r="D374" s="5" t="str">
        <f>IFERROR(IF(SUMIFS(tblDaily[Deaths],tblDaily[EntryDate],DATE(2026,10,17),tblDaily[WardCode],"FW")=0,"",SUMIFS(tblDaily[Deaths],tblDaily[EntryDate],DATE(2026,10,17),tblDaily[WardCode],"FW")),"")</f>
        <v/>
      </c>
      <c r="E374" s="5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5" t="str">
        <f>IFERROR(IF(SUMIFS(tblDaily[TransfersIn],tblDaily[EntryDate],DATE(2026,10,17),tblDaily[WardCode],"FW")=0,"",SUMIFS(tblDaily[TransfersIn],tblDaily[EntryDate],DATE(2026,10,17),tblDaily[WardCode],"FW")),"")</f>
        <v/>
      </c>
      <c r="G374" s="5" t="str">
        <f>IFERROR(IF(SUMIFS(tblDaily[TransfersOut],tblDaily[EntryDate],DATE(2026,10,17),tblDaily[WardCode],"FW")=0,"",SUMIFS(tblDaily[TransfersOut],tblDaily[EntryDate],DATE(2026,10,17),tblDaily[WardCode],"FW")),"")</f>
        <v/>
      </c>
      <c r="H374" s="5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IFERROR(IF(SUMIFS(tblDaily[Admissions],tblDaily[EntryDate],DATE(2026,10,18),tblDaily[WardCode],"FW")=0,"",SUMIFS(tblDaily[Admissions],tblDaily[EntryDate],DATE(2026,10,18),tblDaily[WardCode],"FW")),"")</f>
        <v/>
      </c>
      <c r="C375" s="5" t="str">
        <f>IFERROR(IF(SUMIFS(tblDaily[Discharges],tblDaily[EntryDate],DATE(2026,10,18),tblDaily[WardCode],"FW")=0,"",SUMIFS(tblDaily[Discharges],tblDaily[EntryDate],DATE(2026,10,18),tblDaily[WardCode],"FW")),"")</f>
        <v/>
      </c>
      <c r="D375" s="5" t="str">
        <f>IFERROR(IF(SUMIFS(tblDaily[Deaths],tblDaily[EntryDate],DATE(2026,10,18),tblDaily[WardCode],"FW")=0,"",SUMIFS(tblDaily[Deaths],tblDaily[EntryDate],DATE(2026,10,18),tblDaily[WardCode],"FW")),"")</f>
        <v/>
      </c>
      <c r="E375" s="5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5" t="str">
        <f>IFERROR(IF(SUMIFS(tblDaily[TransfersIn],tblDaily[EntryDate],DATE(2026,10,18),tblDaily[WardCode],"FW")=0,"",SUMIFS(tblDaily[TransfersIn],tblDaily[EntryDate],DATE(2026,10,18),tblDaily[WardCode],"FW")),"")</f>
        <v/>
      </c>
      <c r="G375" s="5" t="str">
        <f>IFERROR(IF(SUMIFS(tblDaily[TransfersOut],tblDaily[EntryDate],DATE(2026,10,18),tblDaily[WardCode],"FW")=0,"",SUMIFS(tblDaily[TransfersOut],tblDaily[EntryDate],DATE(2026,10,18),tblDaily[WardCode],"FW")),"")</f>
        <v/>
      </c>
      <c r="H375" s="5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IFERROR(IF(SUMIFS(tblDaily[Admissions],tblDaily[EntryDate],DATE(2026,10,19),tblDaily[WardCode],"FW")=0,"",SUMIFS(tblDaily[Admissions],tblDaily[EntryDate],DATE(2026,10,19),tblDaily[WardCode],"FW")),"")</f>
        <v/>
      </c>
      <c r="C376" s="5" t="str">
        <f>IFERROR(IF(SUMIFS(tblDaily[Discharges],tblDaily[EntryDate],DATE(2026,10,19),tblDaily[WardCode],"FW")=0,"",SUMIFS(tblDaily[Discharges],tblDaily[EntryDate],DATE(2026,10,19),tblDaily[WardCode],"FW")),"")</f>
        <v/>
      </c>
      <c r="D376" s="5" t="str">
        <f>IFERROR(IF(SUMIFS(tblDaily[Deaths],tblDaily[EntryDate],DATE(2026,10,19),tblDaily[WardCode],"FW")=0,"",SUMIFS(tblDaily[Deaths],tblDaily[EntryDate],DATE(2026,10,19),tblDaily[WardCode],"FW")),"")</f>
        <v/>
      </c>
      <c r="E376" s="5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5" t="str">
        <f>IFERROR(IF(SUMIFS(tblDaily[TransfersIn],tblDaily[EntryDate],DATE(2026,10,19),tblDaily[WardCode],"FW")=0,"",SUMIFS(tblDaily[TransfersIn],tblDaily[EntryDate],DATE(2026,10,19),tblDaily[WardCode],"FW")),"")</f>
        <v/>
      </c>
      <c r="G376" s="5" t="str">
        <f>IFERROR(IF(SUMIFS(tblDaily[TransfersOut],tblDaily[EntryDate],DATE(2026,10,19),tblDaily[WardCode],"FW")=0,"",SUMIFS(tblDaily[TransfersOut],tblDaily[EntryDate],DATE(2026,10,19),tblDaily[WardCode],"FW")),"")</f>
        <v/>
      </c>
      <c r="H376" s="5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IFERROR(IF(SUMIFS(tblDaily[Admissions],tblDaily[EntryDate],DATE(2026,10,20),tblDaily[WardCode],"FW")=0,"",SUMIFS(tblDaily[Admissions],tblDaily[EntryDate],DATE(2026,10,20),tblDaily[WardCode],"FW")),"")</f>
        <v/>
      </c>
      <c r="C377" s="5" t="str">
        <f>IFERROR(IF(SUMIFS(tblDaily[Discharges],tblDaily[EntryDate],DATE(2026,10,20),tblDaily[WardCode],"FW")=0,"",SUMIFS(tblDaily[Discharges],tblDaily[EntryDate],DATE(2026,10,20),tblDaily[WardCode],"FW")),"")</f>
        <v/>
      </c>
      <c r="D377" s="5" t="str">
        <f>IFERROR(IF(SUMIFS(tblDaily[Deaths],tblDaily[EntryDate],DATE(2026,10,20),tblDaily[WardCode],"FW")=0,"",SUMIFS(tblDaily[Deaths],tblDaily[EntryDate],DATE(2026,10,20),tblDaily[WardCode],"FW")),"")</f>
        <v/>
      </c>
      <c r="E377" s="5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5" t="str">
        <f>IFERROR(IF(SUMIFS(tblDaily[TransfersIn],tblDaily[EntryDate],DATE(2026,10,20),tblDaily[WardCode],"FW")=0,"",SUMIFS(tblDaily[TransfersIn],tblDaily[EntryDate],DATE(2026,10,20),tblDaily[WardCode],"FW")),"")</f>
        <v/>
      </c>
      <c r="G377" s="5" t="str">
        <f>IFERROR(IF(SUMIFS(tblDaily[TransfersOut],tblDaily[EntryDate],DATE(2026,10,20),tblDaily[WardCode],"FW")=0,"",SUMIFS(tblDaily[TransfersOut],tblDaily[EntryDate],DATE(2026,10,20),tblDaily[WardCode],"FW")),"")</f>
        <v/>
      </c>
      <c r="H377" s="5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IFERROR(IF(SUMIFS(tblDaily[Admissions],tblDaily[EntryDate],DATE(2026,10,21),tblDaily[WardCode],"FW")=0,"",SUMIFS(tblDaily[Admissions],tblDaily[EntryDate],DATE(2026,10,21),tblDaily[WardCode],"FW")),"")</f>
        <v/>
      </c>
      <c r="C378" s="5" t="str">
        <f>IFERROR(IF(SUMIFS(tblDaily[Discharges],tblDaily[EntryDate],DATE(2026,10,21),tblDaily[WardCode],"FW")=0,"",SUMIFS(tblDaily[Discharges],tblDaily[EntryDate],DATE(2026,10,21),tblDaily[WardCode],"FW")),"")</f>
        <v/>
      </c>
      <c r="D378" s="5" t="str">
        <f>IFERROR(IF(SUMIFS(tblDaily[Deaths],tblDaily[EntryDate],DATE(2026,10,21),tblDaily[WardCode],"FW")=0,"",SUMIFS(tblDaily[Deaths],tblDaily[EntryDate],DATE(2026,10,21),tblDaily[WardCode],"FW")),"")</f>
        <v/>
      </c>
      <c r="E378" s="5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5" t="str">
        <f>IFERROR(IF(SUMIFS(tblDaily[TransfersIn],tblDaily[EntryDate],DATE(2026,10,21),tblDaily[WardCode],"FW")=0,"",SUMIFS(tblDaily[TransfersIn],tblDaily[EntryDate],DATE(2026,10,21),tblDaily[WardCode],"FW")),"")</f>
        <v/>
      </c>
      <c r="G378" s="5" t="str">
        <f>IFERROR(IF(SUMIFS(tblDaily[TransfersOut],tblDaily[EntryDate],DATE(2026,10,21),tblDaily[WardCode],"FW")=0,"",SUMIFS(tblDaily[TransfersOut],tblDaily[EntryDate],DATE(2026,10,21),tblDaily[WardCode],"FW")),"")</f>
        <v/>
      </c>
      <c r="H378" s="5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IFERROR(IF(SUMIFS(tblDaily[Admissions],tblDaily[EntryDate],DATE(2026,10,22),tblDaily[WardCode],"FW")=0,"",SUMIFS(tblDaily[Admissions],tblDaily[EntryDate],DATE(2026,10,22),tblDaily[WardCode],"FW")),"")</f>
        <v/>
      </c>
      <c r="C379" s="5" t="str">
        <f>IFERROR(IF(SUMIFS(tblDaily[Discharges],tblDaily[EntryDate],DATE(2026,10,22),tblDaily[WardCode],"FW")=0,"",SUMIFS(tblDaily[Discharges],tblDaily[EntryDate],DATE(2026,10,22),tblDaily[WardCode],"FW")),"")</f>
        <v/>
      </c>
      <c r="D379" s="5" t="str">
        <f>IFERROR(IF(SUMIFS(tblDaily[Deaths],tblDaily[EntryDate],DATE(2026,10,22),tblDaily[WardCode],"FW")=0,"",SUMIFS(tblDaily[Deaths],tblDaily[EntryDate],DATE(2026,10,22),tblDaily[WardCode],"FW")),"")</f>
        <v/>
      </c>
      <c r="E379" s="5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5" t="str">
        <f>IFERROR(IF(SUMIFS(tblDaily[TransfersIn],tblDaily[EntryDate],DATE(2026,10,22),tblDaily[WardCode],"FW")=0,"",SUMIFS(tblDaily[TransfersIn],tblDaily[EntryDate],DATE(2026,10,22),tblDaily[WardCode],"FW")),"")</f>
        <v/>
      </c>
      <c r="G379" s="5" t="str">
        <f>IFERROR(IF(SUMIFS(tblDaily[TransfersOut],tblDaily[EntryDate],DATE(2026,10,22),tblDaily[WardCode],"FW")=0,"",SUMIFS(tblDaily[TransfersOut],tblDaily[EntryDate],DATE(2026,10,22),tblDaily[WardCode],"FW")),"")</f>
        <v/>
      </c>
      <c r="H379" s="5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IFERROR(IF(SUMIFS(tblDaily[Admissions],tblDaily[EntryDate],DATE(2026,10,23),tblDaily[WardCode],"FW")=0,"",SUMIFS(tblDaily[Admissions],tblDaily[EntryDate],DATE(2026,10,23),tblDaily[WardCode],"FW")),"")</f>
        <v/>
      </c>
      <c r="C380" s="5" t="str">
        <f>IFERROR(IF(SUMIFS(tblDaily[Discharges],tblDaily[EntryDate],DATE(2026,10,23),tblDaily[WardCode],"FW")=0,"",SUMIFS(tblDaily[Discharges],tblDaily[EntryDate],DATE(2026,10,23),tblDaily[WardCode],"FW")),"")</f>
        <v/>
      </c>
      <c r="D380" s="5" t="str">
        <f>IFERROR(IF(SUMIFS(tblDaily[Deaths],tblDaily[EntryDate],DATE(2026,10,23),tblDaily[WardCode],"FW")=0,"",SUMIFS(tblDaily[Deaths],tblDaily[EntryDate],DATE(2026,10,23),tblDaily[WardCode],"FW")),"")</f>
        <v/>
      </c>
      <c r="E380" s="5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5" t="str">
        <f>IFERROR(IF(SUMIFS(tblDaily[TransfersIn],tblDaily[EntryDate],DATE(2026,10,23),tblDaily[WardCode],"FW")=0,"",SUMIFS(tblDaily[TransfersIn],tblDaily[EntryDate],DATE(2026,10,23),tblDaily[WardCode],"FW")),"")</f>
        <v/>
      </c>
      <c r="G380" s="5" t="str">
        <f>IFERROR(IF(SUMIFS(tblDaily[TransfersOut],tblDaily[EntryDate],DATE(2026,10,23),tblDaily[WardCode],"FW")=0,"",SUMIFS(tblDaily[TransfersOut],tblDaily[EntryDate],DATE(2026,10,23),tblDaily[WardCode],"FW")),"")</f>
        <v/>
      </c>
      <c r="H380" s="5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IFERROR(IF(SUMIFS(tblDaily[Admissions],tblDaily[EntryDate],DATE(2026,10,24),tblDaily[WardCode],"FW")=0,"",SUMIFS(tblDaily[Admissions],tblDaily[EntryDate],DATE(2026,10,24),tblDaily[WardCode],"FW")),"")</f>
        <v/>
      </c>
      <c r="C381" s="5" t="str">
        <f>IFERROR(IF(SUMIFS(tblDaily[Discharges],tblDaily[EntryDate],DATE(2026,10,24),tblDaily[WardCode],"FW")=0,"",SUMIFS(tblDaily[Discharges],tblDaily[EntryDate],DATE(2026,10,24),tblDaily[WardCode],"FW")),"")</f>
        <v/>
      </c>
      <c r="D381" s="5" t="str">
        <f>IFERROR(IF(SUMIFS(tblDaily[Deaths],tblDaily[EntryDate],DATE(2026,10,24),tblDaily[WardCode],"FW")=0,"",SUMIFS(tblDaily[Deaths],tblDaily[EntryDate],DATE(2026,10,24),tblDaily[WardCode],"FW")),"")</f>
        <v/>
      </c>
      <c r="E381" s="5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5" t="str">
        <f>IFERROR(IF(SUMIFS(tblDaily[TransfersIn],tblDaily[EntryDate],DATE(2026,10,24),tblDaily[WardCode],"FW")=0,"",SUMIFS(tblDaily[TransfersIn],tblDaily[EntryDate],DATE(2026,10,24),tblDaily[WardCode],"FW")),"")</f>
        <v/>
      </c>
      <c r="G381" s="5" t="str">
        <f>IFERROR(IF(SUMIFS(tblDaily[TransfersOut],tblDaily[EntryDate],DATE(2026,10,24),tblDaily[WardCode],"FW")=0,"",SUMIFS(tblDaily[TransfersOut],tblDaily[EntryDate],DATE(2026,10,24),tblDaily[WardCode],"FW")),"")</f>
        <v/>
      </c>
      <c r="H381" s="5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IFERROR(IF(SUMIFS(tblDaily[Admissions],tblDaily[EntryDate],DATE(2026,10,25),tblDaily[WardCode],"FW")=0,"",SUMIFS(tblDaily[Admissions],tblDaily[EntryDate],DATE(2026,10,25),tblDaily[WardCode],"FW")),"")</f>
        <v/>
      </c>
      <c r="C382" s="5" t="str">
        <f>IFERROR(IF(SUMIFS(tblDaily[Discharges],tblDaily[EntryDate],DATE(2026,10,25),tblDaily[WardCode],"FW")=0,"",SUMIFS(tblDaily[Discharges],tblDaily[EntryDate],DATE(2026,10,25),tblDaily[WardCode],"FW")),"")</f>
        <v/>
      </c>
      <c r="D382" s="5" t="str">
        <f>IFERROR(IF(SUMIFS(tblDaily[Deaths],tblDaily[EntryDate],DATE(2026,10,25),tblDaily[WardCode],"FW")=0,"",SUMIFS(tblDaily[Deaths],tblDaily[EntryDate],DATE(2026,10,25),tblDaily[WardCode],"FW")),"")</f>
        <v/>
      </c>
      <c r="E382" s="5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5" t="str">
        <f>IFERROR(IF(SUMIFS(tblDaily[TransfersIn],tblDaily[EntryDate],DATE(2026,10,25),tblDaily[WardCode],"FW")=0,"",SUMIFS(tblDaily[TransfersIn],tblDaily[EntryDate],DATE(2026,10,25),tblDaily[WardCode],"FW")),"")</f>
        <v/>
      </c>
      <c r="G382" s="5" t="str">
        <f>IFERROR(IF(SUMIFS(tblDaily[TransfersOut],tblDaily[EntryDate],DATE(2026,10,25),tblDaily[WardCode],"FW")=0,"",SUMIFS(tblDaily[TransfersOut],tblDaily[EntryDate],DATE(2026,10,25),tblDaily[WardCode],"FW")),"")</f>
        <v/>
      </c>
      <c r="H382" s="5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IFERROR(IF(SUMIFS(tblDaily[Admissions],tblDaily[EntryDate],DATE(2026,10,26),tblDaily[WardCode],"FW")=0,"",SUMIFS(tblDaily[Admissions],tblDaily[EntryDate],DATE(2026,10,26),tblDaily[WardCode],"FW")),"")</f>
        <v/>
      </c>
      <c r="C383" s="5" t="str">
        <f>IFERROR(IF(SUMIFS(tblDaily[Discharges],tblDaily[EntryDate],DATE(2026,10,26),tblDaily[WardCode],"FW")=0,"",SUMIFS(tblDaily[Discharges],tblDaily[EntryDate],DATE(2026,10,26),tblDaily[WardCode],"FW")),"")</f>
        <v/>
      </c>
      <c r="D383" s="5" t="str">
        <f>IFERROR(IF(SUMIFS(tblDaily[Deaths],tblDaily[EntryDate],DATE(2026,10,26),tblDaily[WardCode],"FW")=0,"",SUMIFS(tblDaily[Deaths],tblDaily[EntryDate],DATE(2026,10,26),tblDaily[WardCode],"FW")),"")</f>
        <v/>
      </c>
      <c r="E383" s="5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5" t="str">
        <f>IFERROR(IF(SUMIFS(tblDaily[TransfersIn],tblDaily[EntryDate],DATE(2026,10,26),tblDaily[WardCode],"FW")=0,"",SUMIFS(tblDaily[TransfersIn],tblDaily[EntryDate],DATE(2026,10,26),tblDaily[WardCode],"FW")),"")</f>
        <v/>
      </c>
      <c r="G383" s="5" t="str">
        <f>IFERROR(IF(SUMIFS(tblDaily[TransfersOut],tblDaily[EntryDate],DATE(2026,10,26),tblDaily[WardCode],"FW")=0,"",SUMIFS(tblDaily[TransfersOut],tblDaily[EntryDate],DATE(2026,10,26),tblDaily[WardCode],"FW")),"")</f>
        <v/>
      </c>
      <c r="H383" s="5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IFERROR(IF(SUMIFS(tblDaily[Admissions],tblDaily[EntryDate],DATE(2026,10,27),tblDaily[WardCode],"FW")=0,"",SUMIFS(tblDaily[Admissions],tblDaily[EntryDate],DATE(2026,10,27),tblDaily[WardCode],"FW")),"")</f>
        <v/>
      </c>
      <c r="C384" s="5" t="str">
        <f>IFERROR(IF(SUMIFS(tblDaily[Discharges],tblDaily[EntryDate],DATE(2026,10,27),tblDaily[WardCode],"FW")=0,"",SUMIFS(tblDaily[Discharges],tblDaily[EntryDate],DATE(2026,10,27),tblDaily[WardCode],"FW")),"")</f>
        <v/>
      </c>
      <c r="D384" s="5" t="str">
        <f>IFERROR(IF(SUMIFS(tblDaily[Deaths],tblDaily[EntryDate],DATE(2026,10,27),tblDaily[WardCode],"FW")=0,"",SUMIFS(tblDaily[Deaths],tblDaily[EntryDate],DATE(2026,10,27),tblDaily[WardCode],"FW")),"")</f>
        <v/>
      </c>
      <c r="E384" s="5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5" t="str">
        <f>IFERROR(IF(SUMIFS(tblDaily[TransfersIn],tblDaily[EntryDate],DATE(2026,10,27),tblDaily[WardCode],"FW")=0,"",SUMIFS(tblDaily[TransfersIn],tblDaily[EntryDate],DATE(2026,10,27),tblDaily[WardCode],"FW")),"")</f>
        <v/>
      </c>
      <c r="G384" s="5" t="str">
        <f>IFERROR(IF(SUMIFS(tblDaily[TransfersOut],tblDaily[EntryDate],DATE(2026,10,27),tblDaily[WardCode],"FW")=0,"",SUMIFS(tblDaily[TransfersOut],tblDaily[EntryDate],DATE(2026,10,27),tblDaily[WardCode],"FW")),"")</f>
        <v/>
      </c>
      <c r="H384" s="5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IFERROR(IF(SUMIFS(tblDaily[Admissions],tblDaily[EntryDate],DATE(2026,10,28),tblDaily[WardCode],"FW")=0,"",SUMIFS(tblDaily[Admissions],tblDaily[EntryDate],DATE(2026,10,28),tblDaily[WardCode],"FW")),"")</f>
        <v/>
      </c>
      <c r="C385" s="5" t="str">
        <f>IFERROR(IF(SUMIFS(tblDaily[Discharges],tblDaily[EntryDate],DATE(2026,10,28),tblDaily[WardCode],"FW")=0,"",SUMIFS(tblDaily[Discharges],tblDaily[EntryDate],DATE(2026,10,28),tblDaily[WardCode],"FW")),"")</f>
        <v/>
      </c>
      <c r="D385" s="5" t="str">
        <f>IFERROR(IF(SUMIFS(tblDaily[Deaths],tblDaily[EntryDate],DATE(2026,10,28),tblDaily[WardCode],"FW")=0,"",SUMIFS(tblDaily[Deaths],tblDaily[EntryDate],DATE(2026,10,28),tblDaily[WardCode],"FW")),"")</f>
        <v/>
      </c>
      <c r="E385" s="5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5" t="str">
        <f>IFERROR(IF(SUMIFS(tblDaily[TransfersIn],tblDaily[EntryDate],DATE(2026,10,28),tblDaily[WardCode],"FW")=0,"",SUMIFS(tblDaily[TransfersIn],tblDaily[EntryDate],DATE(2026,10,28),tblDaily[WardCode],"FW")),"")</f>
        <v/>
      </c>
      <c r="G385" s="5" t="str">
        <f>IFERROR(IF(SUMIFS(tblDaily[TransfersOut],tblDaily[EntryDate],DATE(2026,10,28),tblDaily[WardCode],"FW")=0,"",SUMIFS(tblDaily[TransfersOut],tblDaily[EntryDate],DATE(2026,10,28),tblDaily[WardCode],"FW")),"")</f>
        <v/>
      </c>
      <c r="H385" s="5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IFERROR(IF(SUMIFS(tblDaily[Admissions],tblDaily[EntryDate],DATE(2026,10,29),tblDaily[WardCode],"FW")=0,"",SUMIFS(tblDaily[Admissions],tblDaily[EntryDate],DATE(2026,10,29),tblDaily[WardCode],"FW")),"")</f>
        <v/>
      </c>
      <c r="C386" s="5" t="str">
        <f>IFERROR(IF(SUMIFS(tblDaily[Discharges],tblDaily[EntryDate],DATE(2026,10,29),tblDaily[WardCode],"FW")=0,"",SUMIFS(tblDaily[Discharges],tblDaily[EntryDate],DATE(2026,10,29),tblDaily[WardCode],"FW")),"")</f>
        <v/>
      </c>
      <c r="D386" s="5" t="str">
        <f>IFERROR(IF(SUMIFS(tblDaily[Deaths],tblDaily[EntryDate],DATE(2026,10,29),tblDaily[WardCode],"FW")=0,"",SUMIFS(tblDaily[Deaths],tblDaily[EntryDate],DATE(2026,10,29),tblDaily[WardCode],"FW")),"")</f>
        <v/>
      </c>
      <c r="E386" s="5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5" t="str">
        <f>IFERROR(IF(SUMIFS(tblDaily[TransfersIn],tblDaily[EntryDate],DATE(2026,10,29),tblDaily[WardCode],"FW")=0,"",SUMIFS(tblDaily[TransfersIn],tblDaily[EntryDate],DATE(2026,10,29),tblDaily[WardCode],"FW")),"")</f>
        <v/>
      </c>
      <c r="G386" s="5" t="str">
        <f>IFERROR(IF(SUMIFS(tblDaily[TransfersOut],tblDaily[EntryDate],DATE(2026,10,29),tblDaily[WardCode],"FW")=0,"",SUMIFS(tblDaily[TransfersOut],tblDaily[EntryDate],DATE(2026,10,29),tblDaily[WardCode],"FW")),"")</f>
        <v/>
      </c>
      <c r="H386" s="5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IFERROR(IF(SUMIFS(tblDaily[Admissions],tblDaily[EntryDate],DATE(2026,10,30),tblDaily[WardCode],"FW")=0,"",SUMIFS(tblDaily[Admissions],tblDaily[EntryDate],DATE(2026,10,30),tblDaily[WardCode],"FW")),"")</f>
        <v/>
      </c>
      <c r="C387" s="5" t="str">
        <f>IFERROR(IF(SUMIFS(tblDaily[Discharges],tblDaily[EntryDate],DATE(2026,10,30),tblDaily[WardCode],"FW")=0,"",SUMIFS(tblDaily[Discharges],tblDaily[EntryDate],DATE(2026,10,30),tblDaily[WardCode],"FW")),"")</f>
        <v/>
      </c>
      <c r="D387" s="5" t="str">
        <f>IFERROR(IF(SUMIFS(tblDaily[Deaths],tblDaily[EntryDate],DATE(2026,10,30),tblDaily[WardCode],"FW")=0,"",SUMIFS(tblDaily[Deaths],tblDaily[EntryDate],DATE(2026,10,30),tblDaily[WardCode],"FW")),"")</f>
        <v/>
      </c>
      <c r="E387" s="5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5" t="str">
        <f>IFERROR(IF(SUMIFS(tblDaily[TransfersIn],tblDaily[EntryDate],DATE(2026,10,30),tblDaily[WardCode],"FW")=0,"",SUMIFS(tblDaily[TransfersIn],tblDaily[EntryDate],DATE(2026,10,30),tblDaily[WardCode],"FW")),"")</f>
        <v/>
      </c>
      <c r="G387" s="5" t="str">
        <f>IFERROR(IF(SUMIFS(tblDaily[TransfersOut],tblDaily[EntryDate],DATE(2026,10,30),tblDaily[WardCode],"FW")=0,"",SUMIFS(tblDaily[TransfersOut],tblDaily[EntryDate],DATE(2026,10,30),tblDaily[WardCode],"FW")),"")</f>
        <v/>
      </c>
      <c r="H387" s="5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IFERROR(IF(SUMIFS(tblDaily[Admissions],tblDaily[EntryDate],DATE(2026,10,31),tblDaily[WardCode],"FW")=0,"",SUMIFS(tblDaily[Admissions],tblDaily[EntryDate],DATE(2026,10,31),tblDaily[WardCode],"FW")),"")</f>
        <v/>
      </c>
      <c r="C388" s="5" t="str">
        <f>IFERROR(IF(SUMIFS(tblDaily[Discharges],tblDaily[EntryDate],DATE(2026,10,31),tblDaily[WardCode],"FW")=0,"",SUMIFS(tblDaily[Discharges],tblDaily[EntryDate],DATE(2026,10,31),tblDaily[WardCode],"FW")),"")</f>
        <v/>
      </c>
      <c r="D388" s="5" t="str">
        <f>IFERROR(IF(SUMIFS(tblDaily[Deaths],tblDaily[EntryDate],DATE(2026,10,31),tblDaily[WardCode],"FW")=0,"",SUMIFS(tblDaily[Deaths],tblDaily[EntryDate],DATE(2026,10,31),tblDaily[WardCode],"FW")),"")</f>
        <v/>
      </c>
      <c r="E388" s="5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5" t="str">
        <f>IFERROR(IF(SUMIFS(tblDaily[TransfersIn],tblDaily[EntryDate],DATE(2026,10,31),tblDaily[WardCode],"FW")=0,"",SUMIFS(tblDaily[TransfersIn],tblDaily[EntryDate],DATE(2026,10,31),tblDaily[WardCode],"FW")),"")</f>
        <v/>
      </c>
      <c r="G388" s="5" t="str">
        <f>IFERROR(IF(SUMIFS(tblDaily[TransfersOut],tblDaily[EntryDate],DATE(2026,10,31),tblDaily[WardCode],"FW")=0,"",SUMIFS(tblDaily[TransfersOut],tblDaily[EntryDate],DATE(2026,10,31),tblDaily[WardCode],"FW")),"")</f>
        <v/>
      </c>
      <c r="H388" s="5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95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96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89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IFERROR(IF(SUMIFS(tblDaily[Admissions],tblDaily[EntryDate],DATE(2026,11,1),tblDaily[WardCode],"FW")=0,"",SUMIFS(tblDaily[Admissions],tblDaily[EntryDate],DATE(2026,11,1),tblDaily[WardCode],"FW")),"")</f>
        <v/>
      </c>
      <c r="C397" s="5" t="str">
        <f>IFERROR(IF(SUMIFS(tblDaily[Discharges],tblDaily[EntryDate],DATE(2026,11,1),tblDaily[WardCode],"FW")=0,"",SUMIFS(tblDaily[Discharges],tblDaily[EntryDate],DATE(2026,11,1),tblDaily[WardCode],"FW")),"")</f>
        <v/>
      </c>
      <c r="D397" s="5" t="str">
        <f>IFERROR(IF(SUMIFS(tblDaily[Deaths],tblDaily[EntryDate],DATE(2026,11,1),tblDaily[WardCode],"FW")=0,"",SUMIFS(tblDaily[Deaths],tblDaily[EntryDate],DATE(2026,11,1),tblDaily[WardCode],"FW")),"")</f>
        <v/>
      </c>
      <c r="E397" s="5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5" t="str">
        <f>IFERROR(IF(SUMIFS(tblDaily[TransfersIn],tblDaily[EntryDate],DATE(2026,11,1),tblDaily[WardCode],"FW")=0,"",SUMIFS(tblDaily[TransfersIn],tblDaily[EntryDate],DATE(2026,11,1),tblDaily[WardCode],"FW")),"")</f>
        <v/>
      </c>
      <c r="G397" s="5" t="str">
        <f>IFERROR(IF(SUMIFS(tblDaily[TransfersOut],tblDaily[EntryDate],DATE(2026,11,1),tblDaily[WardCode],"FW")=0,"",SUMIFS(tblDaily[TransfersOut],tblDaily[EntryDate],DATE(2026,11,1),tblDaily[WardCode],"FW")),"")</f>
        <v/>
      </c>
      <c r="H397" s="5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IFERROR(IF(SUMIFS(tblDaily[Admissions],tblDaily[EntryDate],DATE(2026,11,2),tblDaily[WardCode],"FW")=0,"",SUMIFS(tblDaily[Admissions],tblDaily[EntryDate],DATE(2026,11,2),tblDaily[WardCode],"FW")),"")</f>
        <v/>
      </c>
      <c r="C398" s="5" t="str">
        <f>IFERROR(IF(SUMIFS(tblDaily[Discharges],tblDaily[EntryDate],DATE(2026,11,2),tblDaily[WardCode],"FW")=0,"",SUMIFS(tblDaily[Discharges],tblDaily[EntryDate],DATE(2026,11,2),tblDaily[WardCode],"FW")),"")</f>
        <v/>
      </c>
      <c r="D398" s="5" t="str">
        <f>IFERROR(IF(SUMIFS(tblDaily[Deaths],tblDaily[EntryDate],DATE(2026,11,2),tblDaily[WardCode],"FW")=0,"",SUMIFS(tblDaily[Deaths],tblDaily[EntryDate],DATE(2026,11,2),tblDaily[WardCode],"FW")),"")</f>
        <v/>
      </c>
      <c r="E398" s="5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5" t="str">
        <f>IFERROR(IF(SUMIFS(tblDaily[TransfersIn],tblDaily[EntryDate],DATE(2026,11,2),tblDaily[WardCode],"FW")=0,"",SUMIFS(tblDaily[TransfersIn],tblDaily[EntryDate],DATE(2026,11,2),tblDaily[WardCode],"FW")),"")</f>
        <v/>
      </c>
      <c r="G398" s="5" t="str">
        <f>IFERROR(IF(SUMIFS(tblDaily[TransfersOut],tblDaily[EntryDate],DATE(2026,11,2),tblDaily[WardCode],"FW")=0,"",SUMIFS(tblDaily[TransfersOut],tblDaily[EntryDate],DATE(2026,11,2),tblDaily[WardCode],"FW")),"")</f>
        <v/>
      </c>
      <c r="H398" s="5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IFERROR(IF(SUMIFS(tblDaily[Admissions],tblDaily[EntryDate],DATE(2026,11,3),tblDaily[WardCode],"FW")=0,"",SUMIFS(tblDaily[Admissions],tblDaily[EntryDate],DATE(2026,11,3),tblDaily[WardCode],"FW")),"")</f>
        <v/>
      </c>
      <c r="C399" s="5" t="str">
        <f>IFERROR(IF(SUMIFS(tblDaily[Discharges],tblDaily[EntryDate],DATE(2026,11,3),tblDaily[WardCode],"FW")=0,"",SUMIFS(tblDaily[Discharges],tblDaily[EntryDate],DATE(2026,11,3),tblDaily[WardCode],"FW")),"")</f>
        <v/>
      </c>
      <c r="D399" s="5" t="str">
        <f>IFERROR(IF(SUMIFS(tblDaily[Deaths],tblDaily[EntryDate],DATE(2026,11,3),tblDaily[WardCode],"FW")=0,"",SUMIFS(tblDaily[Deaths],tblDaily[EntryDate],DATE(2026,11,3),tblDaily[WardCode],"FW")),"")</f>
        <v/>
      </c>
      <c r="E399" s="5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5" t="str">
        <f>IFERROR(IF(SUMIFS(tblDaily[TransfersIn],tblDaily[EntryDate],DATE(2026,11,3),tblDaily[WardCode],"FW")=0,"",SUMIFS(tblDaily[TransfersIn],tblDaily[EntryDate],DATE(2026,11,3),tblDaily[WardCode],"FW")),"")</f>
        <v/>
      </c>
      <c r="G399" s="5" t="str">
        <f>IFERROR(IF(SUMIFS(tblDaily[TransfersOut],tblDaily[EntryDate],DATE(2026,11,3),tblDaily[WardCode],"FW")=0,"",SUMIFS(tblDaily[TransfersOut],tblDaily[EntryDate],DATE(2026,11,3),tblDaily[WardCode],"FW")),"")</f>
        <v/>
      </c>
      <c r="H399" s="5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IFERROR(IF(SUMIFS(tblDaily[Admissions],tblDaily[EntryDate],DATE(2026,11,4),tblDaily[WardCode],"FW")=0,"",SUMIFS(tblDaily[Admissions],tblDaily[EntryDate],DATE(2026,11,4),tblDaily[WardCode],"FW")),"")</f>
        <v/>
      </c>
      <c r="C400" s="5" t="str">
        <f>IFERROR(IF(SUMIFS(tblDaily[Discharges],tblDaily[EntryDate],DATE(2026,11,4),tblDaily[WardCode],"FW")=0,"",SUMIFS(tblDaily[Discharges],tblDaily[EntryDate],DATE(2026,11,4),tblDaily[WardCode],"FW")),"")</f>
        <v/>
      </c>
      <c r="D400" s="5" t="str">
        <f>IFERROR(IF(SUMIFS(tblDaily[Deaths],tblDaily[EntryDate],DATE(2026,11,4),tblDaily[WardCode],"FW")=0,"",SUMIFS(tblDaily[Deaths],tblDaily[EntryDate],DATE(2026,11,4),tblDaily[WardCode],"FW")),"")</f>
        <v/>
      </c>
      <c r="E400" s="5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5" t="str">
        <f>IFERROR(IF(SUMIFS(tblDaily[TransfersIn],tblDaily[EntryDate],DATE(2026,11,4),tblDaily[WardCode],"FW")=0,"",SUMIFS(tblDaily[TransfersIn],tblDaily[EntryDate],DATE(2026,11,4),tblDaily[WardCode],"FW")),"")</f>
        <v/>
      </c>
      <c r="G400" s="5" t="str">
        <f>IFERROR(IF(SUMIFS(tblDaily[TransfersOut],tblDaily[EntryDate],DATE(2026,11,4),tblDaily[WardCode],"FW")=0,"",SUMIFS(tblDaily[TransfersOut],tblDaily[EntryDate],DATE(2026,11,4),tblDaily[WardCode],"FW")),"")</f>
        <v/>
      </c>
      <c r="H400" s="5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IFERROR(IF(SUMIFS(tblDaily[Admissions],tblDaily[EntryDate],DATE(2026,11,5),tblDaily[WardCode],"FW")=0,"",SUMIFS(tblDaily[Admissions],tblDaily[EntryDate],DATE(2026,11,5),tblDaily[WardCode],"FW")),"")</f>
        <v/>
      </c>
      <c r="C401" s="5" t="str">
        <f>IFERROR(IF(SUMIFS(tblDaily[Discharges],tblDaily[EntryDate],DATE(2026,11,5),tblDaily[WardCode],"FW")=0,"",SUMIFS(tblDaily[Discharges],tblDaily[EntryDate],DATE(2026,11,5),tblDaily[WardCode],"FW")),"")</f>
        <v/>
      </c>
      <c r="D401" s="5" t="str">
        <f>IFERROR(IF(SUMIFS(tblDaily[Deaths],tblDaily[EntryDate],DATE(2026,11,5),tblDaily[WardCode],"FW")=0,"",SUMIFS(tblDaily[Deaths],tblDaily[EntryDate],DATE(2026,11,5),tblDaily[WardCode],"FW")),"")</f>
        <v/>
      </c>
      <c r="E401" s="5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5" t="str">
        <f>IFERROR(IF(SUMIFS(tblDaily[TransfersIn],tblDaily[EntryDate],DATE(2026,11,5),tblDaily[WardCode],"FW")=0,"",SUMIFS(tblDaily[TransfersIn],tblDaily[EntryDate],DATE(2026,11,5),tblDaily[WardCode],"FW")),"")</f>
        <v/>
      </c>
      <c r="G401" s="5" t="str">
        <f>IFERROR(IF(SUMIFS(tblDaily[TransfersOut],tblDaily[EntryDate],DATE(2026,11,5),tblDaily[WardCode],"FW")=0,"",SUMIFS(tblDaily[TransfersOut],tblDaily[EntryDate],DATE(2026,11,5),tblDaily[WardCode],"FW")),"")</f>
        <v/>
      </c>
      <c r="H401" s="5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IFERROR(IF(SUMIFS(tblDaily[Admissions],tblDaily[EntryDate],DATE(2026,11,6),tblDaily[WardCode],"FW")=0,"",SUMIFS(tblDaily[Admissions],tblDaily[EntryDate],DATE(2026,11,6),tblDaily[WardCode],"FW")),"")</f>
        <v/>
      </c>
      <c r="C402" s="5" t="str">
        <f>IFERROR(IF(SUMIFS(tblDaily[Discharges],tblDaily[EntryDate],DATE(2026,11,6),tblDaily[WardCode],"FW")=0,"",SUMIFS(tblDaily[Discharges],tblDaily[EntryDate],DATE(2026,11,6),tblDaily[WardCode],"FW")),"")</f>
        <v/>
      </c>
      <c r="D402" s="5" t="str">
        <f>IFERROR(IF(SUMIFS(tblDaily[Deaths],tblDaily[EntryDate],DATE(2026,11,6),tblDaily[WardCode],"FW")=0,"",SUMIFS(tblDaily[Deaths],tblDaily[EntryDate],DATE(2026,11,6),tblDaily[WardCode],"FW")),"")</f>
        <v/>
      </c>
      <c r="E402" s="5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5" t="str">
        <f>IFERROR(IF(SUMIFS(tblDaily[TransfersIn],tblDaily[EntryDate],DATE(2026,11,6),tblDaily[WardCode],"FW")=0,"",SUMIFS(tblDaily[TransfersIn],tblDaily[EntryDate],DATE(2026,11,6),tblDaily[WardCode],"FW")),"")</f>
        <v/>
      </c>
      <c r="G402" s="5" t="str">
        <f>IFERROR(IF(SUMIFS(tblDaily[TransfersOut],tblDaily[EntryDate],DATE(2026,11,6),tblDaily[WardCode],"FW")=0,"",SUMIFS(tblDaily[TransfersOut],tblDaily[EntryDate],DATE(2026,11,6),tblDaily[WardCode],"FW")),"")</f>
        <v/>
      </c>
      <c r="H402" s="5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IFERROR(IF(SUMIFS(tblDaily[Admissions],tblDaily[EntryDate],DATE(2026,11,7),tblDaily[WardCode],"FW")=0,"",SUMIFS(tblDaily[Admissions],tblDaily[EntryDate],DATE(2026,11,7),tblDaily[WardCode],"FW")),"")</f>
        <v/>
      </c>
      <c r="C403" s="5" t="str">
        <f>IFERROR(IF(SUMIFS(tblDaily[Discharges],tblDaily[EntryDate],DATE(2026,11,7),tblDaily[WardCode],"FW")=0,"",SUMIFS(tblDaily[Discharges],tblDaily[EntryDate],DATE(2026,11,7),tblDaily[WardCode],"FW")),"")</f>
        <v/>
      </c>
      <c r="D403" s="5" t="str">
        <f>IFERROR(IF(SUMIFS(tblDaily[Deaths],tblDaily[EntryDate],DATE(2026,11,7),tblDaily[WardCode],"FW")=0,"",SUMIFS(tblDaily[Deaths],tblDaily[EntryDate],DATE(2026,11,7),tblDaily[WardCode],"FW")),"")</f>
        <v/>
      </c>
      <c r="E403" s="5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5" t="str">
        <f>IFERROR(IF(SUMIFS(tblDaily[TransfersIn],tblDaily[EntryDate],DATE(2026,11,7),tblDaily[WardCode],"FW")=0,"",SUMIFS(tblDaily[TransfersIn],tblDaily[EntryDate],DATE(2026,11,7),tblDaily[WardCode],"FW")),"")</f>
        <v/>
      </c>
      <c r="G403" s="5" t="str">
        <f>IFERROR(IF(SUMIFS(tblDaily[TransfersOut],tblDaily[EntryDate],DATE(2026,11,7),tblDaily[WardCode],"FW")=0,"",SUMIFS(tblDaily[TransfersOut],tblDaily[EntryDate],DATE(2026,11,7),tblDaily[WardCode],"FW")),"")</f>
        <v/>
      </c>
      <c r="H403" s="5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IFERROR(IF(SUMIFS(tblDaily[Admissions],tblDaily[EntryDate],DATE(2026,11,8),tblDaily[WardCode],"FW")=0,"",SUMIFS(tblDaily[Admissions],tblDaily[EntryDate],DATE(2026,11,8),tblDaily[WardCode],"FW")),"")</f>
        <v/>
      </c>
      <c r="C404" s="5" t="str">
        <f>IFERROR(IF(SUMIFS(tblDaily[Discharges],tblDaily[EntryDate],DATE(2026,11,8),tblDaily[WardCode],"FW")=0,"",SUMIFS(tblDaily[Discharges],tblDaily[EntryDate],DATE(2026,11,8),tblDaily[WardCode],"FW")),"")</f>
        <v/>
      </c>
      <c r="D404" s="5" t="str">
        <f>IFERROR(IF(SUMIFS(tblDaily[Deaths],tblDaily[EntryDate],DATE(2026,11,8),tblDaily[WardCode],"FW")=0,"",SUMIFS(tblDaily[Deaths],tblDaily[EntryDate],DATE(2026,11,8),tblDaily[WardCode],"FW")),"")</f>
        <v/>
      </c>
      <c r="E404" s="5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5" t="str">
        <f>IFERROR(IF(SUMIFS(tblDaily[TransfersIn],tblDaily[EntryDate],DATE(2026,11,8),tblDaily[WardCode],"FW")=0,"",SUMIFS(tblDaily[TransfersIn],tblDaily[EntryDate],DATE(2026,11,8),tblDaily[WardCode],"FW")),"")</f>
        <v/>
      </c>
      <c r="G404" s="5" t="str">
        <f>IFERROR(IF(SUMIFS(tblDaily[TransfersOut],tblDaily[EntryDate],DATE(2026,11,8),tblDaily[WardCode],"FW")=0,"",SUMIFS(tblDaily[TransfersOut],tblDaily[EntryDate],DATE(2026,11,8),tblDaily[WardCode],"FW")),"")</f>
        <v/>
      </c>
      <c r="H404" s="5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IFERROR(IF(SUMIFS(tblDaily[Admissions],tblDaily[EntryDate],DATE(2026,11,9),tblDaily[WardCode],"FW")=0,"",SUMIFS(tblDaily[Admissions],tblDaily[EntryDate],DATE(2026,11,9),tblDaily[WardCode],"FW")),"")</f>
        <v/>
      </c>
      <c r="C405" s="5" t="str">
        <f>IFERROR(IF(SUMIFS(tblDaily[Discharges],tblDaily[EntryDate],DATE(2026,11,9),tblDaily[WardCode],"FW")=0,"",SUMIFS(tblDaily[Discharges],tblDaily[EntryDate],DATE(2026,11,9),tblDaily[WardCode],"FW")),"")</f>
        <v/>
      </c>
      <c r="D405" s="5" t="str">
        <f>IFERROR(IF(SUMIFS(tblDaily[Deaths],tblDaily[EntryDate],DATE(2026,11,9),tblDaily[WardCode],"FW")=0,"",SUMIFS(tblDaily[Deaths],tblDaily[EntryDate],DATE(2026,11,9),tblDaily[WardCode],"FW")),"")</f>
        <v/>
      </c>
      <c r="E405" s="5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5" t="str">
        <f>IFERROR(IF(SUMIFS(tblDaily[TransfersIn],tblDaily[EntryDate],DATE(2026,11,9),tblDaily[WardCode],"FW")=0,"",SUMIFS(tblDaily[TransfersIn],tblDaily[EntryDate],DATE(2026,11,9),tblDaily[WardCode],"FW")),"")</f>
        <v/>
      </c>
      <c r="G405" s="5" t="str">
        <f>IFERROR(IF(SUMIFS(tblDaily[TransfersOut],tblDaily[EntryDate],DATE(2026,11,9),tblDaily[WardCode],"FW")=0,"",SUMIFS(tblDaily[TransfersOut],tblDaily[EntryDate],DATE(2026,11,9),tblDaily[WardCode],"FW")),"")</f>
        <v/>
      </c>
      <c r="H405" s="5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IFERROR(IF(SUMIFS(tblDaily[Admissions],tblDaily[EntryDate],DATE(2026,11,10),tblDaily[WardCode],"FW")=0,"",SUMIFS(tblDaily[Admissions],tblDaily[EntryDate],DATE(2026,11,10),tblDaily[WardCode],"FW")),"")</f>
        <v/>
      </c>
      <c r="C406" s="5" t="str">
        <f>IFERROR(IF(SUMIFS(tblDaily[Discharges],tblDaily[EntryDate],DATE(2026,11,10),tblDaily[WardCode],"FW")=0,"",SUMIFS(tblDaily[Discharges],tblDaily[EntryDate],DATE(2026,11,10),tblDaily[WardCode],"FW")),"")</f>
        <v/>
      </c>
      <c r="D406" s="5" t="str">
        <f>IFERROR(IF(SUMIFS(tblDaily[Deaths],tblDaily[EntryDate],DATE(2026,11,10),tblDaily[WardCode],"FW")=0,"",SUMIFS(tblDaily[Deaths],tblDaily[EntryDate],DATE(2026,11,10),tblDaily[WardCode],"FW")),"")</f>
        <v/>
      </c>
      <c r="E406" s="5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5" t="str">
        <f>IFERROR(IF(SUMIFS(tblDaily[TransfersIn],tblDaily[EntryDate],DATE(2026,11,10),tblDaily[WardCode],"FW")=0,"",SUMIFS(tblDaily[TransfersIn],tblDaily[EntryDate],DATE(2026,11,10),tblDaily[WardCode],"FW")),"")</f>
        <v/>
      </c>
      <c r="G406" s="5" t="str">
        <f>IFERROR(IF(SUMIFS(tblDaily[TransfersOut],tblDaily[EntryDate],DATE(2026,11,10),tblDaily[WardCode],"FW")=0,"",SUMIFS(tblDaily[TransfersOut],tblDaily[EntryDate],DATE(2026,11,10),tblDaily[WardCode],"FW")),"")</f>
        <v/>
      </c>
      <c r="H406" s="5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IFERROR(IF(SUMIFS(tblDaily[Admissions],tblDaily[EntryDate],DATE(2026,11,11),tblDaily[WardCode],"FW")=0,"",SUMIFS(tblDaily[Admissions],tblDaily[EntryDate],DATE(2026,11,11),tblDaily[WardCode],"FW")),"")</f>
        <v/>
      </c>
      <c r="C407" s="5" t="str">
        <f>IFERROR(IF(SUMIFS(tblDaily[Discharges],tblDaily[EntryDate],DATE(2026,11,11),tblDaily[WardCode],"FW")=0,"",SUMIFS(tblDaily[Discharges],tblDaily[EntryDate],DATE(2026,11,11),tblDaily[WardCode],"FW")),"")</f>
        <v/>
      </c>
      <c r="D407" s="5" t="str">
        <f>IFERROR(IF(SUMIFS(tblDaily[Deaths],tblDaily[EntryDate],DATE(2026,11,11),tblDaily[WardCode],"FW")=0,"",SUMIFS(tblDaily[Deaths],tblDaily[EntryDate],DATE(2026,11,11),tblDaily[WardCode],"FW")),"")</f>
        <v/>
      </c>
      <c r="E407" s="5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5" t="str">
        <f>IFERROR(IF(SUMIFS(tblDaily[TransfersIn],tblDaily[EntryDate],DATE(2026,11,11),tblDaily[WardCode],"FW")=0,"",SUMIFS(tblDaily[TransfersIn],tblDaily[EntryDate],DATE(2026,11,11),tblDaily[WardCode],"FW")),"")</f>
        <v/>
      </c>
      <c r="G407" s="5" t="str">
        <f>IFERROR(IF(SUMIFS(tblDaily[TransfersOut],tblDaily[EntryDate],DATE(2026,11,11),tblDaily[WardCode],"FW")=0,"",SUMIFS(tblDaily[TransfersOut],tblDaily[EntryDate],DATE(2026,11,11),tblDaily[WardCode],"FW")),"")</f>
        <v/>
      </c>
      <c r="H407" s="5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IFERROR(IF(SUMIFS(tblDaily[Admissions],tblDaily[EntryDate],DATE(2026,11,12),tblDaily[WardCode],"FW")=0,"",SUMIFS(tblDaily[Admissions],tblDaily[EntryDate],DATE(2026,11,12),tblDaily[WardCode],"FW")),"")</f>
        <v/>
      </c>
      <c r="C408" s="5" t="str">
        <f>IFERROR(IF(SUMIFS(tblDaily[Discharges],tblDaily[EntryDate],DATE(2026,11,12),tblDaily[WardCode],"FW")=0,"",SUMIFS(tblDaily[Discharges],tblDaily[EntryDate],DATE(2026,11,12),tblDaily[WardCode],"FW")),"")</f>
        <v/>
      </c>
      <c r="D408" s="5" t="str">
        <f>IFERROR(IF(SUMIFS(tblDaily[Deaths],tblDaily[EntryDate],DATE(2026,11,12),tblDaily[WardCode],"FW")=0,"",SUMIFS(tblDaily[Deaths],tblDaily[EntryDate],DATE(2026,11,12),tblDaily[WardCode],"FW")),"")</f>
        <v/>
      </c>
      <c r="E408" s="5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5" t="str">
        <f>IFERROR(IF(SUMIFS(tblDaily[TransfersIn],tblDaily[EntryDate],DATE(2026,11,12),tblDaily[WardCode],"FW")=0,"",SUMIFS(tblDaily[TransfersIn],tblDaily[EntryDate],DATE(2026,11,12),tblDaily[WardCode],"FW")),"")</f>
        <v/>
      </c>
      <c r="G408" s="5" t="str">
        <f>IFERROR(IF(SUMIFS(tblDaily[TransfersOut],tblDaily[EntryDate],DATE(2026,11,12),tblDaily[WardCode],"FW")=0,"",SUMIFS(tblDaily[TransfersOut],tblDaily[EntryDate],DATE(2026,11,12),tblDaily[WardCode],"FW")),"")</f>
        <v/>
      </c>
      <c r="H408" s="5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IFERROR(IF(SUMIFS(tblDaily[Admissions],tblDaily[EntryDate],DATE(2026,11,13),tblDaily[WardCode],"FW")=0,"",SUMIFS(tblDaily[Admissions],tblDaily[EntryDate],DATE(2026,11,13),tblDaily[WardCode],"FW")),"")</f>
        <v/>
      </c>
      <c r="C409" s="5" t="str">
        <f>IFERROR(IF(SUMIFS(tblDaily[Discharges],tblDaily[EntryDate],DATE(2026,11,13),tblDaily[WardCode],"FW")=0,"",SUMIFS(tblDaily[Discharges],tblDaily[EntryDate],DATE(2026,11,13),tblDaily[WardCode],"FW")),"")</f>
        <v/>
      </c>
      <c r="D409" s="5" t="str">
        <f>IFERROR(IF(SUMIFS(tblDaily[Deaths],tblDaily[EntryDate],DATE(2026,11,13),tblDaily[WardCode],"FW")=0,"",SUMIFS(tblDaily[Deaths],tblDaily[EntryDate],DATE(2026,11,13),tblDaily[WardCode],"FW")),"")</f>
        <v/>
      </c>
      <c r="E409" s="5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5" t="str">
        <f>IFERROR(IF(SUMIFS(tblDaily[TransfersIn],tblDaily[EntryDate],DATE(2026,11,13),tblDaily[WardCode],"FW")=0,"",SUMIFS(tblDaily[TransfersIn],tblDaily[EntryDate],DATE(2026,11,13),tblDaily[WardCode],"FW")),"")</f>
        <v/>
      </c>
      <c r="G409" s="5" t="str">
        <f>IFERROR(IF(SUMIFS(tblDaily[TransfersOut],tblDaily[EntryDate],DATE(2026,11,13),tblDaily[WardCode],"FW")=0,"",SUMIFS(tblDaily[TransfersOut],tblDaily[EntryDate],DATE(2026,11,13),tblDaily[WardCode],"FW")),"")</f>
        <v/>
      </c>
      <c r="H409" s="5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IFERROR(IF(SUMIFS(tblDaily[Admissions],tblDaily[EntryDate],DATE(2026,11,14),tblDaily[WardCode],"FW")=0,"",SUMIFS(tblDaily[Admissions],tblDaily[EntryDate],DATE(2026,11,14),tblDaily[WardCode],"FW")),"")</f>
        <v/>
      </c>
      <c r="C410" s="5" t="str">
        <f>IFERROR(IF(SUMIFS(tblDaily[Discharges],tblDaily[EntryDate],DATE(2026,11,14),tblDaily[WardCode],"FW")=0,"",SUMIFS(tblDaily[Discharges],tblDaily[EntryDate],DATE(2026,11,14),tblDaily[WardCode],"FW")),"")</f>
        <v/>
      </c>
      <c r="D410" s="5" t="str">
        <f>IFERROR(IF(SUMIFS(tblDaily[Deaths],tblDaily[EntryDate],DATE(2026,11,14),tblDaily[WardCode],"FW")=0,"",SUMIFS(tblDaily[Deaths],tblDaily[EntryDate],DATE(2026,11,14),tblDaily[WardCode],"FW")),"")</f>
        <v/>
      </c>
      <c r="E410" s="5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5" t="str">
        <f>IFERROR(IF(SUMIFS(tblDaily[TransfersIn],tblDaily[EntryDate],DATE(2026,11,14),tblDaily[WardCode],"FW")=0,"",SUMIFS(tblDaily[TransfersIn],tblDaily[EntryDate],DATE(2026,11,14),tblDaily[WardCode],"FW")),"")</f>
        <v/>
      </c>
      <c r="G410" s="5" t="str">
        <f>IFERROR(IF(SUMIFS(tblDaily[TransfersOut],tblDaily[EntryDate],DATE(2026,11,14),tblDaily[WardCode],"FW")=0,"",SUMIFS(tblDaily[TransfersOut],tblDaily[EntryDate],DATE(2026,11,14),tblDaily[WardCode],"FW")),"")</f>
        <v/>
      </c>
      <c r="H410" s="5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IFERROR(IF(SUMIFS(tblDaily[Admissions],tblDaily[EntryDate],DATE(2026,11,15),tblDaily[WardCode],"FW")=0,"",SUMIFS(tblDaily[Admissions],tblDaily[EntryDate],DATE(2026,11,15),tblDaily[WardCode],"FW")),"")</f>
        <v/>
      </c>
      <c r="C411" s="5" t="str">
        <f>IFERROR(IF(SUMIFS(tblDaily[Discharges],tblDaily[EntryDate],DATE(2026,11,15),tblDaily[WardCode],"FW")=0,"",SUMIFS(tblDaily[Discharges],tblDaily[EntryDate],DATE(2026,11,15),tblDaily[WardCode],"FW")),"")</f>
        <v/>
      </c>
      <c r="D411" s="5" t="str">
        <f>IFERROR(IF(SUMIFS(tblDaily[Deaths],tblDaily[EntryDate],DATE(2026,11,15),tblDaily[WardCode],"FW")=0,"",SUMIFS(tblDaily[Deaths],tblDaily[EntryDate],DATE(2026,11,15),tblDaily[WardCode],"FW")),"")</f>
        <v/>
      </c>
      <c r="E411" s="5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5" t="str">
        <f>IFERROR(IF(SUMIFS(tblDaily[TransfersIn],tblDaily[EntryDate],DATE(2026,11,15),tblDaily[WardCode],"FW")=0,"",SUMIFS(tblDaily[TransfersIn],tblDaily[EntryDate],DATE(2026,11,15),tblDaily[WardCode],"FW")),"")</f>
        <v/>
      </c>
      <c r="G411" s="5" t="str">
        <f>IFERROR(IF(SUMIFS(tblDaily[TransfersOut],tblDaily[EntryDate],DATE(2026,11,15),tblDaily[WardCode],"FW")=0,"",SUMIFS(tblDaily[TransfersOut],tblDaily[EntryDate],DATE(2026,11,15),tblDaily[WardCode],"FW")),"")</f>
        <v/>
      </c>
      <c r="H411" s="5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IFERROR(IF(SUMIFS(tblDaily[Admissions],tblDaily[EntryDate],DATE(2026,11,16),tblDaily[WardCode],"FW")=0,"",SUMIFS(tblDaily[Admissions],tblDaily[EntryDate],DATE(2026,11,16),tblDaily[WardCode],"FW")),"")</f>
        <v/>
      </c>
      <c r="C412" s="5" t="str">
        <f>IFERROR(IF(SUMIFS(tblDaily[Discharges],tblDaily[EntryDate],DATE(2026,11,16),tblDaily[WardCode],"FW")=0,"",SUMIFS(tblDaily[Discharges],tblDaily[EntryDate],DATE(2026,11,16),tblDaily[WardCode],"FW")),"")</f>
        <v/>
      </c>
      <c r="D412" s="5" t="str">
        <f>IFERROR(IF(SUMIFS(tblDaily[Deaths],tblDaily[EntryDate],DATE(2026,11,16),tblDaily[WardCode],"FW")=0,"",SUMIFS(tblDaily[Deaths],tblDaily[EntryDate],DATE(2026,11,16),tblDaily[WardCode],"FW")),"")</f>
        <v/>
      </c>
      <c r="E412" s="5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5" t="str">
        <f>IFERROR(IF(SUMIFS(tblDaily[TransfersIn],tblDaily[EntryDate],DATE(2026,11,16),tblDaily[WardCode],"FW")=0,"",SUMIFS(tblDaily[TransfersIn],tblDaily[EntryDate],DATE(2026,11,16),tblDaily[WardCode],"FW")),"")</f>
        <v/>
      </c>
      <c r="G412" s="5" t="str">
        <f>IFERROR(IF(SUMIFS(tblDaily[TransfersOut],tblDaily[EntryDate],DATE(2026,11,16),tblDaily[WardCode],"FW")=0,"",SUMIFS(tblDaily[TransfersOut],tblDaily[EntryDate],DATE(2026,11,16),tblDaily[WardCode],"FW")),"")</f>
        <v/>
      </c>
      <c r="H412" s="5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IFERROR(IF(SUMIFS(tblDaily[Admissions],tblDaily[EntryDate],DATE(2026,11,17),tblDaily[WardCode],"FW")=0,"",SUMIFS(tblDaily[Admissions],tblDaily[EntryDate],DATE(2026,11,17),tblDaily[WardCode],"FW")),"")</f>
        <v/>
      </c>
      <c r="C413" s="5" t="str">
        <f>IFERROR(IF(SUMIFS(tblDaily[Discharges],tblDaily[EntryDate],DATE(2026,11,17),tblDaily[WardCode],"FW")=0,"",SUMIFS(tblDaily[Discharges],tblDaily[EntryDate],DATE(2026,11,17),tblDaily[WardCode],"FW")),"")</f>
        <v/>
      </c>
      <c r="D413" s="5" t="str">
        <f>IFERROR(IF(SUMIFS(tblDaily[Deaths],tblDaily[EntryDate],DATE(2026,11,17),tblDaily[WardCode],"FW")=0,"",SUMIFS(tblDaily[Deaths],tblDaily[EntryDate],DATE(2026,11,17),tblDaily[WardCode],"FW")),"")</f>
        <v/>
      </c>
      <c r="E413" s="5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5" t="str">
        <f>IFERROR(IF(SUMIFS(tblDaily[TransfersIn],tblDaily[EntryDate],DATE(2026,11,17),tblDaily[WardCode],"FW")=0,"",SUMIFS(tblDaily[TransfersIn],tblDaily[EntryDate],DATE(2026,11,17),tblDaily[WardCode],"FW")),"")</f>
        <v/>
      </c>
      <c r="G413" s="5" t="str">
        <f>IFERROR(IF(SUMIFS(tblDaily[TransfersOut],tblDaily[EntryDate],DATE(2026,11,17),tblDaily[WardCode],"FW")=0,"",SUMIFS(tblDaily[TransfersOut],tblDaily[EntryDate],DATE(2026,11,17),tblDaily[WardCode],"FW")),"")</f>
        <v/>
      </c>
      <c r="H413" s="5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IFERROR(IF(SUMIFS(tblDaily[Admissions],tblDaily[EntryDate],DATE(2026,11,18),tblDaily[WardCode],"FW")=0,"",SUMIFS(tblDaily[Admissions],tblDaily[EntryDate],DATE(2026,11,18),tblDaily[WardCode],"FW")),"")</f>
        <v/>
      </c>
      <c r="C414" s="5" t="str">
        <f>IFERROR(IF(SUMIFS(tblDaily[Discharges],tblDaily[EntryDate],DATE(2026,11,18),tblDaily[WardCode],"FW")=0,"",SUMIFS(tblDaily[Discharges],tblDaily[EntryDate],DATE(2026,11,18),tblDaily[WardCode],"FW")),"")</f>
        <v/>
      </c>
      <c r="D414" s="5" t="str">
        <f>IFERROR(IF(SUMIFS(tblDaily[Deaths],tblDaily[EntryDate],DATE(2026,11,18),tblDaily[WardCode],"FW")=0,"",SUMIFS(tblDaily[Deaths],tblDaily[EntryDate],DATE(2026,11,18),tblDaily[WardCode],"FW")),"")</f>
        <v/>
      </c>
      <c r="E414" s="5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5" t="str">
        <f>IFERROR(IF(SUMIFS(tblDaily[TransfersIn],tblDaily[EntryDate],DATE(2026,11,18),tblDaily[WardCode],"FW")=0,"",SUMIFS(tblDaily[TransfersIn],tblDaily[EntryDate],DATE(2026,11,18),tblDaily[WardCode],"FW")),"")</f>
        <v/>
      </c>
      <c r="G414" s="5" t="str">
        <f>IFERROR(IF(SUMIFS(tblDaily[TransfersOut],tblDaily[EntryDate],DATE(2026,11,18),tblDaily[WardCode],"FW")=0,"",SUMIFS(tblDaily[TransfersOut],tblDaily[EntryDate],DATE(2026,11,18),tblDaily[WardCode],"FW")),"")</f>
        <v/>
      </c>
      <c r="H414" s="5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IFERROR(IF(SUMIFS(tblDaily[Admissions],tblDaily[EntryDate],DATE(2026,11,19),tblDaily[WardCode],"FW")=0,"",SUMIFS(tblDaily[Admissions],tblDaily[EntryDate],DATE(2026,11,19),tblDaily[WardCode],"FW")),"")</f>
        <v/>
      </c>
      <c r="C415" s="5" t="str">
        <f>IFERROR(IF(SUMIFS(tblDaily[Discharges],tblDaily[EntryDate],DATE(2026,11,19),tblDaily[WardCode],"FW")=0,"",SUMIFS(tblDaily[Discharges],tblDaily[EntryDate],DATE(2026,11,19),tblDaily[WardCode],"FW")),"")</f>
        <v/>
      </c>
      <c r="D415" s="5" t="str">
        <f>IFERROR(IF(SUMIFS(tblDaily[Deaths],tblDaily[EntryDate],DATE(2026,11,19),tblDaily[WardCode],"FW")=0,"",SUMIFS(tblDaily[Deaths],tblDaily[EntryDate],DATE(2026,11,19),tblDaily[WardCode],"FW")),"")</f>
        <v/>
      </c>
      <c r="E415" s="5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5" t="str">
        <f>IFERROR(IF(SUMIFS(tblDaily[TransfersIn],tblDaily[EntryDate],DATE(2026,11,19),tblDaily[WardCode],"FW")=0,"",SUMIFS(tblDaily[TransfersIn],tblDaily[EntryDate],DATE(2026,11,19),tblDaily[WardCode],"FW")),"")</f>
        <v/>
      </c>
      <c r="G415" s="5" t="str">
        <f>IFERROR(IF(SUMIFS(tblDaily[TransfersOut],tblDaily[EntryDate],DATE(2026,11,19),tblDaily[WardCode],"FW")=0,"",SUMIFS(tblDaily[TransfersOut],tblDaily[EntryDate],DATE(2026,11,19),tblDaily[WardCode],"FW")),"")</f>
        <v/>
      </c>
      <c r="H415" s="5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IFERROR(IF(SUMIFS(tblDaily[Admissions],tblDaily[EntryDate],DATE(2026,11,20),tblDaily[WardCode],"FW")=0,"",SUMIFS(tblDaily[Admissions],tblDaily[EntryDate],DATE(2026,11,20),tblDaily[WardCode],"FW")),"")</f>
        <v/>
      </c>
      <c r="C416" s="5" t="str">
        <f>IFERROR(IF(SUMIFS(tblDaily[Discharges],tblDaily[EntryDate],DATE(2026,11,20),tblDaily[WardCode],"FW")=0,"",SUMIFS(tblDaily[Discharges],tblDaily[EntryDate],DATE(2026,11,20),tblDaily[WardCode],"FW")),"")</f>
        <v/>
      </c>
      <c r="D416" s="5" t="str">
        <f>IFERROR(IF(SUMIFS(tblDaily[Deaths],tblDaily[EntryDate],DATE(2026,11,20),tblDaily[WardCode],"FW")=0,"",SUMIFS(tblDaily[Deaths],tblDaily[EntryDate],DATE(2026,11,20),tblDaily[WardCode],"FW")),"")</f>
        <v/>
      </c>
      <c r="E416" s="5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5" t="str">
        <f>IFERROR(IF(SUMIFS(tblDaily[TransfersIn],tblDaily[EntryDate],DATE(2026,11,20),tblDaily[WardCode],"FW")=0,"",SUMIFS(tblDaily[TransfersIn],tblDaily[EntryDate],DATE(2026,11,20),tblDaily[WardCode],"FW")),"")</f>
        <v/>
      </c>
      <c r="G416" s="5" t="str">
        <f>IFERROR(IF(SUMIFS(tblDaily[TransfersOut],tblDaily[EntryDate],DATE(2026,11,20),tblDaily[WardCode],"FW")=0,"",SUMIFS(tblDaily[TransfersOut],tblDaily[EntryDate],DATE(2026,11,20),tblDaily[WardCode],"FW")),"")</f>
        <v/>
      </c>
      <c r="H416" s="5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IFERROR(IF(SUMIFS(tblDaily[Admissions],tblDaily[EntryDate],DATE(2026,11,21),tblDaily[WardCode],"FW")=0,"",SUMIFS(tblDaily[Admissions],tblDaily[EntryDate],DATE(2026,11,21),tblDaily[WardCode],"FW")),"")</f>
        <v/>
      </c>
      <c r="C417" s="5" t="str">
        <f>IFERROR(IF(SUMIFS(tblDaily[Discharges],tblDaily[EntryDate],DATE(2026,11,21),tblDaily[WardCode],"FW")=0,"",SUMIFS(tblDaily[Discharges],tblDaily[EntryDate],DATE(2026,11,21),tblDaily[WardCode],"FW")),"")</f>
        <v/>
      </c>
      <c r="D417" s="5" t="str">
        <f>IFERROR(IF(SUMIFS(tblDaily[Deaths],tblDaily[EntryDate],DATE(2026,11,21),tblDaily[WardCode],"FW")=0,"",SUMIFS(tblDaily[Deaths],tblDaily[EntryDate],DATE(2026,11,21),tblDaily[WardCode],"FW")),"")</f>
        <v/>
      </c>
      <c r="E417" s="5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5" t="str">
        <f>IFERROR(IF(SUMIFS(tblDaily[TransfersIn],tblDaily[EntryDate],DATE(2026,11,21),tblDaily[WardCode],"FW")=0,"",SUMIFS(tblDaily[TransfersIn],tblDaily[EntryDate],DATE(2026,11,21),tblDaily[WardCode],"FW")),"")</f>
        <v/>
      </c>
      <c r="G417" s="5" t="str">
        <f>IFERROR(IF(SUMIFS(tblDaily[TransfersOut],tblDaily[EntryDate],DATE(2026,11,21),tblDaily[WardCode],"FW")=0,"",SUMIFS(tblDaily[TransfersOut],tblDaily[EntryDate],DATE(2026,11,21),tblDaily[WardCode],"FW")),"")</f>
        <v/>
      </c>
      <c r="H417" s="5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IFERROR(IF(SUMIFS(tblDaily[Admissions],tblDaily[EntryDate],DATE(2026,11,22),tblDaily[WardCode],"FW")=0,"",SUMIFS(tblDaily[Admissions],tblDaily[EntryDate],DATE(2026,11,22),tblDaily[WardCode],"FW")),"")</f>
        <v/>
      </c>
      <c r="C418" s="5" t="str">
        <f>IFERROR(IF(SUMIFS(tblDaily[Discharges],tblDaily[EntryDate],DATE(2026,11,22),tblDaily[WardCode],"FW")=0,"",SUMIFS(tblDaily[Discharges],tblDaily[EntryDate],DATE(2026,11,22),tblDaily[WardCode],"FW")),"")</f>
        <v/>
      </c>
      <c r="D418" s="5" t="str">
        <f>IFERROR(IF(SUMIFS(tblDaily[Deaths],tblDaily[EntryDate],DATE(2026,11,22),tblDaily[WardCode],"FW")=0,"",SUMIFS(tblDaily[Deaths],tblDaily[EntryDate],DATE(2026,11,22),tblDaily[WardCode],"FW")),"")</f>
        <v/>
      </c>
      <c r="E418" s="5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5" t="str">
        <f>IFERROR(IF(SUMIFS(tblDaily[TransfersIn],tblDaily[EntryDate],DATE(2026,11,22),tblDaily[WardCode],"FW")=0,"",SUMIFS(tblDaily[TransfersIn],tblDaily[EntryDate],DATE(2026,11,22),tblDaily[WardCode],"FW")),"")</f>
        <v/>
      </c>
      <c r="G418" s="5" t="str">
        <f>IFERROR(IF(SUMIFS(tblDaily[TransfersOut],tblDaily[EntryDate],DATE(2026,11,22),tblDaily[WardCode],"FW")=0,"",SUMIFS(tblDaily[TransfersOut],tblDaily[EntryDate],DATE(2026,11,22),tblDaily[WardCode],"FW")),"")</f>
        <v/>
      </c>
      <c r="H418" s="5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IFERROR(IF(SUMIFS(tblDaily[Admissions],tblDaily[EntryDate],DATE(2026,11,23),tblDaily[WardCode],"FW")=0,"",SUMIFS(tblDaily[Admissions],tblDaily[EntryDate],DATE(2026,11,23),tblDaily[WardCode],"FW")),"")</f>
        <v/>
      </c>
      <c r="C419" s="5" t="str">
        <f>IFERROR(IF(SUMIFS(tblDaily[Discharges],tblDaily[EntryDate],DATE(2026,11,23),tblDaily[WardCode],"FW")=0,"",SUMIFS(tblDaily[Discharges],tblDaily[EntryDate],DATE(2026,11,23),tblDaily[WardCode],"FW")),"")</f>
        <v/>
      </c>
      <c r="D419" s="5" t="str">
        <f>IFERROR(IF(SUMIFS(tblDaily[Deaths],tblDaily[EntryDate],DATE(2026,11,23),tblDaily[WardCode],"FW")=0,"",SUMIFS(tblDaily[Deaths],tblDaily[EntryDate],DATE(2026,11,23),tblDaily[WardCode],"FW")),"")</f>
        <v/>
      </c>
      <c r="E419" s="5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5" t="str">
        <f>IFERROR(IF(SUMIFS(tblDaily[TransfersIn],tblDaily[EntryDate],DATE(2026,11,23),tblDaily[WardCode],"FW")=0,"",SUMIFS(tblDaily[TransfersIn],tblDaily[EntryDate],DATE(2026,11,23),tblDaily[WardCode],"FW")),"")</f>
        <v/>
      </c>
      <c r="G419" s="5" t="str">
        <f>IFERROR(IF(SUMIFS(tblDaily[TransfersOut],tblDaily[EntryDate],DATE(2026,11,23),tblDaily[WardCode],"FW")=0,"",SUMIFS(tblDaily[TransfersOut],tblDaily[EntryDate],DATE(2026,11,23),tblDaily[WardCode],"FW")),"")</f>
        <v/>
      </c>
      <c r="H419" s="5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IFERROR(IF(SUMIFS(tblDaily[Admissions],tblDaily[EntryDate],DATE(2026,11,24),tblDaily[WardCode],"FW")=0,"",SUMIFS(tblDaily[Admissions],tblDaily[EntryDate],DATE(2026,11,24),tblDaily[WardCode],"FW")),"")</f>
        <v/>
      </c>
      <c r="C420" s="5" t="str">
        <f>IFERROR(IF(SUMIFS(tblDaily[Discharges],tblDaily[EntryDate],DATE(2026,11,24),tblDaily[WardCode],"FW")=0,"",SUMIFS(tblDaily[Discharges],tblDaily[EntryDate],DATE(2026,11,24),tblDaily[WardCode],"FW")),"")</f>
        <v/>
      </c>
      <c r="D420" s="5" t="str">
        <f>IFERROR(IF(SUMIFS(tblDaily[Deaths],tblDaily[EntryDate],DATE(2026,11,24),tblDaily[WardCode],"FW")=0,"",SUMIFS(tblDaily[Deaths],tblDaily[EntryDate],DATE(2026,11,24),tblDaily[WardCode],"FW")),"")</f>
        <v/>
      </c>
      <c r="E420" s="5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5" t="str">
        <f>IFERROR(IF(SUMIFS(tblDaily[TransfersIn],tblDaily[EntryDate],DATE(2026,11,24),tblDaily[WardCode],"FW")=0,"",SUMIFS(tblDaily[TransfersIn],tblDaily[EntryDate],DATE(2026,11,24),tblDaily[WardCode],"FW")),"")</f>
        <v/>
      </c>
      <c r="G420" s="5" t="str">
        <f>IFERROR(IF(SUMIFS(tblDaily[TransfersOut],tblDaily[EntryDate],DATE(2026,11,24),tblDaily[WardCode],"FW")=0,"",SUMIFS(tblDaily[TransfersOut],tblDaily[EntryDate],DATE(2026,11,24),tblDaily[WardCode],"FW")),"")</f>
        <v/>
      </c>
      <c r="H420" s="5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IFERROR(IF(SUMIFS(tblDaily[Admissions],tblDaily[EntryDate],DATE(2026,11,25),tblDaily[WardCode],"FW")=0,"",SUMIFS(tblDaily[Admissions],tblDaily[EntryDate],DATE(2026,11,25),tblDaily[WardCode],"FW")),"")</f>
        <v/>
      </c>
      <c r="C421" s="5" t="str">
        <f>IFERROR(IF(SUMIFS(tblDaily[Discharges],tblDaily[EntryDate],DATE(2026,11,25),tblDaily[WardCode],"FW")=0,"",SUMIFS(tblDaily[Discharges],tblDaily[EntryDate],DATE(2026,11,25),tblDaily[WardCode],"FW")),"")</f>
        <v/>
      </c>
      <c r="D421" s="5" t="str">
        <f>IFERROR(IF(SUMIFS(tblDaily[Deaths],tblDaily[EntryDate],DATE(2026,11,25),tblDaily[WardCode],"FW")=0,"",SUMIFS(tblDaily[Deaths],tblDaily[EntryDate],DATE(2026,11,25),tblDaily[WardCode],"FW")),"")</f>
        <v/>
      </c>
      <c r="E421" s="5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5" t="str">
        <f>IFERROR(IF(SUMIFS(tblDaily[TransfersIn],tblDaily[EntryDate],DATE(2026,11,25),tblDaily[WardCode],"FW")=0,"",SUMIFS(tblDaily[TransfersIn],tblDaily[EntryDate],DATE(2026,11,25),tblDaily[WardCode],"FW")),"")</f>
        <v/>
      </c>
      <c r="G421" s="5" t="str">
        <f>IFERROR(IF(SUMIFS(tblDaily[TransfersOut],tblDaily[EntryDate],DATE(2026,11,25),tblDaily[WardCode],"FW")=0,"",SUMIFS(tblDaily[TransfersOut],tblDaily[EntryDate],DATE(2026,11,25),tblDaily[WardCode],"FW")),"")</f>
        <v/>
      </c>
      <c r="H421" s="5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IFERROR(IF(SUMIFS(tblDaily[Admissions],tblDaily[EntryDate],DATE(2026,11,26),tblDaily[WardCode],"FW")=0,"",SUMIFS(tblDaily[Admissions],tblDaily[EntryDate],DATE(2026,11,26),tblDaily[WardCode],"FW")),"")</f>
        <v/>
      </c>
      <c r="C422" s="5" t="str">
        <f>IFERROR(IF(SUMIFS(tblDaily[Discharges],tblDaily[EntryDate],DATE(2026,11,26),tblDaily[WardCode],"FW")=0,"",SUMIFS(tblDaily[Discharges],tblDaily[EntryDate],DATE(2026,11,26),tblDaily[WardCode],"FW")),"")</f>
        <v/>
      </c>
      <c r="D422" s="5" t="str">
        <f>IFERROR(IF(SUMIFS(tblDaily[Deaths],tblDaily[EntryDate],DATE(2026,11,26),tblDaily[WardCode],"FW")=0,"",SUMIFS(tblDaily[Deaths],tblDaily[EntryDate],DATE(2026,11,26),tblDaily[WardCode],"FW")),"")</f>
        <v/>
      </c>
      <c r="E422" s="5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5" t="str">
        <f>IFERROR(IF(SUMIFS(tblDaily[TransfersIn],tblDaily[EntryDate],DATE(2026,11,26),tblDaily[WardCode],"FW")=0,"",SUMIFS(tblDaily[TransfersIn],tblDaily[EntryDate],DATE(2026,11,26),tblDaily[WardCode],"FW")),"")</f>
        <v/>
      </c>
      <c r="G422" s="5" t="str">
        <f>IFERROR(IF(SUMIFS(tblDaily[TransfersOut],tblDaily[EntryDate],DATE(2026,11,26),tblDaily[WardCode],"FW")=0,"",SUMIFS(tblDaily[TransfersOut],tblDaily[EntryDate],DATE(2026,11,26),tblDaily[WardCode],"FW")),"")</f>
        <v/>
      </c>
      <c r="H422" s="5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IFERROR(IF(SUMIFS(tblDaily[Admissions],tblDaily[EntryDate],DATE(2026,11,27),tblDaily[WardCode],"FW")=0,"",SUMIFS(tblDaily[Admissions],tblDaily[EntryDate],DATE(2026,11,27),tblDaily[WardCode],"FW")),"")</f>
        <v/>
      </c>
      <c r="C423" s="5" t="str">
        <f>IFERROR(IF(SUMIFS(tblDaily[Discharges],tblDaily[EntryDate],DATE(2026,11,27),tblDaily[WardCode],"FW")=0,"",SUMIFS(tblDaily[Discharges],tblDaily[EntryDate],DATE(2026,11,27),tblDaily[WardCode],"FW")),"")</f>
        <v/>
      </c>
      <c r="D423" s="5" t="str">
        <f>IFERROR(IF(SUMIFS(tblDaily[Deaths],tblDaily[EntryDate],DATE(2026,11,27),tblDaily[WardCode],"FW")=0,"",SUMIFS(tblDaily[Deaths],tblDaily[EntryDate],DATE(2026,11,27),tblDaily[WardCode],"FW")),"")</f>
        <v/>
      </c>
      <c r="E423" s="5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5" t="str">
        <f>IFERROR(IF(SUMIFS(tblDaily[TransfersIn],tblDaily[EntryDate],DATE(2026,11,27),tblDaily[WardCode],"FW")=0,"",SUMIFS(tblDaily[TransfersIn],tblDaily[EntryDate],DATE(2026,11,27),tblDaily[WardCode],"FW")),"")</f>
        <v/>
      </c>
      <c r="G423" s="5" t="str">
        <f>IFERROR(IF(SUMIFS(tblDaily[TransfersOut],tblDaily[EntryDate],DATE(2026,11,27),tblDaily[WardCode],"FW")=0,"",SUMIFS(tblDaily[TransfersOut],tblDaily[EntryDate],DATE(2026,11,27),tblDaily[WardCode],"FW")),"")</f>
        <v/>
      </c>
      <c r="H423" s="5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IFERROR(IF(SUMIFS(tblDaily[Admissions],tblDaily[EntryDate],DATE(2026,11,28),tblDaily[WardCode],"FW")=0,"",SUMIFS(tblDaily[Admissions],tblDaily[EntryDate],DATE(2026,11,28),tblDaily[WardCode],"FW")),"")</f>
        <v/>
      </c>
      <c r="C424" s="5" t="str">
        <f>IFERROR(IF(SUMIFS(tblDaily[Discharges],tblDaily[EntryDate],DATE(2026,11,28),tblDaily[WardCode],"FW")=0,"",SUMIFS(tblDaily[Discharges],tblDaily[EntryDate],DATE(2026,11,28),tblDaily[WardCode],"FW")),"")</f>
        <v/>
      </c>
      <c r="D424" s="5" t="str">
        <f>IFERROR(IF(SUMIFS(tblDaily[Deaths],tblDaily[EntryDate],DATE(2026,11,28),tblDaily[WardCode],"FW")=0,"",SUMIFS(tblDaily[Deaths],tblDaily[EntryDate],DATE(2026,11,28),tblDaily[WardCode],"FW")),"")</f>
        <v/>
      </c>
      <c r="E424" s="5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5" t="str">
        <f>IFERROR(IF(SUMIFS(tblDaily[TransfersIn],tblDaily[EntryDate],DATE(2026,11,28),tblDaily[WardCode],"FW")=0,"",SUMIFS(tblDaily[TransfersIn],tblDaily[EntryDate],DATE(2026,11,28),tblDaily[WardCode],"FW")),"")</f>
        <v/>
      </c>
      <c r="G424" s="5" t="str">
        <f>IFERROR(IF(SUMIFS(tblDaily[TransfersOut],tblDaily[EntryDate],DATE(2026,11,28),tblDaily[WardCode],"FW")=0,"",SUMIFS(tblDaily[TransfersOut],tblDaily[EntryDate],DATE(2026,11,28),tblDaily[WardCode],"FW")),"")</f>
        <v/>
      </c>
      <c r="H424" s="5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IFERROR(IF(SUMIFS(tblDaily[Admissions],tblDaily[EntryDate],DATE(2026,11,29),tblDaily[WardCode],"FW")=0,"",SUMIFS(tblDaily[Admissions],tblDaily[EntryDate],DATE(2026,11,29),tblDaily[WardCode],"FW")),"")</f>
        <v/>
      </c>
      <c r="C425" s="5" t="str">
        <f>IFERROR(IF(SUMIFS(tblDaily[Discharges],tblDaily[EntryDate],DATE(2026,11,29),tblDaily[WardCode],"FW")=0,"",SUMIFS(tblDaily[Discharges],tblDaily[EntryDate],DATE(2026,11,29),tblDaily[WardCode],"FW")),"")</f>
        <v/>
      </c>
      <c r="D425" s="5" t="str">
        <f>IFERROR(IF(SUMIFS(tblDaily[Deaths],tblDaily[EntryDate],DATE(2026,11,29),tblDaily[WardCode],"FW")=0,"",SUMIFS(tblDaily[Deaths],tblDaily[EntryDate],DATE(2026,11,29),tblDaily[WardCode],"FW")),"")</f>
        <v/>
      </c>
      <c r="E425" s="5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5" t="str">
        <f>IFERROR(IF(SUMIFS(tblDaily[TransfersIn],tblDaily[EntryDate],DATE(2026,11,29),tblDaily[WardCode],"FW")=0,"",SUMIFS(tblDaily[TransfersIn],tblDaily[EntryDate],DATE(2026,11,29),tblDaily[WardCode],"FW")),"")</f>
        <v/>
      </c>
      <c r="G425" s="5" t="str">
        <f>IFERROR(IF(SUMIFS(tblDaily[TransfersOut],tblDaily[EntryDate],DATE(2026,11,29),tblDaily[WardCode],"FW")=0,"",SUMIFS(tblDaily[TransfersOut],tblDaily[EntryDate],DATE(2026,11,29),tblDaily[WardCode],"FW")),"")</f>
        <v/>
      </c>
      <c r="H425" s="5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IFERROR(IF(SUMIFS(tblDaily[Admissions],tblDaily[EntryDate],DATE(2026,11,30),tblDaily[WardCode],"FW")=0,"",SUMIFS(tblDaily[Admissions],tblDaily[EntryDate],DATE(2026,11,30),tblDaily[WardCode],"FW")),"")</f>
        <v/>
      </c>
      <c r="C426" s="5" t="str">
        <f>IFERROR(IF(SUMIFS(tblDaily[Discharges],tblDaily[EntryDate],DATE(2026,11,30),tblDaily[WardCode],"FW")=0,"",SUMIFS(tblDaily[Discharges],tblDaily[EntryDate],DATE(2026,11,30),tblDaily[WardCode],"FW")),"")</f>
        <v/>
      </c>
      <c r="D426" s="5" t="str">
        <f>IFERROR(IF(SUMIFS(tblDaily[Deaths],tblDaily[EntryDate],DATE(2026,11,30),tblDaily[WardCode],"FW")=0,"",SUMIFS(tblDaily[Deaths],tblDaily[EntryDate],DATE(2026,11,30),tblDaily[WardCode],"FW")),"")</f>
        <v/>
      </c>
      <c r="E426" s="5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5" t="str">
        <f>IFERROR(IF(SUMIFS(tblDaily[TransfersIn],tblDaily[EntryDate],DATE(2026,11,30),tblDaily[WardCode],"FW")=0,"",SUMIFS(tblDaily[TransfersIn],tblDaily[EntryDate],DATE(2026,11,30),tblDaily[WardCode],"FW")),"")</f>
        <v/>
      </c>
      <c r="G426" s="5" t="str">
        <f>IFERROR(IF(SUMIFS(tblDaily[TransfersOut],tblDaily[EntryDate],DATE(2026,11,30),tblDaily[WardCode],"FW")=0,"",SUMIFS(tblDaily[TransfersOut],tblDaily[EntryDate],DATE(2026,11,30),tblDaily[WardCode],"FW")),"")</f>
        <v/>
      </c>
      <c r="H426" s="5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96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89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IFERROR(IF(SUMIFS(tblDaily[Admissions],tblDaily[EntryDate],DATE(2026,12,1),tblDaily[WardCode],"FW")=0,"",SUMIFS(tblDaily[Admissions],tblDaily[EntryDate],DATE(2026,12,1),tblDaily[WardCode],"FW")),"")</f>
        <v/>
      </c>
      <c r="C436" s="5" t="str">
        <f>IFERROR(IF(SUMIFS(tblDaily[Discharges],tblDaily[EntryDate],DATE(2026,12,1),tblDaily[WardCode],"FW")=0,"",SUMIFS(tblDaily[Discharges],tblDaily[EntryDate],DATE(2026,12,1),tblDaily[WardCode],"FW")),"")</f>
        <v/>
      </c>
      <c r="D436" s="5" t="str">
        <f>IFERROR(IF(SUMIFS(tblDaily[Deaths],tblDaily[EntryDate],DATE(2026,12,1),tblDaily[WardCode],"FW")=0,"",SUMIFS(tblDaily[Deaths],tblDaily[EntryDate],DATE(2026,12,1),tblDaily[WardCode],"FW")),"")</f>
        <v/>
      </c>
      <c r="E436" s="5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5" t="str">
        <f>IFERROR(IF(SUMIFS(tblDaily[TransfersIn],tblDaily[EntryDate],DATE(2026,12,1),tblDaily[WardCode],"FW")=0,"",SUMIFS(tblDaily[TransfersIn],tblDaily[EntryDate],DATE(2026,12,1),tblDaily[WardCode],"FW")),"")</f>
        <v/>
      </c>
      <c r="G436" s="5" t="str">
        <f>IFERROR(IF(SUMIFS(tblDaily[TransfersOut],tblDaily[EntryDate],DATE(2026,12,1),tblDaily[WardCode],"FW")=0,"",SUMIFS(tblDaily[TransfersOut],tblDaily[EntryDate],DATE(2026,12,1),tblDaily[WardCode],"FW")),"")</f>
        <v/>
      </c>
      <c r="H436" s="5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IFERROR(IF(SUMIFS(tblDaily[Admissions],tblDaily[EntryDate],DATE(2026,12,2),tblDaily[WardCode],"FW")=0,"",SUMIFS(tblDaily[Admissions],tblDaily[EntryDate],DATE(2026,12,2),tblDaily[WardCode],"FW")),"")</f>
        <v/>
      </c>
      <c r="C437" s="5" t="str">
        <f>IFERROR(IF(SUMIFS(tblDaily[Discharges],tblDaily[EntryDate],DATE(2026,12,2),tblDaily[WardCode],"FW")=0,"",SUMIFS(tblDaily[Discharges],tblDaily[EntryDate],DATE(2026,12,2),tblDaily[WardCode],"FW")),"")</f>
        <v/>
      </c>
      <c r="D437" s="5" t="str">
        <f>IFERROR(IF(SUMIFS(tblDaily[Deaths],tblDaily[EntryDate],DATE(2026,12,2),tblDaily[WardCode],"FW")=0,"",SUMIFS(tblDaily[Deaths],tblDaily[EntryDate],DATE(2026,12,2),tblDaily[WardCode],"FW")),"")</f>
        <v/>
      </c>
      <c r="E437" s="5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5" t="str">
        <f>IFERROR(IF(SUMIFS(tblDaily[TransfersIn],tblDaily[EntryDate],DATE(2026,12,2),tblDaily[WardCode],"FW")=0,"",SUMIFS(tblDaily[TransfersIn],tblDaily[EntryDate],DATE(2026,12,2),tblDaily[WardCode],"FW")),"")</f>
        <v/>
      </c>
      <c r="G437" s="5" t="str">
        <f>IFERROR(IF(SUMIFS(tblDaily[TransfersOut],tblDaily[EntryDate],DATE(2026,12,2),tblDaily[WardCode],"FW")=0,"",SUMIFS(tblDaily[TransfersOut],tblDaily[EntryDate],DATE(2026,12,2),tblDaily[WardCode],"FW")),"")</f>
        <v/>
      </c>
      <c r="H437" s="5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IFERROR(IF(SUMIFS(tblDaily[Admissions],tblDaily[EntryDate],DATE(2026,12,3),tblDaily[WardCode],"FW")=0,"",SUMIFS(tblDaily[Admissions],tblDaily[EntryDate],DATE(2026,12,3),tblDaily[WardCode],"FW")),"")</f>
        <v/>
      </c>
      <c r="C438" s="5" t="str">
        <f>IFERROR(IF(SUMIFS(tblDaily[Discharges],tblDaily[EntryDate],DATE(2026,12,3),tblDaily[WardCode],"FW")=0,"",SUMIFS(tblDaily[Discharges],tblDaily[EntryDate],DATE(2026,12,3),tblDaily[WardCode],"FW")),"")</f>
        <v/>
      </c>
      <c r="D438" s="5" t="str">
        <f>IFERROR(IF(SUMIFS(tblDaily[Deaths],tblDaily[EntryDate],DATE(2026,12,3),tblDaily[WardCode],"FW")=0,"",SUMIFS(tblDaily[Deaths],tblDaily[EntryDate],DATE(2026,12,3),tblDaily[WardCode],"FW")),"")</f>
        <v/>
      </c>
      <c r="E438" s="5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5" t="str">
        <f>IFERROR(IF(SUMIFS(tblDaily[TransfersIn],tblDaily[EntryDate],DATE(2026,12,3),tblDaily[WardCode],"FW")=0,"",SUMIFS(tblDaily[TransfersIn],tblDaily[EntryDate],DATE(2026,12,3),tblDaily[WardCode],"FW")),"")</f>
        <v/>
      </c>
      <c r="G438" s="5" t="str">
        <f>IFERROR(IF(SUMIFS(tblDaily[TransfersOut],tblDaily[EntryDate],DATE(2026,12,3),tblDaily[WardCode],"FW")=0,"",SUMIFS(tblDaily[TransfersOut],tblDaily[EntryDate],DATE(2026,12,3),tblDaily[WardCode],"FW")),"")</f>
        <v/>
      </c>
      <c r="H438" s="5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IFERROR(IF(SUMIFS(tblDaily[Admissions],tblDaily[EntryDate],DATE(2026,12,4),tblDaily[WardCode],"FW")=0,"",SUMIFS(tblDaily[Admissions],tblDaily[EntryDate],DATE(2026,12,4),tblDaily[WardCode],"FW")),"")</f>
        <v/>
      </c>
      <c r="C439" s="5" t="str">
        <f>IFERROR(IF(SUMIFS(tblDaily[Discharges],tblDaily[EntryDate],DATE(2026,12,4),tblDaily[WardCode],"FW")=0,"",SUMIFS(tblDaily[Discharges],tblDaily[EntryDate],DATE(2026,12,4),tblDaily[WardCode],"FW")),"")</f>
        <v/>
      </c>
      <c r="D439" s="5" t="str">
        <f>IFERROR(IF(SUMIFS(tblDaily[Deaths],tblDaily[EntryDate],DATE(2026,12,4),tblDaily[WardCode],"FW")=0,"",SUMIFS(tblDaily[Deaths],tblDaily[EntryDate],DATE(2026,12,4),tblDaily[WardCode],"FW")),"")</f>
        <v/>
      </c>
      <c r="E439" s="5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5" t="str">
        <f>IFERROR(IF(SUMIFS(tblDaily[TransfersIn],tblDaily[EntryDate],DATE(2026,12,4),tblDaily[WardCode],"FW")=0,"",SUMIFS(tblDaily[TransfersIn],tblDaily[EntryDate],DATE(2026,12,4),tblDaily[WardCode],"FW")),"")</f>
        <v/>
      </c>
      <c r="G439" s="5" t="str">
        <f>IFERROR(IF(SUMIFS(tblDaily[TransfersOut],tblDaily[EntryDate],DATE(2026,12,4),tblDaily[WardCode],"FW")=0,"",SUMIFS(tblDaily[TransfersOut],tblDaily[EntryDate],DATE(2026,12,4),tblDaily[WardCode],"FW")),"")</f>
        <v/>
      </c>
      <c r="H439" s="5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IFERROR(IF(SUMIFS(tblDaily[Admissions],tblDaily[EntryDate],DATE(2026,12,5),tblDaily[WardCode],"FW")=0,"",SUMIFS(tblDaily[Admissions],tblDaily[EntryDate],DATE(2026,12,5),tblDaily[WardCode],"FW")),"")</f>
        <v/>
      </c>
      <c r="C440" s="5" t="str">
        <f>IFERROR(IF(SUMIFS(tblDaily[Discharges],tblDaily[EntryDate],DATE(2026,12,5),tblDaily[WardCode],"FW")=0,"",SUMIFS(tblDaily[Discharges],tblDaily[EntryDate],DATE(2026,12,5),tblDaily[WardCode],"FW")),"")</f>
        <v/>
      </c>
      <c r="D440" s="5" t="str">
        <f>IFERROR(IF(SUMIFS(tblDaily[Deaths],tblDaily[EntryDate],DATE(2026,12,5),tblDaily[WardCode],"FW")=0,"",SUMIFS(tblDaily[Deaths],tblDaily[EntryDate],DATE(2026,12,5),tblDaily[WardCode],"FW")),"")</f>
        <v/>
      </c>
      <c r="E440" s="5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5" t="str">
        <f>IFERROR(IF(SUMIFS(tblDaily[TransfersIn],tblDaily[EntryDate],DATE(2026,12,5),tblDaily[WardCode],"FW")=0,"",SUMIFS(tblDaily[TransfersIn],tblDaily[EntryDate],DATE(2026,12,5),tblDaily[WardCode],"FW")),"")</f>
        <v/>
      </c>
      <c r="G440" s="5" t="str">
        <f>IFERROR(IF(SUMIFS(tblDaily[TransfersOut],tblDaily[EntryDate],DATE(2026,12,5),tblDaily[WardCode],"FW")=0,"",SUMIFS(tblDaily[TransfersOut],tblDaily[EntryDate],DATE(2026,12,5),tblDaily[WardCode],"FW")),"")</f>
        <v/>
      </c>
      <c r="H440" s="5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IFERROR(IF(SUMIFS(tblDaily[Admissions],tblDaily[EntryDate],DATE(2026,12,6),tblDaily[WardCode],"FW")=0,"",SUMIFS(tblDaily[Admissions],tblDaily[EntryDate],DATE(2026,12,6),tblDaily[WardCode],"FW")),"")</f>
        <v/>
      </c>
      <c r="C441" s="5" t="str">
        <f>IFERROR(IF(SUMIFS(tblDaily[Discharges],tblDaily[EntryDate],DATE(2026,12,6),tblDaily[WardCode],"FW")=0,"",SUMIFS(tblDaily[Discharges],tblDaily[EntryDate],DATE(2026,12,6),tblDaily[WardCode],"FW")),"")</f>
        <v/>
      </c>
      <c r="D441" s="5" t="str">
        <f>IFERROR(IF(SUMIFS(tblDaily[Deaths],tblDaily[EntryDate],DATE(2026,12,6),tblDaily[WardCode],"FW")=0,"",SUMIFS(tblDaily[Deaths],tblDaily[EntryDate],DATE(2026,12,6),tblDaily[WardCode],"FW")),"")</f>
        <v/>
      </c>
      <c r="E441" s="5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5" t="str">
        <f>IFERROR(IF(SUMIFS(tblDaily[TransfersIn],tblDaily[EntryDate],DATE(2026,12,6),tblDaily[WardCode],"FW")=0,"",SUMIFS(tblDaily[TransfersIn],tblDaily[EntryDate],DATE(2026,12,6),tblDaily[WardCode],"FW")),"")</f>
        <v/>
      </c>
      <c r="G441" s="5" t="str">
        <f>IFERROR(IF(SUMIFS(tblDaily[TransfersOut],tblDaily[EntryDate],DATE(2026,12,6),tblDaily[WardCode],"FW")=0,"",SUMIFS(tblDaily[TransfersOut],tblDaily[EntryDate],DATE(2026,12,6),tblDaily[WardCode],"FW")),"")</f>
        <v/>
      </c>
      <c r="H441" s="5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IFERROR(IF(SUMIFS(tblDaily[Admissions],tblDaily[EntryDate],DATE(2026,12,7),tblDaily[WardCode],"FW")=0,"",SUMIFS(tblDaily[Admissions],tblDaily[EntryDate],DATE(2026,12,7),tblDaily[WardCode],"FW")),"")</f>
        <v/>
      </c>
      <c r="C442" s="5" t="str">
        <f>IFERROR(IF(SUMIFS(tblDaily[Discharges],tblDaily[EntryDate],DATE(2026,12,7),tblDaily[WardCode],"FW")=0,"",SUMIFS(tblDaily[Discharges],tblDaily[EntryDate],DATE(2026,12,7),tblDaily[WardCode],"FW")),"")</f>
        <v/>
      </c>
      <c r="D442" s="5" t="str">
        <f>IFERROR(IF(SUMIFS(tblDaily[Deaths],tblDaily[EntryDate],DATE(2026,12,7),tblDaily[WardCode],"FW")=0,"",SUMIFS(tblDaily[Deaths],tblDaily[EntryDate],DATE(2026,12,7),tblDaily[WardCode],"FW")),"")</f>
        <v/>
      </c>
      <c r="E442" s="5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5" t="str">
        <f>IFERROR(IF(SUMIFS(tblDaily[TransfersIn],tblDaily[EntryDate],DATE(2026,12,7),tblDaily[WardCode],"FW")=0,"",SUMIFS(tblDaily[TransfersIn],tblDaily[EntryDate],DATE(2026,12,7),tblDaily[WardCode],"FW")),"")</f>
        <v/>
      </c>
      <c r="G442" s="5" t="str">
        <f>IFERROR(IF(SUMIFS(tblDaily[TransfersOut],tblDaily[EntryDate],DATE(2026,12,7),tblDaily[WardCode],"FW")=0,"",SUMIFS(tblDaily[TransfersOut],tblDaily[EntryDate],DATE(2026,12,7),tblDaily[WardCode],"FW")),"")</f>
        <v/>
      </c>
      <c r="H442" s="5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IFERROR(IF(SUMIFS(tblDaily[Admissions],tblDaily[EntryDate],DATE(2026,12,8),tblDaily[WardCode],"FW")=0,"",SUMIFS(tblDaily[Admissions],tblDaily[EntryDate],DATE(2026,12,8),tblDaily[WardCode],"FW")),"")</f>
        <v/>
      </c>
      <c r="C443" s="5" t="str">
        <f>IFERROR(IF(SUMIFS(tblDaily[Discharges],tblDaily[EntryDate],DATE(2026,12,8),tblDaily[WardCode],"FW")=0,"",SUMIFS(tblDaily[Discharges],tblDaily[EntryDate],DATE(2026,12,8),tblDaily[WardCode],"FW")),"")</f>
        <v/>
      </c>
      <c r="D443" s="5" t="str">
        <f>IFERROR(IF(SUMIFS(tblDaily[Deaths],tblDaily[EntryDate],DATE(2026,12,8),tblDaily[WardCode],"FW")=0,"",SUMIFS(tblDaily[Deaths],tblDaily[EntryDate],DATE(2026,12,8),tblDaily[WardCode],"FW")),"")</f>
        <v/>
      </c>
      <c r="E443" s="5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5" t="str">
        <f>IFERROR(IF(SUMIFS(tblDaily[TransfersIn],tblDaily[EntryDate],DATE(2026,12,8),tblDaily[WardCode],"FW")=0,"",SUMIFS(tblDaily[TransfersIn],tblDaily[EntryDate],DATE(2026,12,8),tblDaily[WardCode],"FW")),"")</f>
        <v/>
      </c>
      <c r="G443" s="5" t="str">
        <f>IFERROR(IF(SUMIFS(tblDaily[TransfersOut],tblDaily[EntryDate],DATE(2026,12,8),tblDaily[WardCode],"FW")=0,"",SUMIFS(tblDaily[TransfersOut],tblDaily[EntryDate],DATE(2026,12,8),tblDaily[WardCode],"FW")),"")</f>
        <v/>
      </c>
      <c r="H443" s="5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IFERROR(IF(SUMIFS(tblDaily[Admissions],tblDaily[EntryDate],DATE(2026,12,9),tblDaily[WardCode],"FW")=0,"",SUMIFS(tblDaily[Admissions],tblDaily[EntryDate],DATE(2026,12,9),tblDaily[WardCode],"FW")),"")</f>
        <v/>
      </c>
      <c r="C444" s="5" t="str">
        <f>IFERROR(IF(SUMIFS(tblDaily[Discharges],tblDaily[EntryDate],DATE(2026,12,9),tblDaily[WardCode],"FW")=0,"",SUMIFS(tblDaily[Discharges],tblDaily[EntryDate],DATE(2026,12,9),tblDaily[WardCode],"FW")),"")</f>
        <v/>
      </c>
      <c r="D444" s="5" t="str">
        <f>IFERROR(IF(SUMIFS(tblDaily[Deaths],tblDaily[EntryDate],DATE(2026,12,9),tblDaily[WardCode],"FW")=0,"",SUMIFS(tblDaily[Deaths],tblDaily[EntryDate],DATE(2026,12,9),tblDaily[WardCode],"FW")),"")</f>
        <v/>
      </c>
      <c r="E444" s="5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5" t="str">
        <f>IFERROR(IF(SUMIFS(tblDaily[TransfersIn],tblDaily[EntryDate],DATE(2026,12,9),tblDaily[WardCode],"FW")=0,"",SUMIFS(tblDaily[TransfersIn],tblDaily[EntryDate],DATE(2026,12,9),tblDaily[WardCode],"FW")),"")</f>
        <v/>
      </c>
      <c r="G444" s="5" t="str">
        <f>IFERROR(IF(SUMIFS(tblDaily[TransfersOut],tblDaily[EntryDate],DATE(2026,12,9),tblDaily[WardCode],"FW")=0,"",SUMIFS(tblDaily[TransfersOut],tblDaily[EntryDate],DATE(2026,12,9),tblDaily[WardCode],"FW")),"")</f>
        <v/>
      </c>
      <c r="H444" s="5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IFERROR(IF(SUMIFS(tblDaily[Admissions],tblDaily[EntryDate],DATE(2026,12,10),tblDaily[WardCode],"FW")=0,"",SUMIFS(tblDaily[Admissions],tblDaily[EntryDate],DATE(2026,12,10),tblDaily[WardCode],"FW")),"")</f>
        <v/>
      </c>
      <c r="C445" s="5" t="str">
        <f>IFERROR(IF(SUMIFS(tblDaily[Discharges],tblDaily[EntryDate],DATE(2026,12,10),tblDaily[WardCode],"FW")=0,"",SUMIFS(tblDaily[Discharges],tblDaily[EntryDate],DATE(2026,12,10),tblDaily[WardCode],"FW")),"")</f>
        <v/>
      </c>
      <c r="D445" s="5" t="str">
        <f>IFERROR(IF(SUMIFS(tblDaily[Deaths],tblDaily[EntryDate],DATE(2026,12,10),tblDaily[WardCode],"FW")=0,"",SUMIFS(tblDaily[Deaths],tblDaily[EntryDate],DATE(2026,12,10),tblDaily[WardCode],"FW")),"")</f>
        <v/>
      </c>
      <c r="E445" s="5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5" t="str">
        <f>IFERROR(IF(SUMIFS(tblDaily[TransfersIn],tblDaily[EntryDate],DATE(2026,12,10),tblDaily[WardCode],"FW")=0,"",SUMIFS(tblDaily[TransfersIn],tblDaily[EntryDate],DATE(2026,12,10),tblDaily[WardCode],"FW")),"")</f>
        <v/>
      </c>
      <c r="G445" s="5" t="str">
        <f>IFERROR(IF(SUMIFS(tblDaily[TransfersOut],tblDaily[EntryDate],DATE(2026,12,10),tblDaily[WardCode],"FW")=0,"",SUMIFS(tblDaily[TransfersOut],tblDaily[EntryDate],DATE(2026,12,10),tblDaily[WardCode],"FW")),"")</f>
        <v/>
      </c>
      <c r="H445" s="5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IFERROR(IF(SUMIFS(tblDaily[Admissions],tblDaily[EntryDate],DATE(2026,12,11),tblDaily[WardCode],"FW")=0,"",SUMIFS(tblDaily[Admissions],tblDaily[EntryDate],DATE(2026,12,11),tblDaily[WardCode],"FW")),"")</f>
        <v/>
      </c>
      <c r="C446" s="5" t="str">
        <f>IFERROR(IF(SUMIFS(tblDaily[Discharges],tblDaily[EntryDate],DATE(2026,12,11),tblDaily[WardCode],"FW")=0,"",SUMIFS(tblDaily[Discharges],tblDaily[EntryDate],DATE(2026,12,11),tblDaily[WardCode],"FW")),"")</f>
        <v/>
      </c>
      <c r="D446" s="5" t="str">
        <f>IFERROR(IF(SUMIFS(tblDaily[Deaths],tblDaily[EntryDate],DATE(2026,12,11),tblDaily[WardCode],"FW")=0,"",SUMIFS(tblDaily[Deaths],tblDaily[EntryDate],DATE(2026,12,11),tblDaily[WardCode],"FW")),"")</f>
        <v/>
      </c>
      <c r="E446" s="5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5" t="str">
        <f>IFERROR(IF(SUMIFS(tblDaily[TransfersIn],tblDaily[EntryDate],DATE(2026,12,11),tblDaily[WardCode],"FW")=0,"",SUMIFS(tblDaily[TransfersIn],tblDaily[EntryDate],DATE(2026,12,11),tblDaily[WardCode],"FW")),"")</f>
        <v/>
      </c>
      <c r="G446" s="5" t="str">
        <f>IFERROR(IF(SUMIFS(tblDaily[TransfersOut],tblDaily[EntryDate],DATE(2026,12,11),tblDaily[WardCode],"FW")=0,"",SUMIFS(tblDaily[TransfersOut],tblDaily[EntryDate],DATE(2026,12,11),tblDaily[WardCode],"FW")),"")</f>
        <v/>
      </c>
      <c r="H446" s="5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IFERROR(IF(SUMIFS(tblDaily[Admissions],tblDaily[EntryDate],DATE(2026,12,12),tblDaily[WardCode],"FW")=0,"",SUMIFS(tblDaily[Admissions],tblDaily[EntryDate],DATE(2026,12,12),tblDaily[WardCode],"FW")),"")</f>
        <v/>
      </c>
      <c r="C447" s="5" t="str">
        <f>IFERROR(IF(SUMIFS(tblDaily[Discharges],tblDaily[EntryDate],DATE(2026,12,12),tblDaily[WardCode],"FW")=0,"",SUMIFS(tblDaily[Discharges],tblDaily[EntryDate],DATE(2026,12,12),tblDaily[WardCode],"FW")),"")</f>
        <v/>
      </c>
      <c r="D447" s="5" t="str">
        <f>IFERROR(IF(SUMIFS(tblDaily[Deaths],tblDaily[EntryDate],DATE(2026,12,12),tblDaily[WardCode],"FW")=0,"",SUMIFS(tblDaily[Deaths],tblDaily[EntryDate],DATE(2026,12,12),tblDaily[WardCode],"FW")),"")</f>
        <v/>
      </c>
      <c r="E447" s="5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5" t="str">
        <f>IFERROR(IF(SUMIFS(tblDaily[TransfersIn],tblDaily[EntryDate],DATE(2026,12,12),tblDaily[WardCode],"FW")=0,"",SUMIFS(tblDaily[TransfersIn],tblDaily[EntryDate],DATE(2026,12,12),tblDaily[WardCode],"FW")),"")</f>
        <v/>
      </c>
      <c r="G447" s="5" t="str">
        <f>IFERROR(IF(SUMIFS(tblDaily[TransfersOut],tblDaily[EntryDate],DATE(2026,12,12),tblDaily[WardCode],"FW")=0,"",SUMIFS(tblDaily[TransfersOut],tblDaily[EntryDate],DATE(2026,12,12),tblDaily[WardCode],"FW")),"")</f>
        <v/>
      </c>
      <c r="H447" s="5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IFERROR(IF(SUMIFS(tblDaily[Admissions],tblDaily[EntryDate],DATE(2026,12,13),tblDaily[WardCode],"FW")=0,"",SUMIFS(tblDaily[Admissions],tblDaily[EntryDate],DATE(2026,12,13),tblDaily[WardCode],"FW")),"")</f>
        <v/>
      </c>
      <c r="C448" s="5" t="str">
        <f>IFERROR(IF(SUMIFS(tblDaily[Discharges],tblDaily[EntryDate],DATE(2026,12,13),tblDaily[WardCode],"FW")=0,"",SUMIFS(tblDaily[Discharges],tblDaily[EntryDate],DATE(2026,12,13),tblDaily[WardCode],"FW")),"")</f>
        <v/>
      </c>
      <c r="D448" s="5" t="str">
        <f>IFERROR(IF(SUMIFS(tblDaily[Deaths],tblDaily[EntryDate],DATE(2026,12,13),tblDaily[WardCode],"FW")=0,"",SUMIFS(tblDaily[Deaths],tblDaily[EntryDate],DATE(2026,12,13),tblDaily[WardCode],"FW")),"")</f>
        <v/>
      </c>
      <c r="E448" s="5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5" t="str">
        <f>IFERROR(IF(SUMIFS(tblDaily[TransfersIn],tblDaily[EntryDate],DATE(2026,12,13),tblDaily[WardCode],"FW")=0,"",SUMIFS(tblDaily[TransfersIn],tblDaily[EntryDate],DATE(2026,12,13),tblDaily[WardCode],"FW")),"")</f>
        <v/>
      </c>
      <c r="G448" s="5" t="str">
        <f>IFERROR(IF(SUMIFS(tblDaily[TransfersOut],tblDaily[EntryDate],DATE(2026,12,13),tblDaily[WardCode],"FW")=0,"",SUMIFS(tblDaily[TransfersOut],tblDaily[EntryDate],DATE(2026,12,13),tblDaily[WardCode],"FW")),"")</f>
        <v/>
      </c>
      <c r="H448" s="5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IFERROR(IF(SUMIFS(tblDaily[Admissions],tblDaily[EntryDate],DATE(2026,12,14),tblDaily[WardCode],"FW")=0,"",SUMIFS(tblDaily[Admissions],tblDaily[EntryDate],DATE(2026,12,14),tblDaily[WardCode],"FW")),"")</f>
        <v/>
      </c>
      <c r="C449" s="5" t="str">
        <f>IFERROR(IF(SUMIFS(tblDaily[Discharges],tblDaily[EntryDate],DATE(2026,12,14),tblDaily[WardCode],"FW")=0,"",SUMIFS(tblDaily[Discharges],tblDaily[EntryDate],DATE(2026,12,14),tblDaily[WardCode],"FW")),"")</f>
        <v/>
      </c>
      <c r="D449" s="5" t="str">
        <f>IFERROR(IF(SUMIFS(tblDaily[Deaths],tblDaily[EntryDate],DATE(2026,12,14),tblDaily[WardCode],"FW")=0,"",SUMIFS(tblDaily[Deaths],tblDaily[EntryDate],DATE(2026,12,14),tblDaily[WardCode],"FW")),"")</f>
        <v/>
      </c>
      <c r="E449" s="5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5" t="str">
        <f>IFERROR(IF(SUMIFS(tblDaily[TransfersIn],tblDaily[EntryDate],DATE(2026,12,14),tblDaily[WardCode],"FW")=0,"",SUMIFS(tblDaily[TransfersIn],tblDaily[EntryDate],DATE(2026,12,14),tblDaily[WardCode],"FW")),"")</f>
        <v/>
      </c>
      <c r="G449" s="5" t="str">
        <f>IFERROR(IF(SUMIFS(tblDaily[TransfersOut],tblDaily[EntryDate],DATE(2026,12,14),tblDaily[WardCode],"FW")=0,"",SUMIFS(tblDaily[TransfersOut],tblDaily[EntryDate],DATE(2026,12,14),tblDaily[WardCode],"FW")),"")</f>
        <v/>
      </c>
      <c r="H449" s="5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IFERROR(IF(SUMIFS(tblDaily[Admissions],tblDaily[EntryDate],DATE(2026,12,15),tblDaily[WardCode],"FW")=0,"",SUMIFS(tblDaily[Admissions],tblDaily[EntryDate],DATE(2026,12,15),tblDaily[WardCode],"FW")),"")</f>
        <v/>
      </c>
      <c r="C450" s="5" t="str">
        <f>IFERROR(IF(SUMIFS(tblDaily[Discharges],tblDaily[EntryDate],DATE(2026,12,15),tblDaily[WardCode],"FW")=0,"",SUMIFS(tblDaily[Discharges],tblDaily[EntryDate],DATE(2026,12,15),tblDaily[WardCode],"FW")),"")</f>
        <v/>
      </c>
      <c r="D450" s="5" t="str">
        <f>IFERROR(IF(SUMIFS(tblDaily[Deaths],tblDaily[EntryDate],DATE(2026,12,15),tblDaily[WardCode],"FW")=0,"",SUMIFS(tblDaily[Deaths],tblDaily[EntryDate],DATE(2026,12,15),tblDaily[WardCode],"FW")),"")</f>
        <v/>
      </c>
      <c r="E450" s="5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5" t="str">
        <f>IFERROR(IF(SUMIFS(tblDaily[TransfersIn],tblDaily[EntryDate],DATE(2026,12,15),tblDaily[WardCode],"FW")=0,"",SUMIFS(tblDaily[TransfersIn],tblDaily[EntryDate],DATE(2026,12,15),tblDaily[WardCode],"FW")),"")</f>
        <v/>
      </c>
      <c r="G450" s="5" t="str">
        <f>IFERROR(IF(SUMIFS(tblDaily[TransfersOut],tblDaily[EntryDate],DATE(2026,12,15),tblDaily[WardCode],"FW")=0,"",SUMIFS(tblDaily[TransfersOut],tblDaily[EntryDate],DATE(2026,12,15),tblDaily[WardCode],"FW")),"")</f>
        <v/>
      </c>
      <c r="H450" s="5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IFERROR(IF(SUMIFS(tblDaily[Admissions],tblDaily[EntryDate],DATE(2026,12,16),tblDaily[WardCode],"FW")=0,"",SUMIFS(tblDaily[Admissions],tblDaily[EntryDate],DATE(2026,12,16),tblDaily[WardCode],"FW")),"")</f>
        <v/>
      </c>
      <c r="C451" s="5" t="str">
        <f>IFERROR(IF(SUMIFS(tblDaily[Discharges],tblDaily[EntryDate],DATE(2026,12,16),tblDaily[WardCode],"FW")=0,"",SUMIFS(tblDaily[Discharges],tblDaily[EntryDate],DATE(2026,12,16),tblDaily[WardCode],"FW")),"")</f>
        <v/>
      </c>
      <c r="D451" s="5" t="str">
        <f>IFERROR(IF(SUMIFS(tblDaily[Deaths],tblDaily[EntryDate],DATE(2026,12,16),tblDaily[WardCode],"FW")=0,"",SUMIFS(tblDaily[Deaths],tblDaily[EntryDate],DATE(2026,12,16),tblDaily[WardCode],"FW")),"")</f>
        <v/>
      </c>
      <c r="E451" s="5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5" t="str">
        <f>IFERROR(IF(SUMIFS(tblDaily[TransfersIn],tblDaily[EntryDate],DATE(2026,12,16),tblDaily[WardCode],"FW")=0,"",SUMIFS(tblDaily[TransfersIn],tblDaily[EntryDate],DATE(2026,12,16),tblDaily[WardCode],"FW")),"")</f>
        <v/>
      </c>
      <c r="G451" s="5" t="str">
        <f>IFERROR(IF(SUMIFS(tblDaily[TransfersOut],tblDaily[EntryDate],DATE(2026,12,16),tblDaily[WardCode],"FW")=0,"",SUMIFS(tblDaily[TransfersOut],tblDaily[EntryDate],DATE(2026,12,16),tblDaily[WardCode],"FW")),"")</f>
        <v/>
      </c>
      <c r="H451" s="5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IFERROR(IF(SUMIFS(tblDaily[Admissions],tblDaily[EntryDate],DATE(2026,12,17),tblDaily[WardCode],"FW")=0,"",SUMIFS(tblDaily[Admissions],tblDaily[EntryDate],DATE(2026,12,17),tblDaily[WardCode],"FW")),"")</f>
        <v/>
      </c>
      <c r="C452" s="5" t="str">
        <f>IFERROR(IF(SUMIFS(tblDaily[Discharges],tblDaily[EntryDate],DATE(2026,12,17),tblDaily[WardCode],"FW")=0,"",SUMIFS(tblDaily[Discharges],tblDaily[EntryDate],DATE(2026,12,17),tblDaily[WardCode],"FW")),"")</f>
        <v/>
      </c>
      <c r="D452" s="5" t="str">
        <f>IFERROR(IF(SUMIFS(tblDaily[Deaths],tblDaily[EntryDate],DATE(2026,12,17),tblDaily[WardCode],"FW")=0,"",SUMIFS(tblDaily[Deaths],tblDaily[EntryDate],DATE(2026,12,17),tblDaily[WardCode],"FW")),"")</f>
        <v/>
      </c>
      <c r="E452" s="5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5" t="str">
        <f>IFERROR(IF(SUMIFS(tblDaily[TransfersIn],tblDaily[EntryDate],DATE(2026,12,17),tblDaily[WardCode],"FW")=0,"",SUMIFS(tblDaily[TransfersIn],tblDaily[EntryDate],DATE(2026,12,17),tblDaily[WardCode],"FW")),"")</f>
        <v/>
      </c>
      <c r="G452" s="5" t="str">
        <f>IFERROR(IF(SUMIFS(tblDaily[TransfersOut],tblDaily[EntryDate],DATE(2026,12,17),tblDaily[WardCode],"FW")=0,"",SUMIFS(tblDaily[TransfersOut],tblDaily[EntryDate],DATE(2026,12,17),tblDaily[WardCode],"FW")),"")</f>
        <v/>
      </c>
      <c r="H452" s="5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IFERROR(IF(SUMIFS(tblDaily[Admissions],tblDaily[EntryDate],DATE(2026,12,18),tblDaily[WardCode],"FW")=0,"",SUMIFS(tblDaily[Admissions],tblDaily[EntryDate],DATE(2026,12,18),tblDaily[WardCode],"FW")),"")</f>
        <v/>
      </c>
      <c r="C453" s="5" t="str">
        <f>IFERROR(IF(SUMIFS(tblDaily[Discharges],tblDaily[EntryDate],DATE(2026,12,18),tblDaily[WardCode],"FW")=0,"",SUMIFS(tblDaily[Discharges],tblDaily[EntryDate],DATE(2026,12,18),tblDaily[WardCode],"FW")),"")</f>
        <v/>
      </c>
      <c r="D453" s="5" t="str">
        <f>IFERROR(IF(SUMIFS(tblDaily[Deaths],tblDaily[EntryDate],DATE(2026,12,18),tblDaily[WardCode],"FW")=0,"",SUMIFS(tblDaily[Deaths],tblDaily[EntryDate],DATE(2026,12,18),tblDaily[WardCode],"FW")),"")</f>
        <v/>
      </c>
      <c r="E453" s="5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5" t="str">
        <f>IFERROR(IF(SUMIFS(tblDaily[TransfersIn],tblDaily[EntryDate],DATE(2026,12,18),tblDaily[WardCode],"FW")=0,"",SUMIFS(tblDaily[TransfersIn],tblDaily[EntryDate],DATE(2026,12,18),tblDaily[WardCode],"FW")),"")</f>
        <v/>
      </c>
      <c r="G453" s="5" t="str">
        <f>IFERROR(IF(SUMIFS(tblDaily[TransfersOut],tblDaily[EntryDate],DATE(2026,12,18),tblDaily[WardCode],"FW")=0,"",SUMIFS(tblDaily[TransfersOut],tblDaily[EntryDate],DATE(2026,12,18),tblDaily[WardCode],"FW")),"")</f>
        <v/>
      </c>
      <c r="H453" s="5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IFERROR(IF(SUMIFS(tblDaily[Admissions],tblDaily[EntryDate],DATE(2026,12,19),tblDaily[WardCode],"FW")=0,"",SUMIFS(tblDaily[Admissions],tblDaily[EntryDate],DATE(2026,12,19),tblDaily[WardCode],"FW")),"")</f>
        <v/>
      </c>
      <c r="C454" s="5" t="str">
        <f>IFERROR(IF(SUMIFS(tblDaily[Discharges],tblDaily[EntryDate],DATE(2026,12,19),tblDaily[WardCode],"FW")=0,"",SUMIFS(tblDaily[Discharges],tblDaily[EntryDate],DATE(2026,12,19),tblDaily[WardCode],"FW")),"")</f>
        <v/>
      </c>
      <c r="D454" s="5" t="str">
        <f>IFERROR(IF(SUMIFS(tblDaily[Deaths],tblDaily[EntryDate],DATE(2026,12,19),tblDaily[WardCode],"FW")=0,"",SUMIFS(tblDaily[Deaths],tblDaily[EntryDate],DATE(2026,12,19),tblDaily[WardCode],"FW")),"")</f>
        <v/>
      </c>
      <c r="E454" s="5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5" t="str">
        <f>IFERROR(IF(SUMIFS(tblDaily[TransfersIn],tblDaily[EntryDate],DATE(2026,12,19),tblDaily[WardCode],"FW")=0,"",SUMIFS(tblDaily[TransfersIn],tblDaily[EntryDate],DATE(2026,12,19),tblDaily[WardCode],"FW")),"")</f>
        <v/>
      </c>
      <c r="G454" s="5" t="str">
        <f>IFERROR(IF(SUMIFS(tblDaily[TransfersOut],tblDaily[EntryDate],DATE(2026,12,19),tblDaily[WardCode],"FW")=0,"",SUMIFS(tblDaily[TransfersOut],tblDaily[EntryDate],DATE(2026,12,19),tblDaily[WardCode],"FW")),"")</f>
        <v/>
      </c>
      <c r="H454" s="5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IFERROR(IF(SUMIFS(tblDaily[Admissions],tblDaily[EntryDate],DATE(2026,12,20),tblDaily[WardCode],"FW")=0,"",SUMIFS(tblDaily[Admissions],tblDaily[EntryDate],DATE(2026,12,20),tblDaily[WardCode],"FW")),"")</f>
        <v/>
      </c>
      <c r="C455" s="5" t="str">
        <f>IFERROR(IF(SUMIFS(tblDaily[Discharges],tblDaily[EntryDate],DATE(2026,12,20),tblDaily[WardCode],"FW")=0,"",SUMIFS(tblDaily[Discharges],tblDaily[EntryDate],DATE(2026,12,20),tblDaily[WardCode],"FW")),"")</f>
        <v/>
      </c>
      <c r="D455" s="5" t="str">
        <f>IFERROR(IF(SUMIFS(tblDaily[Deaths],tblDaily[EntryDate],DATE(2026,12,20),tblDaily[WardCode],"FW")=0,"",SUMIFS(tblDaily[Deaths],tblDaily[EntryDate],DATE(2026,12,20),tblDaily[WardCode],"FW")),"")</f>
        <v/>
      </c>
      <c r="E455" s="5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5" t="str">
        <f>IFERROR(IF(SUMIFS(tblDaily[TransfersIn],tblDaily[EntryDate],DATE(2026,12,20),tblDaily[WardCode],"FW")=0,"",SUMIFS(tblDaily[TransfersIn],tblDaily[EntryDate],DATE(2026,12,20),tblDaily[WardCode],"FW")),"")</f>
        <v/>
      </c>
      <c r="G455" s="5" t="str">
        <f>IFERROR(IF(SUMIFS(tblDaily[TransfersOut],tblDaily[EntryDate],DATE(2026,12,20),tblDaily[WardCode],"FW")=0,"",SUMIFS(tblDaily[TransfersOut],tblDaily[EntryDate],DATE(2026,12,20),tblDaily[WardCode],"FW")),"")</f>
        <v/>
      </c>
      <c r="H455" s="5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IFERROR(IF(SUMIFS(tblDaily[Admissions],tblDaily[EntryDate],DATE(2026,12,21),tblDaily[WardCode],"FW")=0,"",SUMIFS(tblDaily[Admissions],tblDaily[EntryDate],DATE(2026,12,21),tblDaily[WardCode],"FW")),"")</f>
        <v/>
      </c>
      <c r="C456" s="5" t="str">
        <f>IFERROR(IF(SUMIFS(tblDaily[Discharges],tblDaily[EntryDate],DATE(2026,12,21),tblDaily[WardCode],"FW")=0,"",SUMIFS(tblDaily[Discharges],tblDaily[EntryDate],DATE(2026,12,21),tblDaily[WardCode],"FW")),"")</f>
        <v/>
      </c>
      <c r="D456" s="5" t="str">
        <f>IFERROR(IF(SUMIFS(tblDaily[Deaths],tblDaily[EntryDate],DATE(2026,12,21),tblDaily[WardCode],"FW")=0,"",SUMIFS(tblDaily[Deaths],tblDaily[EntryDate],DATE(2026,12,21),tblDaily[WardCode],"FW")),"")</f>
        <v/>
      </c>
      <c r="E456" s="5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5" t="str">
        <f>IFERROR(IF(SUMIFS(tblDaily[TransfersIn],tblDaily[EntryDate],DATE(2026,12,21),tblDaily[WardCode],"FW")=0,"",SUMIFS(tblDaily[TransfersIn],tblDaily[EntryDate],DATE(2026,12,21),tblDaily[WardCode],"FW")),"")</f>
        <v/>
      </c>
      <c r="G456" s="5" t="str">
        <f>IFERROR(IF(SUMIFS(tblDaily[TransfersOut],tblDaily[EntryDate],DATE(2026,12,21),tblDaily[WardCode],"FW")=0,"",SUMIFS(tblDaily[TransfersOut],tblDaily[EntryDate],DATE(2026,12,21),tblDaily[WardCode],"FW")),"")</f>
        <v/>
      </c>
      <c r="H456" s="5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IFERROR(IF(SUMIFS(tblDaily[Admissions],tblDaily[EntryDate],DATE(2026,12,22),tblDaily[WardCode],"FW")=0,"",SUMIFS(tblDaily[Admissions],tblDaily[EntryDate],DATE(2026,12,22),tblDaily[WardCode],"FW")),"")</f>
        <v/>
      </c>
      <c r="C457" s="5" t="str">
        <f>IFERROR(IF(SUMIFS(tblDaily[Discharges],tblDaily[EntryDate],DATE(2026,12,22),tblDaily[WardCode],"FW")=0,"",SUMIFS(tblDaily[Discharges],tblDaily[EntryDate],DATE(2026,12,22),tblDaily[WardCode],"FW")),"")</f>
        <v/>
      </c>
      <c r="D457" s="5" t="str">
        <f>IFERROR(IF(SUMIFS(tblDaily[Deaths],tblDaily[EntryDate],DATE(2026,12,22),tblDaily[WardCode],"FW")=0,"",SUMIFS(tblDaily[Deaths],tblDaily[EntryDate],DATE(2026,12,22),tblDaily[WardCode],"FW")),"")</f>
        <v/>
      </c>
      <c r="E457" s="5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5" t="str">
        <f>IFERROR(IF(SUMIFS(tblDaily[TransfersIn],tblDaily[EntryDate],DATE(2026,12,22),tblDaily[WardCode],"FW")=0,"",SUMIFS(tblDaily[TransfersIn],tblDaily[EntryDate],DATE(2026,12,22),tblDaily[WardCode],"FW")),"")</f>
        <v/>
      </c>
      <c r="G457" s="5" t="str">
        <f>IFERROR(IF(SUMIFS(tblDaily[TransfersOut],tblDaily[EntryDate],DATE(2026,12,22),tblDaily[WardCode],"FW")=0,"",SUMIFS(tblDaily[TransfersOut],tblDaily[EntryDate],DATE(2026,12,22),tblDaily[WardCode],"FW")),"")</f>
        <v/>
      </c>
      <c r="H457" s="5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IFERROR(IF(SUMIFS(tblDaily[Admissions],tblDaily[EntryDate],DATE(2026,12,23),tblDaily[WardCode],"FW")=0,"",SUMIFS(tblDaily[Admissions],tblDaily[EntryDate],DATE(2026,12,23),tblDaily[WardCode],"FW")),"")</f>
        <v/>
      </c>
      <c r="C458" s="5" t="str">
        <f>IFERROR(IF(SUMIFS(tblDaily[Discharges],tblDaily[EntryDate],DATE(2026,12,23),tblDaily[WardCode],"FW")=0,"",SUMIFS(tblDaily[Discharges],tblDaily[EntryDate],DATE(2026,12,23),tblDaily[WardCode],"FW")),"")</f>
        <v/>
      </c>
      <c r="D458" s="5" t="str">
        <f>IFERROR(IF(SUMIFS(tblDaily[Deaths],tblDaily[EntryDate],DATE(2026,12,23),tblDaily[WardCode],"FW")=0,"",SUMIFS(tblDaily[Deaths],tblDaily[EntryDate],DATE(2026,12,23),tblDaily[WardCode],"FW")),"")</f>
        <v/>
      </c>
      <c r="E458" s="5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5" t="str">
        <f>IFERROR(IF(SUMIFS(tblDaily[TransfersIn],tblDaily[EntryDate],DATE(2026,12,23),tblDaily[WardCode],"FW")=0,"",SUMIFS(tblDaily[TransfersIn],tblDaily[EntryDate],DATE(2026,12,23),tblDaily[WardCode],"FW")),"")</f>
        <v/>
      </c>
      <c r="G458" s="5" t="str">
        <f>IFERROR(IF(SUMIFS(tblDaily[TransfersOut],tblDaily[EntryDate],DATE(2026,12,23),tblDaily[WardCode],"FW")=0,"",SUMIFS(tblDaily[TransfersOut],tblDaily[EntryDate],DATE(2026,12,23),tblDaily[WardCode],"FW")),"")</f>
        <v/>
      </c>
      <c r="H458" s="5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IFERROR(IF(SUMIFS(tblDaily[Admissions],tblDaily[EntryDate],DATE(2026,12,24),tblDaily[WardCode],"FW")=0,"",SUMIFS(tblDaily[Admissions],tblDaily[EntryDate],DATE(2026,12,24),tblDaily[WardCode],"FW")),"")</f>
        <v/>
      </c>
      <c r="C459" s="5" t="str">
        <f>IFERROR(IF(SUMIFS(tblDaily[Discharges],tblDaily[EntryDate],DATE(2026,12,24),tblDaily[WardCode],"FW")=0,"",SUMIFS(tblDaily[Discharges],tblDaily[EntryDate],DATE(2026,12,24),tblDaily[WardCode],"FW")),"")</f>
        <v/>
      </c>
      <c r="D459" s="5" t="str">
        <f>IFERROR(IF(SUMIFS(tblDaily[Deaths],tblDaily[EntryDate],DATE(2026,12,24),tblDaily[WardCode],"FW")=0,"",SUMIFS(tblDaily[Deaths],tblDaily[EntryDate],DATE(2026,12,24),tblDaily[WardCode],"FW")),"")</f>
        <v/>
      </c>
      <c r="E459" s="5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5" t="str">
        <f>IFERROR(IF(SUMIFS(tblDaily[TransfersIn],tblDaily[EntryDate],DATE(2026,12,24),tblDaily[WardCode],"FW")=0,"",SUMIFS(tblDaily[TransfersIn],tblDaily[EntryDate],DATE(2026,12,24),tblDaily[WardCode],"FW")),"")</f>
        <v/>
      </c>
      <c r="G459" s="5" t="str">
        <f>IFERROR(IF(SUMIFS(tblDaily[TransfersOut],tblDaily[EntryDate],DATE(2026,12,24),tblDaily[WardCode],"FW")=0,"",SUMIFS(tblDaily[TransfersOut],tblDaily[EntryDate],DATE(2026,12,24),tblDaily[WardCode],"FW")),"")</f>
        <v/>
      </c>
      <c r="H459" s="5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IFERROR(IF(SUMIFS(tblDaily[Admissions],tblDaily[EntryDate],DATE(2026,12,25),tblDaily[WardCode],"FW")=0,"",SUMIFS(tblDaily[Admissions],tblDaily[EntryDate],DATE(2026,12,25),tblDaily[WardCode],"FW")),"")</f>
        <v/>
      </c>
      <c r="C460" s="5" t="str">
        <f>IFERROR(IF(SUMIFS(tblDaily[Discharges],tblDaily[EntryDate],DATE(2026,12,25),tblDaily[WardCode],"FW")=0,"",SUMIFS(tblDaily[Discharges],tblDaily[EntryDate],DATE(2026,12,25),tblDaily[WardCode],"FW")),"")</f>
        <v/>
      </c>
      <c r="D460" s="5" t="str">
        <f>IFERROR(IF(SUMIFS(tblDaily[Deaths],tblDaily[EntryDate],DATE(2026,12,25),tblDaily[WardCode],"FW")=0,"",SUMIFS(tblDaily[Deaths],tblDaily[EntryDate],DATE(2026,12,25),tblDaily[WardCode],"FW")),"")</f>
        <v/>
      </c>
      <c r="E460" s="5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5" t="str">
        <f>IFERROR(IF(SUMIFS(tblDaily[TransfersIn],tblDaily[EntryDate],DATE(2026,12,25),tblDaily[WardCode],"FW")=0,"",SUMIFS(tblDaily[TransfersIn],tblDaily[EntryDate],DATE(2026,12,25),tblDaily[WardCode],"FW")),"")</f>
        <v/>
      </c>
      <c r="G460" s="5" t="str">
        <f>IFERROR(IF(SUMIFS(tblDaily[TransfersOut],tblDaily[EntryDate],DATE(2026,12,25),tblDaily[WardCode],"FW")=0,"",SUMIFS(tblDaily[TransfersOut],tblDaily[EntryDate],DATE(2026,12,25),tblDaily[WardCode],"FW")),"")</f>
        <v/>
      </c>
      <c r="H460" s="5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IFERROR(IF(SUMIFS(tblDaily[Admissions],tblDaily[EntryDate],DATE(2026,12,26),tblDaily[WardCode],"FW")=0,"",SUMIFS(tblDaily[Admissions],tblDaily[EntryDate],DATE(2026,12,26),tblDaily[WardCode],"FW")),"")</f>
        <v/>
      </c>
      <c r="C461" s="5" t="str">
        <f>IFERROR(IF(SUMIFS(tblDaily[Discharges],tblDaily[EntryDate],DATE(2026,12,26),tblDaily[WardCode],"FW")=0,"",SUMIFS(tblDaily[Discharges],tblDaily[EntryDate],DATE(2026,12,26),tblDaily[WardCode],"FW")),"")</f>
        <v/>
      </c>
      <c r="D461" s="5" t="str">
        <f>IFERROR(IF(SUMIFS(tblDaily[Deaths],tblDaily[EntryDate],DATE(2026,12,26),tblDaily[WardCode],"FW")=0,"",SUMIFS(tblDaily[Deaths],tblDaily[EntryDate],DATE(2026,12,26),tblDaily[WardCode],"FW")),"")</f>
        <v/>
      </c>
      <c r="E461" s="5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5" t="str">
        <f>IFERROR(IF(SUMIFS(tblDaily[TransfersIn],tblDaily[EntryDate],DATE(2026,12,26),tblDaily[WardCode],"FW")=0,"",SUMIFS(tblDaily[TransfersIn],tblDaily[EntryDate],DATE(2026,12,26),tblDaily[WardCode],"FW")),"")</f>
        <v/>
      </c>
      <c r="G461" s="5" t="str">
        <f>IFERROR(IF(SUMIFS(tblDaily[TransfersOut],tblDaily[EntryDate],DATE(2026,12,26),tblDaily[WardCode],"FW")=0,"",SUMIFS(tblDaily[TransfersOut],tblDaily[EntryDate],DATE(2026,12,26),tblDaily[WardCode],"FW")),"")</f>
        <v/>
      </c>
      <c r="H461" s="5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IFERROR(IF(SUMIFS(tblDaily[Admissions],tblDaily[EntryDate],DATE(2026,12,27),tblDaily[WardCode],"FW")=0,"",SUMIFS(tblDaily[Admissions],tblDaily[EntryDate],DATE(2026,12,27),tblDaily[WardCode],"FW")),"")</f>
        <v/>
      </c>
      <c r="C462" s="5" t="str">
        <f>IFERROR(IF(SUMIFS(tblDaily[Discharges],tblDaily[EntryDate],DATE(2026,12,27),tblDaily[WardCode],"FW")=0,"",SUMIFS(tblDaily[Discharges],tblDaily[EntryDate],DATE(2026,12,27),tblDaily[WardCode],"FW")),"")</f>
        <v/>
      </c>
      <c r="D462" s="5" t="str">
        <f>IFERROR(IF(SUMIFS(tblDaily[Deaths],tblDaily[EntryDate],DATE(2026,12,27),tblDaily[WardCode],"FW")=0,"",SUMIFS(tblDaily[Deaths],tblDaily[EntryDate],DATE(2026,12,27),tblDaily[WardCode],"FW")),"")</f>
        <v/>
      </c>
      <c r="E462" s="5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5" t="str">
        <f>IFERROR(IF(SUMIFS(tblDaily[TransfersIn],tblDaily[EntryDate],DATE(2026,12,27),tblDaily[WardCode],"FW")=0,"",SUMIFS(tblDaily[TransfersIn],tblDaily[EntryDate],DATE(2026,12,27),tblDaily[WardCode],"FW")),"")</f>
        <v/>
      </c>
      <c r="G462" s="5" t="str">
        <f>IFERROR(IF(SUMIFS(tblDaily[TransfersOut],tblDaily[EntryDate],DATE(2026,12,27),tblDaily[WardCode],"FW")=0,"",SUMIFS(tblDaily[TransfersOut],tblDaily[EntryDate],DATE(2026,12,27),tblDaily[WardCode],"FW")),"")</f>
        <v/>
      </c>
      <c r="H462" s="5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IFERROR(IF(SUMIFS(tblDaily[Admissions],tblDaily[EntryDate],DATE(2026,12,28),tblDaily[WardCode],"FW")=0,"",SUMIFS(tblDaily[Admissions],tblDaily[EntryDate],DATE(2026,12,28),tblDaily[WardCode],"FW")),"")</f>
        <v/>
      </c>
      <c r="C463" s="5" t="str">
        <f>IFERROR(IF(SUMIFS(tblDaily[Discharges],tblDaily[EntryDate],DATE(2026,12,28),tblDaily[WardCode],"FW")=0,"",SUMIFS(tblDaily[Discharges],tblDaily[EntryDate],DATE(2026,12,28),tblDaily[WardCode],"FW")),"")</f>
        <v/>
      </c>
      <c r="D463" s="5" t="str">
        <f>IFERROR(IF(SUMIFS(tblDaily[Deaths],tblDaily[EntryDate],DATE(2026,12,28),tblDaily[WardCode],"FW")=0,"",SUMIFS(tblDaily[Deaths],tblDaily[EntryDate],DATE(2026,12,28),tblDaily[WardCode],"FW")),"")</f>
        <v/>
      </c>
      <c r="E463" s="5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5" t="str">
        <f>IFERROR(IF(SUMIFS(tblDaily[TransfersIn],tblDaily[EntryDate],DATE(2026,12,28),tblDaily[WardCode],"FW")=0,"",SUMIFS(tblDaily[TransfersIn],tblDaily[EntryDate],DATE(2026,12,28),tblDaily[WardCode],"FW")),"")</f>
        <v/>
      </c>
      <c r="G463" s="5" t="str">
        <f>IFERROR(IF(SUMIFS(tblDaily[TransfersOut],tblDaily[EntryDate],DATE(2026,12,28),tblDaily[WardCode],"FW")=0,"",SUMIFS(tblDaily[TransfersOut],tblDaily[EntryDate],DATE(2026,12,28),tblDaily[WardCode],"FW")),"")</f>
        <v/>
      </c>
      <c r="H463" s="5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IFERROR(IF(SUMIFS(tblDaily[Admissions],tblDaily[EntryDate],DATE(2026,12,29),tblDaily[WardCode],"FW")=0,"",SUMIFS(tblDaily[Admissions],tblDaily[EntryDate],DATE(2026,12,29),tblDaily[WardCode],"FW")),"")</f>
        <v/>
      </c>
      <c r="C464" s="5" t="str">
        <f>IFERROR(IF(SUMIFS(tblDaily[Discharges],tblDaily[EntryDate],DATE(2026,12,29),tblDaily[WardCode],"FW")=0,"",SUMIFS(tblDaily[Discharges],tblDaily[EntryDate],DATE(2026,12,29),tblDaily[WardCode],"FW")),"")</f>
        <v/>
      </c>
      <c r="D464" s="5" t="str">
        <f>IFERROR(IF(SUMIFS(tblDaily[Deaths],tblDaily[EntryDate],DATE(2026,12,29),tblDaily[WardCode],"FW")=0,"",SUMIFS(tblDaily[Deaths],tblDaily[EntryDate],DATE(2026,12,29),tblDaily[WardCode],"FW")),"")</f>
        <v/>
      </c>
      <c r="E464" s="5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5" t="str">
        <f>IFERROR(IF(SUMIFS(tblDaily[TransfersIn],tblDaily[EntryDate],DATE(2026,12,29),tblDaily[WardCode],"FW")=0,"",SUMIFS(tblDaily[TransfersIn],tblDaily[EntryDate],DATE(2026,12,29),tblDaily[WardCode],"FW")),"")</f>
        <v/>
      </c>
      <c r="G464" s="5" t="str">
        <f>IFERROR(IF(SUMIFS(tblDaily[TransfersOut],tblDaily[EntryDate],DATE(2026,12,29),tblDaily[WardCode],"FW")=0,"",SUMIFS(tblDaily[TransfersOut],tblDaily[EntryDate],DATE(2026,12,29),tblDaily[WardCode],"FW")),"")</f>
        <v/>
      </c>
      <c r="H464" s="5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IFERROR(IF(SUMIFS(tblDaily[Admissions],tblDaily[EntryDate],DATE(2026,12,30),tblDaily[WardCode],"FW")=0,"",SUMIFS(tblDaily[Admissions],tblDaily[EntryDate],DATE(2026,12,30),tblDaily[WardCode],"FW")),"")</f>
        <v/>
      </c>
      <c r="C465" s="5" t="str">
        <f>IFERROR(IF(SUMIFS(tblDaily[Discharges],tblDaily[EntryDate],DATE(2026,12,30),tblDaily[WardCode],"FW")=0,"",SUMIFS(tblDaily[Discharges],tblDaily[EntryDate],DATE(2026,12,30),tblDaily[WardCode],"FW")),"")</f>
        <v/>
      </c>
      <c r="D465" s="5" t="str">
        <f>IFERROR(IF(SUMIFS(tblDaily[Deaths],tblDaily[EntryDate],DATE(2026,12,30),tblDaily[WardCode],"FW")=0,"",SUMIFS(tblDaily[Deaths],tblDaily[EntryDate],DATE(2026,12,30),tblDaily[WardCode],"FW")),"")</f>
        <v/>
      </c>
      <c r="E465" s="5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5" t="str">
        <f>IFERROR(IF(SUMIFS(tblDaily[TransfersIn],tblDaily[EntryDate],DATE(2026,12,30),tblDaily[WardCode],"FW")=0,"",SUMIFS(tblDaily[TransfersIn],tblDaily[EntryDate],DATE(2026,12,30),tblDaily[WardCode],"FW")),"")</f>
        <v/>
      </c>
      <c r="G465" s="5" t="str">
        <f>IFERROR(IF(SUMIFS(tblDaily[TransfersOut],tblDaily[EntryDate],DATE(2026,12,30),tblDaily[WardCode],"FW")=0,"",SUMIFS(tblDaily[TransfersOut],tblDaily[EntryDate],DATE(2026,12,30),tblDaily[WardCode],"FW")),"")</f>
        <v/>
      </c>
      <c r="H465" s="5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IFERROR(IF(SUMIFS(tblDaily[Admissions],tblDaily[EntryDate],DATE(2026,12,31),tblDaily[WardCode],"FW")=0,"",SUMIFS(tblDaily[Admissions],tblDaily[EntryDate],DATE(2026,12,31),tblDaily[WardCode],"FW")),"")</f>
        <v/>
      </c>
      <c r="C466" s="5" t="str">
        <f>IFERROR(IF(SUMIFS(tblDaily[Discharges],tblDaily[EntryDate],DATE(2026,12,31),tblDaily[WardCode],"FW")=0,"",SUMIFS(tblDaily[Discharges],tblDaily[EntryDate],DATE(2026,12,31),tblDaily[WardCode],"FW")),"")</f>
        <v/>
      </c>
      <c r="D466" s="5" t="str">
        <f>IFERROR(IF(SUMIFS(tblDaily[Deaths],tblDaily[EntryDate],DATE(2026,12,31),tblDaily[WardCode],"FW")=0,"",SUMIFS(tblDaily[Deaths],tblDaily[EntryDate],DATE(2026,12,31),tblDaily[WardCode],"FW")),"")</f>
        <v/>
      </c>
      <c r="E466" s="5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5" t="str">
        <f>IFERROR(IF(SUMIFS(tblDaily[TransfersIn],tblDaily[EntryDate],DATE(2026,12,31),tblDaily[WardCode],"FW")=0,"",SUMIFS(tblDaily[TransfersIn],tblDaily[EntryDate],DATE(2026,12,31),tblDaily[WardCode],"FW")),"")</f>
        <v/>
      </c>
      <c r="G466" s="5" t="str">
        <f>IFERROR(IF(SUMIFS(tblDaily[TransfersOut],tblDaily[EntryDate],DATE(2026,12,31),tblDaily[WardCode],"FW")=0,"",SUMIFS(tblDaily[TransfersOut],tblDaily[EntryDate],DATE(2026,12,31),tblDaily[WardCode],"FW")),"")</f>
        <v/>
      </c>
      <c r="H466" s="5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95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97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IFERROR(INDEX(tblWardConfig[PrevYearRemaining],MATCH("CW",tblWardConfig[WardCode],0)),0)</f>
        <v>0</v>
      </c>
    </row>
    <row r="5" spans="1:8" x14ac:dyDescent="0.25">
      <c r="A5" s="1" t="s">
        <v>89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IFERROR(IF(SUMIFS(tblDaily[Admissions],tblDaily[EntryDate],DATE(2026,1,1),tblDaily[WardCode],"CW")=0,"",SUMIFS(tblDaily[Admissions],tblDaily[EntryDate],DATE(2026,1,1),tblDaily[WardCode],"CW")),"")</f>
        <v/>
      </c>
      <c r="C7" s="5" t="str">
        <f>IFERROR(IF(SUMIFS(tblDaily[Discharges],tblDaily[EntryDate],DATE(2026,1,1),tblDaily[WardCode],"CW")=0,"",SUMIFS(tblDaily[Discharges],tblDaily[EntryDate],DATE(2026,1,1),tblDaily[WardCode],"CW")),"")</f>
        <v/>
      </c>
      <c r="D7" s="5" t="str">
        <f>IFERROR(IF(SUMIFS(tblDaily[Deaths],tblDaily[EntryDate],DATE(2026,1,1),tblDaily[WardCode],"CW")=0,"",SUMIFS(tblDaily[Deaths],tblDaily[EntryDate],DATE(2026,1,1),tblDaily[WardCode],"CW")),"")</f>
        <v/>
      </c>
      <c r="E7" s="5" t="str">
        <f>IFERROR(IF(SUMIFS(tblDaily[DeathsUnder24Hrs],tblDaily[EntryDate],DATE(2026,1,1),tblDaily[WardCode],"CW")=0,"",SUMIFS(tblDaily[DeathsUnder24Hrs],tblDaily[EntryDate],DATE(2026,1,1),tblDaily[WardCode],"CW")),"")</f>
        <v/>
      </c>
      <c r="F7" s="5" t="str">
        <f>IFERROR(IF(SUMIFS(tblDaily[TransfersIn],tblDaily[EntryDate],DATE(2026,1,1),tblDaily[WardCode],"CW")=0,"",SUMIFS(tblDaily[TransfersIn],tblDaily[EntryDate],DATE(2026,1,1),tblDaily[WardCode],"CW")),"")</f>
        <v/>
      </c>
      <c r="G7" s="5" t="str">
        <f>IFERROR(IF(SUMIFS(tblDaily[TransfersOut],tblDaily[EntryDate],DATE(2026,1,1),tblDaily[WardCode],"CW")=0,"",SUMIFS(tblDaily[TransfersOut],tblDaily[EntryDate],DATE(2026,1,1),tblDaily[WardCode],"CW")),"")</f>
        <v/>
      </c>
      <c r="H7" s="5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IFERROR(IF(SUMIFS(tblDaily[Admissions],tblDaily[EntryDate],DATE(2026,1,2),tblDaily[WardCode],"CW")=0,"",SUMIFS(tblDaily[Admissions],tblDaily[EntryDate],DATE(2026,1,2),tblDaily[WardCode],"CW")),"")</f>
        <v/>
      </c>
      <c r="C8" s="5" t="str">
        <f>IFERROR(IF(SUMIFS(tblDaily[Discharges],tblDaily[EntryDate],DATE(2026,1,2),tblDaily[WardCode],"CW")=0,"",SUMIFS(tblDaily[Discharges],tblDaily[EntryDate],DATE(2026,1,2),tblDaily[WardCode],"CW")),"")</f>
        <v/>
      </c>
      <c r="D8" s="5" t="str">
        <f>IFERROR(IF(SUMIFS(tblDaily[Deaths],tblDaily[EntryDate],DATE(2026,1,2),tblDaily[WardCode],"CW")=0,"",SUMIFS(tblDaily[Deaths],tblDaily[EntryDate],DATE(2026,1,2),tblDaily[WardCode],"CW")),"")</f>
        <v/>
      </c>
      <c r="E8" s="5" t="str">
        <f>IFERROR(IF(SUMIFS(tblDaily[DeathsUnder24Hrs],tblDaily[EntryDate],DATE(2026,1,2),tblDaily[WardCode],"CW")=0,"",SUMIFS(tblDaily[DeathsUnder24Hrs],tblDaily[EntryDate],DATE(2026,1,2),tblDaily[WardCode],"CW")),"")</f>
        <v/>
      </c>
      <c r="F8" s="5" t="str">
        <f>IFERROR(IF(SUMIFS(tblDaily[TransfersIn],tblDaily[EntryDate],DATE(2026,1,2),tblDaily[WardCode],"CW")=0,"",SUMIFS(tblDaily[TransfersIn],tblDaily[EntryDate],DATE(2026,1,2),tblDaily[WardCode],"CW")),"")</f>
        <v/>
      </c>
      <c r="G8" s="5" t="str">
        <f>IFERROR(IF(SUMIFS(tblDaily[TransfersOut],tblDaily[EntryDate],DATE(2026,1,2),tblDaily[WardCode],"CW")=0,"",SUMIFS(tblDaily[TransfersOut],tblDaily[EntryDate],DATE(2026,1,2),tblDaily[WardCode],"CW")),"")</f>
        <v/>
      </c>
      <c r="H8" s="5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IFERROR(IF(SUMIFS(tblDaily[Admissions],tblDaily[EntryDate],DATE(2026,1,3),tblDaily[WardCode],"CW")=0,"",SUMIFS(tblDaily[Admissions],tblDaily[EntryDate],DATE(2026,1,3),tblDaily[WardCode],"CW")),"")</f>
        <v/>
      </c>
      <c r="C9" s="5" t="str">
        <f>IFERROR(IF(SUMIFS(tblDaily[Discharges],tblDaily[EntryDate],DATE(2026,1,3),tblDaily[WardCode],"CW")=0,"",SUMIFS(tblDaily[Discharges],tblDaily[EntryDate],DATE(2026,1,3),tblDaily[WardCode],"CW")),"")</f>
        <v/>
      </c>
      <c r="D9" s="5" t="str">
        <f>IFERROR(IF(SUMIFS(tblDaily[Deaths],tblDaily[EntryDate],DATE(2026,1,3),tblDaily[WardCode],"CW")=0,"",SUMIFS(tblDaily[Deaths],tblDaily[EntryDate],DATE(2026,1,3),tblDaily[WardCode],"CW")),"")</f>
        <v/>
      </c>
      <c r="E9" s="5" t="str">
        <f>IFERROR(IF(SUMIFS(tblDaily[DeathsUnder24Hrs],tblDaily[EntryDate],DATE(2026,1,3),tblDaily[WardCode],"CW")=0,"",SUMIFS(tblDaily[DeathsUnder24Hrs],tblDaily[EntryDate],DATE(2026,1,3),tblDaily[WardCode],"CW")),"")</f>
        <v/>
      </c>
      <c r="F9" s="5" t="str">
        <f>IFERROR(IF(SUMIFS(tblDaily[TransfersIn],tblDaily[EntryDate],DATE(2026,1,3),tblDaily[WardCode],"CW")=0,"",SUMIFS(tblDaily[TransfersIn],tblDaily[EntryDate],DATE(2026,1,3),tblDaily[WardCode],"CW")),"")</f>
        <v/>
      </c>
      <c r="G9" s="5" t="str">
        <f>IFERROR(IF(SUMIFS(tblDaily[TransfersOut],tblDaily[EntryDate],DATE(2026,1,3),tblDaily[WardCode],"CW")=0,"",SUMIFS(tblDaily[TransfersOut],tblDaily[EntryDate],DATE(2026,1,3),tblDaily[WardCode],"CW")),"")</f>
        <v/>
      </c>
      <c r="H9" s="5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IFERROR(IF(SUMIFS(tblDaily[Admissions],tblDaily[EntryDate],DATE(2026,1,4),tblDaily[WardCode],"CW")=0,"",SUMIFS(tblDaily[Admissions],tblDaily[EntryDate],DATE(2026,1,4),tblDaily[WardCode],"CW")),"")</f>
        <v/>
      </c>
      <c r="C10" s="5" t="str">
        <f>IFERROR(IF(SUMIFS(tblDaily[Discharges],tblDaily[EntryDate],DATE(2026,1,4),tblDaily[WardCode],"CW")=0,"",SUMIFS(tblDaily[Discharges],tblDaily[EntryDate],DATE(2026,1,4),tblDaily[WardCode],"CW")),"")</f>
        <v/>
      </c>
      <c r="D10" s="5" t="str">
        <f>IFERROR(IF(SUMIFS(tblDaily[Deaths],tblDaily[EntryDate],DATE(2026,1,4),tblDaily[WardCode],"CW")=0,"",SUMIFS(tblDaily[Deaths],tblDaily[EntryDate],DATE(2026,1,4),tblDaily[WardCode],"CW")),"")</f>
        <v/>
      </c>
      <c r="E10" s="5" t="str">
        <f>IFERROR(IF(SUMIFS(tblDaily[DeathsUnder24Hrs],tblDaily[EntryDate],DATE(2026,1,4),tblDaily[WardCode],"CW")=0,"",SUMIFS(tblDaily[DeathsUnder24Hrs],tblDaily[EntryDate],DATE(2026,1,4),tblDaily[WardCode],"CW")),"")</f>
        <v/>
      </c>
      <c r="F10" s="5" t="str">
        <f>IFERROR(IF(SUMIFS(tblDaily[TransfersIn],tblDaily[EntryDate],DATE(2026,1,4),tblDaily[WardCode],"CW")=0,"",SUMIFS(tblDaily[TransfersIn],tblDaily[EntryDate],DATE(2026,1,4),tblDaily[WardCode],"CW")),"")</f>
        <v/>
      </c>
      <c r="G10" s="5" t="str">
        <f>IFERROR(IF(SUMIFS(tblDaily[TransfersOut],tblDaily[EntryDate],DATE(2026,1,4),tblDaily[WardCode],"CW")=0,"",SUMIFS(tblDaily[TransfersOut],tblDaily[EntryDate],DATE(2026,1,4),tblDaily[WardCode],"CW")),"")</f>
        <v/>
      </c>
      <c r="H10" s="5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IFERROR(IF(SUMIFS(tblDaily[Admissions],tblDaily[EntryDate],DATE(2026,1,5),tblDaily[WardCode],"CW")=0,"",SUMIFS(tblDaily[Admissions],tblDaily[EntryDate],DATE(2026,1,5),tblDaily[WardCode],"CW")),"")</f>
        <v/>
      </c>
      <c r="C11" s="5" t="str">
        <f>IFERROR(IF(SUMIFS(tblDaily[Discharges],tblDaily[EntryDate],DATE(2026,1,5),tblDaily[WardCode],"CW")=0,"",SUMIFS(tblDaily[Discharges],tblDaily[EntryDate],DATE(2026,1,5),tblDaily[WardCode],"CW")),"")</f>
        <v/>
      </c>
      <c r="D11" s="5" t="str">
        <f>IFERROR(IF(SUMIFS(tblDaily[Deaths],tblDaily[EntryDate],DATE(2026,1,5),tblDaily[WardCode],"CW")=0,"",SUMIFS(tblDaily[Deaths],tblDaily[EntryDate],DATE(2026,1,5),tblDaily[WardCode],"CW")),"")</f>
        <v/>
      </c>
      <c r="E11" s="5" t="str">
        <f>IFERROR(IF(SUMIFS(tblDaily[DeathsUnder24Hrs],tblDaily[EntryDate],DATE(2026,1,5),tblDaily[WardCode],"CW")=0,"",SUMIFS(tblDaily[DeathsUnder24Hrs],tblDaily[EntryDate],DATE(2026,1,5),tblDaily[WardCode],"CW")),"")</f>
        <v/>
      </c>
      <c r="F11" s="5" t="str">
        <f>IFERROR(IF(SUMIFS(tblDaily[TransfersIn],tblDaily[EntryDate],DATE(2026,1,5),tblDaily[WardCode],"CW")=0,"",SUMIFS(tblDaily[TransfersIn],tblDaily[EntryDate],DATE(2026,1,5),tblDaily[WardCode],"CW")),"")</f>
        <v/>
      </c>
      <c r="G11" s="5" t="str">
        <f>IFERROR(IF(SUMIFS(tblDaily[TransfersOut],tblDaily[EntryDate],DATE(2026,1,5),tblDaily[WardCode],"CW")=0,"",SUMIFS(tblDaily[TransfersOut],tblDaily[EntryDate],DATE(2026,1,5),tblDaily[WardCode],"CW")),"")</f>
        <v/>
      </c>
      <c r="H11" s="5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IFERROR(IF(SUMIFS(tblDaily[Admissions],tblDaily[EntryDate],DATE(2026,1,6),tblDaily[WardCode],"CW")=0,"",SUMIFS(tblDaily[Admissions],tblDaily[EntryDate],DATE(2026,1,6),tblDaily[WardCode],"CW")),"")</f>
        <v/>
      </c>
      <c r="C12" s="5" t="str">
        <f>IFERROR(IF(SUMIFS(tblDaily[Discharges],tblDaily[EntryDate],DATE(2026,1,6),tblDaily[WardCode],"CW")=0,"",SUMIFS(tblDaily[Discharges],tblDaily[EntryDate],DATE(2026,1,6),tblDaily[WardCode],"CW")),"")</f>
        <v/>
      </c>
      <c r="D12" s="5" t="str">
        <f>IFERROR(IF(SUMIFS(tblDaily[Deaths],tblDaily[EntryDate],DATE(2026,1,6),tblDaily[WardCode],"CW")=0,"",SUMIFS(tblDaily[Deaths],tblDaily[EntryDate],DATE(2026,1,6),tblDaily[WardCode],"CW")),"")</f>
        <v/>
      </c>
      <c r="E12" s="5" t="str">
        <f>IFERROR(IF(SUMIFS(tblDaily[DeathsUnder24Hrs],tblDaily[EntryDate],DATE(2026,1,6),tblDaily[WardCode],"CW")=0,"",SUMIFS(tblDaily[DeathsUnder24Hrs],tblDaily[EntryDate],DATE(2026,1,6),tblDaily[WardCode],"CW")),"")</f>
        <v/>
      </c>
      <c r="F12" s="5" t="str">
        <f>IFERROR(IF(SUMIFS(tblDaily[TransfersIn],tblDaily[EntryDate],DATE(2026,1,6),tblDaily[WardCode],"CW")=0,"",SUMIFS(tblDaily[TransfersIn],tblDaily[EntryDate],DATE(2026,1,6),tblDaily[WardCode],"CW")),"")</f>
        <v/>
      </c>
      <c r="G12" s="5" t="str">
        <f>IFERROR(IF(SUMIFS(tblDaily[TransfersOut],tblDaily[EntryDate],DATE(2026,1,6),tblDaily[WardCode],"CW")=0,"",SUMIFS(tblDaily[TransfersOut],tblDaily[EntryDate],DATE(2026,1,6),tblDaily[WardCode],"CW")),"")</f>
        <v/>
      </c>
      <c r="H12" s="5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IFERROR(IF(SUMIFS(tblDaily[Admissions],tblDaily[EntryDate],DATE(2026,1,7),tblDaily[WardCode],"CW")=0,"",SUMIFS(tblDaily[Admissions],tblDaily[EntryDate],DATE(2026,1,7),tblDaily[WardCode],"CW")),"")</f>
        <v/>
      </c>
      <c r="C13" s="5" t="str">
        <f>IFERROR(IF(SUMIFS(tblDaily[Discharges],tblDaily[EntryDate],DATE(2026,1,7),tblDaily[WardCode],"CW")=0,"",SUMIFS(tblDaily[Discharges],tblDaily[EntryDate],DATE(2026,1,7),tblDaily[WardCode],"CW")),"")</f>
        <v/>
      </c>
      <c r="D13" s="5" t="str">
        <f>IFERROR(IF(SUMIFS(tblDaily[Deaths],tblDaily[EntryDate],DATE(2026,1,7),tblDaily[WardCode],"CW")=0,"",SUMIFS(tblDaily[Deaths],tblDaily[EntryDate],DATE(2026,1,7),tblDaily[WardCode],"CW")),"")</f>
        <v/>
      </c>
      <c r="E13" s="5" t="str">
        <f>IFERROR(IF(SUMIFS(tblDaily[DeathsUnder24Hrs],tblDaily[EntryDate],DATE(2026,1,7),tblDaily[WardCode],"CW")=0,"",SUMIFS(tblDaily[DeathsUnder24Hrs],tblDaily[EntryDate],DATE(2026,1,7),tblDaily[WardCode],"CW")),"")</f>
        <v/>
      </c>
      <c r="F13" s="5" t="str">
        <f>IFERROR(IF(SUMIFS(tblDaily[TransfersIn],tblDaily[EntryDate],DATE(2026,1,7),tblDaily[WardCode],"CW")=0,"",SUMIFS(tblDaily[TransfersIn],tblDaily[EntryDate],DATE(2026,1,7),tblDaily[WardCode],"CW")),"")</f>
        <v/>
      </c>
      <c r="G13" s="5" t="str">
        <f>IFERROR(IF(SUMIFS(tblDaily[TransfersOut],tblDaily[EntryDate],DATE(2026,1,7),tblDaily[WardCode],"CW")=0,"",SUMIFS(tblDaily[TransfersOut],tblDaily[EntryDate],DATE(2026,1,7),tblDaily[WardCode],"CW")),"")</f>
        <v/>
      </c>
      <c r="H13" s="5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IFERROR(IF(SUMIFS(tblDaily[Admissions],tblDaily[EntryDate],DATE(2026,1,8),tblDaily[WardCode],"CW")=0,"",SUMIFS(tblDaily[Admissions],tblDaily[EntryDate],DATE(2026,1,8),tblDaily[WardCode],"CW")),"")</f>
        <v/>
      </c>
      <c r="C14" s="5" t="str">
        <f>IFERROR(IF(SUMIFS(tblDaily[Discharges],tblDaily[EntryDate],DATE(2026,1,8),tblDaily[WardCode],"CW")=0,"",SUMIFS(tblDaily[Discharges],tblDaily[EntryDate],DATE(2026,1,8),tblDaily[WardCode],"CW")),"")</f>
        <v/>
      </c>
      <c r="D14" s="5" t="str">
        <f>IFERROR(IF(SUMIFS(tblDaily[Deaths],tblDaily[EntryDate],DATE(2026,1,8),tblDaily[WardCode],"CW")=0,"",SUMIFS(tblDaily[Deaths],tblDaily[EntryDate],DATE(2026,1,8),tblDaily[WardCode],"CW")),"")</f>
        <v/>
      </c>
      <c r="E14" s="5" t="str">
        <f>IFERROR(IF(SUMIFS(tblDaily[DeathsUnder24Hrs],tblDaily[EntryDate],DATE(2026,1,8),tblDaily[WardCode],"CW")=0,"",SUMIFS(tblDaily[DeathsUnder24Hrs],tblDaily[EntryDate],DATE(2026,1,8),tblDaily[WardCode],"CW")),"")</f>
        <v/>
      </c>
      <c r="F14" s="5" t="str">
        <f>IFERROR(IF(SUMIFS(tblDaily[TransfersIn],tblDaily[EntryDate],DATE(2026,1,8),tblDaily[WardCode],"CW")=0,"",SUMIFS(tblDaily[TransfersIn],tblDaily[EntryDate],DATE(2026,1,8),tblDaily[WardCode],"CW")),"")</f>
        <v/>
      </c>
      <c r="G14" s="5" t="str">
        <f>IFERROR(IF(SUMIFS(tblDaily[TransfersOut],tblDaily[EntryDate],DATE(2026,1,8),tblDaily[WardCode],"CW")=0,"",SUMIFS(tblDaily[TransfersOut],tblDaily[EntryDate],DATE(2026,1,8),tblDaily[WardCode],"CW")),"")</f>
        <v/>
      </c>
      <c r="H14" s="5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IFERROR(IF(SUMIFS(tblDaily[Admissions],tblDaily[EntryDate],DATE(2026,1,9),tblDaily[WardCode],"CW")=0,"",SUMIFS(tblDaily[Admissions],tblDaily[EntryDate],DATE(2026,1,9),tblDaily[WardCode],"CW")),"")</f>
        <v/>
      </c>
      <c r="C15" s="5" t="str">
        <f>IFERROR(IF(SUMIFS(tblDaily[Discharges],tblDaily[EntryDate],DATE(2026,1,9),tblDaily[WardCode],"CW")=0,"",SUMIFS(tblDaily[Discharges],tblDaily[EntryDate],DATE(2026,1,9),tblDaily[WardCode],"CW")),"")</f>
        <v/>
      </c>
      <c r="D15" s="5" t="str">
        <f>IFERROR(IF(SUMIFS(tblDaily[Deaths],tblDaily[EntryDate],DATE(2026,1,9),tblDaily[WardCode],"CW")=0,"",SUMIFS(tblDaily[Deaths],tblDaily[EntryDate],DATE(2026,1,9),tblDaily[WardCode],"CW")),"")</f>
        <v/>
      </c>
      <c r="E15" s="5" t="str">
        <f>IFERROR(IF(SUMIFS(tblDaily[DeathsUnder24Hrs],tblDaily[EntryDate],DATE(2026,1,9),tblDaily[WardCode],"CW")=0,"",SUMIFS(tblDaily[DeathsUnder24Hrs],tblDaily[EntryDate],DATE(2026,1,9),tblDaily[WardCode],"CW")),"")</f>
        <v/>
      </c>
      <c r="F15" s="5" t="str">
        <f>IFERROR(IF(SUMIFS(tblDaily[TransfersIn],tblDaily[EntryDate],DATE(2026,1,9),tblDaily[WardCode],"CW")=0,"",SUMIFS(tblDaily[TransfersIn],tblDaily[EntryDate],DATE(2026,1,9),tblDaily[WardCode],"CW")),"")</f>
        <v/>
      </c>
      <c r="G15" s="5" t="str">
        <f>IFERROR(IF(SUMIFS(tblDaily[TransfersOut],tblDaily[EntryDate],DATE(2026,1,9),tblDaily[WardCode],"CW")=0,"",SUMIFS(tblDaily[TransfersOut],tblDaily[EntryDate],DATE(2026,1,9),tblDaily[WardCode],"CW")),"")</f>
        <v/>
      </c>
      <c r="H15" s="5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IFERROR(IF(SUMIFS(tblDaily[Admissions],tblDaily[EntryDate],DATE(2026,1,10),tblDaily[WardCode],"CW")=0,"",SUMIFS(tblDaily[Admissions],tblDaily[EntryDate],DATE(2026,1,10),tblDaily[WardCode],"CW")),"")</f>
        <v/>
      </c>
      <c r="C16" s="5" t="str">
        <f>IFERROR(IF(SUMIFS(tblDaily[Discharges],tblDaily[EntryDate],DATE(2026,1,10),tblDaily[WardCode],"CW")=0,"",SUMIFS(tblDaily[Discharges],tblDaily[EntryDate],DATE(2026,1,10),tblDaily[WardCode],"CW")),"")</f>
        <v/>
      </c>
      <c r="D16" s="5" t="str">
        <f>IFERROR(IF(SUMIFS(tblDaily[Deaths],tblDaily[EntryDate],DATE(2026,1,10),tblDaily[WardCode],"CW")=0,"",SUMIFS(tblDaily[Deaths],tblDaily[EntryDate],DATE(2026,1,10),tblDaily[WardCode],"CW")),"")</f>
        <v/>
      </c>
      <c r="E16" s="5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5" t="str">
        <f>IFERROR(IF(SUMIFS(tblDaily[TransfersIn],tblDaily[EntryDate],DATE(2026,1,10),tblDaily[WardCode],"CW")=0,"",SUMIFS(tblDaily[TransfersIn],tblDaily[EntryDate],DATE(2026,1,10),tblDaily[WardCode],"CW")),"")</f>
        <v/>
      </c>
      <c r="G16" s="5" t="str">
        <f>IFERROR(IF(SUMIFS(tblDaily[TransfersOut],tblDaily[EntryDate],DATE(2026,1,10),tblDaily[WardCode],"CW")=0,"",SUMIFS(tblDaily[TransfersOut],tblDaily[EntryDate],DATE(2026,1,10),tblDaily[WardCode],"CW")),"")</f>
        <v/>
      </c>
      <c r="H16" s="5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IFERROR(IF(SUMIFS(tblDaily[Admissions],tblDaily[EntryDate],DATE(2026,1,11),tblDaily[WardCode],"CW")=0,"",SUMIFS(tblDaily[Admissions],tblDaily[EntryDate],DATE(2026,1,11),tblDaily[WardCode],"CW")),"")</f>
        <v/>
      </c>
      <c r="C17" s="5" t="str">
        <f>IFERROR(IF(SUMIFS(tblDaily[Discharges],tblDaily[EntryDate],DATE(2026,1,11),tblDaily[WardCode],"CW")=0,"",SUMIFS(tblDaily[Discharges],tblDaily[EntryDate],DATE(2026,1,11),tblDaily[WardCode],"CW")),"")</f>
        <v/>
      </c>
      <c r="D17" s="5" t="str">
        <f>IFERROR(IF(SUMIFS(tblDaily[Deaths],tblDaily[EntryDate],DATE(2026,1,11),tblDaily[WardCode],"CW")=0,"",SUMIFS(tblDaily[Deaths],tblDaily[EntryDate],DATE(2026,1,11),tblDaily[WardCode],"CW")),"")</f>
        <v/>
      </c>
      <c r="E17" s="5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5" t="str">
        <f>IFERROR(IF(SUMIFS(tblDaily[TransfersIn],tblDaily[EntryDate],DATE(2026,1,11),tblDaily[WardCode],"CW")=0,"",SUMIFS(tblDaily[TransfersIn],tblDaily[EntryDate],DATE(2026,1,11),tblDaily[WardCode],"CW")),"")</f>
        <v/>
      </c>
      <c r="G17" s="5" t="str">
        <f>IFERROR(IF(SUMIFS(tblDaily[TransfersOut],tblDaily[EntryDate],DATE(2026,1,11),tblDaily[WardCode],"CW")=0,"",SUMIFS(tblDaily[TransfersOut],tblDaily[EntryDate],DATE(2026,1,11),tblDaily[WardCode],"CW")),"")</f>
        <v/>
      </c>
      <c r="H17" s="5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IFERROR(IF(SUMIFS(tblDaily[Admissions],tblDaily[EntryDate],DATE(2026,1,12),tblDaily[WardCode],"CW")=0,"",SUMIFS(tblDaily[Admissions],tblDaily[EntryDate],DATE(2026,1,12),tblDaily[WardCode],"CW")),"")</f>
        <v/>
      </c>
      <c r="C18" s="5" t="str">
        <f>IFERROR(IF(SUMIFS(tblDaily[Discharges],tblDaily[EntryDate],DATE(2026,1,12),tblDaily[WardCode],"CW")=0,"",SUMIFS(tblDaily[Discharges],tblDaily[EntryDate],DATE(2026,1,12),tblDaily[WardCode],"CW")),"")</f>
        <v/>
      </c>
      <c r="D18" s="5" t="str">
        <f>IFERROR(IF(SUMIFS(tblDaily[Deaths],tblDaily[EntryDate],DATE(2026,1,12),tblDaily[WardCode],"CW")=0,"",SUMIFS(tblDaily[Deaths],tblDaily[EntryDate],DATE(2026,1,12),tblDaily[WardCode],"CW")),"")</f>
        <v/>
      </c>
      <c r="E18" s="5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5" t="str">
        <f>IFERROR(IF(SUMIFS(tblDaily[TransfersIn],tblDaily[EntryDate],DATE(2026,1,12),tblDaily[WardCode],"CW")=0,"",SUMIFS(tblDaily[TransfersIn],tblDaily[EntryDate],DATE(2026,1,12),tblDaily[WardCode],"CW")),"")</f>
        <v/>
      </c>
      <c r="G18" s="5" t="str">
        <f>IFERROR(IF(SUMIFS(tblDaily[TransfersOut],tblDaily[EntryDate],DATE(2026,1,12),tblDaily[WardCode],"CW")=0,"",SUMIFS(tblDaily[TransfersOut],tblDaily[EntryDate],DATE(2026,1,12),tblDaily[WardCode],"CW")),"")</f>
        <v/>
      </c>
      <c r="H18" s="5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IFERROR(IF(SUMIFS(tblDaily[Admissions],tblDaily[EntryDate],DATE(2026,1,13),tblDaily[WardCode],"CW")=0,"",SUMIFS(tblDaily[Admissions],tblDaily[EntryDate],DATE(2026,1,13),tblDaily[WardCode],"CW")),"")</f>
        <v/>
      </c>
      <c r="C19" s="5" t="str">
        <f>IFERROR(IF(SUMIFS(tblDaily[Discharges],tblDaily[EntryDate],DATE(2026,1,13),tblDaily[WardCode],"CW")=0,"",SUMIFS(tblDaily[Discharges],tblDaily[EntryDate],DATE(2026,1,13),tblDaily[WardCode],"CW")),"")</f>
        <v/>
      </c>
      <c r="D19" s="5" t="str">
        <f>IFERROR(IF(SUMIFS(tblDaily[Deaths],tblDaily[EntryDate],DATE(2026,1,13),tblDaily[WardCode],"CW")=0,"",SUMIFS(tblDaily[Deaths],tblDaily[EntryDate],DATE(2026,1,13),tblDaily[WardCode],"CW")),"")</f>
        <v/>
      </c>
      <c r="E19" s="5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5" t="str">
        <f>IFERROR(IF(SUMIFS(tblDaily[TransfersIn],tblDaily[EntryDate],DATE(2026,1,13),tblDaily[WardCode],"CW")=0,"",SUMIFS(tblDaily[TransfersIn],tblDaily[EntryDate],DATE(2026,1,13),tblDaily[WardCode],"CW")),"")</f>
        <v/>
      </c>
      <c r="G19" s="5" t="str">
        <f>IFERROR(IF(SUMIFS(tblDaily[TransfersOut],tblDaily[EntryDate],DATE(2026,1,13),tblDaily[WardCode],"CW")=0,"",SUMIFS(tblDaily[TransfersOut],tblDaily[EntryDate],DATE(2026,1,13),tblDaily[WardCode],"CW")),"")</f>
        <v/>
      </c>
      <c r="H19" s="5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IFERROR(IF(SUMIFS(tblDaily[Admissions],tblDaily[EntryDate],DATE(2026,1,14),tblDaily[WardCode],"CW")=0,"",SUMIFS(tblDaily[Admissions],tblDaily[EntryDate],DATE(2026,1,14),tblDaily[WardCode],"CW")),"")</f>
        <v/>
      </c>
      <c r="C20" s="5" t="str">
        <f>IFERROR(IF(SUMIFS(tblDaily[Discharges],tblDaily[EntryDate],DATE(2026,1,14),tblDaily[WardCode],"CW")=0,"",SUMIFS(tblDaily[Discharges],tblDaily[EntryDate],DATE(2026,1,14),tblDaily[WardCode],"CW")),"")</f>
        <v/>
      </c>
      <c r="D20" s="5" t="str">
        <f>IFERROR(IF(SUMIFS(tblDaily[Deaths],tblDaily[EntryDate],DATE(2026,1,14),tblDaily[WardCode],"CW")=0,"",SUMIFS(tblDaily[Deaths],tblDaily[EntryDate],DATE(2026,1,14),tblDaily[WardCode],"CW")),"")</f>
        <v/>
      </c>
      <c r="E20" s="5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5" t="str">
        <f>IFERROR(IF(SUMIFS(tblDaily[TransfersIn],tblDaily[EntryDate],DATE(2026,1,14),tblDaily[WardCode],"CW")=0,"",SUMIFS(tblDaily[TransfersIn],tblDaily[EntryDate],DATE(2026,1,14),tblDaily[WardCode],"CW")),"")</f>
        <v/>
      </c>
      <c r="G20" s="5" t="str">
        <f>IFERROR(IF(SUMIFS(tblDaily[TransfersOut],tblDaily[EntryDate],DATE(2026,1,14),tblDaily[WardCode],"CW")=0,"",SUMIFS(tblDaily[TransfersOut],tblDaily[EntryDate],DATE(2026,1,14),tblDaily[WardCode],"CW")),"")</f>
        <v/>
      </c>
      <c r="H20" s="5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IFERROR(IF(SUMIFS(tblDaily[Admissions],tblDaily[EntryDate],DATE(2026,1,15),tblDaily[WardCode],"CW")=0,"",SUMIFS(tblDaily[Admissions],tblDaily[EntryDate],DATE(2026,1,15),tblDaily[WardCode],"CW")),"")</f>
        <v/>
      </c>
      <c r="C21" s="5" t="str">
        <f>IFERROR(IF(SUMIFS(tblDaily[Discharges],tblDaily[EntryDate],DATE(2026,1,15),tblDaily[WardCode],"CW")=0,"",SUMIFS(tblDaily[Discharges],tblDaily[EntryDate],DATE(2026,1,15),tblDaily[WardCode],"CW")),"")</f>
        <v/>
      </c>
      <c r="D21" s="5" t="str">
        <f>IFERROR(IF(SUMIFS(tblDaily[Deaths],tblDaily[EntryDate],DATE(2026,1,15),tblDaily[WardCode],"CW")=0,"",SUMIFS(tblDaily[Deaths],tblDaily[EntryDate],DATE(2026,1,15),tblDaily[WardCode],"CW")),"")</f>
        <v/>
      </c>
      <c r="E21" s="5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5" t="str">
        <f>IFERROR(IF(SUMIFS(tblDaily[TransfersIn],tblDaily[EntryDate],DATE(2026,1,15),tblDaily[WardCode],"CW")=0,"",SUMIFS(tblDaily[TransfersIn],tblDaily[EntryDate],DATE(2026,1,15),tblDaily[WardCode],"CW")),"")</f>
        <v/>
      </c>
      <c r="G21" s="5" t="str">
        <f>IFERROR(IF(SUMIFS(tblDaily[TransfersOut],tblDaily[EntryDate],DATE(2026,1,15),tblDaily[WardCode],"CW")=0,"",SUMIFS(tblDaily[TransfersOut],tblDaily[EntryDate],DATE(2026,1,15),tblDaily[WardCode],"CW")),"")</f>
        <v/>
      </c>
      <c r="H21" s="5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IFERROR(IF(SUMIFS(tblDaily[Admissions],tblDaily[EntryDate],DATE(2026,1,16),tblDaily[WardCode],"CW")=0,"",SUMIFS(tblDaily[Admissions],tblDaily[EntryDate],DATE(2026,1,16),tblDaily[WardCode],"CW")),"")</f>
        <v/>
      </c>
      <c r="C22" s="5" t="str">
        <f>IFERROR(IF(SUMIFS(tblDaily[Discharges],tblDaily[EntryDate],DATE(2026,1,16),tblDaily[WardCode],"CW")=0,"",SUMIFS(tblDaily[Discharges],tblDaily[EntryDate],DATE(2026,1,16),tblDaily[WardCode],"CW")),"")</f>
        <v/>
      </c>
      <c r="D22" s="5" t="str">
        <f>IFERROR(IF(SUMIFS(tblDaily[Deaths],tblDaily[EntryDate],DATE(2026,1,16),tblDaily[WardCode],"CW")=0,"",SUMIFS(tblDaily[Deaths],tblDaily[EntryDate],DATE(2026,1,16),tblDaily[WardCode],"CW")),"")</f>
        <v/>
      </c>
      <c r="E22" s="5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5" t="str">
        <f>IFERROR(IF(SUMIFS(tblDaily[TransfersIn],tblDaily[EntryDate],DATE(2026,1,16),tblDaily[WardCode],"CW")=0,"",SUMIFS(tblDaily[TransfersIn],tblDaily[EntryDate],DATE(2026,1,16),tblDaily[WardCode],"CW")),"")</f>
        <v/>
      </c>
      <c r="G22" s="5" t="str">
        <f>IFERROR(IF(SUMIFS(tblDaily[TransfersOut],tblDaily[EntryDate],DATE(2026,1,16),tblDaily[WardCode],"CW")=0,"",SUMIFS(tblDaily[TransfersOut],tblDaily[EntryDate],DATE(2026,1,16),tblDaily[WardCode],"CW")),"")</f>
        <v/>
      </c>
      <c r="H22" s="5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IFERROR(IF(SUMIFS(tblDaily[Admissions],tblDaily[EntryDate],DATE(2026,1,17),tblDaily[WardCode],"CW")=0,"",SUMIFS(tblDaily[Admissions],tblDaily[EntryDate],DATE(2026,1,17),tblDaily[WardCode],"CW")),"")</f>
        <v/>
      </c>
      <c r="C23" s="5" t="str">
        <f>IFERROR(IF(SUMIFS(tblDaily[Discharges],tblDaily[EntryDate],DATE(2026,1,17),tblDaily[WardCode],"CW")=0,"",SUMIFS(tblDaily[Discharges],tblDaily[EntryDate],DATE(2026,1,17),tblDaily[WardCode],"CW")),"")</f>
        <v/>
      </c>
      <c r="D23" s="5" t="str">
        <f>IFERROR(IF(SUMIFS(tblDaily[Deaths],tblDaily[EntryDate],DATE(2026,1,17),tblDaily[WardCode],"CW")=0,"",SUMIFS(tblDaily[Deaths],tblDaily[EntryDate],DATE(2026,1,17),tblDaily[WardCode],"CW")),"")</f>
        <v/>
      </c>
      <c r="E23" s="5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5" t="str">
        <f>IFERROR(IF(SUMIFS(tblDaily[TransfersIn],tblDaily[EntryDate],DATE(2026,1,17),tblDaily[WardCode],"CW")=0,"",SUMIFS(tblDaily[TransfersIn],tblDaily[EntryDate],DATE(2026,1,17),tblDaily[WardCode],"CW")),"")</f>
        <v/>
      </c>
      <c r="G23" s="5" t="str">
        <f>IFERROR(IF(SUMIFS(tblDaily[TransfersOut],tblDaily[EntryDate],DATE(2026,1,17),tblDaily[WardCode],"CW")=0,"",SUMIFS(tblDaily[TransfersOut],tblDaily[EntryDate],DATE(2026,1,17),tblDaily[WardCode],"CW")),"")</f>
        <v/>
      </c>
      <c r="H23" s="5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IFERROR(IF(SUMIFS(tblDaily[Admissions],tblDaily[EntryDate],DATE(2026,1,18),tblDaily[WardCode],"CW")=0,"",SUMIFS(tblDaily[Admissions],tblDaily[EntryDate],DATE(2026,1,18),tblDaily[WardCode],"CW")),"")</f>
        <v/>
      </c>
      <c r="C24" s="5" t="str">
        <f>IFERROR(IF(SUMIFS(tblDaily[Discharges],tblDaily[EntryDate],DATE(2026,1,18),tblDaily[WardCode],"CW")=0,"",SUMIFS(tblDaily[Discharges],tblDaily[EntryDate],DATE(2026,1,18),tblDaily[WardCode],"CW")),"")</f>
        <v/>
      </c>
      <c r="D24" s="5" t="str">
        <f>IFERROR(IF(SUMIFS(tblDaily[Deaths],tblDaily[EntryDate],DATE(2026,1,18),tblDaily[WardCode],"CW")=0,"",SUMIFS(tblDaily[Deaths],tblDaily[EntryDate],DATE(2026,1,18),tblDaily[WardCode],"CW")),"")</f>
        <v/>
      </c>
      <c r="E24" s="5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5" t="str">
        <f>IFERROR(IF(SUMIFS(tblDaily[TransfersIn],tblDaily[EntryDate],DATE(2026,1,18),tblDaily[WardCode],"CW")=0,"",SUMIFS(tblDaily[TransfersIn],tblDaily[EntryDate],DATE(2026,1,18),tblDaily[WardCode],"CW")),"")</f>
        <v/>
      </c>
      <c r="G24" s="5" t="str">
        <f>IFERROR(IF(SUMIFS(tblDaily[TransfersOut],tblDaily[EntryDate],DATE(2026,1,18),tblDaily[WardCode],"CW")=0,"",SUMIFS(tblDaily[TransfersOut],tblDaily[EntryDate],DATE(2026,1,18),tblDaily[WardCode],"CW")),"")</f>
        <v/>
      </c>
      <c r="H24" s="5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IFERROR(IF(SUMIFS(tblDaily[Admissions],tblDaily[EntryDate],DATE(2026,1,19),tblDaily[WardCode],"CW")=0,"",SUMIFS(tblDaily[Admissions],tblDaily[EntryDate],DATE(2026,1,19),tblDaily[WardCode],"CW")),"")</f>
        <v/>
      </c>
      <c r="C25" s="5" t="str">
        <f>IFERROR(IF(SUMIFS(tblDaily[Discharges],tblDaily[EntryDate],DATE(2026,1,19),tblDaily[WardCode],"CW")=0,"",SUMIFS(tblDaily[Discharges],tblDaily[EntryDate],DATE(2026,1,19),tblDaily[WardCode],"CW")),"")</f>
        <v/>
      </c>
      <c r="D25" s="5" t="str">
        <f>IFERROR(IF(SUMIFS(tblDaily[Deaths],tblDaily[EntryDate],DATE(2026,1,19),tblDaily[WardCode],"CW")=0,"",SUMIFS(tblDaily[Deaths],tblDaily[EntryDate],DATE(2026,1,19),tblDaily[WardCode],"CW")),"")</f>
        <v/>
      </c>
      <c r="E25" s="5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5" t="str">
        <f>IFERROR(IF(SUMIFS(tblDaily[TransfersIn],tblDaily[EntryDate],DATE(2026,1,19),tblDaily[WardCode],"CW")=0,"",SUMIFS(tblDaily[TransfersIn],tblDaily[EntryDate],DATE(2026,1,19),tblDaily[WardCode],"CW")),"")</f>
        <v/>
      </c>
      <c r="G25" s="5" t="str">
        <f>IFERROR(IF(SUMIFS(tblDaily[TransfersOut],tblDaily[EntryDate],DATE(2026,1,19),tblDaily[WardCode],"CW")=0,"",SUMIFS(tblDaily[TransfersOut],tblDaily[EntryDate],DATE(2026,1,19),tblDaily[WardCode],"CW")),"")</f>
        <v/>
      </c>
      <c r="H25" s="5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IFERROR(IF(SUMIFS(tblDaily[Admissions],tblDaily[EntryDate],DATE(2026,1,20),tblDaily[WardCode],"CW")=0,"",SUMIFS(tblDaily[Admissions],tblDaily[EntryDate],DATE(2026,1,20),tblDaily[WardCode],"CW")),"")</f>
        <v/>
      </c>
      <c r="C26" s="5" t="str">
        <f>IFERROR(IF(SUMIFS(tblDaily[Discharges],tblDaily[EntryDate],DATE(2026,1,20),tblDaily[WardCode],"CW")=0,"",SUMIFS(tblDaily[Discharges],tblDaily[EntryDate],DATE(2026,1,20),tblDaily[WardCode],"CW")),"")</f>
        <v/>
      </c>
      <c r="D26" s="5" t="str">
        <f>IFERROR(IF(SUMIFS(tblDaily[Deaths],tblDaily[EntryDate],DATE(2026,1,20),tblDaily[WardCode],"CW")=0,"",SUMIFS(tblDaily[Deaths],tblDaily[EntryDate],DATE(2026,1,20),tblDaily[WardCode],"CW")),"")</f>
        <v/>
      </c>
      <c r="E26" s="5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5" t="str">
        <f>IFERROR(IF(SUMIFS(tblDaily[TransfersIn],tblDaily[EntryDate],DATE(2026,1,20),tblDaily[WardCode],"CW")=0,"",SUMIFS(tblDaily[TransfersIn],tblDaily[EntryDate],DATE(2026,1,20),tblDaily[WardCode],"CW")),"")</f>
        <v/>
      </c>
      <c r="G26" s="5" t="str">
        <f>IFERROR(IF(SUMIFS(tblDaily[TransfersOut],tblDaily[EntryDate],DATE(2026,1,20),tblDaily[WardCode],"CW")=0,"",SUMIFS(tblDaily[TransfersOut],tblDaily[EntryDate],DATE(2026,1,20),tblDaily[WardCode],"CW")),"")</f>
        <v/>
      </c>
      <c r="H26" s="5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IFERROR(IF(SUMIFS(tblDaily[Admissions],tblDaily[EntryDate],DATE(2026,1,21),tblDaily[WardCode],"CW")=0,"",SUMIFS(tblDaily[Admissions],tblDaily[EntryDate],DATE(2026,1,21),tblDaily[WardCode],"CW")),"")</f>
        <v/>
      </c>
      <c r="C27" s="5" t="str">
        <f>IFERROR(IF(SUMIFS(tblDaily[Discharges],tblDaily[EntryDate],DATE(2026,1,21),tblDaily[WardCode],"CW")=0,"",SUMIFS(tblDaily[Discharges],tblDaily[EntryDate],DATE(2026,1,21),tblDaily[WardCode],"CW")),"")</f>
        <v/>
      </c>
      <c r="D27" s="5" t="str">
        <f>IFERROR(IF(SUMIFS(tblDaily[Deaths],tblDaily[EntryDate],DATE(2026,1,21),tblDaily[WardCode],"CW")=0,"",SUMIFS(tblDaily[Deaths],tblDaily[EntryDate],DATE(2026,1,21),tblDaily[WardCode],"CW")),"")</f>
        <v/>
      </c>
      <c r="E27" s="5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5" t="str">
        <f>IFERROR(IF(SUMIFS(tblDaily[TransfersIn],tblDaily[EntryDate],DATE(2026,1,21),tblDaily[WardCode],"CW")=0,"",SUMIFS(tblDaily[TransfersIn],tblDaily[EntryDate],DATE(2026,1,21),tblDaily[WardCode],"CW")),"")</f>
        <v/>
      </c>
      <c r="G27" s="5" t="str">
        <f>IFERROR(IF(SUMIFS(tblDaily[TransfersOut],tblDaily[EntryDate],DATE(2026,1,21),tblDaily[WardCode],"CW")=0,"",SUMIFS(tblDaily[TransfersOut],tblDaily[EntryDate],DATE(2026,1,21),tblDaily[WardCode],"CW")),"")</f>
        <v/>
      </c>
      <c r="H27" s="5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IFERROR(IF(SUMIFS(tblDaily[Admissions],tblDaily[EntryDate],DATE(2026,1,22),tblDaily[WardCode],"CW")=0,"",SUMIFS(tblDaily[Admissions],tblDaily[EntryDate],DATE(2026,1,22),tblDaily[WardCode],"CW")),"")</f>
        <v/>
      </c>
      <c r="C28" s="5" t="str">
        <f>IFERROR(IF(SUMIFS(tblDaily[Discharges],tblDaily[EntryDate],DATE(2026,1,22),tblDaily[WardCode],"CW")=0,"",SUMIFS(tblDaily[Discharges],tblDaily[EntryDate],DATE(2026,1,22),tblDaily[WardCode],"CW")),"")</f>
        <v/>
      </c>
      <c r="D28" s="5" t="str">
        <f>IFERROR(IF(SUMIFS(tblDaily[Deaths],tblDaily[EntryDate],DATE(2026,1,22),tblDaily[WardCode],"CW")=0,"",SUMIFS(tblDaily[Deaths],tblDaily[EntryDate],DATE(2026,1,22),tblDaily[WardCode],"CW")),"")</f>
        <v/>
      </c>
      <c r="E28" s="5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5" t="str">
        <f>IFERROR(IF(SUMIFS(tblDaily[TransfersIn],tblDaily[EntryDate],DATE(2026,1,22),tblDaily[WardCode],"CW")=0,"",SUMIFS(tblDaily[TransfersIn],tblDaily[EntryDate],DATE(2026,1,22),tblDaily[WardCode],"CW")),"")</f>
        <v/>
      </c>
      <c r="G28" s="5" t="str">
        <f>IFERROR(IF(SUMIFS(tblDaily[TransfersOut],tblDaily[EntryDate],DATE(2026,1,22),tblDaily[WardCode],"CW")=0,"",SUMIFS(tblDaily[TransfersOut],tblDaily[EntryDate],DATE(2026,1,22),tblDaily[WardCode],"CW")),"")</f>
        <v/>
      </c>
      <c r="H28" s="5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IFERROR(IF(SUMIFS(tblDaily[Admissions],tblDaily[EntryDate],DATE(2026,1,23),tblDaily[WardCode],"CW")=0,"",SUMIFS(tblDaily[Admissions],tblDaily[EntryDate],DATE(2026,1,23),tblDaily[WardCode],"CW")),"")</f>
        <v/>
      </c>
      <c r="C29" s="5" t="str">
        <f>IFERROR(IF(SUMIFS(tblDaily[Discharges],tblDaily[EntryDate],DATE(2026,1,23),tblDaily[WardCode],"CW")=0,"",SUMIFS(tblDaily[Discharges],tblDaily[EntryDate],DATE(2026,1,23),tblDaily[WardCode],"CW")),"")</f>
        <v/>
      </c>
      <c r="D29" s="5" t="str">
        <f>IFERROR(IF(SUMIFS(tblDaily[Deaths],tblDaily[EntryDate],DATE(2026,1,23),tblDaily[WardCode],"CW")=0,"",SUMIFS(tblDaily[Deaths],tblDaily[EntryDate],DATE(2026,1,23),tblDaily[WardCode],"CW")),"")</f>
        <v/>
      </c>
      <c r="E29" s="5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5" t="str">
        <f>IFERROR(IF(SUMIFS(tblDaily[TransfersIn],tblDaily[EntryDate],DATE(2026,1,23),tblDaily[WardCode],"CW")=0,"",SUMIFS(tblDaily[TransfersIn],tblDaily[EntryDate],DATE(2026,1,23),tblDaily[WardCode],"CW")),"")</f>
        <v/>
      </c>
      <c r="G29" s="5" t="str">
        <f>IFERROR(IF(SUMIFS(tblDaily[TransfersOut],tblDaily[EntryDate],DATE(2026,1,23),tblDaily[WardCode],"CW")=0,"",SUMIFS(tblDaily[TransfersOut],tblDaily[EntryDate],DATE(2026,1,23),tblDaily[WardCode],"CW")),"")</f>
        <v/>
      </c>
      <c r="H29" s="5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IFERROR(IF(SUMIFS(tblDaily[Admissions],tblDaily[EntryDate],DATE(2026,1,24),tblDaily[WardCode],"CW")=0,"",SUMIFS(tblDaily[Admissions],tblDaily[EntryDate],DATE(2026,1,24),tblDaily[WardCode],"CW")),"")</f>
        <v/>
      </c>
      <c r="C30" s="5" t="str">
        <f>IFERROR(IF(SUMIFS(tblDaily[Discharges],tblDaily[EntryDate],DATE(2026,1,24),tblDaily[WardCode],"CW")=0,"",SUMIFS(tblDaily[Discharges],tblDaily[EntryDate],DATE(2026,1,24),tblDaily[WardCode],"CW")),"")</f>
        <v/>
      </c>
      <c r="D30" s="5" t="str">
        <f>IFERROR(IF(SUMIFS(tblDaily[Deaths],tblDaily[EntryDate],DATE(2026,1,24),tblDaily[WardCode],"CW")=0,"",SUMIFS(tblDaily[Deaths],tblDaily[EntryDate],DATE(2026,1,24),tblDaily[WardCode],"CW")),"")</f>
        <v/>
      </c>
      <c r="E30" s="5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5" t="str">
        <f>IFERROR(IF(SUMIFS(tblDaily[TransfersIn],tblDaily[EntryDate],DATE(2026,1,24),tblDaily[WardCode],"CW")=0,"",SUMIFS(tblDaily[TransfersIn],tblDaily[EntryDate],DATE(2026,1,24),tblDaily[WardCode],"CW")),"")</f>
        <v/>
      </c>
      <c r="G30" s="5" t="str">
        <f>IFERROR(IF(SUMIFS(tblDaily[TransfersOut],tblDaily[EntryDate],DATE(2026,1,24),tblDaily[WardCode],"CW")=0,"",SUMIFS(tblDaily[TransfersOut],tblDaily[EntryDate],DATE(2026,1,24),tblDaily[WardCode],"CW")),"")</f>
        <v/>
      </c>
      <c r="H30" s="5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IFERROR(IF(SUMIFS(tblDaily[Admissions],tblDaily[EntryDate],DATE(2026,1,25),tblDaily[WardCode],"CW")=0,"",SUMIFS(tblDaily[Admissions],tblDaily[EntryDate],DATE(2026,1,25),tblDaily[WardCode],"CW")),"")</f>
        <v/>
      </c>
      <c r="C31" s="5" t="str">
        <f>IFERROR(IF(SUMIFS(tblDaily[Discharges],tblDaily[EntryDate],DATE(2026,1,25),tblDaily[WardCode],"CW")=0,"",SUMIFS(tblDaily[Discharges],tblDaily[EntryDate],DATE(2026,1,25),tblDaily[WardCode],"CW")),"")</f>
        <v/>
      </c>
      <c r="D31" s="5" t="str">
        <f>IFERROR(IF(SUMIFS(tblDaily[Deaths],tblDaily[EntryDate],DATE(2026,1,25),tblDaily[WardCode],"CW")=0,"",SUMIFS(tblDaily[Deaths],tblDaily[EntryDate],DATE(2026,1,25),tblDaily[WardCode],"CW")),"")</f>
        <v/>
      </c>
      <c r="E31" s="5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5" t="str">
        <f>IFERROR(IF(SUMIFS(tblDaily[TransfersIn],tblDaily[EntryDate],DATE(2026,1,25),tblDaily[WardCode],"CW")=0,"",SUMIFS(tblDaily[TransfersIn],tblDaily[EntryDate],DATE(2026,1,25),tblDaily[WardCode],"CW")),"")</f>
        <v/>
      </c>
      <c r="G31" s="5" t="str">
        <f>IFERROR(IF(SUMIFS(tblDaily[TransfersOut],tblDaily[EntryDate],DATE(2026,1,25),tblDaily[WardCode],"CW")=0,"",SUMIFS(tblDaily[TransfersOut],tblDaily[EntryDate],DATE(2026,1,25),tblDaily[WardCode],"CW")),"")</f>
        <v/>
      </c>
      <c r="H31" s="5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IFERROR(IF(SUMIFS(tblDaily[Admissions],tblDaily[EntryDate],DATE(2026,1,26),tblDaily[WardCode],"CW")=0,"",SUMIFS(tblDaily[Admissions],tblDaily[EntryDate],DATE(2026,1,26),tblDaily[WardCode],"CW")),"")</f>
        <v/>
      </c>
      <c r="C32" s="5" t="str">
        <f>IFERROR(IF(SUMIFS(tblDaily[Discharges],tblDaily[EntryDate],DATE(2026,1,26),tblDaily[WardCode],"CW")=0,"",SUMIFS(tblDaily[Discharges],tblDaily[EntryDate],DATE(2026,1,26),tblDaily[WardCode],"CW")),"")</f>
        <v/>
      </c>
      <c r="D32" s="5" t="str">
        <f>IFERROR(IF(SUMIFS(tblDaily[Deaths],tblDaily[EntryDate],DATE(2026,1,26),tblDaily[WardCode],"CW")=0,"",SUMIFS(tblDaily[Deaths],tblDaily[EntryDate],DATE(2026,1,26),tblDaily[WardCode],"CW")),"")</f>
        <v/>
      </c>
      <c r="E32" s="5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5" t="str">
        <f>IFERROR(IF(SUMIFS(tblDaily[TransfersIn],tblDaily[EntryDate],DATE(2026,1,26),tblDaily[WardCode],"CW")=0,"",SUMIFS(tblDaily[TransfersIn],tblDaily[EntryDate],DATE(2026,1,26),tblDaily[WardCode],"CW")),"")</f>
        <v/>
      </c>
      <c r="G32" s="5" t="str">
        <f>IFERROR(IF(SUMIFS(tblDaily[TransfersOut],tblDaily[EntryDate],DATE(2026,1,26),tblDaily[WardCode],"CW")=0,"",SUMIFS(tblDaily[TransfersOut],tblDaily[EntryDate],DATE(2026,1,26),tblDaily[WardCode],"CW")),"")</f>
        <v/>
      </c>
      <c r="H32" s="5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IFERROR(IF(SUMIFS(tblDaily[Admissions],tblDaily[EntryDate],DATE(2026,1,27),tblDaily[WardCode],"CW")=0,"",SUMIFS(tblDaily[Admissions],tblDaily[EntryDate],DATE(2026,1,27),tblDaily[WardCode],"CW")),"")</f>
        <v/>
      </c>
      <c r="C33" s="5" t="str">
        <f>IFERROR(IF(SUMIFS(tblDaily[Discharges],tblDaily[EntryDate],DATE(2026,1,27),tblDaily[WardCode],"CW")=0,"",SUMIFS(tblDaily[Discharges],tblDaily[EntryDate],DATE(2026,1,27),tblDaily[WardCode],"CW")),"")</f>
        <v/>
      </c>
      <c r="D33" s="5" t="str">
        <f>IFERROR(IF(SUMIFS(tblDaily[Deaths],tblDaily[EntryDate],DATE(2026,1,27),tblDaily[WardCode],"CW")=0,"",SUMIFS(tblDaily[Deaths],tblDaily[EntryDate],DATE(2026,1,27),tblDaily[WardCode],"CW")),"")</f>
        <v/>
      </c>
      <c r="E33" s="5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5" t="str">
        <f>IFERROR(IF(SUMIFS(tblDaily[TransfersIn],tblDaily[EntryDate],DATE(2026,1,27),tblDaily[WardCode],"CW")=0,"",SUMIFS(tblDaily[TransfersIn],tblDaily[EntryDate],DATE(2026,1,27),tblDaily[WardCode],"CW")),"")</f>
        <v/>
      </c>
      <c r="G33" s="5" t="str">
        <f>IFERROR(IF(SUMIFS(tblDaily[TransfersOut],tblDaily[EntryDate],DATE(2026,1,27),tblDaily[WardCode],"CW")=0,"",SUMIFS(tblDaily[TransfersOut],tblDaily[EntryDate],DATE(2026,1,27),tblDaily[WardCode],"CW")),"")</f>
        <v/>
      </c>
      <c r="H33" s="5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IFERROR(IF(SUMIFS(tblDaily[Admissions],tblDaily[EntryDate],DATE(2026,1,28),tblDaily[WardCode],"CW")=0,"",SUMIFS(tblDaily[Admissions],tblDaily[EntryDate],DATE(2026,1,28),tblDaily[WardCode],"CW")),"")</f>
        <v/>
      </c>
      <c r="C34" s="5" t="str">
        <f>IFERROR(IF(SUMIFS(tblDaily[Discharges],tblDaily[EntryDate],DATE(2026,1,28),tblDaily[WardCode],"CW")=0,"",SUMIFS(tblDaily[Discharges],tblDaily[EntryDate],DATE(2026,1,28),tblDaily[WardCode],"CW")),"")</f>
        <v/>
      </c>
      <c r="D34" s="5" t="str">
        <f>IFERROR(IF(SUMIFS(tblDaily[Deaths],tblDaily[EntryDate],DATE(2026,1,28),tblDaily[WardCode],"CW")=0,"",SUMIFS(tblDaily[Deaths],tblDaily[EntryDate],DATE(2026,1,28),tblDaily[WardCode],"CW")),"")</f>
        <v/>
      </c>
      <c r="E34" s="5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5" t="str">
        <f>IFERROR(IF(SUMIFS(tblDaily[TransfersIn],tblDaily[EntryDate],DATE(2026,1,28),tblDaily[WardCode],"CW")=0,"",SUMIFS(tblDaily[TransfersIn],tblDaily[EntryDate],DATE(2026,1,28),tblDaily[WardCode],"CW")),"")</f>
        <v/>
      </c>
      <c r="G34" s="5" t="str">
        <f>IFERROR(IF(SUMIFS(tblDaily[TransfersOut],tblDaily[EntryDate],DATE(2026,1,28),tblDaily[WardCode],"CW")=0,"",SUMIFS(tblDaily[TransfersOut],tblDaily[EntryDate],DATE(2026,1,28),tblDaily[WardCode],"CW")),"")</f>
        <v/>
      </c>
      <c r="H34" s="5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IFERROR(IF(SUMIFS(tblDaily[Admissions],tblDaily[EntryDate],DATE(2026,1,29),tblDaily[WardCode],"CW")=0,"",SUMIFS(tblDaily[Admissions],tblDaily[EntryDate],DATE(2026,1,29),tblDaily[WardCode],"CW")),"")</f>
        <v/>
      </c>
      <c r="C35" s="5" t="str">
        <f>IFERROR(IF(SUMIFS(tblDaily[Discharges],tblDaily[EntryDate],DATE(2026,1,29),tblDaily[WardCode],"CW")=0,"",SUMIFS(tblDaily[Discharges],tblDaily[EntryDate],DATE(2026,1,29),tblDaily[WardCode],"CW")),"")</f>
        <v/>
      </c>
      <c r="D35" s="5" t="str">
        <f>IFERROR(IF(SUMIFS(tblDaily[Deaths],tblDaily[EntryDate],DATE(2026,1,29),tblDaily[WardCode],"CW")=0,"",SUMIFS(tblDaily[Deaths],tblDaily[EntryDate],DATE(2026,1,29),tblDaily[WardCode],"CW")),"")</f>
        <v/>
      </c>
      <c r="E35" s="5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5" t="str">
        <f>IFERROR(IF(SUMIFS(tblDaily[TransfersIn],tblDaily[EntryDate],DATE(2026,1,29),tblDaily[WardCode],"CW")=0,"",SUMIFS(tblDaily[TransfersIn],tblDaily[EntryDate],DATE(2026,1,29),tblDaily[WardCode],"CW")),"")</f>
        <v/>
      </c>
      <c r="G35" s="5" t="str">
        <f>IFERROR(IF(SUMIFS(tblDaily[TransfersOut],tblDaily[EntryDate],DATE(2026,1,29),tblDaily[WardCode],"CW")=0,"",SUMIFS(tblDaily[TransfersOut],tblDaily[EntryDate],DATE(2026,1,29),tblDaily[WardCode],"CW")),"")</f>
        <v/>
      </c>
      <c r="H35" s="5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IFERROR(IF(SUMIFS(tblDaily[Admissions],tblDaily[EntryDate],DATE(2026,1,30),tblDaily[WardCode],"CW")=0,"",SUMIFS(tblDaily[Admissions],tblDaily[EntryDate],DATE(2026,1,30),tblDaily[WardCode],"CW")),"")</f>
        <v/>
      </c>
      <c r="C36" s="5" t="str">
        <f>IFERROR(IF(SUMIFS(tblDaily[Discharges],tblDaily[EntryDate],DATE(2026,1,30),tblDaily[WardCode],"CW")=0,"",SUMIFS(tblDaily[Discharges],tblDaily[EntryDate],DATE(2026,1,30),tblDaily[WardCode],"CW")),"")</f>
        <v/>
      </c>
      <c r="D36" s="5" t="str">
        <f>IFERROR(IF(SUMIFS(tblDaily[Deaths],tblDaily[EntryDate],DATE(2026,1,30),tblDaily[WardCode],"CW")=0,"",SUMIFS(tblDaily[Deaths],tblDaily[EntryDate],DATE(2026,1,30),tblDaily[WardCode],"CW")),"")</f>
        <v/>
      </c>
      <c r="E36" s="5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5" t="str">
        <f>IFERROR(IF(SUMIFS(tblDaily[TransfersIn],tblDaily[EntryDate],DATE(2026,1,30),tblDaily[WardCode],"CW")=0,"",SUMIFS(tblDaily[TransfersIn],tblDaily[EntryDate],DATE(2026,1,30),tblDaily[WardCode],"CW")),"")</f>
        <v/>
      </c>
      <c r="G36" s="5" t="str">
        <f>IFERROR(IF(SUMIFS(tblDaily[TransfersOut],tblDaily[EntryDate],DATE(2026,1,30),tblDaily[WardCode],"CW")=0,"",SUMIFS(tblDaily[TransfersOut],tblDaily[EntryDate],DATE(2026,1,30),tblDaily[WardCode],"CW")),"")</f>
        <v/>
      </c>
      <c r="H36" s="5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IFERROR(IF(SUMIFS(tblDaily[Admissions],tblDaily[EntryDate],DATE(2026,1,31),tblDaily[WardCode],"CW")=0,"",SUMIFS(tblDaily[Admissions],tblDaily[EntryDate],DATE(2026,1,31),tblDaily[WardCode],"CW")),"")</f>
        <v/>
      </c>
      <c r="C37" s="5" t="str">
        <f>IFERROR(IF(SUMIFS(tblDaily[Discharges],tblDaily[EntryDate],DATE(2026,1,31),tblDaily[WardCode],"CW")=0,"",SUMIFS(tblDaily[Discharges],tblDaily[EntryDate],DATE(2026,1,31),tblDaily[WardCode],"CW")),"")</f>
        <v/>
      </c>
      <c r="D37" s="5" t="str">
        <f>IFERROR(IF(SUMIFS(tblDaily[Deaths],tblDaily[EntryDate],DATE(2026,1,31),tblDaily[WardCode],"CW")=0,"",SUMIFS(tblDaily[Deaths],tblDaily[EntryDate],DATE(2026,1,31),tblDaily[WardCode],"CW")),"")</f>
        <v/>
      </c>
      <c r="E37" s="5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5" t="str">
        <f>IFERROR(IF(SUMIFS(tblDaily[TransfersIn],tblDaily[EntryDate],DATE(2026,1,31),tblDaily[WardCode],"CW")=0,"",SUMIFS(tblDaily[TransfersIn],tblDaily[EntryDate],DATE(2026,1,31),tblDaily[WardCode],"CW")),"")</f>
        <v/>
      </c>
      <c r="G37" s="5" t="str">
        <f>IFERROR(IF(SUMIFS(tblDaily[TransfersOut],tblDaily[EntryDate],DATE(2026,1,31),tblDaily[WardCode],"CW")=0,"",SUMIFS(tblDaily[TransfersOut],tblDaily[EntryDate],DATE(2026,1,31),tblDaily[WardCode],"CW")),"")</f>
        <v/>
      </c>
      <c r="H37" s="5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9" t="s">
        <v>95</v>
      </c>
      <c r="B38" s="9">
        <f>SUMIFS(tblDaily[Admissions],tblDaily[Month],1,tblDaily[WardCode],"CW")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97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IFERROR(SUMIFS(tblDaily[Remaining],tblDaily[EntryDate],DATE(2026,1,31),tblDaily[WardCode],"CW"),0)</f>
        <v>0</v>
      </c>
    </row>
    <row r="44" spans="1:8" x14ac:dyDescent="0.25">
      <c r="A44" s="1" t="s">
        <v>89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IFERROR(IF(SUMIFS(tblDaily[Admissions],tblDaily[EntryDate],DATE(2026,2,1),tblDaily[WardCode],"CW")=0,"",SUMIFS(tblDaily[Admissions],tblDaily[EntryDate],DATE(2026,2,1),tblDaily[WardCode],"CW")),"")</f>
        <v/>
      </c>
      <c r="C46" s="5" t="str">
        <f>IFERROR(IF(SUMIFS(tblDaily[Discharges],tblDaily[EntryDate],DATE(2026,2,1),tblDaily[WardCode],"CW")=0,"",SUMIFS(tblDaily[Discharges],tblDaily[EntryDate],DATE(2026,2,1),tblDaily[WardCode],"CW")),"")</f>
        <v/>
      </c>
      <c r="D46" s="5" t="str">
        <f>IFERROR(IF(SUMIFS(tblDaily[Deaths],tblDaily[EntryDate],DATE(2026,2,1),tblDaily[WardCode],"CW")=0,"",SUMIFS(tblDaily[Deaths],tblDaily[EntryDate],DATE(2026,2,1),tblDaily[WardCode],"CW")),"")</f>
        <v/>
      </c>
      <c r="E46" s="5" t="str">
        <f>IFERROR(IF(SUMIFS(tblDaily[DeathsUnder24Hrs],tblDaily[EntryDate],DATE(2026,2,1),tblDaily[WardCode],"CW")=0,"",SUMIFS(tblDaily[DeathsUnder24Hrs],tblDaily[EntryDate],DATE(2026,2,1),tblDaily[WardCode],"CW")),"")</f>
        <v/>
      </c>
      <c r="F46" s="5" t="str">
        <f>IFERROR(IF(SUMIFS(tblDaily[TransfersIn],tblDaily[EntryDate],DATE(2026,2,1),tblDaily[WardCode],"CW")=0,"",SUMIFS(tblDaily[TransfersIn],tblDaily[EntryDate],DATE(2026,2,1),tblDaily[WardCode],"CW")),"")</f>
        <v/>
      </c>
      <c r="G46" s="5" t="str">
        <f>IFERROR(IF(SUMIFS(tblDaily[TransfersOut],tblDaily[EntryDate],DATE(2026,2,1),tblDaily[WardCode],"CW")=0,"",SUMIFS(tblDaily[TransfersOut],tblDaily[EntryDate],DATE(2026,2,1),tblDaily[WardCode],"CW")),"")</f>
        <v/>
      </c>
      <c r="H46" s="5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IFERROR(IF(SUMIFS(tblDaily[Admissions],tblDaily[EntryDate],DATE(2026,2,2),tblDaily[WardCode],"CW")=0,"",SUMIFS(tblDaily[Admissions],tblDaily[EntryDate],DATE(2026,2,2),tblDaily[WardCode],"CW")),"")</f>
        <v/>
      </c>
      <c r="C47" s="5" t="str">
        <f>IFERROR(IF(SUMIFS(tblDaily[Discharges],tblDaily[EntryDate],DATE(2026,2,2),tblDaily[WardCode],"CW")=0,"",SUMIFS(tblDaily[Discharges],tblDaily[EntryDate],DATE(2026,2,2),tblDaily[WardCode],"CW")),"")</f>
        <v/>
      </c>
      <c r="D47" s="5" t="str">
        <f>IFERROR(IF(SUMIFS(tblDaily[Deaths],tblDaily[EntryDate],DATE(2026,2,2),tblDaily[WardCode],"CW")=0,"",SUMIFS(tblDaily[Deaths],tblDaily[EntryDate],DATE(2026,2,2),tblDaily[WardCode],"CW")),"")</f>
        <v/>
      </c>
      <c r="E47" s="5" t="str">
        <f>IFERROR(IF(SUMIFS(tblDaily[DeathsUnder24Hrs],tblDaily[EntryDate],DATE(2026,2,2),tblDaily[WardCode],"CW")=0,"",SUMIFS(tblDaily[DeathsUnder24Hrs],tblDaily[EntryDate],DATE(2026,2,2),tblDaily[WardCode],"CW")),"")</f>
        <v/>
      </c>
      <c r="F47" s="5" t="str">
        <f>IFERROR(IF(SUMIFS(tblDaily[TransfersIn],tblDaily[EntryDate],DATE(2026,2,2),tblDaily[WardCode],"CW")=0,"",SUMIFS(tblDaily[TransfersIn],tblDaily[EntryDate],DATE(2026,2,2),tblDaily[WardCode],"CW")),"")</f>
        <v/>
      </c>
      <c r="G47" s="5" t="str">
        <f>IFERROR(IF(SUMIFS(tblDaily[TransfersOut],tblDaily[EntryDate],DATE(2026,2,2),tblDaily[WardCode],"CW")=0,"",SUMIFS(tblDaily[TransfersOut],tblDaily[EntryDate],DATE(2026,2,2),tblDaily[WardCode],"CW")),"")</f>
        <v/>
      </c>
      <c r="H47" s="5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IFERROR(IF(SUMIFS(tblDaily[Admissions],tblDaily[EntryDate],DATE(2026,2,3),tblDaily[WardCode],"CW")=0,"",SUMIFS(tblDaily[Admissions],tblDaily[EntryDate],DATE(2026,2,3),tblDaily[WardCode],"CW")),"")</f>
        <v/>
      </c>
      <c r="C48" s="5" t="str">
        <f>IFERROR(IF(SUMIFS(tblDaily[Discharges],tblDaily[EntryDate],DATE(2026,2,3),tblDaily[WardCode],"CW")=0,"",SUMIFS(tblDaily[Discharges],tblDaily[EntryDate],DATE(2026,2,3),tblDaily[WardCode],"CW")),"")</f>
        <v/>
      </c>
      <c r="D48" s="5" t="str">
        <f>IFERROR(IF(SUMIFS(tblDaily[Deaths],tblDaily[EntryDate],DATE(2026,2,3),tblDaily[WardCode],"CW")=0,"",SUMIFS(tblDaily[Deaths],tblDaily[EntryDate],DATE(2026,2,3),tblDaily[WardCode],"CW")),"")</f>
        <v/>
      </c>
      <c r="E48" s="5" t="str">
        <f>IFERROR(IF(SUMIFS(tblDaily[DeathsUnder24Hrs],tblDaily[EntryDate],DATE(2026,2,3),tblDaily[WardCode],"CW")=0,"",SUMIFS(tblDaily[DeathsUnder24Hrs],tblDaily[EntryDate],DATE(2026,2,3),tblDaily[WardCode],"CW")),"")</f>
        <v/>
      </c>
      <c r="F48" s="5" t="str">
        <f>IFERROR(IF(SUMIFS(tblDaily[TransfersIn],tblDaily[EntryDate],DATE(2026,2,3),tblDaily[WardCode],"CW")=0,"",SUMIFS(tblDaily[TransfersIn],tblDaily[EntryDate],DATE(2026,2,3),tblDaily[WardCode],"CW")),"")</f>
        <v/>
      </c>
      <c r="G48" s="5" t="str">
        <f>IFERROR(IF(SUMIFS(tblDaily[TransfersOut],tblDaily[EntryDate],DATE(2026,2,3),tblDaily[WardCode],"CW")=0,"",SUMIFS(tblDaily[TransfersOut],tblDaily[EntryDate],DATE(2026,2,3),tblDaily[WardCode],"CW")),"")</f>
        <v/>
      </c>
      <c r="H48" s="5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IFERROR(IF(SUMIFS(tblDaily[Admissions],tblDaily[EntryDate],DATE(2026,2,4),tblDaily[WardCode],"CW")=0,"",SUMIFS(tblDaily[Admissions],tblDaily[EntryDate],DATE(2026,2,4),tblDaily[WardCode],"CW")),"")</f>
        <v/>
      </c>
      <c r="C49" s="5" t="str">
        <f>IFERROR(IF(SUMIFS(tblDaily[Discharges],tblDaily[EntryDate],DATE(2026,2,4),tblDaily[WardCode],"CW")=0,"",SUMIFS(tblDaily[Discharges],tblDaily[EntryDate],DATE(2026,2,4),tblDaily[WardCode],"CW")),"")</f>
        <v/>
      </c>
      <c r="D49" s="5" t="str">
        <f>IFERROR(IF(SUMIFS(tblDaily[Deaths],tblDaily[EntryDate],DATE(2026,2,4),tblDaily[WardCode],"CW")=0,"",SUMIFS(tblDaily[Deaths],tblDaily[EntryDate],DATE(2026,2,4),tblDaily[WardCode],"CW")),"")</f>
        <v/>
      </c>
      <c r="E49" s="5" t="str">
        <f>IFERROR(IF(SUMIFS(tblDaily[DeathsUnder24Hrs],tblDaily[EntryDate],DATE(2026,2,4),tblDaily[WardCode],"CW")=0,"",SUMIFS(tblDaily[DeathsUnder24Hrs],tblDaily[EntryDate],DATE(2026,2,4),tblDaily[WardCode],"CW")),"")</f>
        <v/>
      </c>
      <c r="F49" s="5" t="str">
        <f>IFERROR(IF(SUMIFS(tblDaily[TransfersIn],tblDaily[EntryDate],DATE(2026,2,4),tblDaily[WardCode],"CW")=0,"",SUMIFS(tblDaily[TransfersIn],tblDaily[EntryDate],DATE(2026,2,4),tblDaily[WardCode],"CW")),"")</f>
        <v/>
      </c>
      <c r="G49" s="5" t="str">
        <f>IFERROR(IF(SUMIFS(tblDaily[TransfersOut],tblDaily[EntryDate],DATE(2026,2,4),tblDaily[WardCode],"CW")=0,"",SUMIFS(tblDaily[TransfersOut],tblDaily[EntryDate],DATE(2026,2,4),tblDaily[WardCode],"CW")),"")</f>
        <v/>
      </c>
      <c r="H49" s="5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IFERROR(IF(SUMIFS(tblDaily[Admissions],tblDaily[EntryDate],DATE(2026,2,5),tblDaily[WardCode],"CW")=0,"",SUMIFS(tblDaily[Admissions],tblDaily[EntryDate],DATE(2026,2,5),tblDaily[WardCode],"CW")),"")</f>
        <v/>
      </c>
      <c r="C50" s="5" t="str">
        <f>IFERROR(IF(SUMIFS(tblDaily[Discharges],tblDaily[EntryDate],DATE(2026,2,5),tblDaily[WardCode],"CW")=0,"",SUMIFS(tblDaily[Discharges],tblDaily[EntryDate],DATE(2026,2,5),tblDaily[WardCode],"CW")),"")</f>
        <v/>
      </c>
      <c r="D50" s="5" t="str">
        <f>IFERROR(IF(SUMIFS(tblDaily[Deaths],tblDaily[EntryDate],DATE(2026,2,5),tblDaily[WardCode],"CW")=0,"",SUMIFS(tblDaily[Deaths],tblDaily[EntryDate],DATE(2026,2,5),tblDaily[WardCode],"CW")),"")</f>
        <v/>
      </c>
      <c r="E50" s="5" t="str">
        <f>IFERROR(IF(SUMIFS(tblDaily[DeathsUnder24Hrs],tblDaily[EntryDate],DATE(2026,2,5),tblDaily[WardCode],"CW")=0,"",SUMIFS(tblDaily[DeathsUnder24Hrs],tblDaily[EntryDate],DATE(2026,2,5),tblDaily[WardCode],"CW")),"")</f>
        <v/>
      </c>
      <c r="F50" s="5" t="str">
        <f>IFERROR(IF(SUMIFS(tblDaily[TransfersIn],tblDaily[EntryDate],DATE(2026,2,5),tblDaily[WardCode],"CW")=0,"",SUMIFS(tblDaily[TransfersIn],tblDaily[EntryDate],DATE(2026,2,5),tblDaily[WardCode],"CW")),"")</f>
        <v/>
      </c>
      <c r="G50" s="5" t="str">
        <f>IFERROR(IF(SUMIFS(tblDaily[TransfersOut],tblDaily[EntryDate],DATE(2026,2,5),tblDaily[WardCode],"CW")=0,"",SUMIFS(tblDaily[TransfersOut],tblDaily[EntryDate],DATE(2026,2,5),tblDaily[WardCode],"CW")),"")</f>
        <v/>
      </c>
      <c r="H50" s="5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IFERROR(IF(SUMIFS(tblDaily[Admissions],tblDaily[EntryDate],DATE(2026,2,6),tblDaily[WardCode],"CW")=0,"",SUMIFS(tblDaily[Admissions],tblDaily[EntryDate],DATE(2026,2,6),tblDaily[WardCode],"CW")),"")</f>
        <v/>
      </c>
      <c r="C51" s="5" t="str">
        <f>IFERROR(IF(SUMIFS(tblDaily[Discharges],tblDaily[EntryDate],DATE(2026,2,6),tblDaily[WardCode],"CW")=0,"",SUMIFS(tblDaily[Discharges],tblDaily[EntryDate],DATE(2026,2,6),tblDaily[WardCode],"CW")),"")</f>
        <v/>
      </c>
      <c r="D51" s="5" t="str">
        <f>IFERROR(IF(SUMIFS(tblDaily[Deaths],tblDaily[EntryDate],DATE(2026,2,6),tblDaily[WardCode],"CW")=0,"",SUMIFS(tblDaily[Deaths],tblDaily[EntryDate],DATE(2026,2,6),tblDaily[WardCode],"CW")),"")</f>
        <v/>
      </c>
      <c r="E51" s="5" t="str">
        <f>IFERROR(IF(SUMIFS(tblDaily[DeathsUnder24Hrs],tblDaily[EntryDate],DATE(2026,2,6),tblDaily[WardCode],"CW")=0,"",SUMIFS(tblDaily[DeathsUnder24Hrs],tblDaily[EntryDate],DATE(2026,2,6),tblDaily[WardCode],"CW")),"")</f>
        <v/>
      </c>
      <c r="F51" s="5" t="str">
        <f>IFERROR(IF(SUMIFS(tblDaily[TransfersIn],tblDaily[EntryDate],DATE(2026,2,6),tblDaily[WardCode],"CW")=0,"",SUMIFS(tblDaily[TransfersIn],tblDaily[EntryDate],DATE(2026,2,6),tblDaily[WardCode],"CW")),"")</f>
        <v/>
      </c>
      <c r="G51" s="5" t="str">
        <f>IFERROR(IF(SUMIFS(tblDaily[TransfersOut],tblDaily[EntryDate],DATE(2026,2,6),tblDaily[WardCode],"CW")=0,"",SUMIFS(tblDaily[TransfersOut],tblDaily[EntryDate],DATE(2026,2,6),tblDaily[WardCode],"CW")),"")</f>
        <v/>
      </c>
      <c r="H51" s="5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IFERROR(IF(SUMIFS(tblDaily[Admissions],tblDaily[EntryDate],DATE(2026,2,7),tblDaily[WardCode],"CW")=0,"",SUMIFS(tblDaily[Admissions],tblDaily[EntryDate],DATE(2026,2,7),tblDaily[WardCode],"CW")),"")</f>
        <v/>
      </c>
      <c r="C52" s="5" t="str">
        <f>IFERROR(IF(SUMIFS(tblDaily[Discharges],tblDaily[EntryDate],DATE(2026,2,7),tblDaily[WardCode],"CW")=0,"",SUMIFS(tblDaily[Discharges],tblDaily[EntryDate],DATE(2026,2,7),tblDaily[WardCode],"CW")),"")</f>
        <v/>
      </c>
      <c r="D52" s="5" t="str">
        <f>IFERROR(IF(SUMIFS(tblDaily[Deaths],tblDaily[EntryDate],DATE(2026,2,7),tblDaily[WardCode],"CW")=0,"",SUMIFS(tblDaily[Deaths],tblDaily[EntryDate],DATE(2026,2,7),tblDaily[WardCode],"CW")),"")</f>
        <v/>
      </c>
      <c r="E52" s="5" t="str">
        <f>IFERROR(IF(SUMIFS(tblDaily[DeathsUnder24Hrs],tblDaily[EntryDate],DATE(2026,2,7),tblDaily[WardCode],"CW")=0,"",SUMIFS(tblDaily[DeathsUnder24Hrs],tblDaily[EntryDate],DATE(2026,2,7),tblDaily[WardCode],"CW")),"")</f>
        <v/>
      </c>
      <c r="F52" s="5" t="str">
        <f>IFERROR(IF(SUMIFS(tblDaily[TransfersIn],tblDaily[EntryDate],DATE(2026,2,7),tblDaily[WardCode],"CW")=0,"",SUMIFS(tblDaily[TransfersIn],tblDaily[EntryDate],DATE(2026,2,7),tblDaily[WardCode],"CW")),"")</f>
        <v/>
      </c>
      <c r="G52" s="5" t="str">
        <f>IFERROR(IF(SUMIFS(tblDaily[TransfersOut],tblDaily[EntryDate],DATE(2026,2,7),tblDaily[WardCode],"CW")=0,"",SUMIFS(tblDaily[TransfersOut],tblDaily[EntryDate],DATE(2026,2,7),tblDaily[WardCode],"CW")),"")</f>
        <v/>
      </c>
      <c r="H52" s="5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IFERROR(IF(SUMIFS(tblDaily[Admissions],tblDaily[EntryDate],DATE(2026,2,8),tblDaily[WardCode],"CW")=0,"",SUMIFS(tblDaily[Admissions],tblDaily[EntryDate],DATE(2026,2,8),tblDaily[WardCode],"CW")),"")</f>
        <v/>
      </c>
      <c r="C53" s="5" t="str">
        <f>IFERROR(IF(SUMIFS(tblDaily[Discharges],tblDaily[EntryDate],DATE(2026,2,8),tblDaily[WardCode],"CW")=0,"",SUMIFS(tblDaily[Discharges],tblDaily[EntryDate],DATE(2026,2,8),tblDaily[WardCode],"CW")),"")</f>
        <v/>
      </c>
      <c r="D53" s="5" t="str">
        <f>IFERROR(IF(SUMIFS(tblDaily[Deaths],tblDaily[EntryDate],DATE(2026,2,8),tblDaily[WardCode],"CW")=0,"",SUMIFS(tblDaily[Deaths],tblDaily[EntryDate],DATE(2026,2,8),tblDaily[WardCode],"CW")),"")</f>
        <v/>
      </c>
      <c r="E53" s="5" t="str">
        <f>IFERROR(IF(SUMIFS(tblDaily[DeathsUnder24Hrs],tblDaily[EntryDate],DATE(2026,2,8),tblDaily[WardCode],"CW")=0,"",SUMIFS(tblDaily[DeathsUnder24Hrs],tblDaily[EntryDate],DATE(2026,2,8),tblDaily[WardCode],"CW")),"")</f>
        <v/>
      </c>
      <c r="F53" s="5" t="str">
        <f>IFERROR(IF(SUMIFS(tblDaily[TransfersIn],tblDaily[EntryDate],DATE(2026,2,8),tblDaily[WardCode],"CW")=0,"",SUMIFS(tblDaily[TransfersIn],tblDaily[EntryDate],DATE(2026,2,8),tblDaily[WardCode],"CW")),"")</f>
        <v/>
      </c>
      <c r="G53" s="5" t="str">
        <f>IFERROR(IF(SUMIFS(tblDaily[TransfersOut],tblDaily[EntryDate],DATE(2026,2,8),tblDaily[WardCode],"CW")=0,"",SUMIFS(tblDaily[TransfersOut],tblDaily[EntryDate],DATE(2026,2,8),tblDaily[WardCode],"CW")),"")</f>
        <v/>
      </c>
      <c r="H53" s="5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IFERROR(IF(SUMIFS(tblDaily[Admissions],tblDaily[EntryDate],DATE(2026,2,9),tblDaily[WardCode],"CW")=0,"",SUMIFS(tblDaily[Admissions],tblDaily[EntryDate],DATE(2026,2,9),tblDaily[WardCode],"CW")),"")</f>
        <v/>
      </c>
      <c r="C54" s="5" t="str">
        <f>IFERROR(IF(SUMIFS(tblDaily[Discharges],tblDaily[EntryDate],DATE(2026,2,9),tblDaily[WardCode],"CW")=0,"",SUMIFS(tblDaily[Discharges],tblDaily[EntryDate],DATE(2026,2,9),tblDaily[WardCode],"CW")),"")</f>
        <v/>
      </c>
      <c r="D54" s="5" t="str">
        <f>IFERROR(IF(SUMIFS(tblDaily[Deaths],tblDaily[EntryDate],DATE(2026,2,9),tblDaily[WardCode],"CW")=0,"",SUMIFS(tblDaily[Deaths],tblDaily[EntryDate],DATE(2026,2,9),tblDaily[WardCode],"CW")),"")</f>
        <v/>
      </c>
      <c r="E54" s="5" t="str">
        <f>IFERROR(IF(SUMIFS(tblDaily[DeathsUnder24Hrs],tblDaily[EntryDate],DATE(2026,2,9),tblDaily[WardCode],"CW")=0,"",SUMIFS(tblDaily[DeathsUnder24Hrs],tblDaily[EntryDate],DATE(2026,2,9),tblDaily[WardCode],"CW")),"")</f>
        <v/>
      </c>
      <c r="F54" s="5" t="str">
        <f>IFERROR(IF(SUMIFS(tblDaily[TransfersIn],tblDaily[EntryDate],DATE(2026,2,9),tblDaily[WardCode],"CW")=0,"",SUMIFS(tblDaily[TransfersIn],tblDaily[EntryDate],DATE(2026,2,9),tblDaily[WardCode],"CW")),"")</f>
        <v/>
      </c>
      <c r="G54" s="5" t="str">
        <f>IFERROR(IF(SUMIFS(tblDaily[TransfersOut],tblDaily[EntryDate],DATE(2026,2,9),tblDaily[WardCode],"CW")=0,"",SUMIFS(tblDaily[TransfersOut],tblDaily[EntryDate],DATE(2026,2,9),tblDaily[WardCode],"CW")),"")</f>
        <v/>
      </c>
      <c r="H54" s="5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IFERROR(IF(SUMIFS(tblDaily[Admissions],tblDaily[EntryDate],DATE(2026,2,10),tblDaily[WardCode],"CW")=0,"",SUMIFS(tblDaily[Admissions],tblDaily[EntryDate],DATE(2026,2,10),tblDaily[WardCode],"CW")),"")</f>
        <v/>
      </c>
      <c r="C55" s="5" t="str">
        <f>IFERROR(IF(SUMIFS(tblDaily[Discharges],tblDaily[EntryDate],DATE(2026,2,10),tblDaily[WardCode],"CW")=0,"",SUMIFS(tblDaily[Discharges],tblDaily[EntryDate],DATE(2026,2,10),tblDaily[WardCode],"CW")),"")</f>
        <v/>
      </c>
      <c r="D55" s="5" t="str">
        <f>IFERROR(IF(SUMIFS(tblDaily[Deaths],tblDaily[EntryDate],DATE(2026,2,10),tblDaily[WardCode],"CW")=0,"",SUMIFS(tblDaily[Deaths],tblDaily[EntryDate],DATE(2026,2,10),tblDaily[WardCode],"CW")),"")</f>
        <v/>
      </c>
      <c r="E55" s="5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5" t="str">
        <f>IFERROR(IF(SUMIFS(tblDaily[TransfersIn],tblDaily[EntryDate],DATE(2026,2,10),tblDaily[WardCode],"CW")=0,"",SUMIFS(tblDaily[TransfersIn],tblDaily[EntryDate],DATE(2026,2,10),tblDaily[WardCode],"CW")),"")</f>
        <v/>
      </c>
      <c r="G55" s="5" t="str">
        <f>IFERROR(IF(SUMIFS(tblDaily[TransfersOut],tblDaily[EntryDate],DATE(2026,2,10),tblDaily[WardCode],"CW")=0,"",SUMIFS(tblDaily[TransfersOut],tblDaily[EntryDate],DATE(2026,2,10),tblDaily[WardCode],"CW")),"")</f>
        <v/>
      </c>
      <c r="H55" s="5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IFERROR(IF(SUMIFS(tblDaily[Admissions],tblDaily[EntryDate],DATE(2026,2,11),tblDaily[WardCode],"CW")=0,"",SUMIFS(tblDaily[Admissions],tblDaily[EntryDate],DATE(2026,2,11),tblDaily[WardCode],"CW")),"")</f>
        <v/>
      </c>
      <c r="C56" s="5" t="str">
        <f>IFERROR(IF(SUMIFS(tblDaily[Discharges],tblDaily[EntryDate],DATE(2026,2,11),tblDaily[WardCode],"CW")=0,"",SUMIFS(tblDaily[Discharges],tblDaily[EntryDate],DATE(2026,2,11),tblDaily[WardCode],"CW")),"")</f>
        <v/>
      </c>
      <c r="D56" s="5" t="str">
        <f>IFERROR(IF(SUMIFS(tblDaily[Deaths],tblDaily[EntryDate],DATE(2026,2,11),tblDaily[WardCode],"CW")=0,"",SUMIFS(tblDaily[Deaths],tblDaily[EntryDate],DATE(2026,2,11),tblDaily[WardCode],"CW")),"")</f>
        <v/>
      </c>
      <c r="E56" s="5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5" t="str">
        <f>IFERROR(IF(SUMIFS(tblDaily[TransfersIn],tblDaily[EntryDate],DATE(2026,2,11),tblDaily[WardCode],"CW")=0,"",SUMIFS(tblDaily[TransfersIn],tblDaily[EntryDate],DATE(2026,2,11),tblDaily[WardCode],"CW")),"")</f>
        <v/>
      </c>
      <c r="G56" s="5" t="str">
        <f>IFERROR(IF(SUMIFS(tblDaily[TransfersOut],tblDaily[EntryDate],DATE(2026,2,11),tblDaily[WardCode],"CW")=0,"",SUMIFS(tblDaily[TransfersOut],tblDaily[EntryDate],DATE(2026,2,11),tblDaily[WardCode],"CW")),"")</f>
        <v/>
      </c>
      <c r="H56" s="5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IFERROR(IF(SUMIFS(tblDaily[Admissions],tblDaily[EntryDate],DATE(2026,2,12),tblDaily[WardCode],"CW")=0,"",SUMIFS(tblDaily[Admissions],tblDaily[EntryDate],DATE(2026,2,12),tblDaily[WardCode],"CW")),"")</f>
        <v/>
      </c>
      <c r="C57" s="5" t="str">
        <f>IFERROR(IF(SUMIFS(tblDaily[Discharges],tblDaily[EntryDate],DATE(2026,2,12),tblDaily[WardCode],"CW")=0,"",SUMIFS(tblDaily[Discharges],tblDaily[EntryDate],DATE(2026,2,12),tblDaily[WardCode],"CW")),"")</f>
        <v/>
      </c>
      <c r="D57" s="5" t="str">
        <f>IFERROR(IF(SUMIFS(tblDaily[Deaths],tblDaily[EntryDate],DATE(2026,2,12),tblDaily[WardCode],"CW")=0,"",SUMIFS(tblDaily[Deaths],tblDaily[EntryDate],DATE(2026,2,12),tblDaily[WardCode],"CW")),"")</f>
        <v/>
      </c>
      <c r="E57" s="5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5" t="str">
        <f>IFERROR(IF(SUMIFS(tblDaily[TransfersIn],tblDaily[EntryDate],DATE(2026,2,12),tblDaily[WardCode],"CW")=0,"",SUMIFS(tblDaily[TransfersIn],tblDaily[EntryDate],DATE(2026,2,12),tblDaily[WardCode],"CW")),"")</f>
        <v/>
      </c>
      <c r="G57" s="5" t="str">
        <f>IFERROR(IF(SUMIFS(tblDaily[TransfersOut],tblDaily[EntryDate],DATE(2026,2,12),tblDaily[WardCode],"CW")=0,"",SUMIFS(tblDaily[TransfersOut],tblDaily[EntryDate],DATE(2026,2,12),tblDaily[WardCode],"CW")),"")</f>
        <v/>
      </c>
      <c r="H57" s="5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IFERROR(IF(SUMIFS(tblDaily[Admissions],tblDaily[EntryDate],DATE(2026,2,13),tblDaily[WardCode],"CW")=0,"",SUMIFS(tblDaily[Admissions],tblDaily[EntryDate],DATE(2026,2,13),tblDaily[WardCode],"CW")),"")</f>
        <v/>
      </c>
      <c r="C58" s="5" t="str">
        <f>IFERROR(IF(SUMIFS(tblDaily[Discharges],tblDaily[EntryDate],DATE(2026,2,13),tblDaily[WardCode],"CW")=0,"",SUMIFS(tblDaily[Discharges],tblDaily[EntryDate],DATE(2026,2,13),tblDaily[WardCode],"CW")),"")</f>
        <v/>
      </c>
      <c r="D58" s="5" t="str">
        <f>IFERROR(IF(SUMIFS(tblDaily[Deaths],tblDaily[EntryDate],DATE(2026,2,13),tblDaily[WardCode],"CW")=0,"",SUMIFS(tblDaily[Deaths],tblDaily[EntryDate],DATE(2026,2,13),tblDaily[WardCode],"CW")),"")</f>
        <v/>
      </c>
      <c r="E58" s="5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5" t="str">
        <f>IFERROR(IF(SUMIFS(tblDaily[TransfersIn],tblDaily[EntryDate],DATE(2026,2,13),tblDaily[WardCode],"CW")=0,"",SUMIFS(tblDaily[TransfersIn],tblDaily[EntryDate],DATE(2026,2,13),tblDaily[WardCode],"CW")),"")</f>
        <v/>
      </c>
      <c r="G58" s="5" t="str">
        <f>IFERROR(IF(SUMIFS(tblDaily[TransfersOut],tblDaily[EntryDate],DATE(2026,2,13),tblDaily[WardCode],"CW")=0,"",SUMIFS(tblDaily[TransfersOut],tblDaily[EntryDate],DATE(2026,2,13),tblDaily[WardCode],"CW")),"")</f>
        <v/>
      </c>
      <c r="H58" s="5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IFERROR(IF(SUMIFS(tblDaily[Admissions],tblDaily[EntryDate],DATE(2026,2,14),tblDaily[WardCode],"CW")=0,"",SUMIFS(tblDaily[Admissions],tblDaily[EntryDate],DATE(2026,2,14),tblDaily[WardCode],"CW")),"")</f>
        <v/>
      </c>
      <c r="C59" s="5" t="str">
        <f>IFERROR(IF(SUMIFS(tblDaily[Discharges],tblDaily[EntryDate],DATE(2026,2,14),tblDaily[WardCode],"CW")=0,"",SUMIFS(tblDaily[Discharges],tblDaily[EntryDate],DATE(2026,2,14),tblDaily[WardCode],"CW")),"")</f>
        <v/>
      </c>
      <c r="D59" s="5" t="str">
        <f>IFERROR(IF(SUMIFS(tblDaily[Deaths],tblDaily[EntryDate],DATE(2026,2,14),tblDaily[WardCode],"CW")=0,"",SUMIFS(tblDaily[Deaths],tblDaily[EntryDate],DATE(2026,2,14),tblDaily[WardCode],"CW")),"")</f>
        <v/>
      </c>
      <c r="E59" s="5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5" t="str">
        <f>IFERROR(IF(SUMIFS(tblDaily[TransfersIn],tblDaily[EntryDate],DATE(2026,2,14),tblDaily[WardCode],"CW")=0,"",SUMIFS(tblDaily[TransfersIn],tblDaily[EntryDate],DATE(2026,2,14),tblDaily[WardCode],"CW")),"")</f>
        <v/>
      </c>
      <c r="G59" s="5" t="str">
        <f>IFERROR(IF(SUMIFS(tblDaily[TransfersOut],tblDaily[EntryDate],DATE(2026,2,14),tblDaily[WardCode],"CW")=0,"",SUMIFS(tblDaily[TransfersOut],tblDaily[EntryDate],DATE(2026,2,14),tblDaily[WardCode],"CW")),"")</f>
        <v/>
      </c>
      <c r="H59" s="5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IFERROR(IF(SUMIFS(tblDaily[Admissions],tblDaily[EntryDate],DATE(2026,2,15),tblDaily[WardCode],"CW")=0,"",SUMIFS(tblDaily[Admissions],tblDaily[EntryDate],DATE(2026,2,15),tblDaily[WardCode],"CW")),"")</f>
        <v/>
      </c>
      <c r="C60" s="5" t="str">
        <f>IFERROR(IF(SUMIFS(tblDaily[Discharges],tblDaily[EntryDate],DATE(2026,2,15),tblDaily[WardCode],"CW")=0,"",SUMIFS(tblDaily[Discharges],tblDaily[EntryDate],DATE(2026,2,15),tblDaily[WardCode],"CW")),"")</f>
        <v/>
      </c>
      <c r="D60" s="5" t="str">
        <f>IFERROR(IF(SUMIFS(tblDaily[Deaths],tblDaily[EntryDate],DATE(2026,2,15),tblDaily[WardCode],"CW")=0,"",SUMIFS(tblDaily[Deaths],tblDaily[EntryDate],DATE(2026,2,15),tblDaily[WardCode],"CW")),"")</f>
        <v/>
      </c>
      <c r="E60" s="5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5" t="str">
        <f>IFERROR(IF(SUMIFS(tblDaily[TransfersIn],tblDaily[EntryDate],DATE(2026,2,15),tblDaily[WardCode],"CW")=0,"",SUMIFS(tblDaily[TransfersIn],tblDaily[EntryDate],DATE(2026,2,15),tblDaily[WardCode],"CW")),"")</f>
        <v/>
      </c>
      <c r="G60" s="5" t="str">
        <f>IFERROR(IF(SUMIFS(tblDaily[TransfersOut],tblDaily[EntryDate],DATE(2026,2,15),tblDaily[WardCode],"CW")=0,"",SUMIFS(tblDaily[TransfersOut],tblDaily[EntryDate],DATE(2026,2,15),tblDaily[WardCode],"CW")),"")</f>
        <v/>
      </c>
      <c r="H60" s="5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IFERROR(IF(SUMIFS(tblDaily[Admissions],tblDaily[EntryDate],DATE(2026,2,16),tblDaily[WardCode],"CW")=0,"",SUMIFS(tblDaily[Admissions],tblDaily[EntryDate],DATE(2026,2,16),tblDaily[WardCode],"CW")),"")</f>
        <v/>
      </c>
      <c r="C61" s="5" t="str">
        <f>IFERROR(IF(SUMIFS(tblDaily[Discharges],tblDaily[EntryDate],DATE(2026,2,16),tblDaily[WardCode],"CW")=0,"",SUMIFS(tblDaily[Discharges],tblDaily[EntryDate],DATE(2026,2,16),tblDaily[WardCode],"CW")),"")</f>
        <v/>
      </c>
      <c r="D61" s="5" t="str">
        <f>IFERROR(IF(SUMIFS(tblDaily[Deaths],tblDaily[EntryDate],DATE(2026,2,16),tblDaily[WardCode],"CW")=0,"",SUMIFS(tblDaily[Deaths],tblDaily[EntryDate],DATE(2026,2,16),tblDaily[WardCode],"CW")),"")</f>
        <v/>
      </c>
      <c r="E61" s="5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5" t="str">
        <f>IFERROR(IF(SUMIFS(tblDaily[TransfersIn],tblDaily[EntryDate],DATE(2026,2,16),tblDaily[WardCode],"CW")=0,"",SUMIFS(tblDaily[TransfersIn],tblDaily[EntryDate],DATE(2026,2,16),tblDaily[WardCode],"CW")),"")</f>
        <v/>
      </c>
      <c r="G61" s="5" t="str">
        <f>IFERROR(IF(SUMIFS(tblDaily[TransfersOut],tblDaily[EntryDate],DATE(2026,2,16),tblDaily[WardCode],"CW")=0,"",SUMIFS(tblDaily[TransfersOut],tblDaily[EntryDate],DATE(2026,2,16),tblDaily[WardCode],"CW")),"")</f>
        <v/>
      </c>
      <c r="H61" s="5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IFERROR(IF(SUMIFS(tblDaily[Admissions],tblDaily[EntryDate],DATE(2026,2,17),tblDaily[WardCode],"CW")=0,"",SUMIFS(tblDaily[Admissions],tblDaily[EntryDate],DATE(2026,2,17),tblDaily[WardCode],"CW")),"")</f>
        <v/>
      </c>
      <c r="C62" s="5" t="str">
        <f>IFERROR(IF(SUMIFS(tblDaily[Discharges],tblDaily[EntryDate],DATE(2026,2,17),tblDaily[WardCode],"CW")=0,"",SUMIFS(tblDaily[Discharges],tblDaily[EntryDate],DATE(2026,2,17),tblDaily[WardCode],"CW")),"")</f>
        <v/>
      </c>
      <c r="D62" s="5" t="str">
        <f>IFERROR(IF(SUMIFS(tblDaily[Deaths],tblDaily[EntryDate],DATE(2026,2,17),tblDaily[WardCode],"CW")=0,"",SUMIFS(tblDaily[Deaths],tblDaily[EntryDate],DATE(2026,2,17),tblDaily[WardCode],"CW")),"")</f>
        <v/>
      </c>
      <c r="E62" s="5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5" t="str">
        <f>IFERROR(IF(SUMIFS(tblDaily[TransfersIn],tblDaily[EntryDate],DATE(2026,2,17),tblDaily[WardCode],"CW")=0,"",SUMIFS(tblDaily[TransfersIn],tblDaily[EntryDate],DATE(2026,2,17),tblDaily[WardCode],"CW")),"")</f>
        <v/>
      </c>
      <c r="G62" s="5" t="str">
        <f>IFERROR(IF(SUMIFS(tblDaily[TransfersOut],tblDaily[EntryDate],DATE(2026,2,17),tblDaily[WardCode],"CW")=0,"",SUMIFS(tblDaily[TransfersOut],tblDaily[EntryDate],DATE(2026,2,17),tblDaily[WardCode],"CW")),"")</f>
        <v/>
      </c>
      <c r="H62" s="5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IFERROR(IF(SUMIFS(tblDaily[Admissions],tblDaily[EntryDate],DATE(2026,2,18),tblDaily[WardCode],"CW")=0,"",SUMIFS(tblDaily[Admissions],tblDaily[EntryDate],DATE(2026,2,18),tblDaily[WardCode],"CW")),"")</f>
        <v/>
      </c>
      <c r="C63" s="5" t="str">
        <f>IFERROR(IF(SUMIFS(tblDaily[Discharges],tblDaily[EntryDate],DATE(2026,2,18),tblDaily[WardCode],"CW")=0,"",SUMIFS(tblDaily[Discharges],tblDaily[EntryDate],DATE(2026,2,18),tblDaily[WardCode],"CW")),"")</f>
        <v/>
      </c>
      <c r="D63" s="5" t="str">
        <f>IFERROR(IF(SUMIFS(tblDaily[Deaths],tblDaily[EntryDate],DATE(2026,2,18),tblDaily[WardCode],"CW")=0,"",SUMIFS(tblDaily[Deaths],tblDaily[EntryDate],DATE(2026,2,18),tblDaily[WardCode],"CW")),"")</f>
        <v/>
      </c>
      <c r="E63" s="5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5" t="str">
        <f>IFERROR(IF(SUMIFS(tblDaily[TransfersIn],tblDaily[EntryDate],DATE(2026,2,18),tblDaily[WardCode],"CW")=0,"",SUMIFS(tblDaily[TransfersIn],tblDaily[EntryDate],DATE(2026,2,18),tblDaily[WardCode],"CW")),"")</f>
        <v/>
      </c>
      <c r="G63" s="5" t="str">
        <f>IFERROR(IF(SUMIFS(tblDaily[TransfersOut],tblDaily[EntryDate],DATE(2026,2,18),tblDaily[WardCode],"CW")=0,"",SUMIFS(tblDaily[TransfersOut],tblDaily[EntryDate],DATE(2026,2,18),tblDaily[WardCode],"CW")),"")</f>
        <v/>
      </c>
      <c r="H63" s="5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IFERROR(IF(SUMIFS(tblDaily[Admissions],tblDaily[EntryDate],DATE(2026,2,19),tblDaily[WardCode],"CW")=0,"",SUMIFS(tblDaily[Admissions],tblDaily[EntryDate],DATE(2026,2,19),tblDaily[WardCode],"CW")),"")</f>
        <v/>
      </c>
      <c r="C64" s="5" t="str">
        <f>IFERROR(IF(SUMIFS(tblDaily[Discharges],tblDaily[EntryDate],DATE(2026,2,19),tblDaily[WardCode],"CW")=0,"",SUMIFS(tblDaily[Discharges],tblDaily[EntryDate],DATE(2026,2,19),tblDaily[WardCode],"CW")),"")</f>
        <v/>
      </c>
      <c r="D64" s="5" t="str">
        <f>IFERROR(IF(SUMIFS(tblDaily[Deaths],tblDaily[EntryDate],DATE(2026,2,19),tblDaily[WardCode],"CW")=0,"",SUMIFS(tblDaily[Deaths],tblDaily[EntryDate],DATE(2026,2,19),tblDaily[WardCode],"CW")),"")</f>
        <v/>
      </c>
      <c r="E64" s="5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5" t="str">
        <f>IFERROR(IF(SUMIFS(tblDaily[TransfersIn],tblDaily[EntryDate],DATE(2026,2,19),tblDaily[WardCode],"CW")=0,"",SUMIFS(tblDaily[TransfersIn],tblDaily[EntryDate],DATE(2026,2,19),tblDaily[WardCode],"CW")),"")</f>
        <v/>
      </c>
      <c r="G64" s="5" t="str">
        <f>IFERROR(IF(SUMIFS(tblDaily[TransfersOut],tblDaily[EntryDate],DATE(2026,2,19),tblDaily[WardCode],"CW")=0,"",SUMIFS(tblDaily[TransfersOut],tblDaily[EntryDate],DATE(2026,2,19),tblDaily[WardCode],"CW")),"")</f>
        <v/>
      </c>
      <c r="H64" s="5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IFERROR(IF(SUMIFS(tblDaily[Admissions],tblDaily[EntryDate],DATE(2026,2,20),tblDaily[WardCode],"CW")=0,"",SUMIFS(tblDaily[Admissions],tblDaily[EntryDate],DATE(2026,2,20),tblDaily[WardCode],"CW")),"")</f>
        <v/>
      </c>
      <c r="C65" s="5" t="str">
        <f>IFERROR(IF(SUMIFS(tblDaily[Discharges],tblDaily[EntryDate],DATE(2026,2,20),tblDaily[WardCode],"CW")=0,"",SUMIFS(tblDaily[Discharges],tblDaily[EntryDate],DATE(2026,2,20),tblDaily[WardCode],"CW")),"")</f>
        <v/>
      </c>
      <c r="D65" s="5" t="str">
        <f>IFERROR(IF(SUMIFS(tblDaily[Deaths],tblDaily[EntryDate],DATE(2026,2,20),tblDaily[WardCode],"CW")=0,"",SUMIFS(tblDaily[Deaths],tblDaily[EntryDate],DATE(2026,2,20),tblDaily[WardCode],"CW")),"")</f>
        <v/>
      </c>
      <c r="E65" s="5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5" t="str">
        <f>IFERROR(IF(SUMIFS(tblDaily[TransfersIn],tblDaily[EntryDate],DATE(2026,2,20),tblDaily[WardCode],"CW")=0,"",SUMIFS(tblDaily[TransfersIn],tblDaily[EntryDate],DATE(2026,2,20),tblDaily[WardCode],"CW")),"")</f>
        <v/>
      </c>
      <c r="G65" s="5" t="str">
        <f>IFERROR(IF(SUMIFS(tblDaily[TransfersOut],tblDaily[EntryDate],DATE(2026,2,20),tblDaily[WardCode],"CW")=0,"",SUMIFS(tblDaily[TransfersOut],tblDaily[EntryDate],DATE(2026,2,20),tblDaily[WardCode],"CW")),"")</f>
        <v/>
      </c>
      <c r="H65" s="5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IFERROR(IF(SUMIFS(tblDaily[Admissions],tblDaily[EntryDate],DATE(2026,2,21),tblDaily[WardCode],"CW")=0,"",SUMIFS(tblDaily[Admissions],tblDaily[EntryDate],DATE(2026,2,21),tblDaily[WardCode],"CW")),"")</f>
        <v/>
      </c>
      <c r="C66" s="5" t="str">
        <f>IFERROR(IF(SUMIFS(tblDaily[Discharges],tblDaily[EntryDate],DATE(2026,2,21),tblDaily[WardCode],"CW")=0,"",SUMIFS(tblDaily[Discharges],tblDaily[EntryDate],DATE(2026,2,21),tblDaily[WardCode],"CW")),"")</f>
        <v/>
      </c>
      <c r="D66" s="5" t="str">
        <f>IFERROR(IF(SUMIFS(tblDaily[Deaths],tblDaily[EntryDate],DATE(2026,2,21),tblDaily[WardCode],"CW")=0,"",SUMIFS(tblDaily[Deaths],tblDaily[EntryDate],DATE(2026,2,21),tblDaily[WardCode],"CW")),"")</f>
        <v/>
      </c>
      <c r="E66" s="5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5" t="str">
        <f>IFERROR(IF(SUMIFS(tblDaily[TransfersIn],tblDaily[EntryDate],DATE(2026,2,21),tblDaily[WardCode],"CW")=0,"",SUMIFS(tblDaily[TransfersIn],tblDaily[EntryDate],DATE(2026,2,21),tblDaily[WardCode],"CW")),"")</f>
        <v/>
      </c>
      <c r="G66" s="5" t="str">
        <f>IFERROR(IF(SUMIFS(tblDaily[TransfersOut],tblDaily[EntryDate],DATE(2026,2,21),tblDaily[WardCode],"CW")=0,"",SUMIFS(tblDaily[TransfersOut],tblDaily[EntryDate],DATE(2026,2,21),tblDaily[WardCode],"CW")),"")</f>
        <v/>
      </c>
      <c r="H66" s="5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IFERROR(IF(SUMIFS(tblDaily[Admissions],tblDaily[EntryDate],DATE(2026,2,22),tblDaily[WardCode],"CW")=0,"",SUMIFS(tblDaily[Admissions],tblDaily[EntryDate],DATE(2026,2,22),tblDaily[WardCode],"CW")),"")</f>
        <v/>
      </c>
      <c r="C67" s="5" t="str">
        <f>IFERROR(IF(SUMIFS(tblDaily[Discharges],tblDaily[EntryDate],DATE(2026,2,22),tblDaily[WardCode],"CW")=0,"",SUMIFS(tblDaily[Discharges],tblDaily[EntryDate],DATE(2026,2,22),tblDaily[WardCode],"CW")),"")</f>
        <v/>
      </c>
      <c r="D67" s="5" t="str">
        <f>IFERROR(IF(SUMIFS(tblDaily[Deaths],tblDaily[EntryDate],DATE(2026,2,22),tblDaily[WardCode],"CW")=0,"",SUMIFS(tblDaily[Deaths],tblDaily[EntryDate],DATE(2026,2,22),tblDaily[WardCode],"CW")),"")</f>
        <v/>
      </c>
      <c r="E67" s="5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5" t="str">
        <f>IFERROR(IF(SUMIFS(tblDaily[TransfersIn],tblDaily[EntryDate],DATE(2026,2,22),tblDaily[WardCode],"CW")=0,"",SUMIFS(tblDaily[TransfersIn],tblDaily[EntryDate],DATE(2026,2,22),tblDaily[WardCode],"CW")),"")</f>
        <v/>
      </c>
      <c r="G67" s="5" t="str">
        <f>IFERROR(IF(SUMIFS(tblDaily[TransfersOut],tblDaily[EntryDate],DATE(2026,2,22),tblDaily[WardCode],"CW")=0,"",SUMIFS(tblDaily[TransfersOut],tblDaily[EntryDate],DATE(2026,2,22),tblDaily[WardCode],"CW")),"")</f>
        <v/>
      </c>
      <c r="H67" s="5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IFERROR(IF(SUMIFS(tblDaily[Admissions],tblDaily[EntryDate],DATE(2026,2,23),tblDaily[WardCode],"CW")=0,"",SUMIFS(tblDaily[Admissions],tblDaily[EntryDate],DATE(2026,2,23),tblDaily[WardCode],"CW")),"")</f>
        <v/>
      </c>
      <c r="C68" s="5" t="str">
        <f>IFERROR(IF(SUMIFS(tblDaily[Discharges],tblDaily[EntryDate],DATE(2026,2,23),tblDaily[WardCode],"CW")=0,"",SUMIFS(tblDaily[Discharges],tblDaily[EntryDate],DATE(2026,2,23),tblDaily[WardCode],"CW")),"")</f>
        <v/>
      </c>
      <c r="D68" s="5" t="str">
        <f>IFERROR(IF(SUMIFS(tblDaily[Deaths],tblDaily[EntryDate],DATE(2026,2,23),tblDaily[WardCode],"CW")=0,"",SUMIFS(tblDaily[Deaths],tblDaily[EntryDate],DATE(2026,2,23),tblDaily[WardCode],"CW")),"")</f>
        <v/>
      </c>
      <c r="E68" s="5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5" t="str">
        <f>IFERROR(IF(SUMIFS(tblDaily[TransfersIn],tblDaily[EntryDate],DATE(2026,2,23),tblDaily[WardCode],"CW")=0,"",SUMIFS(tblDaily[TransfersIn],tblDaily[EntryDate],DATE(2026,2,23),tblDaily[WardCode],"CW")),"")</f>
        <v/>
      </c>
      <c r="G68" s="5" t="str">
        <f>IFERROR(IF(SUMIFS(tblDaily[TransfersOut],tblDaily[EntryDate],DATE(2026,2,23),tblDaily[WardCode],"CW")=0,"",SUMIFS(tblDaily[TransfersOut],tblDaily[EntryDate],DATE(2026,2,23),tblDaily[WardCode],"CW")),"")</f>
        <v/>
      </c>
      <c r="H68" s="5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IFERROR(IF(SUMIFS(tblDaily[Admissions],tblDaily[EntryDate],DATE(2026,2,24),tblDaily[WardCode],"CW")=0,"",SUMIFS(tblDaily[Admissions],tblDaily[EntryDate],DATE(2026,2,24),tblDaily[WardCode],"CW")),"")</f>
        <v/>
      </c>
      <c r="C69" s="5" t="str">
        <f>IFERROR(IF(SUMIFS(tblDaily[Discharges],tblDaily[EntryDate],DATE(2026,2,24),tblDaily[WardCode],"CW")=0,"",SUMIFS(tblDaily[Discharges],tblDaily[EntryDate],DATE(2026,2,24),tblDaily[WardCode],"CW")),"")</f>
        <v/>
      </c>
      <c r="D69" s="5" t="str">
        <f>IFERROR(IF(SUMIFS(tblDaily[Deaths],tblDaily[EntryDate],DATE(2026,2,24),tblDaily[WardCode],"CW")=0,"",SUMIFS(tblDaily[Deaths],tblDaily[EntryDate],DATE(2026,2,24),tblDaily[WardCode],"CW")),"")</f>
        <v/>
      </c>
      <c r="E69" s="5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5" t="str">
        <f>IFERROR(IF(SUMIFS(tblDaily[TransfersIn],tblDaily[EntryDate],DATE(2026,2,24),tblDaily[WardCode],"CW")=0,"",SUMIFS(tblDaily[TransfersIn],tblDaily[EntryDate],DATE(2026,2,24),tblDaily[WardCode],"CW")),"")</f>
        <v/>
      </c>
      <c r="G69" s="5" t="str">
        <f>IFERROR(IF(SUMIFS(tblDaily[TransfersOut],tblDaily[EntryDate],DATE(2026,2,24),tblDaily[WardCode],"CW")=0,"",SUMIFS(tblDaily[TransfersOut],tblDaily[EntryDate],DATE(2026,2,24),tblDaily[WardCode],"CW")),"")</f>
        <v/>
      </c>
      <c r="H69" s="5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IFERROR(IF(SUMIFS(tblDaily[Admissions],tblDaily[EntryDate],DATE(2026,2,25),tblDaily[WardCode],"CW")=0,"",SUMIFS(tblDaily[Admissions],tblDaily[EntryDate],DATE(2026,2,25),tblDaily[WardCode],"CW")),"")</f>
        <v/>
      </c>
      <c r="C70" s="5" t="str">
        <f>IFERROR(IF(SUMIFS(tblDaily[Discharges],tblDaily[EntryDate],DATE(2026,2,25),tblDaily[WardCode],"CW")=0,"",SUMIFS(tblDaily[Discharges],tblDaily[EntryDate],DATE(2026,2,25),tblDaily[WardCode],"CW")),"")</f>
        <v/>
      </c>
      <c r="D70" s="5" t="str">
        <f>IFERROR(IF(SUMIFS(tblDaily[Deaths],tblDaily[EntryDate],DATE(2026,2,25),tblDaily[WardCode],"CW")=0,"",SUMIFS(tblDaily[Deaths],tblDaily[EntryDate],DATE(2026,2,25),tblDaily[WardCode],"CW")),"")</f>
        <v/>
      </c>
      <c r="E70" s="5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5" t="str">
        <f>IFERROR(IF(SUMIFS(tblDaily[TransfersIn],tblDaily[EntryDate],DATE(2026,2,25),tblDaily[WardCode],"CW")=0,"",SUMIFS(tblDaily[TransfersIn],tblDaily[EntryDate],DATE(2026,2,25),tblDaily[WardCode],"CW")),"")</f>
        <v/>
      </c>
      <c r="G70" s="5" t="str">
        <f>IFERROR(IF(SUMIFS(tblDaily[TransfersOut],tblDaily[EntryDate],DATE(2026,2,25),tblDaily[WardCode],"CW")=0,"",SUMIFS(tblDaily[TransfersOut],tblDaily[EntryDate],DATE(2026,2,25),tblDaily[WardCode],"CW")),"")</f>
        <v/>
      </c>
      <c r="H70" s="5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IFERROR(IF(SUMIFS(tblDaily[Admissions],tblDaily[EntryDate],DATE(2026,2,26),tblDaily[WardCode],"CW")=0,"",SUMIFS(tblDaily[Admissions],tblDaily[EntryDate],DATE(2026,2,26),tblDaily[WardCode],"CW")),"")</f>
        <v/>
      </c>
      <c r="C71" s="5" t="str">
        <f>IFERROR(IF(SUMIFS(tblDaily[Discharges],tblDaily[EntryDate],DATE(2026,2,26),tblDaily[WardCode],"CW")=0,"",SUMIFS(tblDaily[Discharges],tblDaily[EntryDate],DATE(2026,2,26),tblDaily[WardCode],"CW")),"")</f>
        <v/>
      </c>
      <c r="D71" s="5" t="str">
        <f>IFERROR(IF(SUMIFS(tblDaily[Deaths],tblDaily[EntryDate],DATE(2026,2,26),tblDaily[WardCode],"CW")=0,"",SUMIFS(tblDaily[Deaths],tblDaily[EntryDate],DATE(2026,2,26),tblDaily[WardCode],"CW")),"")</f>
        <v/>
      </c>
      <c r="E71" s="5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5" t="str">
        <f>IFERROR(IF(SUMIFS(tblDaily[TransfersIn],tblDaily[EntryDate],DATE(2026,2,26),tblDaily[WardCode],"CW")=0,"",SUMIFS(tblDaily[TransfersIn],tblDaily[EntryDate],DATE(2026,2,26),tblDaily[WardCode],"CW")),"")</f>
        <v/>
      </c>
      <c r="G71" s="5" t="str">
        <f>IFERROR(IF(SUMIFS(tblDaily[TransfersOut],tblDaily[EntryDate],DATE(2026,2,26),tblDaily[WardCode],"CW")=0,"",SUMIFS(tblDaily[TransfersOut],tblDaily[EntryDate],DATE(2026,2,26),tblDaily[WardCode],"CW")),"")</f>
        <v/>
      </c>
      <c r="H71" s="5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IFERROR(IF(SUMIFS(tblDaily[Admissions],tblDaily[EntryDate],DATE(2026,2,27),tblDaily[WardCode],"CW")=0,"",SUMIFS(tblDaily[Admissions],tblDaily[EntryDate],DATE(2026,2,27),tblDaily[WardCode],"CW")),"")</f>
        <v/>
      </c>
      <c r="C72" s="5" t="str">
        <f>IFERROR(IF(SUMIFS(tblDaily[Discharges],tblDaily[EntryDate],DATE(2026,2,27),tblDaily[WardCode],"CW")=0,"",SUMIFS(tblDaily[Discharges],tblDaily[EntryDate],DATE(2026,2,27),tblDaily[WardCode],"CW")),"")</f>
        <v/>
      </c>
      <c r="D72" s="5" t="str">
        <f>IFERROR(IF(SUMIFS(tblDaily[Deaths],tblDaily[EntryDate],DATE(2026,2,27),tblDaily[WardCode],"CW")=0,"",SUMIFS(tblDaily[Deaths],tblDaily[EntryDate],DATE(2026,2,27),tblDaily[WardCode],"CW")),"")</f>
        <v/>
      </c>
      <c r="E72" s="5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5" t="str">
        <f>IFERROR(IF(SUMIFS(tblDaily[TransfersIn],tblDaily[EntryDate],DATE(2026,2,27),tblDaily[WardCode],"CW")=0,"",SUMIFS(tblDaily[TransfersIn],tblDaily[EntryDate],DATE(2026,2,27),tblDaily[WardCode],"CW")),"")</f>
        <v/>
      </c>
      <c r="G72" s="5" t="str">
        <f>IFERROR(IF(SUMIFS(tblDaily[TransfersOut],tblDaily[EntryDate],DATE(2026,2,27),tblDaily[WardCode],"CW")=0,"",SUMIFS(tblDaily[TransfersOut],tblDaily[EntryDate],DATE(2026,2,27),tblDaily[WardCode],"CW")),"")</f>
        <v/>
      </c>
      <c r="H72" s="5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IFERROR(IF(SUMIFS(tblDaily[Admissions],tblDaily[EntryDate],DATE(2026,2,28),tblDaily[WardCode],"CW")=0,"",SUMIFS(tblDaily[Admissions],tblDaily[EntryDate],DATE(2026,2,28),tblDaily[WardCode],"CW")),"")</f>
        <v/>
      </c>
      <c r="C73" s="5" t="str">
        <f>IFERROR(IF(SUMIFS(tblDaily[Discharges],tblDaily[EntryDate],DATE(2026,2,28),tblDaily[WardCode],"CW")=0,"",SUMIFS(tblDaily[Discharges],tblDaily[EntryDate],DATE(2026,2,28),tblDaily[WardCode],"CW")),"")</f>
        <v/>
      </c>
      <c r="D73" s="5" t="str">
        <f>IFERROR(IF(SUMIFS(tblDaily[Deaths],tblDaily[EntryDate],DATE(2026,2,28),tblDaily[WardCode],"CW")=0,"",SUMIFS(tblDaily[Deaths],tblDaily[EntryDate],DATE(2026,2,28),tblDaily[WardCode],"CW")),"")</f>
        <v/>
      </c>
      <c r="E73" s="5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5" t="str">
        <f>IFERROR(IF(SUMIFS(tblDaily[TransfersIn],tblDaily[EntryDate],DATE(2026,2,28),tblDaily[WardCode],"CW")=0,"",SUMIFS(tblDaily[TransfersIn],tblDaily[EntryDate],DATE(2026,2,28),tblDaily[WardCode],"CW")),"")</f>
        <v/>
      </c>
      <c r="G73" s="5" t="str">
        <f>IFERROR(IF(SUMIFS(tblDaily[TransfersOut],tblDaily[EntryDate],DATE(2026,2,28),tblDaily[WardCode],"CW")=0,"",SUMIFS(tblDaily[TransfersOut],tblDaily[EntryDate],DATE(2026,2,28),tblDaily[WardCode],"CW")),"")</f>
        <v/>
      </c>
      <c r="H73" s="5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97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89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IFERROR(IF(SUMIFS(tblDaily[Admissions],tblDaily[EntryDate],DATE(2026,3,1),tblDaily[WardCode],"CW")=0,"",SUMIFS(tblDaily[Admissions],tblDaily[EntryDate],DATE(2026,3,1),tblDaily[WardCode],"CW")),"")</f>
        <v/>
      </c>
      <c r="C85" s="5" t="str">
        <f>IFERROR(IF(SUMIFS(tblDaily[Discharges],tblDaily[EntryDate],DATE(2026,3,1),tblDaily[WardCode],"CW")=0,"",SUMIFS(tblDaily[Discharges],tblDaily[EntryDate],DATE(2026,3,1),tblDaily[WardCode],"CW")),"")</f>
        <v/>
      </c>
      <c r="D85" s="5" t="str">
        <f>IFERROR(IF(SUMIFS(tblDaily[Deaths],tblDaily[EntryDate],DATE(2026,3,1),tblDaily[WardCode],"CW")=0,"",SUMIFS(tblDaily[Deaths],tblDaily[EntryDate],DATE(2026,3,1),tblDaily[WardCode],"CW")),"")</f>
        <v/>
      </c>
      <c r="E85" s="5" t="str">
        <f>IFERROR(IF(SUMIFS(tblDaily[DeathsUnder24Hrs],tblDaily[EntryDate],DATE(2026,3,1),tblDaily[WardCode],"CW")=0,"",SUMIFS(tblDaily[DeathsUnder24Hrs],tblDaily[EntryDate],DATE(2026,3,1),tblDaily[WardCode],"CW")),"")</f>
        <v/>
      </c>
      <c r="F85" s="5" t="str">
        <f>IFERROR(IF(SUMIFS(tblDaily[TransfersIn],tblDaily[EntryDate],DATE(2026,3,1),tblDaily[WardCode],"CW")=0,"",SUMIFS(tblDaily[TransfersIn],tblDaily[EntryDate],DATE(2026,3,1),tblDaily[WardCode],"CW")),"")</f>
        <v/>
      </c>
      <c r="G85" s="5" t="str">
        <f>IFERROR(IF(SUMIFS(tblDaily[TransfersOut],tblDaily[EntryDate],DATE(2026,3,1),tblDaily[WardCode],"CW")=0,"",SUMIFS(tblDaily[TransfersOut],tblDaily[EntryDate],DATE(2026,3,1),tblDaily[WardCode],"CW")),"")</f>
        <v/>
      </c>
      <c r="H85" s="5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IFERROR(IF(SUMIFS(tblDaily[Admissions],tblDaily[EntryDate],DATE(2026,3,2),tblDaily[WardCode],"CW")=0,"",SUMIFS(tblDaily[Admissions],tblDaily[EntryDate],DATE(2026,3,2),tblDaily[WardCode],"CW")),"")</f>
        <v/>
      </c>
      <c r="C86" s="5" t="str">
        <f>IFERROR(IF(SUMIFS(tblDaily[Discharges],tblDaily[EntryDate],DATE(2026,3,2),tblDaily[WardCode],"CW")=0,"",SUMIFS(tblDaily[Discharges],tblDaily[EntryDate],DATE(2026,3,2),tblDaily[WardCode],"CW")),"")</f>
        <v/>
      </c>
      <c r="D86" s="5" t="str">
        <f>IFERROR(IF(SUMIFS(tblDaily[Deaths],tblDaily[EntryDate],DATE(2026,3,2),tblDaily[WardCode],"CW")=0,"",SUMIFS(tblDaily[Deaths],tblDaily[EntryDate],DATE(2026,3,2),tblDaily[WardCode],"CW")),"")</f>
        <v/>
      </c>
      <c r="E86" s="5" t="str">
        <f>IFERROR(IF(SUMIFS(tblDaily[DeathsUnder24Hrs],tblDaily[EntryDate],DATE(2026,3,2),tblDaily[WardCode],"CW")=0,"",SUMIFS(tblDaily[DeathsUnder24Hrs],tblDaily[EntryDate],DATE(2026,3,2),tblDaily[WardCode],"CW")),"")</f>
        <v/>
      </c>
      <c r="F86" s="5" t="str">
        <f>IFERROR(IF(SUMIFS(tblDaily[TransfersIn],tblDaily[EntryDate],DATE(2026,3,2),tblDaily[WardCode],"CW")=0,"",SUMIFS(tblDaily[TransfersIn],tblDaily[EntryDate],DATE(2026,3,2),tblDaily[WardCode],"CW")),"")</f>
        <v/>
      </c>
      <c r="G86" s="5" t="str">
        <f>IFERROR(IF(SUMIFS(tblDaily[TransfersOut],tblDaily[EntryDate],DATE(2026,3,2),tblDaily[WardCode],"CW")=0,"",SUMIFS(tblDaily[TransfersOut],tblDaily[EntryDate],DATE(2026,3,2),tblDaily[WardCode],"CW")),"")</f>
        <v/>
      </c>
      <c r="H86" s="5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IFERROR(IF(SUMIFS(tblDaily[Admissions],tblDaily[EntryDate],DATE(2026,3,3),tblDaily[WardCode],"CW")=0,"",SUMIFS(tblDaily[Admissions],tblDaily[EntryDate],DATE(2026,3,3),tblDaily[WardCode],"CW")),"")</f>
        <v/>
      </c>
      <c r="C87" s="5" t="str">
        <f>IFERROR(IF(SUMIFS(tblDaily[Discharges],tblDaily[EntryDate],DATE(2026,3,3),tblDaily[WardCode],"CW")=0,"",SUMIFS(tblDaily[Discharges],tblDaily[EntryDate],DATE(2026,3,3),tblDaily[WardCode],"CW")),"")</f>
        <v/>
      </c>
      <c r="D87" s="5" t="str">
        <f>IFERROR(IF(SUMIFS(tblDaily[Deaths],tblDaily[EntryDate],DATE(2026,3,3),tblDaily[WardCode],"CW")=0,"",SUMIFS(tblDaily[Deaths],tblDaily[EntryDate],DATE(2026,3,3),tblDaily[WardCode],"CW")),"")</f>
        <v/>
      </c>
      <c r="E87" s="5" t="str">
        <f>IFERROR(IF(SUMIFS(tblDaily[DeathsUnder24Hrs],tblDaily[EntryDate],DATE(2026,3,3),tblDaily[WardCode],"CW")=0,"",SUMIFS(tblDaily[DeathsUnder24Hrs],tblDaily[EntryDate],DATE(2026,3,3),tblDaily[WardCode],"CW")),"")</f>
        <v/>
      </c>
      <c r="F87" s="5" t="str">
        <f>IFERROR(IF(SUMIFS(tblDaily[TransfersIn],tblDaily[EntryDate],DATE(2026,3,3),tblDaily[WardCode],"CW")=0,"",SUMIFS(tblDaily[TransfersIn],tblDaily[EntryDate],DATE(2026,3,3),tblDaily[WardCode],"CW")),"")</f>
        <v/>
      </c>
      <c r="G87" s="5" t="str">
        <f>IFERROR(IF(SUMIFS(tblDaily[TransfersOut],tblDaily[EntryDate],DATE(2026,3,3),tblDaily[WardCode],"CW")=0,"",SUMIFS(tblDaily[TransfersOut],tblDaily[EntryDate],DATE(2026,3,3),tblDaily[WardCode],"CW")),"")</f>
        <v/>
      </c>
      <c r="H87" s="5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IFERROR(IF(SUMIFS(tblDaily[Admissions],tblDaily[EntryDate],DATE(2026,3,4),tblDaily[WardCode],"CW")=0,"",SUMIFS(tblDaily[Admissions],tblDaily[EntryDate],DATE(2026,3,4),tblDaily[WardCode],"CW")),"")</f>
        <v/>
      </c>
      <c r="C88" s="5" t="str">
        <f>IFERROR(IF(SUMIFS(tblDaily[Discharges],tblDaily[EntryDate],DATE(2026,3,4),tblDaily[WardCode],"CW")=0,"",SUMIFS(tblDaily[Discharges],tblDaily[EntryDate],DATE(2026,3,4),tblDaily[WardCode],"CW")),"")</f>
        <v/>
      </c>
      <c r="D88" s="5" t="str">
        <f>IFERROR(IF(SUMIFS(tblDaily[Deaths],tblDaily[EntryDate],DATE(2026,3,4),tblDaily[WardCode],"CW")=0,"",SUMIFS(tblDaily[Deaths],tblDaily[EntryDate],DATE(2026,3,4),tblDaily[WardCode],"CW")),"")</f>
        <v/>
      </c>
      <c r="E88" s="5" t="str">
        <f>IFERROR(IF(SUMIFS(tblDaily[DeathsUnder24Hrs],tblDaily[EntryDate],DATE(2026,3,4),tblDaily[WardCode],"CW")=0,"",SUMIFS(tblDaily[DeathsUnder24Hrs],tblDaily[EntryDate],DATE(2026,3,4),tblDaily[WardCode],"CW")),"")</f>
        <v/>
      </c>
      <c r="F88" s="5" t="str">
        <f>IFERROR(IF(SUMIFS(tblDaily[TransfersIn],tblDaily[EntryDate],DATE(2026,3,4),tblDaily[WardCode],"CW")=0,"",SUMIFS(tblDaily[TransfersIn],tblDaily[EntryDate],DATE(2026,3,4),tblDaily[WardCode],"CW")),"")</f>
        <v/>
      </c>
      <c r="G88" s="5" t="str">
        <f>IFERROR(IF(SUMIFS(tblDaily[TransfersOut],tblDaily[EntryDate],DATE(2026,3,4),tblDaily[WardCode],"CW")=0,"",SUMIFS(tblDaily[TransfersOut],tblDaily[EntryDate],DATE(2026,3,4),tblDaily[WardCode],"CW")),"")</f>
        <v/>
      </c>
      <c r="H88" s="5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IFERROR(IF(SUMIFS(tblDaily[Admissions],tblDaily[EntryDate],DATE(2026,3,5),tblDaily[WardCode],"CW")=0,"",SUMIFS(tblDaily[Admissions],tblDaily[EntryDate],DATE(2026,3,5),tblDaily[WardCode],"CW")),"")</f>
        <v/>
      </c>
      <c r="C89" s="5" t="str">
        <f>IFERROR(IF(SUMIFS(tblDaily[Discharges],tblDaily[EntryDate],DATE(2026,3,5),tblDaily[WardCode],"CW")=0,"",SUMIFS(tblDaily[Discharges],tblDaily[EntryDate],DATE(2026,3,5),tblDaily[WardCode],"CW")),"")</f>
        <v/>
      </c>
      <c r="D89" s="5" t="str">
        <f>IFERROR(IF(SUMIFS(tblDaily[Deaths],tblDaily[EntryDate],DATE(2026,3,5),tblDaily[WardCode],"CW")=0,"",SUMIFS(tblDaily[Deaths],tblDaily[EntryDate],DATE(2026,3,5),tblDaily[WardCode],"CW")),"")</f>
        <v/>
      </c>
      <c r="E89" s="5" t="str">
        <f>IFERROR(IF(SUMIFS(tblDaily[DeathsUnder24Hrs],tblDaily[EntryDate],DATE(2026,3,5),tblDaily[WardCode],"CW")=0,"",SUMIFS(tblDaily[DeathsUnder24Hrs],tblDaily[EntryDate],DATE(2026,3,5),tblDaily[WardCode],"CW")),"")</f>
        <v/>
      </c>
      <c r="F89" s="5" t="str">
        <f>IFERROR(IF(SUMIFS(tblDaily[TransfersIn],tblDaily[EntryDate],DATE(2026,3,5),tblDaily[WardCode],"CW")=0,"",SUMIFS(tblDaily[TransfersIn],tblDaily[EntryDate],DATE(2026,3,5),tblDaily[WardCode],"CW")),"")</f>
        <v/>
      </c>
      <c r="G89" s="5" t="str">
        <f>IFERROR(IF(SUMIFS(tblDaily[TransfersOut],tblDaily[EntryDate],DATE(2026,3,5),tblDaily[WardCode],"CW")=0,"",SUMIFS(tblDaily[TransfersOut],tblDaily[EntryDate],DATE(2026,3,5),tblDaily[WardCode],"CW")),"")</f>
        <v/>
      </c>
      <c r="H89" s="5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IFERROR(IF(SUMIFS(tblDaily[Admissions],tblDaily[EntryDate],DATE(2026,3,6),tblDaily[WardCode],"CW")=0,"",SUMIFS(tblDaily[Admissions],tblDaily[EntryDate],DATE(2026,3,6),tblDaily[WardCode],"CW")),"")</f>
        <v/>
      </c>
      <c r="C90" s="5" t="str">
        <f>IFERROR(IF(SUMIFS(tblDaily[Discharges],tblDaily[EntryDate],DATE(2026,3,6),tblDaily[WardCode],"CW")=0,"",SUMIFS(tblDaily[Discharges],tblDaily[EntryDate],DATE(2026,3,6),tblDaily[WardCode],"CW")),"")</f>
        <v/>
      </c>
      <c r="D90" s="5" t="str">
        <f>IFERROR(IF(SUMIFS(tblDaily[Deaths],tblDaily[EntryDate],DATE(2026,3,6),tblDaily[WardCode],"CW")=0,"",SUMIFS(tblDaily[Deaths],tblDaily[EntryDate],DATE(2026,3,6),tblDaily[WardCode],"CW")),"")</f>
        <v/>
      </c>
      <c r="E90" s="5" t="str">
        <f>IFERROR(IF(SUMIFS(tblDaily[DeathsUnder24Hrs],tblDaily[EntryDate],DATE(2026,3,6),tblDaily[WardCode],"CW")=0,"",SUMIFS(tblDaily[DeathsUnder24Hrs],tblDaily[EntryDate],DATE(2026,3,6),tblDaily[WardCode],"CW")),"")</f>
        <v/>
      </c>
      <c r="F90" s="5" t="str">
        <f>IFERROR(IF(SUMIFS(tblDaily[TransfersIn],tblDaily[EntryDate],DATE(2026,3,6),tblDaily[WardCode],"CW")=0,"",SUMIFS(tblDaily[TransfersIn],tblDaily[EntryDate],DATE(2026,3,6),tblDaily[WardCode],"CW")),"")</f>
        <v/>
      </c>
      <c r="G90" s="5" t="str">
        <f>IFERROR(IF(SUMIFS(tblDaily[TransfersOut],tblDaily[EntryDate],DATE(2026,3,6),tblDaily[WardCode],"CW")=0,"",SUMIFS(tblDaily[TransfersOut],tblDaily[EntryDate],DATE(2026,3,6),tblDaily[WardCode],"CW")),"")</f>
        <v/>
      </c>
      <c r="H90" s="5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IFERROR(IF(SUMIFS(tblDaily[Admissions],tblDaily[EntryDate],DATE(2026,3,7),tblDaily[WardCode],"CW")=0,"",SUMIFS(tblDaily[Admissions],tblDaily[EntryDate],DATE(2026,3,7),tblDaily[WardCode],"CW")),"")</f>
        <v/>
      </c>
      <c r="C91" s="5" t="str">
        <f>IFERROR(IF(SUMIFS(tblDaily[Discharges],tblDaily[EntryDate],DATE(2026,3,7),tblDaily[WardCode],"CW")=0,"",SUMIFS(tblDaily[Discharges],tblDaily[EntryDate],DATE(2026,3,7),tblDaily[WardCode],"CW")),"")</f>
        <v/>
      </c>
      <c r="D91" s="5" t="str">
        <f>IFERROR(IF(SUMIFS(tblDaily[Deaths],tblDaily[EntryDate],DATE(2026,3,7),tblDaily[WardCode],"CW")=0,"",SUMIFS(tblDaily[Deaths],tblDaily[EntryDate],DATE(2026,3,7),tblDaily[WardCode],"CW")),"")</f>
        <v/>
      </c>
      <c r="E91" s="5" t="str">
        <f>IFERROR(IF(SUMIFS(tblDaily[DeathsUnder24Hrs],tblDaily[EntryDate],DATE(2026,3,7),tblDaily[WardCode],"CW")=0,"",SUMIFS(tblDaily[DeathsUnder24Hrs],tblDaily[EntryDate],DATE(2026,3,7),tblDaily[WardCode],"CW")),"")</f>
        <v/>
      </c>
      <c r="F91" s="5" t="str">
        <f>IFERROR(IF(SUMIFS(tblDaily[TransfersIn],tblDaily[EntryDate],DATE(2026,3,7),tblDaily[WardCode],"CW")=0,"",SUMIFS(tblDaily[TransfersIn],tblDaily[EntryDate],DATE(2026,3,7),tblDaily[WardCode],"CW")),"")</f>
        <v/>
      </c>
      <c r="G91" s="5" t="str">
        <f>IFERROR(IF(SUMIFS(tblDaily[TransfersOut],tblDaily[EntryDate],DATE(2026,3,7),tblDaily[WardCode],"CW")=0,"",SUMIFS(tblDaily[TransfersOut],tblDaily[EntryDate],DATE(2026,3,7),tblDaily[WardCode],"CW")),"")</f>
        <v/>
      </c>
      <c r="H91" s="5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IFERROR(IF(SUMIFS(tblDaily[Admissions],tblDaily[EntryDate],DATE(2026,3,8),tblDaily[WardCode],"CW")=0,"",SUMIFS(tblDaily[Admissions],tblDaily[EntryDate],DATE(2026,3,8),tblDaily[WardCode],"CW")),"")</f>
        <v/>
      </c>
      <c r="C92" s="5" t="str">
        <f>IFERROR(IF(SUMIFS(tblDaily[Discharges],tblDaily[EntryDate],DATE(2026,3,8),tblDaily[WardCode],"CW")=0,"",SUMIFS(tblDaily[Discharges],tblDaily[EntryDate],DATE(2026,3,8),tblDaily[WardCode],"CW")),"")</f>
        <v/>
      </c>
      <c r="D92" s="5" t="str">
        <f>IFERROR(IF(SUMIFS(tblDaily[Deaths],tblDaily[EntryDate],DATE(2026,3,8),tblDaily[WardCode],"CW")=0,"",SUMIFS(tblDaily[Deaths],tblDaily[EntryDate],DATE(2026,3,8),tblDaily[WardCode],"CW")),"")</f>
        <v/>
      </c>
      <c r="E92" s="5" t="str">
        <f>IFERROR(IF(SUMIFS(tblDaily[DeathsUnder24Hrs],tblDaily[EntryDate],DATE(2026,3,8),tblDaily[WardCode],"CW")=0,"",SUMIFS(tblDaily[DeathsUnder24Hrs],tblDaily[EntryDate],DATE(2026,3,8),tblDaily[WardCode],"CW")),"")</f>
        <v/>
      </c>
      <c r="F92" s="5" t="str">
        <f>IFERROR(IF(SUMIFS(tblDaily[TransfersIn],tblDaily[EntryDate],DATE(2026,3,8),tblDaily[WardCode],"CW")=0,"",SUMIFS(tblDaily[TransfersIn],tblDaily[EntryDate],DATE(2026,3,8),tblDaily[WardCode],"CW")),"")</f>
        <v/>
      </c>
      <c r="G92" s="5" t="str">
        <f>IFERROR(IF(SUMIFS(tblDaily[TransfersOut],tblDaily[EntryDate],DATE(2026,3,8),tblDaily[WardCode],"CW")=0,"",SUMIFS(tblDaily[TransfersOut],tblDaily[EntryDate],DATE(2026,3,8),tblDaily[WardCode],"CW")),"")</f>
        <v/>
      </c>
      <c r="H92" s="5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IFERROR(IF(SUMIFS(tblDaily[Admissions],tblDaily[EntryDate],DATE(2026,3,9),tblDaily[WardCode],"CW")=0,"",SUMIFS(tblDaily[Admissions],tblDaily[EntryDate],DATE(2026,3,9),tblDaily[WardCode],"CW")),"")</f>
        <v/>
      </c>
      <c r="C93" s="5" t="str">
        <f>IFERROR(IF(SUMIFS(tblDaily[Discharges],tblDaily[EntryDate],DATE(2026,3,9),tblDaily[WardCode],"CW")=0,"",SUMIFS(tblDaily[Discharges],tblDaily[EntryDate],DATE(2026,3,9),tblDaily[WardCode],"CW")),"")</f>
        <v/>
      </c>
      <c r="D93" s="5" t="str">
        <f>IFERROR(IF(SUMIFS(tblDaily[Deaths],tblDaily[EntryDate],DATE(2026,3,9),tblDaily[WardCode],"CW")=0,"",SUMIFS(tblDaily[Deaths],tblDaily[EntryDate],DATE(2026,3,9),tblDaily[WardCode],"CW")),"")</f>
        <v/>
      </c>
      <c r="E93" s="5" t="str">
        <f>IFERROR(IF(SUMIFS(tblDaily[DeathsUnder24Hrs],tblDaily[EntryDate],DATE(2026,3,9),tblDaily[WardCode],"CW")=0,"",SUMIFS(tblDaily[DeathsUnder24Hrs],tblDaily[EntryDate],DATE(2026,3,9),tblDaily[WardCode],"CW")),"")</f>
        <v/>
      </c>
      <c r="F93" s="5" t="str">
        <f>IFERROR(IF(SUMIFS(tblDaily[TransfersIn],tblDaily[EntryDate],DATE(2026,3,9),tblDaily[WardCode],"CW")=0,"",SUMIFS(tblDaily[TransfersIn],tblDaily[EntryDate],DATE(2026,3,9),tblDaily[WardCode],"CW")),"")</f>
        <v/>
      </c>
      <c r="G93" s="5" t="str">
        <f>IFERROR(IF(SUMIFS(tblDaily[TransfersOut],tblDaily[EntryDate],DATE(2026,3,9),tblDaily[WardCode],"CW")=0,"",SUMIFS(tblDaily[TransfersOut],tblDaily[EntryDate],DATE(2026,3,9),tblDaily[WardCode],"CW")),"")</f>
        <v/>
      </c>
      <c r="H93" s="5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IFERROR(IF(SUMIFS(tblDaily[Admissions],tblDaily[EntryDate],DATE(2026,3,10),tblDaily[WardCode],"CW")=0,"",SUMIFS(tblDaily[Admissions],tblDaily[EntryDate],DATE(2026,3,10),tblDaily[WardCode],"CW")),"")</f>
        <v/>
      </c>
      <c r="C94" s="5" t="str">
        <f>IFERROR(IF(SUMIFS(tblDaily[Discharges],tblDaily[EntryDate],DATE(2026,3,10),tblDaily[WardCode],"CW")=0,"",SUMIFS(tblDaily[Discharges],tblDaily[EntryDate],DATE(2026,3,10),tblDaily[WardCode],"CW")),"")</f>
        <v/>
      </c>
      <c r="D94" s="5" t="str">
        <f>IFERROR(IF(SUMIFS(tblDaily[Deaths],tblDaily[EntryDate],DATE(2026,3,10),tblDaily[WardCode],"CW")=0,"",SUMIFS(tblDaily[Deaths],tblDaily[EntryDate],DATE(2026,3,10),tblDaily[WardCode],"CW")),"")</f>
        <v/>
      </c>
      <c r="E94" s="5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5" t="str">
        <f>IFERROR(IF(SUMIFS(tblDaily[TransfersIn],tblDaily[EntryDate],DATE(2026,3,10),tblDaily[WardCode],"CW")=0,"",SUMIFS(tblDaily[TransfersIn],tblDaily[EntryDate],DATE(2026,3,10),tblDaily[WardCode],"CW")),"")</f>
        <v/>
      </c>
      <c r="G94" s="5" t="str">
        <f>IFERROR(IF(SUMIFS(tblDaily[TransfersOut],tblDaily[EntryDate],DATE(2026,3,10),tblDaily[WardCode],"CW")=0,"",SUMIFS(tblDaily[TransfersOut],tblDaily[EntryDate],DATE(2026,3,10),tblDaily[WardCode],"CW")),"")</f>
        <v/>
      </c>
      <c r="H94" s="5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IFERROR(IF(SUMIFS(tblDaily[Admissions],tblDaily[EntryDate],DATE(2026,3,11),tblDaily[WardCode],"CW")=0,"",SUMIFS(tblDaily[Admissions],tblDaily[EntryDate],DATE(2026,3,11),tblDaily[WardCode],"CW")),"")</f>
        <v/>
      </c>
      <c r="C95" s="5" t="str">
        <f>IFERROR(IF(SUMIFS(tblDaily[Discharges],tblDaily[EntryDate],DATE(2026,3,11),tblDaily[WardCode],"CW")=0,"",SUMIFS(tblDaily[Discharges],tblDaily[EntryDate],DATE(2026,3,11),tblDaily[WardCode],"CW")),"")</f>
        <v/>
      </c>
      <c r="D95" s="5" t="str">
        <f>IFERROR(IF(SUMIFS(tblDaily[Deaths],tblDaily[EntryDate],DATE(2026,3,11),tblDaily[WardCode],"CW")=0,"",SUMIFS(tblDaily[Deaths],tblDaily[EntryDate],DATE(2026,3,11),tblDaily[WardCode],"CW")),"")</f>
        <v/>
      </c>
      <c r="E95" s="5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5" t="str">
        <f>IFERROR(IF(SUMIFS(tblDaily[TransfersIn],tblDaily[EntryDate],DATE(2026,3,11),tblDaily[WardCode],"CW")=0,"",SUMIFS(tblDaily[TransfersIn],tblDaily[EntryDate],DATE(2026,3,11),tblDaily[WardCode],"CW")),"")</f>
        <v/>
      </c>
      <c r="G95" s="5" t="str">
        <f>IFERROR(IF(SUMIFS(tblDaily[TransfersOut],tblDaily[EntryDate],DATE(2026,3,11),tblDaily[WardCode],"CW")=0,"",SUMIFS(tblDaily[TransfersOut],tblDaily[EntryDate],DATE(2026,3,11),tblDaily[WardCode],"CW")),"")</f>
        <v/>
      </c>
      <c r="H95" s="5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IFERROR(IF(SUMIFS(tblDaily[Admissions],tblDaily[EntryDate],DATE(2026,3,12),tblDaily[WardCode],"CW")=0,"",SUMIFS(tblDaily[Admissions],tblDaily[EntryDate],DATE(2026,3,12),tblDaily[WardCode],"CW")),"")</f>
        <v/>
      </c>
      <c r="C96" s="5" t="str">
        <f>IFERROR(IF(SUMIFS(tblDaily[Discharges],tblDaily[EntryDate],DATE(2026,3,12),tblDaily[WardCode],"CW")=0,"",SUMIFS(tblDaily[Discharges],tblDaily[EntryDate],DATE(2026,3,12),tblDaily[WardCode],"CW")),"")</f>
        <v/>
      </c>
      <c r="D96" s="5" t="str">
        <f>IFERROR(IF(SUMIFS(tblDaily[Deaths],tblDaily[EntryDate],DATE(2026,3,12),tblDaily[WardCode],"CW")=0,"",SUMIFS(tblDaily[Deaths],tblDaily[EntryDate],DATE(2026,3,12),tblDaily[WardCode],"CW")),"")</f>
        <v/>
      </c>
      <c r="E96" s="5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5" t="str">
        <f>IFERROR(IF(SUMIFS(tblDaily[TransfersIn],tblDaily[EntryDate],DATE(2026,3,12),tblDaily[WardCode],"CW")=0,"",SUMIFS(tblDaily[TransfersIn],tblDaily[EntryDate],DATE(2026,3,12),tblDaily[WardCode],"CW")),"")</f>
        <v/>
      </c>
      <c r="G96" s="5" t="str">
        <f>IFERROR(IF(SUMIFS(tblDaily[TransfersOut],tblDaily[EntryDate],DATE(2026,3,12),tblDaily[WardCode],"CW")=0,"",SUMIFS(tblDaily[TransfersOut],tblDaily[EntryDate],DATE(2026,3,12),tblDaily[WardCode],"CW")),"")</f>
        <v/>
      </c>
      <c r="H96" s="5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IFERROR(IF(SUMIFS(tblDaily[Admissions],tblDaily[EntryDate],DATE(2026,3,13),tblDaily[WardCode],"CW")=0,"",SUMIFS(tblDaily[Admissions],tblDaily[EntryDate],DATE(2026,3,13),tblDaily[WardCode],"CW")),"")</f>
        <v/>
      </c>
      <c r="C97" s="5" t="str">
        <f>IFERROR(IF(SUMIFS(tblDaily[Discharges],tblDaily[EntryDate],DATE(2026,3,13),tblDaily[WardCode],"CW")=0,"",SUMIFS(tblDaily[Discharges],tblDaily[EntryDate],DATE(2026,3,13),tblDaily[WardCode],"CW")),"")</f>
        <v/>
      </c>
      <c r="D97" s="5" t="str">
        <f>IFERROR(IF(SUMIFS(tblDaily[Deaths],tblDaily[EntryDate],DATE(2026,3,13),tblDaily[WardCode],"CW")=0,"",SUMIFS(tblDaily[Deaths],tblDaily[EntryDate],DATE(2026,3,13),tblDaily[WardCode],"CW")),"")</f>
        <v/>
      </c>
      <c r="E97" s="5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5" t="str">
        <f>IFERROR(IF(SUMIFS(tblDaily[TransfersIn],tblDaily[EntryDate],DATE(2026,3,13),tblDaily[WardCode],"CW")=0,"",SUMIFS(tblDaily[TransfersIn],tblDaily[EntryDate],DATE(2026,3,13),tblDaily[WardCode],"CW")),"")</f>
        <v/>
      </c>
      <c r="G97" s="5" t="str">
        <f>IFERROR(IF(SUMIFS(tblDaily[TransfersOut],tblDaily[EntryDate],DATE(2026,3,13),tblDaily[WardCode],"CW")=0,"",SUMIFS(tblDaily[TransfersOut],tblDaily[EntryDate],DATE(2026,3,13),tblDaily[WardCode],"CW")),"")</f>
        <v/>
      </c>
      <c r="H97" s="5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IFERROR(IF(SUMIFS(tblDaily[Admissions],tblDaily[EntryDate],DATE(2026,3,14),tblDaily[WardCode],"CW")=0,"",SUMIFS(tblDaily[Admissions],tblDaily[EntryDate],DATE(2026,3,14),tblDaily[WardCode],"CW")),"")</f>
        <v/>
      </c>
      <c r="C98" s="5" t="str">
        <f>IFERROR(IF(SUMIFS(tblDaily[Discharges],tblDaily[EntryDate],DATE(2026,3,14),tblDaily[WardCode],"CW")=0,"",SUMIFS(tblDaily[Discharges],tblDaily[EntryDate],DATE(2026,3,14),tblDaily[WardCode],"CW")),"")</f>
        <v/>
      </c>
      <c r="D98" s="5" t="str">
        <f>IFERROR(IF(SUMIFS(tblDaily[Deaths],tblDaily[EntryDate],DATE(2026,3,14),tblDaily[WardCode],"CW")=0,"",SUMIFS(tblDaily[Deaths],tblDaily[EntryDate],DATE(2026,3,14),tblDaily[WardCode],"CW")),"")</f>
        <v/>
      </c>
      <c r="E98" s="5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5" t="str">
        <f>IFERROR(IF(SUMIFS(tblDaily[TransfersIn],tblDaily[EntryDate],DATE(2026,3,14),tblDaily[WardCode],"CW")=0,"",SUMIFS(tblDaily[TransfersIn],tblDaily[EntryDate],DATE(2026,3,14),tblDaily[WardCode],"CW")),"")</f>
        <v/>
      </c>
      <c r="G98" s="5" t="str">
        <f>IFERROR(IF(SUMIFS(tblDaily[TransfersOut],tblDaily[EntryDate],DATE(2026,3,14),tblDaily[WardCode],"CW")=0,"",SUMIFS(tblDaily[TransfersOut],tblDaily[EntryDate],DATE(2026,3,14),tblDaily[WardCode],"CW")),"")</f>
        <v/>
      </c>
      <c r="H98" s="5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IFERROR(IF(SUMIFS(tblDaily[Admissions],tblDaily[EntryDate],DATE(2026,3,15),tblDaily[WardCode],"CW")=0,"",SUMIFS(tblDaily[Admissions],tblDaily[EntryDate],DATE(2026,3,15),tblDaily[WardCode],"CW")),"")</f>
        <v/>
      </c>
      <c r="C99" s="5" t="str">
        <f>IFERROR(IF(SUMIFS(tblDaily[Discharges],tblDaily[EntryDate],DATE(2026,3,15),tblDaily[WardCode],"CW")=0,"",SUMIFS(tblDaily[Discharges],tblDaily[EntryDate],DATE(2026,3,15),tblDaily[WardCode],"CW")),"")</f>
        <v/>
      </c>
      <c r="D99" s="5" t="str">
        <f>IFERROR(IF(SUMIFS(tblDaily[Deaths],tblDaily[EntryDate],DATE(2026,3,15),tblDaily[WardCode],"CW")=0,"",SUMIFS(tblDaily[Deaths],tblDaily[EntryDate],DATE(2026,3,15),tblDaily[WardCode],"CW")),"")</f>
        <v/>
      </c>
      <c r="E99" s="5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5" t="str">
        <f>IFERROR(IF(SUMIFS(tblDaily[TransfersIn],tblDaily[EntryDate],DATE(2026,3,15),tblDaily[WardCode],"CW")=0,"",SUMIFS(tblDaily[TransfersIn],tblDaily[EntryDate],DATE(2026,3,15),tblDaily[WardCode],"CW")),"")</f>
        <v/>
      </c>
      <c r="G99" s="5" t="str">
        <f>IFERROR(IF(SUMIFS(tblDaily[TransfersOut],tblDaily[EntryDate],DATE(2026,3,15),tblDaily[WardCode],"CW")=0,"",SUMIFS(tblDaily[TransfersOut],tblDaily[EntryDate],DATE(2026,3,15),tblDaily[WardCode],"CW")),"")</f>
        <v/>
      </c>
      <c r="H99" s="5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IFERROR(IF(SUMIFS(tblDaily[Admissions],tblDaily[EntryDate],DATE(2026,3,16),tblDaily[WardCode],"CW")=0,"",SUMIFS(tblDaily[Admissions],tblDaily[EntryDate],DATE(2026,3,16),tblDaily[WardCode],"CW")),"")</f>
        <v/>
      </c>
      <c r="C100" s="5" t="str">
        <f>IFERROR(IF(SUMIFS(tblDaily[Discharges],tblDaily[EntryDate],DATE(2026,3,16),tblDaily[WardCode],"CW")=0,"",SUMIFS(tblDaily[Discharges],tblDaily[EntryDate],DATE(2026,3,16),tblDaily[WardCode],"CW")),"")</f>
        <v/>
      </c>
      <c r="D100" s="5" t="str">
        <f>IFERROR(IF(SUMIFS(tblDaily[Deaths],tblDaily[EntryDate],DATE(2026,3,16),tblDaily[WardCode],"CW")=0,"",SUMIFS(tblDaily[Deaths],tblDaily[EntryDate],DATE(2026,3,16),tblDaily[WardCode],"CW")),"")</f>
        <v/>
      </c>
      <c r="E100" s="5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5" t="str">
        <f>IFERROR(IF(SUMIFS(tblDaily[TransfersIn],tblDaily[EntryDate],DATE(2026,3,16),tblDaily[WardCode],"CW")=0,"",SUMIFS(tblDaily[TransfersIn],tblDaily[EntryDate],DATE(2026,3,16),tblDaily[WardCode],"CW")),"")</f>
        <v/>
      </c>
      <c r="G100" s="5" t="str">
        <f>IFERROR(IF(SUMIFS(tblDaily[TransfersOut],tblDaily[EntryDate],DATE(2026,3,16),tblDaily[WardCode],"CW")=0,"",SUMIFS(tblDaily[TransfersOut],tblDaily[EntryDate],DATE(2026,3,16),tblDaily[WardCode],"CW")),"")</f>
        <v/>
      </c>
      <c r="H100" s="5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IFERROR(IF(SUMIFS(tblDaily[Admissions],tblDaily[EntryDate],DATE(2026,3,17),tblDaily[WardCode],"CW")=0,"",SUMIFS(tblDaily[Admissions],tblDaily[EntryDate],DATE(2026,3,17),tblDaily[WardCode],"CW")),"")</f>
        <v/>
      </c>
      <c r="C101" s="5" t="str">
        <f>IFERROR(IF(SUMIFS(tblDaily[Discharges],tblDaily[EntryDate],DATE(2026,3,17),tblDaily[WardCode],"CW")=0,"",SUMIFS(tblDaily[Discharges],tblDaily[EntryDate],DATE(2026,3,17),tblDaily[WardCode],"CW")),"")</f>
        <v/>
      </c>
      <c r="D101" s="5" t="str">
        <f>IFERROR(IF(SUMIFS(tblDaily[Deaths],tblDaily[EntryDate],DATE(2026,3,17),tblDaily[WardCode],"CW")=0,"",SUMIFS(tblDaily[Deaths],tblDaily[EntryDate],DATE(2026,3,17),tblDaily[WardCode],"CW")),"")</f>
        <v/>
      </c>
      <c r="E101" s="5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5" t="str">
        <f>IFERROR(IF(SUMIFS(tblDaily[TransfersIn],tblDaily[EntryDate],DATE(2026,3,17),tblDaily[WardCode],"CW")=0,"",SUMIFS(tblDaily[TransfersIn],tblDaily[EntryDate],DATE(2026,3,17),tblDaily[WardCode],"CW")),"")</f>
        <v/>
      </c>
      <c r="G101" s="5" t="str">
        <f>IFERROR(IF(SUMIFS(tblDaily[TransfersOut],tblDaily[EntryDate],DATE(2026,3,17),tblDaily[WardCode],"CW")=0,"",SUMIFS(tblDaily[TransfersOut],tblDaily[EntryDate],DATE(2026,3,17),tblDaily[WardCode],"CW")),"")</f>
        <v/>
      </c>
      <c r="H101" s="5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IFERROR(IF(SUMIFS(tblDaily[Admissions],tblDaily[EntryDate],DATE(2026,3,18),tblDaily[WardCode],"CW")=0,"",SUMIFS(tblDaily[Admissions],tblDaily[EntryDate],DATE(2026,3,18),tblDaily[WardCode],"CW")),"")</f>
        <v/>
      </c>
      <c r="C102" s="5" t="str">
        <f>IFERROR(IF(SUMIFS(tblDaily[Discharges],tblDaily[EntryDate],DATE(2026,3,18),tblDaily[WardCode],"CW")=0,"",SUMIFS(tblDaily[Discharges],tblDaily[EntryDate],DATE(2026,3,18),tblDaily[WardCode],"CW")),"")</f>
        <v/>
      </c>
      <c r="D102" s="5" t="str">
        <f>IFERROR(IF(SUMIFS(tblDaily[Deaths],tblDaily[EntryDate],DATE(2026,3,18),tblDaily[WardCode],"CW")=0,"",SUMIFS(tblDaily[Deaths],tblDaily[EntryDate],DATE(2026,3,18),tblDaily[WardCode],"CW")),"")</f>
        <v/>
      </c>
      <c r="E102" s="5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5" t="str">
        <f>IFERROR(IF(SUMIFS(tblDaily[TransfersIn],tblDaily[EntryDate],DATE(2026,3,18),tblDaily[WardCode],"CW")=0,"",SUMIFS(tblDaily[TransfersIn],tblDaily[EntryDate],DATE(2026,3,18),tblDaily[WardCode],"CW")),"")</f>
        <v/>
      </c>
      <c r="G102" s="5" t="str">
        <f>IFERROR(IF(SUMIFS(tblDaily[TransfersOut],tblDaily[EntryDate],DATE(2026,3,18),tblDaily[WardCode],"CW")=0,"",SUMIFS(tblDaily[TransfersOut],tblDaily[EntryDate],DATE(2026,3,18),tblDaily[WardCode],"CW")),"")</f>
        <v/>
      </c>
      <c r="H102" s="5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IFERROR(IF(SUMIFS(tblDaily[Admissions],tblDaily[EntryDate],DATE(2026,3,19),tblDaily[WardCode],"CW")=0,"",SUMIFS(tblDaily[Admissions],tblDaily[EntryDate],DATE(2026,3,19),tblDaily[WardCode],"CW")),"")</f>
        <v/>
      </c>
      <c r="C103" s="5" t="str">
        <f>IFERROR(IF(SUMIFS(tblDaily[Discharges],tblDaily[EntryDate],DATE(2026,3,19),tblDaily[WardCode],"CW")=0,"",SUMIFS(tblDaily[Discharges],tblDaily[EntryDate],DATE(2026,3,19),tblDaily[WardCode],"CW")),"")</f>
        <v/>
      </c>
      <c r="D103" s="5" t="str">
        <f>IFERROR(IF(SUMIFS(tblDaily[Deaths],tblDaily[EntryDate],DATE(2026,3,19),tblDaily[WardCode],"CW")=0,"",SUMIFS(tblDaily[Deaths],tblDaily[EntryDate],DATE(2026,3,19),tblDaily[WardCode],"CW")),"")</f>
        <v/>
      </c>
      <c r="E103" s="5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5" t="str">
        <f>IFERROR(IF(SUMIFS(tblDaily[TransfersIn],tblDaily[EntryDate],DATE(2026,3,19),tblDaily[WardCode],"CW")=0,"",SUMIFS(tblDaily[TransfersIn],tblDaily[EntryDate],DATE(2026,3,19),tblDaily[WardCode],"CW")),"")</f>
        <v/>
      </c>
      <c r="G103" s="5" t="str">
        <f>IFERROR(IF(SUMIFS(tblDaily[TransfersOut],tblDaily[EntryDate],DATE(2026,3,19),tblDaily[WardCode],"CW")=0,"",SUMIFS(tblDaily[TransfersOut],tblDaily[EntryDate],DATE(2026,3,19),tblDaily[WardCode],"CW")),"")</f>
        <v/>
      </c>
      <c r="H103" s="5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IFERROR(IF(SUMIFS(tblDaily[Admissions],tblDaily[EntryDate],DATE(2026,3,20),tblDaily[WardCode],"CW")=0,"",SUMIFS(tblDaily[Admissions],tblDaily[EntryDate],DATE(2026,3,20),tblDaily[WardCode],"CW")),"")</f>
        <v/>
      </c>
      <c r="C104" s="5" t="str">
        <f>IFERROR(IF(SUMIFS(tblDaily[Discharges],tblDaily[EntryDate],DATE(2026,3,20),tblDaily[WardCode],"CW")=0,"",SUMIFS(tblDaily[Discharges],tblDaily[EntryDate],DATE(2026,3,20),tblDaily[WardCode],"CW")),"")</f>
        <v/>
      </c>
      <c r="D104" s="5" t="str">
        <f>IFERROR(IF(SUMIFS(tblDaily[Deaths],tblDaily[EntryDate],DATE(2026,3,20),tblDaily[WardCode],"CW")=0,"",SUMIFS(tblDaily[Deaths],tblDaily[EntryDate],DATE(2026,3,20),tblDaily[WardCode],"CW")),"")</f>
        <v/>
      </c>
      <c r="E104" s="5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5" t="str">
        <f>IFERROR(IF(SUMIFS(tblDaily[TransfersIn],tblDaily[EntryDate],DATE(2026,3,20),tblDaily[WardCode],"CW")=0,"",SUMIFS(tblDaily[TransfersIn],tblDaily[EntryDate],DATE(2026,3,20),tblDaily[WardCode],"CW")),"")</f>
        <v/>
      </c>
      <c r="G104" s="5" t="str">
        <f>IFERROR(IF(SUMIFS(tblDaily[TransfersOut],tblDaily[EntryDate],DATE(2026,3,20),tblDaily[WardCode],"CW")=0,"",SUMIFS(tblDaily[TransfersOut],tblDaily[EntryDate],DATE(2026,3,20),tblDaily[WardCode],"CW")),"")</f>
        <v/>
      </c>
      <c r="H104" s="5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IFERROR(IF(SUMIFS(tblDaily[Admissions],tblDaily[EntryDate],DATE(2026,3,21),tblDaily[WardCode],"CW")=0,"",SUMIFS(tblDaily[Admissions],tblDaily[EntryDate],DATE(2026,3,21),tblDaily[WardCode],"CW")),"")</f>
        <v/>
      </c>
      <c r="C105" s="5" t="str">
        <f>IFERROR(IF(SUMIFS(tblDaily[Discharges],tblDaily[EntryDate],DATE(2026,3,21),tblDaily[WardCode],"CW")=0,"",SUMIFS(tblDaily[Discharges],tblDaily[EntryDate],DATE(2026,3,21),tblDaily[WardCode],"CW")),"")</f>
        <v/>
      </c>
      <c r="D105" s="5" t="str">
        <f>IFERROR(IF(SUMIFS(tblDaily[Deaths],tblDaily[EntryDate],DATE(2026,3,21),tblDaily[WardCode],"CW")=0,"",SUMIFS(tblDaily[Deaths],tblDaily[EntryDate],DATE(2026,3,21),tblDaily[WardCode],"CW")),"")</f>
        <v/>
      </c>
      <c r="E105" s="5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5" t="str">
        <f>IFERROR(IF(SUMIFS(tblDaily[TransfersIn],tblDaily[EntryDate],DATE(2026,3,21),tblDaily[WardCode],"CW")=0,"",SUMIFS(tblDaily[TransfersIn],tblDaily[EntryDate],DATE(2026,3,21),tblDaily[WardCode],"CW")),"")</f>
        <v/>
      </c>
      <c r="G105" s="5" t="str">
        <f>IFERROR(IF(SUMIFS(tblDaily[TransfersOut],tblDaily[EntryDate],DATE(2026,3,21),tblDaily[WardCode],"CW")=0,"",SUMIFS(tblDaily[TransfersOut],tblDaily[EntryDate],DATE(2026,3,21),tblDaily[WardCode],"CW")),"")</f>
        <v/>
      </c>
      <c r="H105" s="5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IFERROR(IF(SUMIFS(tblDaily[Admissions],tblDaily[EntryDate],DATE(2026,3,22),tblDaily[WardCode],"CW")=0,"",SUMIFS(tblDaily[Admissions],tblDaily[EntryDate],DATE(2026,3,22),tblDaily[WardCode],"CW")),"")</f>
        <v/>
      </c>
      <c r="C106" s="5" t="str">
        <f>IFERROR(IF(SUMIFS(tblDaily[Discharges],tblDaily[EntryDate],DATE(2026,3,22),tblDaily[WardCode],"CW")=0,"",SUMIFS(tblDaily[Discharges],tblDaily[EntryDate],DATE(2026,3,22),tblDaily[WardCode],"CW")),"")</f>
        <v/>
      </c>
      <c r="D106" s="5" t="str">
        <f>IFERROR(IF(SUMIFS(tblDaily[Deaths],tblDaily[EntryDate],DATE(2026,3,22),tblDaily[WardCode],"CW")=0,"",SUMIFS(tblDaily[Deaths],tblDaily[EntryDate],DATE(2026,3,22),tblDaily[WardCode],"CW")),"")</f>
        <v/>
      </c>
      <c r="E106" s="5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5" t="str">
        <f>IFERROR(IF(SUMIFS(tblDaily[TransfersIn],tblDaily[EntryDate],DATE(2026,3,22),tblDaily[WardCode],"CW")=0,"",SUMIFS(tblDaily[TransfersIn],tblDaily[EntryDate],DATE(2026,3,22),tblDaily[WardCode],"CW")),"")</f>
        <v/>
      </c>
      <c r="G106" s="5" t="str">
        <f>IFERROR(IF(SUMIFS(tblDaily[TransfersOut],tblDaily[EntryDate],DATE(2026,3,22),tblDaily[WardCode],"CW")=0,"",SUMIFS(tblDaily[TransfersOut],tblDaily[EntryDate],DATE(2026,3,22),tblDaily[WardCode],"CW")),"")</f>
        <v/>
      </c>
      <c r="H106" s="5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IFERROR(IF(SUMIFS(tblDaily[Admissions],tblDaily[EntryDate],DATE(2026,3,23),tblDaily[WardCode],"CW")=0,"",SUMIFS(tblDaily[Admissions],tblDaily[EntryDate],DATE(2026,3,23),tblDaily[WardCode],"CW")),"")</f>
        <v/>
      </c>
      <c r="C107" s="5" t="str">
        <f>IFERROR(IF(SUMIFS(tblDaily[Discharges],tblDaily[EntryDate],DATE(2026,3,23),tblDaily[WardCode],"CW")=0,"",SUMIFS(tblDaily[Discharges],tblDaily[EntryDate],DATE(2026,3,23),tblDaily[WardCode],"CW")),"")</f>
        <v/>
      </c>
      <c r="D107" s="5" t="str">
        <f>IFERROR(IF(SUMIFS(tblDaily[Deaths],tblDaily[EntryDate],DATE(2026,3,23),tblDaily[WardCode],"CW")=0,"",SUMIFS(tblDaily[Deaths],tblDaily[EntryDate],DATE(2026,3,23),tblDaily[WardCode],"CW")),"")</f>
        <v/>
      </c>
      <c r="E107" s="5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5" t="str">
        <f>IFERROR(IF(SUMIFS(tblDaily[TransfersIn],tblDaily[EntryDate],DATE(2026,3,23),tblDaily[WardCode],"CW")=0,"",SUMIFS(tblDaily[TransfersIn],tblDaily[EntryDate],DATE(2026,3,23),tblDaily[WardCode],"CW")),"")</f>
        <v/>
      </c>
      <c r="G107" s="5" t="str">
        <f>IFERROR(IF(SUMIFS(tblDaily[TransfersOut],tblDaily[EntryDate],DATE(2026,3,23),tblDaily[WardCode],"CW")=0,"",SUMIFS(tblDaily[TransfersOut],tblDaily[EntryDate],DATE(2026,3,23),tblDaily[WardCode],"CW")),"")</f>
        <v/>
      </c>
      <c r="H107" s="5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IFERROR(IF(SUMIFS(tblDaily[Admissions],tblDaily[EntryDate],DATE(2026,3,24),tblDaily[WardCode],"CW")=0,"",SUMIFS(tblDaily[Admissions],tblDaily[EntryDate],DATE(2026,3,24),tblDaily[WardCode],"CW")),"")</f>
        <v/>
      </c>
      <c r="C108" s="5" t="str">
        <f>IFERROR(IF(SUMIFS(tblDaily[Discharges],tblDaily[EntryDate],DATE(2026,3,24),tblDaily[WardCode],"CW")=0,"",SUMIFS(tblDaily[Discharges],tblDaily[EntryDate],DATE(2026,3,24),tblDaily[WardCode],"CW")),"")</f>
        <v/>
      </c>
      <c r="D108" s="5" t="str">
        <f>IFERROR(IF(SUMIFS(tblDaily[Deaths],tblDaily[EntryDate],DATE(2026,3,24),tblDaily[WardCode],"CW")=0,"",SUMIFS(tblDaily[Deaths],tblDaily[EntryDate],DATE(2026,3,24),tblDaily[WardCode],"CW")),"")</f>
        <v/>
      </c>
      <c r="E108" s="5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5" t="str">
        <f>IFERROR(IF(SUMIFS(tblDaily[TransfersIn],tblDaily[EntryDate],DATE(2026,3,24),tblDaily[WardCode],"CW")=0,"",SUMIFS(tblDaily[TransfersIn],tblDaily[EntryDate],DATE(2026,3,24),tblDaily[WardCode],"CW")),"")</f>
        <v/>
      </c>
      <c r="G108" s="5" t="str">
        <f>IFERROR(IF(SUMIFS(tblDaily[TransfersOut],tblDaily[EntryDate],DATE(2026,3,24),tblDaily[WardCode],"CW")=0,"",SUMIFS(tblDaily[TransfersOut],tblDaily[EntryDate],DATE(2026,3,24),tblDaily[WardCode],"CW")),"")</f>
        <v/>
      </c>
      <c r="H108" s="5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IFERROR(IF(SUMIFS(tblDaily[Admissions],tblDaily[EntryDate],DATE(2026,3,25),tblDaily[WardCode],"CW")=0,"",SUMIFS(tblDaily[Admissions],tblDaily[EntryDate],DATE(2026,3,25),tblDaily[WardCode],"CW")),"")</f>
        <v/>
      </c>
      <c r="C109" s="5" t="str">
        <f>IFERROR(IF(SUMIFS(tblDaily[Discharges],tblDaily[EntryDate],DATE(2026,3,25),tblDaily[WardCode],"CW")=0,"",SUMIFS(tblDaily[Discharges],tblDaily[EntryDate],DATE(2026,3,25),tblDaily[WardCode],"CW")),"")</f>
        <v/>
      </c>
      <c r="D109" s="5" t="str">
        <f>IFERROR(IF(SUMIFS(tblDaily[Deaths],tblDaily[EntryDate],DATE(2026,3,25),tblDaily[WardCode],"CW")=0,"",SUMIFS(tblDaily[Deaths],tblDaily[EntryDate],DATE(2026,3,25),tblDaily[WardCode],"CW")),"")</f>
        <v/>
      </c>
      <c r="E109" s="5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5" t="str">
        <f>IFERROR(IF(SUMIFS(tblDaily[TransfersIn],tblDaily[EntryDate],DATE(2026,3,25),tblDaily[WardCode],"CW")=0,"",SUMIFS(tblDaily[TransfersIn],tblDaily[EntryDate],DATE(2026,3,25),tblDaily[WardCode],"CW")),"")</f>
        <v/>
      </c>
      <c r="G109" s="5" t="str">
        <f>IFERROR(IF(SUMIFS(tblDaily[TransfersOut],tblDaily[EntryDate],DATE(2026,3,25),tblDaily[WardCode],"CW")=0,"",SUMIFS(tblDaily[TransfersOut],tblDaily[EntryDate],DATE(2026,3,25),tblDaily[WardCode],"CW")),"")</f>
        <v/>
      </c>
      <c r="H109" s="5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IFERROR(IF(SUMIFS(tblDaily[Admissions],tblDaily[EntryDate],DATE(2026,3,26),tblDaily[WardCode],"CW")=0,"",SUMIFS(tblDaily[Admissions],tblDaily[EntryDate],DATE(2026,3,26),tblDaily[WardCode],"CW")),"")</f>
        <v/>
      </c>
      <c r="C110" s="5" t="str">
        <f>IFERROR(IF(SUMIFS(tblDaily[Discharges],tblDaily[EntryDate],DATE(2026,3,26),tblDaily[WardCode],"CW")=0,"",SUMIFS(tblDaily[Discharges],tblDaily[EntryDate],DATE(2026,3,26),tblDaily[WardCode],"CW")),"")</f>
        <v/>
      </c>
      <c r="D110" s="5" t="str">
        <f>IFERROR(IF(SUMIFS(tblDaily[Deaths],tblDaily[EntryDate],DATE(2026,3,26),tblDaily[WardCode],"CW")=0,"",SUMIFS(tblDaily[Deaths],tblDaily[EntryDate],DATE(2026,3,26),tblDaily[WardCode],"CW")),"")</f>
        <v/>
      </c>
      <c r="E110" s="5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5" t="str">
        <f>IFERROR(IF(SUMIFS(tblDaily[TransfersIn],tblDaily[EntryDate],DATE(2026,3,26),tblDaily[WardCode],"CW")=0,"",SUMIFS(tblDaily[TransfersIn],tblDaily[EntryDate],DATE(2026,3,26),tblDaily[WardCode],"CW")),"")</f>
        <v/>
      </c>
      <c r="G110" s="5" t="str">
        <f>IFERROR(IF(SUMIFS(tblDaily[TransfersOut],tblDaily[EntryDate],DATE(2026,3,26),tblDaily[WardCode],"CW")=0,"",SUMIFS(tblDaily[TransfersOut],tblDaily[EntryDate],DATE(2026,3,26),tblDaily[WardCode],"CW")),"")</f>
        <v/>
      </c>
      <c r="H110" s="5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IFERROR(IF(SUMIFS(tblDaily[Admissions],tblDaily[EntryDate],DATE(2026,3,27),tblDaily[WardCode],"CW")=0,"",SUMIFS(tblDaily[Admissions],tblDaily[EntryDate],DATE(2026,3,27),tblDaily[WardCode],"CW")),"")</f>
        <v/>
      </c>
      <c r="C111" s="5" t="str">
        <f>IFERROR(IF(SUMIFS(tblDaily[Discharges],tblDaily[EntryDate],DATE(2026,3,27),tblDaily[WardCode],"CW")=0,"",SUMIFS(tblDaily[Discharges],tblDaily[EntryDate],DATE(2026,3,27),tblDaily[WardCode],"CW")),"")</f>
        <v/>
      </c>
      <c r="D111" s="5" t="str">
        <f>IFERROR(IF(SUMIFS(tblDaily[Deaths],tblDaily[EntryDate],DATE(2026,3,27),tblDaily[WardCode],"CW")=0,"",SUMIFS(tblDaily[Deaths],tblDaily[EntryDate],DATE(2026,3,27),tblDaily[WardCode],"CW")),"")</f>
        <v/>
      </c>
      <c r="E111" s="5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5" t="str">
        <f>IFERROR(IF(SUMIFS(tblDaily[TransfersIn],tblDaily[EntryDate],DATE(2026,3,27),tblDaily[WardCode],"CW")=0,"",SUMIFS(tblDaily[TransfersIn],tblDaily[EntryDate],DATE(2026,3,27),tblDaily[WardCode],"CW")),"")</f>
        <v/>
      </c>
      <c r="G111" s="5" t="str">
        <f>IFERROR(IF(SUMIFS(tblDaily[TransfersOut],tblDaily[EntryDate],DATE(2026,3,27),tblDaily[WardCode],"CW")=0,"",SUMIFS(tblDaily[TransfersOut],tblDaily[EntryDate],DATE(2026,3,27),tblDaily[WardCode],"CW")),"")</f>
        <v/>
      </c>
      <c r="H111" s="5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IFERROR(IF(SUMIFS(tblDaily[Admissions],tblDaily[EntryDate],DATE(2026,3,28),tblDaily[WardCode],"CW")=0,"",SUMIFS(tblDaily[Admissions],tblDaily[EntryDate],DATE(2026,3,28),tblDaily[WardCode],"CW")),"")</f>
        <v/>
      </c>
      <c r="C112" s="5" t="str">
        <f>IFERROR(IF(SUMIFS(tblDaily[Discharges],tblDaily[EntryDate],DATE(2026,3,28),tblDaily[WardCode],"CW")=0,"",SUMIFS(tblDaily[Discharges],tblDaily[EntryDate],DATE(2026,3,28),tblDaily[WardCode],"CW")),"")</f>
        <v/>
      </c>
      <c r="D112" s="5" t="str">
        <f>IFERROR(IF(SUMIFS(tblDaily[Deaths],tblDaily[EntryDate],DATE(2026,3,28),tblDaily[WardCode],"CW")=0,"",SUMIFS(tblDaily[Deaths],tblDaily[EntryDate],DATE(2026,3,28),tblDaily[WardCode],"CW")),"")</f>
        <v/>
      </c>
      <c r="E112" s="5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5" t="str">
        <f>IFERROR(IF(SUMIFS(tblDaily[TransfersIn],tblDaily[EntryDate],DATE(2026,3,28),tblDaily[WardCode],"CW")=0,"",SUMIFS(tblDaily[TransfersIn],tblDaily[EntryDate],DATE(2026,3,28),tblDaily[WardCode],"CW")),"")</f>
        <v/>
      </c>
      <c r="G112" s="5" t="str">
        <f>IFERROR(IF(SUMIFS(tblDaily[TransfersOut],tblDaily[EntryDate],DATE(2026,3,28),tblDaily[WardCode],"CW")=0,"",SUMIFS(tblDaily[TransfersOut],tblDaily[EntryDate],DATE(2026,3,28),tblDaily[WardCode],"CW")),"")</f>
        <v/>
      </c>
      <c r="H112" s="5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IFERROR(IF(SUMIFS(tblDaily[Admissions],tblDaily[EntryDate],DATE(2026,3,29),tblDaily[WardCode],"CW")=0,"",SUMIFS(tblDaily[Admissions],tblDaily[EntryDate],DATE(2026,3,29),tblDaily[WardCode],"CW")),"")</f>
        <v/>
      </c>
      <c r="C113" s="5" t="str">
        <f>IFERROR(IF(SUMIFS(tblDaily[Discharges],tblDaily[EntryDate],DATE(2026,3,29),tblDaily[WardCode],"CW")=0,"",SUMIFS(tblDaily[Discharges],tblDaily[EntryDate],DATE(2026,3,29),tblDaily[WardCode],"CW")),"")</f>
        <v/>
      </c>
      <c r="D113" s="5" t="str">
        <f>IFERROR(IF(SUMIFS(tblDaily[Deaths],tblDaily[EntryDate],DATE(2026,3,29),tblDaily[WardCode],"CW")=0,"",SUMIFS(tblDaily[Deaths],tblDaily[EntryDate],DATE(2026,3,29),tblDaily[WardCode],"CW")),"")</f>
        <v/>
      </c>
      <c r="E113" s="5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5" t="str">
        <f>IFERROR(IF(SUMIFS(tblDaily[TransfersIn],tblDaily[EntryDate],DATE(2026,3,29),tblDaily[WardCode],"CW")=0,"",SUMIFS(tblDaily[TransfersIn],tblDaily[EntryDate],DATE(2026,3,29),tblDaily[WardCode],"CW")),"")</f>
        <v/>
      </c>
      <c r="G113" s="5" t="str">
        <f>IFERROR(IF(SUMIFS(tblDaily[TransfersOut],tblDaily[EntryDate],DATE(2026,3,29),tblDaily[WardCode],"CW")=0,"",SUMIFS(tblDaily[TransfersOut],tblDaily[EntryDate],DATE(2026,3,29),tblDaily[WardCode],"CW")),"")</f>
        <v/>
      </c>
      <c r="H113" s="5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IFERROR(IF(SUMIFS(tblDaily[Admissions],tblDaily[EntryDate],DATE(2026,3,30),tblDaily[WardCode],"CW")=0,"",SUMIFS(tblDaily[Admissions],tblDaily[EntryDate],DATE(2026,3,30),tblDaily[WardCode],"CW")),"")</f>
        <v/>
      </c>
      <c r="C114" s="5" t="str">
        <f>IFERROR(IF(SUMIFS(tblDaily[Discharges],tblDaily[EntryDate],DATE(2026,3,30),tblDaily[WardCode],"CW")=0,"",SUMIFS(tblDaily[Discharges],tblDaily[EntryDate],DATE(2026,3,30),tblDaily[WardCode],"CW")),"")</f>
        <v/>
      </c>
      <c r="D114" s="5" t="str">
        <f>IFERROR(IF(SUMIFS(tblDaily[Deaths],tblDaily[EntryDate],DATE(2026,3,30),tblDaily[WardCode],"CW")=0,"",SUMIFS(tblDaily[Deaths],tblDaily[EntryDate],DATE(2026,3,30),tblDaily[WardCode],"CW")),"")</f>
        <v/>
      </c>
      <c r="E114" s="5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5" t="str">
        <f>IFERROR(IF(SUMIFS(tblDaily[TransfersIn],tblDaily[EntryDate],DATE(2026,3,30),tblDaily[WardCode],"CW")=0,"",SUMIFS(tblDaily[TransfersIn],tblDaily[EntryDate],DATE(2026,3,30),tblDaily[WardCode],"CW")),"")</f>
        <v/>
      </c>
      <c r="G114" s="5" t="str">
        <f>IFERROR(IF(SUMIFS(tblDaily[TransfersOut],tblDaily[EntryDate],DATE(2026,3,30),tblDaily[WardCode],"CW")=0,"",SUMIFS(tblDaily[TransfersOut],tblDaily[EntryDate],DATE(2026,3,30),tblDaily[WardCode],"CW")),"")</f>
        <v/>
      </c>
      <c r="H114" s="5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IFERROR(IF(SUMIFS(tblDaily[Admissions],tblDaily[EntryDate],DATE(2026,3,31),tblDaily[WardCode],"CW")=0,"",SUMIFS(tblDaily[Admissions],tblDaily[EntryDate],DATE(2026,3,31),tblDaily[WardCode],"CW")),"")</f>
        <v/>
      </c>
      <c r="C115" s="5" t="str">
        <f>IFERROR(IF(SUMIFS(tblDaily[Discharges],tblDaily[EntryDate],DATE(2026,3,31),tblDaily[WardCode],"CW")=0,"",SUMIFS(tblDaily[Discharges],tblDaily[EntryDate],DATE(2026,3,31),tblDaily[WardCode],"CW")),"")</f>
        <v/>
      </c>
      <c r="D115" s="5" t="str">
        <f>IFERROR(IF(SUMIFS(tblDaily[Deaths],tblDaily[EntryDate],DATE(2026,3,31),tblDaily[WardCode],"CW")=0,"",SUMIFS(tblDaily[Deaths],tblDaily[EntryDate],DATE(2026,3,31),tblDaily[WardCode],"CW")),"")</f>
        <v/>
      </c>
      <c r="E115" s="5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5" t="str">
        <f>IFERROR(IF(SUMIFS(tblDaily[TransfersIn],tblDaily[EntryDate],DATE(2026,3,31),tblDaily[WardCode],"CW")=0,"",SUMIFS(tblDaily[TransfersIn],tblDaily[EntryDate],DATE(2026,3,31),tblDaily[WardCode],"CW")),"")</f>
        <v/>
      </c>
      <c r="G115" s="5" t="str">
        <f>IFERROR(IF(SUMIFS(tblDaily[TransfersOut],tblDaily[EntryDate],DATE(2026,3,31),tblDaily[WardCode],"CW")=0,"",SUMIFS(tblDaily[TransfersOut],tblDaily[EntryDate],DATE(2026,3,31),tblDaily[WardCode],"CW")),"")</f>
        <v/>
      </c>
      <c r="H115" s="5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95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97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89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IFERROR(IF(SUMIFS(tblDaily[Admissions],tblDaily[EntryDate],DATE(2026,4,1),tblDaily[WardCode],"CW")=0,"",SUMIFS(tblDaily[Admissions],tblDaily[EntryDate],DATE(2026,4,1),tblDaily[WardCode],"CW")),"")</f>
        <v/>
      </c>
      <c r="C124" s="5" t="str">
        <f>IFERROR(IF(SUMIFS(tblDaily[Discharges],tblDaily[EntryDate],DATE(2026,4,1),tblDaily[WardCode],"CW")=0,"",SUMIFS(tblDaily[Discharges],tblDaily[EntryDate],DATE(2026,4,1),tblDaily[WardCode],"CW")),"")</f>
        <v/>
      </c>
      <c r="D124" s="5" t="str">
        <f>IFERROR(IF(SUMIFS(tblDaily[Deaths],tblDaily[EntryDate],DATE(2026,4,1),tblDaily[WardCode],"CW")=0,"",SUMIFS(tblDaily[Deaths],tblDaily[EntryDate],DATE(2026,4,1),tblDaily[WardCode],"CW")),"")</f>
        <v/>
      </c>
      <c r="E124" s="5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5" t="str">
        <f>IFERROR(IF(SUMIFS(tblDaily[TransfersIn],tblDaily[EntryDate],DATE(2026,4,1),tblDaily[WardCode],"CW")=0,"",SUMIFS(tblDaily[TransfersIn],tblDaily[EntryDate],DATE(2026,4,1),tblDaily[WardCode],"CW")),"")</f>
        <v/>
      </c>
      <c r="G124" s="5" t="str">
        <f>IFERROR(IF(SUMIFS(tblDaily[TransfersOut],tblDaily[EntryDate],DATE(2026,4,1),tblDaily[WardCode],"CW")=0,"",SUMIFS(tblDaily[TransfersOut],tblDaily[EntryDate],DATE(2026,4,1),tblDaily[WardCode],"CW")),"")</f>
        <v/>
      </c>
      <c r="H124" s="5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IFERROR(IF(SUMIFS(tblDaily[Admissions],tblDaily[EntryDate],DATE(2026,4,2),tblDaily[WardCode],"CW")=0,"",SUMIFS(tblDaily[Admissions],tblDaily[EntryDate],DATE(2026,4,2),tblDaily[WardCode],"CW")),"")</f>
        <v/>
      </c>
      <c r="C125" s="5" t="str">
        <f>IFERROR(IF(SUMIFS(tblDaily[Discharges],tblDaily[EntryDate],DATE(2026,4,2),tblDaily[WardCode],"CW")=0,"",SUMIFS(tblDaily[Discharges],tblDaily[EntryDate],DATE(2026,4,2),tblDaily[WardCode],"CW")),"")</f>
        <v/>
      </c>
      <c r="D125" s="5" t="str">
        <f>IFERROR(IF(SUMIFS(tblDaily[Deaths],tblDaily[EntryDate],DATE(2026,4,2),tblDaily[WardCode],"CW")=0,"",SUMIFS(tblDaily[Deaths],tblDaily[EntryDate],DATE(2026,4,2),tblDaily[WardCode],"CW")),"")</f>
        <v/>
      </c>
      <c r="E125" s="5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5" t="str">
        <f>IFERROR(IF(SUMIFS(tblDaily[TransfersIn],tblDaily[EntryDate],DATE(2026,4,2),tblDaily[WardCode],"CW")=0,"",SUMIFS(tblDaily[TransfersIn],tblDaily[EntryDate],DATE(2026,4,2),tblDaily[WardCode],"CW")),"")</f>
        <v/>
      </c>
      <c r="G125" s="5" t="str">
        <f>IFERROR(IF(SUMIFS(tblDaily[TransfersOut],tblDaily[EntryDate],DATE(2026,4,2),tblDaily[WardCode],"CW")=0,"",SUMIFS(tblDaily[TransfersOut],tblDaily[EntryDate],DATE(2026,4,2),tblDaily[WardCode],"CW")),"")</f>
        <v/>
      </c>
      <c r="H125" s="5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IFERROR(IF(SUMIFS(tblDaily[Admissions],tblDaily[EntryDate],DATE(2026,4,3),tblDaily[WardCode],"CW")=0,"",SUMIFS(tblDaily[Admissions],tblDaily[EntryDate],DATE(2026,4,3),tblDaily[WardCode],"CW")),"")</f>
        <v/>
      </c>
      <c r="C126" s="5" t="str">
        <f>IFERROR(IF(SUMIFS(tblDaily[Discharges],tblDaily[EntryDate],DATE(2026,4,3),tblDaily[WardCode],"CW")=0,"",SUMIFS(tblDaily[Discharges],tblDaily[EntryDate],DATE(2026,4,3),tblDaily[WardCode],"CW")),"")</f>
        <v/>
      </c>
      <c r="D126" s="5" t="str">
        <f>IFERROR(IF(SUMIFS(tblDaily[Deaths],tblDaily[EntryDate],DATE(2026,4,3),tblDaily[WardCode],"CW")=0,"",SUMIFS(tblDaily[Deaths],tblDaily[EntryDate],DATE(2026,4,3),tblDaily[WardCode],"CW")),"")</f>
        <v/>
      </c>
      <c r="E126" s="5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5" t="str">
        <f>IFERROR(IF(SUMIFS(tblDaily[TransfersIn],tblDaily[EntryDate],DATE(2026,4,3),tblDaily[WardCode],"CW")=0,"",SUMIFS(tblDaily[TransfersIn],tblDaily[EntryDate],DATE(2026,4,3),tblDaily[WardCode],"CW")),"")</f>
        <v/>
      </c>
      <c r="G126" s="5" t="str">
        <f>IFERROR(IF(SUMIFS(tblDaily[TransfersOut],tblDaily[EntryDate],DATE(2026,4,3),tblDaily[WardCode],"CW")=0,"",SUMIFS(tblDaily[TransfersOut],tblDaily[EntryDate],DATE(2026,4,3),tblDaily[WardCode],"CW")),"")</f>
        <v/>
      </c>
      <c r="H126" s="5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IFERROR(IF(SUMIFS(tblDaily[Admissions],tblDaily[EntryDate],DATE(2026,4,4),tblDaily[WardCode],"CW")=0,"",SUMIFS(tblDaily[Admissions],tblDaily[EntryDate],DATE(2026,4,4),tblDaily[WardCode],"CW")),"")</f>
        <v/>
      </c>
      <c r="C127" s="5" t="str">
        <f>IFERROR(IF(SUMIFS(tblDaily[Discharges],tblDaily[EntryDate],DATE(2026,4,4),tblDaily[WardCode],"CW")=0,"",SUMIFS(tblDaily[Discharges],tblDaily[EntryDate],DATE(2026,4,4),tblDaily[WardCode],"CW")),"")</f>
        <v/>
      </c>
      <c r="D127" s="5" t="str">
        <f>IFERROR(IF(SUMIFS(tblDaily[Deaths],tblDaily[EntryDate],DATE(2026,4,4),tblDaily[WardCode],"CW")=0,"",SUMIFS(tblDaily[Deaths],tblDaily[EntryDate],DATE(2026,4,4),tblDaily[WardCode],"CW")),"")</f>
        <v/>
      </c>
      <c r="E127" s="5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5" t="str">
        <f>IFERROR(IF(SUMIFS(tblDaily[TransfersIn],tblDaily[EntryDate],DATE(2026,4,4),tblDaily[WardCode],"CW")=0,"",SUMIFS(tblDaily[TransfersIn],tblDaily[EntryDate],DATE(2026,4,4),tblDaily[WardCode],"CW")),"")</f>
        <v/>
      </c>
      <c r="G127" s="5" t="str">
        <f>IFERROR(IF(SUMIFS(tblDaily[TransfersOut],tblDaily[EntryDate],DATE(2026,4,4),tblDaily[WardCode],"CW")=0,"",SUMIFS(tblDaily[TransfersOut],tblDaily[EntryDate],DATE(2026,4,4),tblDaily[WardCode],"CW")),"")</f>
        <v/>
      </c>
      <c r="H127" s="5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IFERROR(IF(SUMIFS(tblDaily[Admissions],tblDaily[EntryDate],DATE(2026,4,5),tblDaily[WardCode],"CW")=0,"",SUMIFS(tblDaily[Admissions],tblDaily[EntryDate],DATE(2026,4,5),tblDaily[WardCode],"CW")),"")</f>
        <v/>
      </c>
      <c r="C128" s="5" t="str">
        <f>IFERROR(IF(SUMIFS(tblDaily[Discharges],tblDaily[EntryDate],DATE(2026,4,5),tblDaily[WardCode],"CW")=0,"",SUMIFS(tblDaily[Discharges],tblDaily[EntryDate],DATE(2026,4,5),tblDaily[WardCode],"CW")),"")</f>
        <v/>
      </c>
      <c r="D128" s="5" t="str">
        <f>IFERROR(IF(SUMIFS(tblDaily[Deaths],tblDaily[EntryDate],DATE(2026,4,5),tblDaily[WardCode],"CW")=0,"",SUMIFS(tblDaily[Deaths],tblDaily[EntryDate],DATE(2026,4,5),tblDaily[WardCode],"CW")),"")</f>
        <v/>
      </c>
      <c r="E128" s="5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5" t="str">
        <f>IFERROR(IF(SUMIFS(tblDaily[TransfersIn],tblDaily[EntryDate],DATE(2026,4,5),tblDaily[WardCode],"CW")=0,"",SUMIFS(tblDaily[TransfersIn],tblDaily[EntryDate],DATE(2026,4,5),tblDaily[WardCode],"CW")),"")</f>
        <v/>
      </c>
      <c r="G128" s="5" t="str">
        <f>IFERROR(IF(SUMIFS(tblDaily[TransfersOut],tblDaily[EntryDate],DATE(2026,4,5),tblDaily[WardCode],"CW")=0,"",SUMIFS(tblDaily[TransfersOut],tblDaily[EntryDate],DATE(2026,4,5),tblDaily[WardCode],"CW")),"")</f>
        <v/>
      </c>
      <c r="H128" s="5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IFERROR(IF(SUMIFS(tblDaily[Admissions],tblDaily[EntryDate],DATE(2026,4,6),tblDaily[WardCode],"CW")=0,"",SUMIFS(tblDaily[Admissions],tblDaily[EntryDate],DATE(2026,4,6),tblDaily[WardCode],"CW")),"")</f>
        <v/>
      </c>
      <c r="C129" s="5" t="str">
        <f>IFERROR(IF(SUMIFS(tblDaily[Discharges],tblDaily[EntryDate],DATE(2026,4,6),tblDaily[WardCode],"CW")=0,"",SUMIFS(tblDaily[Discharges],tblDaily[EntryDate],DATE(2026,4,6),tblDaily[WardCode],"CW")),"")</f>
        <v/>
      </c>
      <c r="D129" s="5" t="str">
        <f>IFERROR(IF(SUMIFS(tblDaily[Deaths],tblDaily[EntryDate],DATE(2026,4,6),tblDaily[WardCode],"CW")=0,"",SUMIFS(tblDaily[Deaths],tblDaily[EntryDate],DATE(2026,4,6),tblDaily[WardCode],"CW")),"")</f>
        <v/>
      </c>
      <c r="E129" s="5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5" t="str">
        <f>IFERROR(IF(SUMIFS(tblDaily[TransfersIn],tblDaily[EntryDate],DATE(2026,4,6),tblDaily[WardCode],"CW")=0,"",SUMIFS(tblDaily[TransfersIn],tblDaily[EntryDate],DATE(2026,4,6),tblDaily[WardCode],"CW")),"")</f>
        <v/>
      </c>
      <c r="G129" s="5" t="str">
        <f>IFERROR(IF(SUMIFS(tblDaily[TransfersOut],tblDaily[EntryDate],DATE(2026,4,6),tblDaily[WardCode],"CW")=0,"",SUMIFS(tblDaily[TransfersOut],tblDaily[EntryDate],DATE(2026,4,6),tblDaily[WardCode],"CW")),"")</f>
        <v/>
      </c>
      <c r="H129" s="5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IFERROR(IF(SUMIFS(tblDaily[Admissions],tblDaily[EntryDate],DATE(2026,4,7),tblDaily[WardCode],"CW")=0,"",SUMIFS(tblDaily[Admissions],tblDaily[EntryDate],DATE(2026,4,7),tblDaily[WardCode],"CW")),"")</f>
        <v/>
      </c>
      <c r="C130" s="5" t="str">
        <f>IFERROR(IF(SUMIFS(tblDaily[Discharges],tblDaily[EntryDate],DATE(2026,4,7),tblDaily[WardCode],"CW")=0,"",SUMIFS(tblDaily[Discharges],tblDaily[EntryDate],DATE(2026,4,7),tblDaily[WardCode],"CW")),"")</f>
        <v/>
      </c>
      <c r="D130" s="5" t="str">
        <f>IFERROR(IF(SUMIFS(tblDaily[Deaths],tblDaily[EntryDate],DATE(2026,4,7),tblDaily[WardCode],"CW")=0,"",SUMIFS(tblDaily[Deaths],tblDaily[EntryDate],DATE(2026,4,7),tblDaily[WardCode],"CW")),"")</f>
        <v/>
      </c>
      <c r="E130" s="5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5" t="str">
        <f>IFERROR(IF(SUMIFS(tblDaily[TransfersIn],tblDaily[EntryDate],DATE(2026,4,7),tblDaily[WardCode],"CW")=0,"",SUMIFS(tblDaily[TransfersIn],tblDaily[EntryDate],DATE(2026,4,7),tblDaily[WardCode],"CW")),"")</f>
        <v/>
      </c>
      <c r="G130" s="5" t="str">
        <f>IFERROR(IF(SUMIFS(tblDaily[TransfersOut],tblDaily[EntryDate],DATE(2026,4,7),tblDaily[WardCode],"CW")=0,"",SUMIFS(tblDaily[TransfersOut],tblDaily[EntryDate],DATE(2026,4,7),tblDaily[WardCode],"CW")),"")</f>
        <v/>
      </c>
      <c r="H130" s="5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IFERROR(IF(SUMIFS(tblDaily[Admissions],tblDaily[EntryDate],DATE(2026,4,8),tblDaily[WardCode],"CW")=0,"",SUMIFS(tblDaily[Admissions],tblDaily[EntryDate],DATE(2026,4,8),tblDaily[WardCode],"CW")),"")</f>
        <v/>
      </c>
      <c r="C131" s="5" t="str">
        <f>IFERROR(IF(SUMIFS(tblDaily[Discharges],tblDaily[EntryDate],DATE(2026,4,8),tblDaily[WardCode],"CW")=0,"",SUMIFS(tblDaily[Discharges],tblDaily[EntryDate],DATE(2026,4,8),tblDaily[WardCode],"CW")),"")</f>
        <v/>
      </c>
      <c r="D131" s="5" t="str">
        <f>IFERROR(IF(SUMIFS(tblDaily[Deaths],tblDaily[EntryDate],DATE(2026,4,8),tblDaily[WardCode],"CW")=0,"",SUMIFS(tblDaily[Deaths],tblDaily[EntryDate],DATE(2026,4,8),tblDaily[WardCode],"CW")),"")</f>
        <v/>
      </c>
      <c r="E131" s="5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5" t="str">
        <f>IFERROR(IF(SUMIFS(tblDaily[TransfersIn],tblDaily[EntryDate],DATE(2026,4,8),tblDaily[WardCode],"CW")=0,"",SUMIFS(tblDaily[TransfersIn],tblDaily[EntryDate],DATE(2026,4,8),tblDaily[WardCode],"CW")),"")</f>
        <v/>
      </c>
      <c r="G131" s="5" t="str">
        <f>IFERROR(IF(SUMIFS(tblDaily[TransfersOut],tblDaily[EntryDate],DATE(2026,4,8),tblDaily[WardCode],"CW")=0,"",SUMIFS(tblDaily[TransfersOut],tblDaily[EntryDate],DATE(2026,4,8),tblDaily[WardCode],"CW")),"")</f>
        <v/>
      </c>
      <c r="H131" s="5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IFERROR(IF(SUMIFS(tblDaily[Admissions],tblDaily[EntryDate],DATE(2026,4,9),tblDaily[WardCode],"CW")=0,"",SUMIFS(tblDaily[Admissions],tblDaily[EntryDate],DATE(2026,4,9),tblDaily[WardCode],"CW")),"")</f>
        <v/>
      </c>
      <c r="C132" s="5" t="str">
        <f>IFERROR(IF(SUMIFS(tblDaily[Discharges],tblDaily[EntryDate],DATE(2026,4,9),tblDaily[WardCode],"CW")=0,"",SUMIFS(tblDaily[Discharges],tblDaily[EntryDate],DATE(2026,4,9),tblDaily[WardCode],"CW")),"")</f>
        <v/>
      </c>
      <c r="D132" s="5" t="str">
        <f>IFERROR(IF(SUMIFS(tblDaily[Deaths],tblDaily[EntryDate],DATE(2026,4,9),tblDaily[WardCode],"CW")=0,"",SUMIFS(tblDaily[Deaths],tblDaily[EntryDate],DATE(2026,4,9),tblDaily[WardCode],"CW")),"")</f>
        <v/>
      </c>
      <c r="E132" s="5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5" t="str">
        <f>IFERROR(IF(SUMIFS(tblDaily[TransfersIn],tblDaily[EntryDate],DATE(2026,4,9),tblDaily[WardCode],"CW")=0,"",SUMIFS(tblDaily[TransfersIn],tblDaily[EntryDate],DATE(2026,4,9),tblDaily[WardCode],"CW")),"")</f>
        <v/>
      </c>
      <c r="G132" s="5" t="str">
        <f>IFERROR(IF(SUMIFS(tblDaily[TransfersOut],tblDaily[EntryDate],DATE(2026,4,9),tblDaily[WardCode],"CW")=0,"",SUMIFS(tblDaily[TransfersOut],tblDaily[EntryDate],DATE(2026,4,9),tblDaily[WardCode],"CW")),"")</f>
        <v/>
      </c>
      <c r="H132" s="5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IFERROR(IF(SUMIFS(tblDaily[Admissions],tblDaily[EntryDate],DATE(2026,4,10),tblDaily[WardCode],"CW")=0,"",SUMIFS(tblDaily[Admissions],tblDaily[EntryDate],DATE(2026,4,10),tblDaily[WardCode],"CW")),"")</f>
        <v/>
      </c>
      <c r="C133" s="5" t="str">
        <f>IFERROR(IF(SUMIFS(tblDaily[Discharges],tblDaily[EntryDate],DATE(2026,4,10),tblDaily[WardCode],"CW")=0,"",SUMIFS(tblDaily[Discharges],tblDaily[EntryDate],DATE(2026,4,10),tblDaily[WardCode],"CW")),"")</f>
        <v/>
      </c>
      <c r="D133" s="5" t="str">
        <f>IFERROR(IF(SUMIFS(tblDaily[Deaths],tblDaily[EntryDate],DATE(2026,4,10),tblDaily[WardCode],"CW")=0,"",SUMIFS(tblDaily[Deaths],tblDaily[EntryDate],DATE(2026,4,10),tblDaily[WardCode],"CW")),"")</f>
        <v/>
      </c>
      <c r="E133" s="5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5" t="str">
        <f>IFERROR(IF(SUMIFS(tblDaily[TransfersIn],tblDaily[EntryDate],DATE(2026,4,10),tblDaily[WardCode],"CW")=0,"",SUMIFS(tblDaily[TransfersIn],tblDaily[EntryDate],DATE(2026,4,10),tblDaily[WardCode],"CW")),"")</f>
        <v/>
      </c>
      <c r="G133" s="5" t="str">
        <f>IFERROR(IF(SUMIFS(tblDaily[TransfersOut],tblDaily[EntryDate],DATE(2026,4,10),tblDaily[WardCode],"CW")=0,"",SUMIFS(tblDaily[TransfersOut],tblDaily[EntryDate],DATE(2026,4,10),tblDaily[WardCode],"CW")),"")</f>
        <v/>
      </c>
      <c r="H133" s="5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IFERROR(IF(SUMIFS(tblDaily[Admissions],tblDaily[EntryDate],DATE(2026,4,11),tblDaily[WardCode],"CW")=0,"",SUMIFS(tblDaily[Admissions],tblDaily[EntryDate],DATE(2026,4,11),tblDaily[WardCode],"CW")),"")</f>
        <v/>
      </c>
      <c r="C134" s="5" t="str">
        <f>IFERROR(IF(SUMIFS(tblDaily[Discharges],tblDaily[EntryDate],DATE(2026,4,11),tblDaily[WardCode],"CW")=0,"",SUMIFS(tblDaily[Discharges],tblDaily[EntryDate],DATE(2026,4,11),tblDaily[WardCode],"CW")),"")</f>
        <v/>
      </c>
      <c r="D134" s="5" t="str">
        <f>IFERROR(IF(SUMIFS(tblDaily[Deaths],tblDaily[EntryDate],DATE(2026,4,11),tblDaily[WardCode],"CW")=0,"",SUMIFS(tblDaily[Deaths],tblDaily[EntryDate],DATE(2026,4,11),tblDaily[WardCode],"CW")),"")</f>
        <v/>
      </c>
      <c r="E134" s="5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5" t="str">
        <f>IFERROR(IF(SUMIFS(tblDaily[TransfersIn],tblDaily[EntryDate],DATE(2026,4,11),tblDaily[WardCode],"CW")=0,"",SUMIFS(tblDaily[TransfersIn],tblDaily[EntryDate],DATE(2026,4,11),tblDaily[WardCode],"CW")),"")</f>
        <v/>
      </c>
      <c r="G134" s="5" t="str">
        <f>IFERROR(IF(SUMIFS(tblDaily[TransfersOut],tblDaily[EntryDate],DATE(2026,4,11),tblDaily[WardCode],"CW")=0,"",SUMIFS(tblDaily[TransfersOut],tblDaily[EntryDate],DATE(2026,4,11),tblDaily[WardCode],"CW")),"")</f>
        <v/>
      </c>
      <c r="H134" s="5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IFERROR(IF(SUMIFS(tblDaily[Admissions],tblDaily[EntryDate],DATE(2026,4,12),tblDaily[WardCode],"CW")=0,"",SUMIFS(tblDaily[Admissions],tblDaily[EntryDate],DATE(2026,4,12),tblDaily[WardCode],"CW")),"")</f>
        <v/>
      </c>
      <c r="C135" s="5" t="str">
        <f>IFERROR(IF(SUMIFS(tblDaily[Discharges],tblDaily[EntryDate],DATE(2026,4,12),tblDaily[WardCode],"CW")=0,"",SUMIFS(tblDaily[Discharges],tblDaily[EntryDate],DATE(2026,4,12),tblDaily[WardCode],"CW")),"")</f>
        <v/>
      </c>
      <c r="D135" s="5" t="str">
        <f>IFERROR(IF(SUMIFS(tblDaily[Deaths],tblDaily[EntryDate],DATE(2026,4,12),tblDaily[WardCode],"CW")=0,"",SUMIFS(tblDaily[Deaths],tblDaily[EntryDate],DATE(2026,4,12),tblDaily[WardCode],"CW")),"")</f>
        <v/>
      </c>
      <c r="E135" s="5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5" t="str">
        <f>IFERROR(IF(SUMIFS(tblDaily[TransfersIn],tblDaily[EntryDate],DATE(2026,4,12),tblDaily[WardCode],"CW")=0,"",SUMIFS(tblDaily[TransfersIn],tblDaily[EntryDate],DATE(2026,4,12),tblDaily[WardCode],"CW")),"")</f>
        <v/>
      </c>
      <c r="G135" s="5" t="str">
        <f>IFERROR(IF(SUMIFS(tblDaily[TransfersOut],tblDaily[EntryDate],DATE(2026,4,12),tblDaily[WardCode],"CW")=0,"",SUMIFS(tblDaily[TransfersOut],tblDaily[EntryDate],DATE(2026,4,12),tblDaily[WardCode],"CW")),"")</f>
        <v/>
      </c>
      <c r="H135" s="5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IFERROR(IF(SUMIFS(tblDaily[Admissions],tblDaily[EntryDate],DATE(2026,4,13),tblDaily[WardCode],"CW")=0,"",SUMIFS(tblDaily[Admissions],tblDaily[EntryDate],DATE(2026,4,13),tblDaily[WardCode],"CW")),"")</f>
        <v/>
      </c>
      <c r="C136" s="5" t="str">
        <f>IFERROR(IF(SUMIFS(tblDaily[Discharges],tblDaily[EntryDate],DATE(2026,4,13),tblDaily[WardCode],"CW")=0,"",SUMIFS(tblDaily[Discharges],tblDaily[EntryDate],DATE(2026,4,13),tblDaily[WardCode],"CW")),"")</f>
        <v/>
      </c>
      <c r="D136" s="5" t="str">
        <f>IFERROR(IF(SUMIFS(tblDaily[Deaths],tblDaily[EntryDate],DATE(2026,4,13),tblDaily[WardCode],"CW")=0,"",SUMIFS(tblDaily[Deaths],tblDaily[EntryDate],DATE(2026,4,13),tblDaily[WardCode],"CW")),"")</f>
        <v/>
      </c>
      <c r="E136" s="5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5" t="str">
        <f>IFERROR(IF(SUMIFS(tblDaily[TransfersIn],tblDaily[EntryDate],DATE(2026,4,13),tblDaily[WardCode],"CW")=0,"",SUMIFS(tblDaily[TransfersIn],tblDaily[EntryDate],DATE(2026,4,13),tblDaily[WardCode],"CW")),"")</f>
        <v/>
      </c>
      <c r="G136" s="5" t="str">
        <f>IFERROR(IF(SUMIFS(tblDaily[TransfersOut],tblDaily[EntryDate],DATE(2026,4,13),tblDaily[WardCode],"CW")=0,"",SUMIFS(tblDaily[TransfersOut],tblDaily[EntryDate],DATE(2026,4,13),tblDaily[WardCode],"CW")),"")</f>
        <v/>
      </c>
      <c r="H136" s="5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IFERROR(IF(SUMIFS(tblDaily[Admissions],tblDaily[EntryDate],DATE(2026,4,14),tblDaily[WardCode],"CW")=0,"",SUMIFS(tblDaily[Admissions],tblDaily[EntryDate],DATE(2026,4,14),tblDaily[WardCode],"CW")),"")</f>
        <v/>
      </c>
      <c r="C137" s="5" t="str">
        <f>IFERROR(IF(SUMIFS(tblDaily[Discharges],tblDaily[EntryDate],DATE(2026,4,14),tblDaily[WardCode],"CW")=0,"",SUMIFS(tblDaily[Discharges],tblDaily[EntryDate],DATE(2026,4,14),tblDaily[WardCode],"CW")),"")</f>
        <v/>
      </c>
      <c r="D137" s="5" t="str">
        <f>IFERROR(IF(SUMIFS(tblDaily[Deaths],tblDaily[EntryDate],DATE(2026,4,14),tblDaily[WardCode],"CW")=0,"",SUMIFS(tblDaily[Deaths],tblDaily[EntryDate],DATE(2026,4,14),tblDaily[WardCode],"CW")),"")</f>
        <v/>
      </c>
      <c r="E137" s="5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5" t="str">
        <f>IFERROR(IF(SUMIFS(tblDaily[TransfersIn],tblDaily[EntryDate],DATE(2026,4,14),tblDaily[WardCode],"CW")=0,"",SUMIFS(tblDaily[TransfersIn],tblDaily[EntryDate],DATE(2026,4,14),tblDaily[WardCode],"CW")),"")</f>
        <v/>
      </c>
      <c r="G137" s="5" t="str">
        <f>IFERROR(IF(SUMIFS(tblDaily[TransfersOut],tblDaily[EntryDate],DATE(2026,4,14),tblDaily[WardCode],"CW")=0,"",SUMIFS(tblDaily[TransfersOut],tblDaily[EntryDate],DATE(2026,4,14),tblDaily[WardCode],"CW")),"")</f>
        <v/>
      </c>
      <c r="H137" s="5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IFERROR(IF(SUMIFS(tblDaily[Admissions],tblDaily[EntryDate],DATE(2026,4,15),tblDaily[WardCode],"CW")=0,"",SUMIFS(tblDaily[Admissions],tblDaily[EntryDate],DATE(2026,4,15),tblDaily[WardCode],"CW")),"")</f>
        <v/>
      </c>
      <c r="C138" s="5" t="str">
        <f>IFERROR(IF(SUMIFS(tblDaily[Discharges],tblDaily[EntryDate],DATE(2026,4,15),tblDaily[WardCode],"CW")=0,"",SUMIFS(tblDaily[Discharges],tblDaily[EntryDate],DATE(2026,4,15),tblDaily[WardCode],"CW")),"")</f>
        <v/>
      </c>
      <c r="D138" s="5" t="str">
        <f>IFERROR(IF(SUMIFS(tblDaily[Deaths],tblDaily[EntryDate],DATE(2026,4,15),tblDaily[WardCode],"CW")=0,"",SUMIFS(tblDaily[Deaths],tblDaily[EntryDate],DATE(2026,4,15),tblDaily[WardCode],"CW")),"")</f>
        <v/>
      </c>
      <c r="E138" s="5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5" t="str">
        <f>IFERROR(IF(SUMIFS(tblDaily[TransfersIn],tblDaily[EntryDate],DATE(2026,4,15),tblDaily[WardCode],"CW")=0,"",SUMIFS(tblDaily[TransfersIn],tblDaily[EntryDate],DATE(2026,4,15),tblDaily[WardCode],"CW")),"")</f>
        <v/>
      </c>
      <c r="G138" s="5" t="str">
        <f>IFERROR(IF(SUMIFS(tblDaily[TransfersOut],tblDaily[EntryDate],DATE(2026,4,15),tblDaily[WardCode],"CW")=0,"",SUMIFS(tblDaily[TransfersOut],tblDaily[EntryDate],DATE(2026,4,15),tblDaily[WardCode],"CW")),"")</f>
        <v/>
      </c>
      <c r="H138" s="5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IFERROR(IF(SUMIFS(tblDaily[Admissions],tblDaily[EntryDate],DATE(2026,4,16),tblDaily[WardCode],"CW")=0,"",SUMIFS(tblDaily[Admissions],tblDaily[EntryDate],DATE(2026,4,16),tblDaily[WardCode],"CW")),"")</f>
        <v/>
      </c>
      <c r="C139" s="5" t="str">
        <f>IFERROR(IF(SUMIFS(tblDaily[Discharges],tblDaily[EntryDate],DATE(2026,4,16),tblDaily[WardCode],"CW")=0,"",SUMIFS(tblDaily[Discharges],tblDaily[EntryDate],DATE(2026,4,16),tblDaily[WardCode],"CW")),"")</f>
        <v/>
      </c>
      <c r="D139" s="5" t="str">
        <f>IFERROR(IF(SUMIFS(tblDaily[Deaths],tblDaily[EntryDate],DATE(2026,4,16),tblDaily[WardCode],"CW")=0,"",SUMIFS(tblDaily[Deaths],tblDaily[EntryDate],DATE(2026,4,16),tblDaily[WardCode],"CW")),"")</f>
        <v/>
      </c>
      <c r="E139" s="5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5" t="str">
        <f>IFERROR(IF(SUMIFS(tblDaily[TransfersIn],tblDaily[EntryDate],DATE(2026,4,16),tblDaily[WardCode],"CW")=0,"",SUMIFS(tblDaily[TransfersIn],tblDaily[EntryDate],DATE(2026,4,16),tblDaily[WardCode],"CW")),"")</f>
        <v/>
      </c>
      <c r="G139" s="5" t="str">
        <f>IFERROR(IF(SUMIFS(tblDaily[TransfersOut],tblDaily[EntryDate],DATE(2026,4,16),tblDaily[WardCode],"CW")=0,"",SUMIFS(tblDaily[TransfersOut],tblDaily[EntryDate],DATE(2026,4,16),tblDaily[WardCode],"CW")),"")</f>
        <v/>
      </c>
      <c r="H139" s="5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IFERROR(IF(SUMIFS(tblDaily[Admissions],tblDaily[EntryDate],DATE(2026,4,17),tblDaily[WardCode],"CW")=0,"",SUMIFS(tblDaily[Admissions],tblDaily[EntryDate],DATE(2026,4,17),tblDaily[WardCode],"CW")),"")</f>
        <v/>
      </c>
      <c r="C140" s="5" t="str">
        <f>IFERROR(IF(SUMIFS(tblDaily[Discharges],tblDaily[EntryDate],DATE(2026,4,17),tblDaily[WardCode],"CW")=0,"",SUMIFS(tblDaily[Discharges],tblDaily[EntryDate],DATE(2026,4,17),tblDaily[WardCode],"CW")),"")</f>
        <v/>
      </c>
      <c r="D140" s="5" t="str">
        <f>IFERROR(IF(SUMIFS(tblDaily[Deaths],tblDaily[EntryDate],DATE(2026,4,17),tblDaily[WardCode],"CW")=0,"",SUMIFS(tblDaily[Deaths],tblDaily[EntryDate],DATE(2026,4,17),tblDaily[WardCode],"CW")),"")</f>
        <v/>
      </c>
      <c r="E140" s="5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5" t="str">
        <f>IFERROR(IF(SUMIFS(tblDaily[TransfersIn],tblDaily[EntryDate],DATE(2026,4,17),tblDaily[WardCode],"CW")=0,"",SUMIFS(tblDaily[TransfersIn],tblDaily[EntryDate],DATE(2026,4,17),tblDaily[WardCode],"CW")),"")</f>
        <v/>
      </c>
      <c r="G140" s="5" t="str">
        <f>IFERROR(IF(SUMIFS(tblDaily[TransfersOut],tblDaily[EntryDate],DATE(2026,4,17),tblDaily[WardCode],"CW")=0,"",SUMIFS(tblDaily[TransfersOut],tblDaily[EntryDate],DATE(2026,4,17),tblDaily[WardCode],"CW")),"")</f>
        <v/>
      </c>
      <c r="H140" s="5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IFERROR(IF(SUMIFS(tblDaily[Admissions],tblDaily[EntryDate],DATE(2026,4,18),tblDaily[WardCode],"CW")=0,"",SUMIFS(tblDaily[Admissions],tblDaily[EntryDate],DATE(2026,4,18),tblDaily[WardCode],"CW")),"")</f>
        <v/>
      </c>
      <c r="C141" s="5" t="str">
        <f>IFERROR(IF(SUMIFS(tblDaily[Discharges],tblDaily[EntryDate],DATE(2026,4,18),tblDaily[WardCode],"CW")=0,"",SUMIFS(tblDaily[Discharges],tblDaily[EntryDate],DATE(2026,4,18),tblDaily[WardCode],"CW")),"")</f>
        <v/>
      </c>
      <c r="D141" s="5" t="str">
        <f>IFERROR(IF(SUMIFS(tblDaily[Deaths],tblDaily[EntryDate],DATE(2026,4,18),tblDaily[WardCode],"CW")=0,"",SUMIFS(tblDaily[Deaths],tblDaily[EntryDate],DATE(2026,4,18),tblDaily[WardCode],"CW")),"")</f>
        <v/>
      </c>
      <c r="E141" s="5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5" t="str">
        <f>IFERROR(IF(SUMIFS(tblDaily[TransfersIn],tblDaily[EntryDate],DATE(2026,4,18),tblDaily[WardCode],"CW")=0,"",SUMIFS(tblDaily[TransfersIn],tblDaily[EntryDate],DATE(2026,4,18),tblDaily[WardCode],"CW")),"")</f>
        <v/>
      </c>
      <c r="G141" s="5" t="str">
        <f>IFERROR(IF(SUMIFS(tblDaily[TransfersOut],tblDaily[EntryDate],DATE(2026,4,18),tblDaily[WardCode],"CW")=0,"",SUMIFS(tblDaily[TransfersOut],tblDaily[EntryDate],DATE(2026,4,18),tblDaily[WardCode],"CW")),"")</f>
        <v/>
      </c>
      <c r="H141" s="5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IFERROR(IF(SUMIFS(tblDaily[Admissions],tblDaily[EntryDate],DATE(2026,4,19),tblDaily[WardCode],"CW")=0,"",SUMIFS(tblDaily[Admissions],tblDaily[EntryDate],DATE(2026,4,19),tblDaily[WardCode],"CW")),"")</f>
        <v/>
      </c>
      <c r="C142" s="5" t="str">
        <f>IFERROR(IF(SUMIFS(tblDaily[Discharges],tblDaily[EntryDate],DATE(2026,4,19),tblDaily[WardCode],"CW")=0,"",SUMIFS(tblDaily[Discharges],tblDaily[EntryDate],DATE(2026,4,19),tblDaily[WardCode],"CW")),"")</f>
        <v/>
      </c>
      <c r="D142" s="5" t="str">
        <f>IFERROR(IF(SUMIFS(tblDaily[Deaths],tblDaily[EntryDate],DATE(2026,4,19),tblDaily[WardCode],"CW")=0,"",SUMIFS(tblDaily[Deaths],tblDaily[EntryDate],DATE(2026,4,19),tblDaily[WardCode],"CW")),"")</f>
        <v/>
      </c>
      <c r="E142" s="5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5" t="str">
        <f>IFERROR(IF(SUMIFS(tblDaily[TransfersIn],tblDaily[EntryDate],DATE(2026,4,19),tblDaily[WardCode],"CW")=0,"",SUMIFS(tblDaily[TransfersIn],tblDaily[EntryDate],DATE(2026,4,19),tblDaily[WardCode],"CW")),"")</f>
        <v/>
      </c>
      <c r="G142" s="5" t="str">
        <f>IFERROR(IF(SUMIFS(tblDaily[TransfersOut],tblDaily[EntryDate],DATE(2026,4,19),tblDaily[WardCode],"CW")=0,"",SUMIFS(tblDaily[TransfersOut],tblDaily[EntryDate],DATE(2026,4,19),tblDaily[WardCode],"CW")),"")</f>
        <v/>
      </c>
      <c r="H142" s="5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IFERROR(IF(SUMIFS(tblDaily[Admissions],tblDaily[EntryDate],DATE(2026,4,20),tblDaily[WardCode],"CW")=0,"",SUMIFS(tblDaily[Admissions],tblDaily[EntryDate],DATE(2026,4,20),tblDaily[WardCode],"CW")),"")</f>
        <v/>
      </c>
      <c r="C143" s="5" t="str">
        <f>IFERROR(IF(SUMIFS(tblDaily[Discharges],tblDaily[EntryDate],DATE(2026,4,20),tblDaily[WardCode],"CW")=0,"",SUMIFS(tblDaily[Discharges],tblDaily[EntryDate],DATE(2026,4,20),tblDaily[WardCode],"CW")),"")</f>
        <v/>
      </c>
      <c r="D143" s="5" t="str">
        <f>IFERROR(IF(SUMIFS(tblDaily[Deaths],tblDaily[EntryDate],DATE(2026,4,20),tblDaily[WardCode],"CW")=0,"",SUMIFS(tblDaily[Deaths],tblDaily[EntryDate],DATE(2026,4,20),tblDaily[WardCode],"CW")),"")</f>
        <v/>
      </c>
      <c r="E143" s="5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5" t="str">
        <f>IFERROR(IF(SUMIFS(tblDaily[TransfersIn],tblDaily[EntryDate],DATE(2026,4,20),tblDaily[WardCode],"CW")=0,"",SUMIFS(tblDaily[TransfersIn],tblDaily[EntryDate],DATE(2026,4,20),tblDaily[WardCode],"CW")),"")</f>
        <v/>
      </c>
      <c r="G143" s="5" t="str">
        <f>IFERROR(IF(SUMIFS(tblDaily[TransfersOut],tblDaily[EntryDate],DATE(2026,4,20),tblDaily[WardCode],"CW")=0,"",SUMIFS(tblDaily[TransfersOut],tblDaily[EntryDate],DATE(2026,4,20),tblDaily[WardCode],"CW")),"")</f>
        <v/>
      </c>
      <c r="H143" s="5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IFERROR(IF(SUMIFS(tblDaily[Admissions],tblDaily[EntryDate],DATE(2026,4,21),tblDaily[WardCode],"CW")=0,"",SUMIFS(tblDaily[Admissions],tblDaily[EntryDate],DATE(2026,4,21),tblDaily[WardCode],"CW")),"")</f>
        <v/>
      </c>
      <c r="C144" s="5" t="str">
        <f>IFERROR(IF(SUMIFS(tblDaily[Discharges],tblDaily[EntryDate],DATE(2026,4,21),tblDaily[WardCode],"CW")=0,"",SUMIFS(tblDaily[Discharges],tblDaily[EntryDate],DATE(2026,4,21),tblDaily[WardCode],"CW")),"")</f>
        <v/>
      </c>
      <c r="D144" s="5" t="str">
        <f>IFERROR(IF(SUMIFS(tblDaily[Deaths],tblDaily[EntryDate],DATE(2026,4,21),tblDaily[WardCode],"CW")=0,"",SUMIFS(tblDaily[Deaths],tblDaily[EntryDate],DATE(2026,4,21),tblDaily[WardCode],"CW")),"")</f>
        <v/>
      </c>
      <c r="E144" s="5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5" t="str">
        <f>IFERROR(IF(SUMIFS(tblDaily[TransfersIn],tblDaily[EntryDate],DATE(2026,4,21),tblDaily[WardCode],"CW")=0,"",SUMIFS(tblDaily[TransfersIn],tblDaily[EntryDate],DATE(2026,4,21),tblDaily[WardCode],"CW")),"")</f>
        <v/>
      </c>
      <c r="G144" s="5" t="str">
        <f>IFERROR(IF(SUMIFS(tblDaily[TransfersOut],tblDaily[EntryDate],DATE(2026,4,21),tblDaily[WardCode],"CW")=0,"",SUMIFS(tblDaily[TransfersOut],tblDaily[EntryDate],DATE(2026,4,21),tblDaily[WardCode],"CW")),"")</f>
        <v/>
      </c>
      <c r="H144" s="5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IFERROR(IF(SUMIFS(tblDaily[Admissions],tblDaily[EntryDate],DATE(2026,4,22),tblDaily[WardCode],"CW")=0,"",SUMIFS(tblDaily[Admissions],tblDaily[EntryDate],DATE(2026,4,22),tblDaily[WardCode],"CW")),"")</f>
        <v/>
      </c>
      <c r="C145" s="5" t="str">
        <f>IFERROR(IF(SUMIFS(tblDaily[Discharges],tblDaily[EntryDate],DATE(2026,4,22),tblDaily[WardCode],"CW")=0,"",SUMIFS(tblDaily[Discharges],tblDaily[EntryDate],DATE(2026,4,22),tblDaily[WardCode],"CW")),"")</f>
        <v/>
      </c>
      <c r="D145" s="5" t="str">
        <f>IFERROR(IF(SUMIFS(tblDaily[Deaths],tblDaily[EntryDate],DATE(2026,4,22),tblDaily[WardCode],"CW")=0,"",SUMIFS(tblDaily[Deaths],tblDaily[EntryDate],DATE(2026,4,22),tblDaily[WardCode],"CW")),"")</f>
        <v/>
      </c>
      <c r="E145" s="5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5" t="str">
        <f>IFERROR(IF(SUMIFS(tblDaily[TransfersIn],tblDaily[EntryDate],DATE(2026,4,22),tblDaily[WardCode],"CW")=0,"",SUMIFS(tblDaily[TransfersIn],tblDaily[EntryDate],DATE(2026,4,22),tblDaily[WardCode],"CW")),"")</f>
        <v/>
      </c>
      <c r="G145" s="5" t="str">
        <f>IFERROR(IF(SUMIFS(tblDaily[TransfersOut],tblDaily[EntryDate],DATE(2026,4,22),tblDaily[WardCode],"CW")=0,"",SUMIFS(tblDaily[TransfersOut],tblDaily[EntryDate],DATE(2026,4,22),tblDaily[WardCode],"CW")),"")</f>
        <v/>
      </c>
      <c r="H145" s="5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IFERROR(IF(SUMIFS(tblDaily[Admissions],tblDaily[EntryDate],DATE(2026,4,23),tblDaily[WardCode],"CW")=0,"",SUMIFS(tblDaily[Admissions],tblDaily[EntryDate],DATE(2026,4,23),tblDaily[WardCode],"CW")),"")</f>
        <v/>
      </c>
      <c r="C146" s="5" t="str">
        <f>IFERROR(IF(SUMIFS(tblDaily[Discharges],tblDaily[EntryDate],DATE(2026,4,23),tblDaily[WardCode],"CW")=0,"",SUMIFS(tblDaily[Discharges],tblDaily[EntryDate],DATE(2026,4,23),tblDaily[WardCode],"CW")),"")</f>
        <v/>
      </c>
      <c r="D146" s="5" t="str">
        <f>IFERROR(IF(SUMIFS(tblDaily[Deaths],tblDaily[EntryDate],DATE(2026,4,23),tblDaily[WardCode],"CW")=0,"",SUMIFS(tblDaily[Deaths],tblDaily[EntryDate],DATE(2026,4,23),tblDaily[WardCode],"CW")),"")</f>
        <v/>
      </c>
      <c r="E146" s="5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5" t="str">
        <f>IFERROR(IF(SUMIFS(tblDaily[TransfersIn],tblDaily[EntryDate],DATE(2026,4,23),tblDaily[WardCode],"CW")=0,"",SUMIFS(tblDaily[TransfersIn],tblDaily[EntryDate],DATE(2026,4,23),tblDaily[WardCode],"CW")),"")</f>
        <v/>
      </c>
      <c r="G146" s="5" t="str">
        <f>IFERROR(IF(SUMIFS(tblDaily[TransfersOut],tblDaily[EntryDate],DATE(2026,4,23),tblDaily[WardCode],"CW")=0,"",SUMIFS(tblDaily[TransfersOut],tblDaily[EntryDate],DATE(2026,4,23),tblDaily[WardCode],"CW")),"")</f>
        <v/>
      </c>
      <c r="H146" s="5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IFERROR(IF(SUMIFS(tblDaily[Admissions],tblDaily[EntryDate],DATE(2026,4,24),tblDaily[WardCode],"CW")=0,"",SUMIFS(tblDaily[Admissions],tblDaily[EntryDate],DATE(2026,4,24),tblDaily[WardCode],"CW")),"")</f>
        <v/>
      </c>
      <c r="C147" s="5" t="str">
        <f>IFERROR(IF(SUMIFS(tblDaily[Discharges],tblDaily[EntryDate],DATE(2026,4,24),tblDaily[WardCode],"CW")=0,"",SUMIFS(tblDaily[Discharges],tblDaily[EntryDate],DATE(2026,4,24),tblDaily[WardCode],"CW")),"")</f>
        <v/>
      </c>
      <c r="D147" s="5" t="str">
        <f>IFERROR(IF(SUMIFS(tblDaily[Deaths],tblDaily[EntryDate],DATE(2026,4,24),tblDaily[WardCode],"CW")=0,"",SUMIFS(tblDaily[Deaths],tblDaily[EntryDate],DATE(2026,4,24),tblDaily[WardCode],"CW")),"")</f>
        <v/>
      </c>
      <c r="E147" s="5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5" t="str">
        <f>IFERROR(IF(SUMIFS(tblDaily[TransfersIn],tblDaily[EntryDate],DATE(2026,4,24),tblDaily[WardCode],"CW")=0,"",SUMIFS(tblDaily[TransfersIn],tblDaily[EntryDate],DATE(2026,4,24),tblDaily[WardCode],"CW")),"")</f>
        <v/>
      </c>
      <c r="G147" s="5" t="str">
        <f>IFERROR(IF(SUMIFS(tblDaily[TransfersOut],tblDaily[EntryDate],DATE(2026,4,24),tblDaily[WardCode],"CW")=0,"",SUMIFS(tblDaily[TransfersOut],tblDaily[EntryDate],DATE(2026,4,24),tblDaily[WardCode],"CW")),"")</f>
        <v/>
      </c>
      <c r="H147" s="5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IFERROR(IF(SUMIFS(tblDaily[Admissions],tblDaily[EntryDate],DATE(2026,4,25),tblDaily[WardCode],"CW")=0,"",SUMIFS(tblDaily[Admissions],tblDaily[EntryDate],DATE(2026,4,25),tblDaily[WardCode],"CW")),"")</f>
        <v/>
      </c>
      <c r="C148" s="5" t="str">
        <f>IFERROR(IF(SUMIFS(tblDaily[Discharges],tblDaily[EntryDate],DATE(2026,4,25),tblDaily[WardCode],"CW")=0,"",SUMIFS(tblDaily[Discharges],tblDaily[EntryDate],DATE(2026,4,25),tblDaily[WardCode],"CW")),"")</f>
        <v/>
      </c>
      <c r="D148" s="5" t="str">
        <f>IFERROR(IF(SUMIFS(tblDaily[Deaths],tblDaily[EntryDate],DATE(2026,4,25),tblDaily[WardCode],"CW")=0,"",SUMIFS(tblDaily[Deaths],tblDaily[EntryDate],DATE(2026,4,25),tblDaily[WardCode],"CW")),"")</f>
        <v/>
      </c>
      <c r="E148" s="5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5" t="str">
        <f>IFERROR(IF(SUMIFS(tblDaily[TransfersIn],tblDaily[EntryDate],DATE(2026,4,25),tblDaily[WardCode],"CW")=0,"",SUMIFS(tblDaily[TransfersIn],tblDaily[EntryDate],DATE(2026,4,25),tblDaily[WardCode],"CW")),"")</f>
        <v/>
      </c>
      <c r="G148" s="5" t="str">
        <f>IFERROR(IF(SUMIFS(tblDaily[TransfersOut],tblDaily[EntryDate],DATE(2026,4,25),tblDaily[WardCode],"CW")=0,"",SUMIFS(tblDaily[TransfersOut],tblDaily[EntryDate],DATE(2026,4,25),tblDaily[WardCode],"CW")),"")</f>
        <v/>
      </c>
      <c r="H148" s="5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IFERROR(IF(SUMIFS(tblDaily[Admissions],tblDaily[EntryDate],DATE(2026,4,26),tblDaily[WardCode],"CW")=0,"",SUMIFS(tblDaily[Admissions],tblDaily[EntryDate],DATE(2026,4,26),tblDaily[WardCode],"CW")),"")</f>
        <v/>
      </c>
      <c r="C149" s="5" t="str">
        <f>IFERROR(IF(SUMIFS(tblDaily[Discharges],tblDaily[EntryDate],DATE(2026,4,26),tblDaily[WardCode],"CW")=0,"",SUMIFS(tblDaily[Discharges],tblDaily[EntryDate],DATE(2026,4,26),tblDaily[WardCode],"CW")),"")</f>
        <v/>
      </c>
      <c r="D149" s="5" t="str">
        <f>IFERROR(IF(SUMIFS(tblDaily[Deaths],tblDaily[EntryDate],DATE(2026,4,26),tblDaily[WardCode],"CW")=0,"",SUMIFS(tblDaily[Deaths],tblDaily[EntryDate],DATE(2026,4,26),tblDaily[WardCode],"CW")),"")</f>
        <v/>
      </c>
      <c r="E149" s="5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5" t="str">
        <f>IFERROR(IF(SUMIFS(tblDaily[TransfersIn],tblDaily[EntryDate],DATE(2026,4,26),tblDaily[WardCode],"CW")=0,"",SUMIFS(tblDaily[TransfersIn],tblDaily[EntryDate],DATE(2026,4,26),tblDaily[WardCode],"CW")),"")</f>
        <v/>
      </c>
      <c r="G149" s="5" t="str">
        <f>IFERROR(IF(SUMIFS(tblDaily[TransfersOut],tblDaily[EntryDate],DATE(2026,4,26),tblDaily[WardCode],"CW")=0,"",SUMIFS(tblDaily[TransfersOut],tblDaily[EntryDate],DATE(2026,4,26),tblDaily[WardCode],"CW")),"")</f>
        <v/>
      </c>
      <c r="H149" s="5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IFERROR(IF(SUMIFS(tblDaily[Admissions],tblDaily[EntryDate],DATE(2026,4,27),tblDaily[WardCode],"CW")=0,"",SUMIFS(tblDaily[Admissions],tblDaily[EntryDate],DATE(2026,4,27),tblDaily[WardCode],"CW")),"")</f>
        <v/>
      </c>
      <c r="C150" s="5" t="str">
        <f>IFERROR(IF(SUMIFS(tblDaily[Discharges],tblDaily[EntryDate],DATE(2026,4,27),tblDaily[WardCode],"CW")=0,"",SUMIFS(tblDaily[Discharges],tblDaily[EntryDate],DATE(2026,4,27),tblDaily[WardCode],"CW")),"")</f>
        <v/>
      </c>
      <c r="D150" s="5" t="str">
        <f>IFERROR(IF(SUMIFS(tblDaily[Deaths],tblDaily[EntryDate],DATE(2026,4,27),tblDaily[WardCode],"CW")=0,"",SUMIFS(tblDaily[Deaths],tblDaily[EntryDate],DATE(2026,4,27),tblDaily[WardCode],"CW")),"")</f>
        <v/>
      </c>
      <c r="E150" s="5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5" t="str">
        <f>IFERROR(IF(SUMIFS(tblDaily[TransfersIn],tblDaily[EntryDate],DATE(2026,4,27),tblDaily[WardCode],"CW")=0,"",SUMIFS(tblDaily[TransfersIn],tblDaily[EntryDate],DATE(2026,4,27),tblDaily[WardCode],"CW")),"")</f>
        <v/>
      </c>
      <c r="G150" s="5" t="str">
        <f>IFERROR(IF(SUMIFS(tblDaily[TransfersOut],tblDaily[EntryDate],DATE(2026,4,27),tblDaily[WardCode],"CW")=0,"",SUMIFS(tblDaily[TransfersOut],tblDaily[EntryDate],DATE(2026,4,27),tblDaily[WardCode],"CW")),"")</f>
        <v/>
      </c>
      <c r="H150" s="5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IFERROR(IF(SUMIFS(tblDaily[Admissions],tblDaily[EntryDate],DATE(2026,4,28),tblDaily[WardCode],"CW")=0,"",SUMIFS(tblDaily[Admissions],tblDaily[EntryDate],DATE(2026,4,28),tblDaily[WardCode],"CW")),"")</f>
        <v/>
      </c>
      <c r="C151" s="5" t="str">
        <f>IFERROR(IF(SUMIFS(tblDaily[Discharges],tblDaily[EntryDate],DATE(2026,4,28),tblDaily[WardCode],"CW")=0,"",SUMIFS(tblDaily[Discharges],tblDaily[EntryDate],DATE(2026,4,28),tblDaily[WardCode],"CW")),"")</f>
        <v/>
      </c>
      <c r="D151" s="5" t="str">
        <f>IFERROR(IF(SUMIFS(tblDaily[Deaths],tblDaily[EntryDate],DATE(2026,4,28),tblDaily[WardCode],"CW")=0,"",SUMIFS(tblDaily[Deaths],tblDaily[EntryDate],DATE(2026,4,28),tblDaily[WardCode],"CW")),"")</f>
        <v/>
      </c>
      <c r="E151" s="5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5" t="str">
        <f>IFERROR(IF(SUMIFS(tblDaily[TransfersIn],tblDaily[EntryDate],DATE(2026,4,28),tblDaily[WardCode],"CW")=0,"",SUMIFS(tblDaily[TransfersIn],tblDaily[EntryDate],DATE(2026,4,28),tblDaily[WardCode],"CW")),"")</f>
        <v/>
      </c>
      <c r="G151" s="5" t="str">
        <f>IFERROR(IF(SUMIFS(tblDaily[TransfersOut],tblDaily[EntryDate],DATE(2026,4,28),tblDaily[WardCode],"CW")=0,"",SUMIFS(tblDaily[TransfersOut],tblDaily[EntryDate],DATE(2026,4,28),tblDaily[WardCode],"CW")),"")</f>
        <v/>
      </c>
      <c r="H151" s="5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IFERROR(IF(SUMIFS(tblDaily[Admissions],tblDaily[EntryDate],DATE(2026,4,29),tblDaily[WardCode],"CW")=0,"",SUMIFS(tblDaily[Admissions],tblDaily[EntryDate],DATE(2026,4,29),tblDaily[WardCode],"CW")),"")</f>
        <v/>
      </c>
      <c r="C152" s="5" t="str">
        <f>IFERROR(IF(SUMIFS(tblDaily[Discharges],tblDaily[EntryDate],DATE(2026,4,29),tblDaily[WardCode],"CW")=0,"",SUMIFS(tblDaily[Discharges],tblDaily[EntryDate],DATE(2026,4,29),tblDaily[WardCode],"CW")),"")</f>
        <v/>
      </c>
      <c r="D152" s="5" t="str">
        <f>IFERROR(IF(SUMIFS(tblDaily[Deaths],tblDaily[EntryDate],DATE(2026,4,29),tblDaily[WardCode],"CW")=0,"",SUMIFS(tblDaily[Deaths],tblDaily[EntryDate],DATE(2026,4,29),tblDaily[WardCode],"CW")),"")</f>
        <v/>
      </c>
      <c r="E152" s="5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5" t="str">
        <f>IFERROR(IF(SUMIFS(tblDaily[TransfersIn],tblDaily[EntryDate],DATE(2026,4,29),tblDaily[WardCode],"CW")=0,"",SUMIFS(tblDaily[TransfersIn],tblDaily[EntryDate],DATE(2026,4,29),tblDaily[WardCode],"CW")),"")</f>
        <v/>
      </c>
      <c r="G152" s="5" t="str">
        <f>IFERROR(IF(SUMIFS(tblDaily[TransfersOut],tblDaily[EntryDate],DATE(2026,4,29),tblDaily[WardCode],"CW")=0,"",SUMIFS(tblDaily[TransfersOut],tblDaily[EntryDate],DATE(2026,4,29),tblDaily[WardCode],"CW")),"")</f>
        <v/>
      </c>
      <c r="H152" s="5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IFERROR(IF(SUMIFS(tblDaily[Admissions],tblDaily[EntryDate],DATE(2026,4,30),tblDaily[WardCode],"CW")=0,"",SUMIFS(tblDaily[Admissions],tblDaily[EntryDate],DATE(2026,4,30),tblDaily[WardCode],"CW")),"")</f>
        <v/>
      </c>
      <c r="C153" s="5" t="str">
        <f>IFERROR(IF(SUMIFS(tblDaily[Discharges],tblDaily[EntryDate],DATE(2026,4,30),tblDaily[WardCode],"CW")=0,"",SUMIFS(tblDaily[Discharges],tblDaily[EntryDate],DATE(2026,4,30),tblDaily[WardCode],"CW")),"")</f>
        <v/>
      </c>
      <c r="D153" s="5" t="str">
        <f>IFERROR(IF(SUMIFS(tblDaily[Deaths],tblDaily[EntryDate],DATE(2026,4,30),tblDaily[WardCode],"CW")=0,"",SUMIFS(tblDaily[Deaths],tblDaily[EntryDate],DATE(2026,4,30),tblDaily[WardCode],"CW")),"")</f>
        <v/>
      </c>
      <c r="E153" s="5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5" t="str">
        <f>IFERROR(IF(SUMIFS(tblDaily[TransfersIn],tblDaily[EntryDate],DATE(2026,4,30),tblDaily[WardCode],"CW")=0,"",SUMIFS(tblDaily[TransfersIn],tblDaily[EntryDate],DATE(2026,4,30),tblDaily[WardCode],"CW")),"")</f>
        <v/>
      </c>
      <c r="G153" s="5" t="str">
        <f>IFERROR(IF(SUMIFS(tblDaily[TransfersOut],tblDaily[EntryDate],DATE(2026,4,30),tblDaily[WardCode],"CW")=0,"",SUMIFS(tblDaily[TransfersOut],tblDaily[EntryDate],DATE(2026,4,30),tblDaily[WardCode],"CW")),"")</f>
        <v/>
      </c>
      <c r="H153" s="5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97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89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IFERROR(IF(SUMIFS(tblDaily[Admissions],tblDaily[EntryDate],DATE(2026,5,1),tblDaily[WardCode],"CW")=0,"",SUMIFS(tblDaily[Admissions],tblDaily[EntryDate],DATE(2026,5,1),tblDaily[WardCode],"CW")),"")</f>
        <v/>
      </c>
      <c r="C163" s="5" t="str">
        <f>IFERROR(IF(SUMIFS(tblDaily[Discharges],tblDaily[EntryDate],DATE(2026,5,1),tblDaily[WardCode],"CW")=0,"",SUMIFS(tblDaily[Discharges],tblDaily[EntryDate],DATE(2026,5,1),tblDaily[WardCode],"CW")),"")</f>
        <v/>
      </c>
      <c r="D163" s="5" t="str">
        <f>IFERROR(IF(SUMIFS(tblDaily[Deaths],tblDaily[EntryDate],DATE(2026,5,1),tblDaily[WardCode],"CW")=0,"",SUMIFS(tblDaily[Deaths],tblDaily[EntryDate],DATE(2026,5,1),tblDaily[WardCode],"CW")),"")</f>
        <v/>
      </c>
      <c r="E163" s="5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5" t="str">
        <f>IFERROR(IF(SUMIFS(tblDaily[TransfersIn],tblDaily[EntryDate],DATE(2026,5,1),tblDaily[WardCode],"CW")=0,"",SUMIFS(tblDaily[TransfersIn],tblDaily[EntryDate],DATE(2026,5,1),tblDaily[WardCode],"CW")),"")</f>
        <v/>
      </c>
      <c r="G163" s="5" t="str">
        <f>IFERROR(IF(SUMIFS(tblDaily[TransfersOut],tblDaily[EntryDate],DATE(2026,5,1),tblDaily[WardCode],"CW")=0,"",SUMIFS(tblDaily[TransfersOut],tblDaily[EntryDate],DATE(2026,5,1),tblDaily[WardCode],"CW")),"")</f>
        <v/>
      </c>
      <c r="H163" s="5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IFERROR(IF(SUMIFS(tblDaily[Admissions],tblDaily[EntryDate],DATE(2026,5,2),tblDaily[WardCode],"CW")=0,"",SUMIFS(tblDaily[Admissions],tblDaily[EntryDate],DATE(2026,5,2),tblDaily[WardCode],"CW")),"")</f>
        <v/>
      </c>
      <c r="C164" s="5" t="str">
        <f>IFERROR(IF(SUMIFS(tblDaily[Discharges],tblDaily[EntryDate],DATE(2026,5,2),tblDaily[WardCode],"CW")=0,"",SUMIFS(tblDaily[Discharges],tblDaily[EntryDate],DATE(2026,5,2),tblDaily[WardCode],"CW")),"")</f>
        <v/>
      </c>
      <c r="D164" s="5" t="str">
        <f>IFERROR(IF(SUMIFS(tblDaily[Deaths],tblDaily[EntryDate],DATE(2026,5,2),tblDaily[WardCode],"CW")=0,"",SUMIFS(tblDaily[Deaths],tblDaily[EntryDate],DATE(2026,5,2),tblDaily[WardCode],"CW")),"")</f>
        <v/>
      </c>
      <c r="E164" s="5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5" t="str">
        <f>IFERROR(IF(SUMIFS(tblDaily[TransfersIn],tblDaily[EntryDate],DATE(2026,5,2),tblDaily[WardCode],"CW")=0,"",SUMIFS(tblDaily[TransfersIn],tblDaily[EntryDate],DATE(2026,5,2),tblDaily[WardCode],"CW")),"")</f>
        <v/>
      </c>
      <c r="G164" s="5" t="str">
        <f>IFERROR(IF(SUMIFS(tblDaily[TransfersOut],tblDaily[EntryDate],DATE(2026,5,2),tblDaily[WardCode],"CW")=0,"",SUMIFS(tblDaily[TransfersOut],tblDaily[EntryDate],DATE(2026,5,2),tblDaily[WardCode],"CW")),"")</f>
        <v/>
      </c>
      <c r="H164" s="5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IFERROR(IF(SUMIFS(tblDaily[Admissions],tblDaily[EntryDate],DATE(2026,5,3),tblDaily[WardCode],"CW")=0,"",SUMIFS(tblDaily[Admissions],tblDaily[EntryDate],DATE(2026,5,3),tblDaily[WardCode],"CW")),"")</f>
        <v/>
      </c>
      <c r="C165" s="5" t="str">
        <f>IFERROR(IF(SUMIFS(tblDaily[Discharges],tblDaily[EntryDate],DATE(2026,5,3),tblDaily[WardCode],"CW")=0,"",SUMIFS(tblDaily[Discharges],tblDaily[EntryDate],DATE(2026,5,3),tblDaily[WardCode],"CW")),"")</f>
        <v/>
      </c>
      <c r="D165" s="5" t="str">
        <f>IFERROR(IF(SUMIFS(tblDaily[Deaths],tblDaily[EntryDate],DATE(2026,5,3),tblDaily[WardCode],"CW")=0,"",SUMIFS(tblDaily[Deaths],tblDaily[EntryDate],DATE(2026,5,3),tblDaily[WardCode],"CW")),"")</f>
        <v/>
      </c>
      <c r="E165" s="5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5" t="str">
        <f>IFERROR(IF(SUMIFS(tblDaily[TransfersIn],tblDaily[EntryDate],DATE(2026,5,3),tblDaily[WardCode],"CW")=0,"",SUMIFS(tblDaily[TransfersIn],tblDaily[EntryDate],DATE(2026,5,3),tblDaily[WardCode],"CW")),"")</f>
        <v/>
      </c>
      <c r="G165" s="5" t="str">
        <f>IFERROR(IF(SUMIFS(tblDaily[TransfersOut],tblDaily[EntryDate],DATE(2026,5,3),tblDaily[WardCode],"CW")=0,"",SUMIFS(tblDaily[TransfersOut],tblDaily[EntryDate],DATE(2026,5,3),tblDaily[WardCode],"CW")),"")</f>
        <v/>
      </c>
      <c r="H165" s="5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IFERROR(IF(SUMIFS(tblDaily[Admissions],tblDaily[EntryDate],DATE(2026,5,4),tblDaily[WardCode],"CW")=0,"",SUMIFS(tblDaily[Admissions],tblDaily[EntryDate],DATE(2026,5,4),tblDaily[WardCode],"CW")),"")</f>
        <v/>
      </c>
      <c r="C166" s="5" t="str">
        <f>IFERROR(IF(SUMIFS(tblDaily[Discharges],tblDaily[EntryDate],DATE(2026,5,4),tblDaily[WardCode],"CW")=0,"",SUMIFS(tblDaily[Discharges],tblDaily[EntryDate],DATE(2026,5,4),tblDaily[WardCode],"CW")),"")</f>
        <v/>
      </c>
      <c r="D166" s="5" t="str">
        <f>IFERROR(IF(SUMIFS(tblDaily[Deaths],tblDaily[EntryDate],DATE(2026,5,4),tblDaily[WardCode],"CW")=0,"",SUMIFS(tblDaily[Deaths],tblDaily[EntryDate],DATE(2026,5,4),tblDaily[WardCode],"CW")),"")</f>
        <v/>
      </c>
      <c r="E166" s="5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5" t="str">
        <f>IFERROR(IF(SUMIFS(tblDaily[TransfersIn],tblDaily[EntryDate],DATE(2026,5,4),tblDaily[WardCode],"CW")=0,"",SUMIFS(tblDaily[TransfersIn],tblDaily[EntryDate],DATE(2026,5,4),tblDaily[WardCode],"CW")),"")</f>
        <v/>
      </c>
      <c r="G166" s="5" t="str">
        <f>IFERROR(IF(SUMIFS(tblDaily[TransfersOut],tblDaily[EntryDate],DATE(2026,5,4),tblDaily[WardCode],"CW")=0,"",SUMIFS(tblDaily[TransfersOut],tblDaily[EntryDate],DATE(2026,5,4),tblDaily[WardCode],"CW")),"")</f>
        <v/>
      </c>
      <c r="H166" s="5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IFERROR(IF(SUMIFS(tblDaily[Admissions],tblDaily[EntryDate],DATE(2026,5,5),tblDaily[WardCode],"CW")=0,"",SUMIFS(tblDaily[Admissions],tblDaily[EntryDate],DATE(2026,5,5),tblDaily[WardCode],"CW")),"")</f>
        <v/>
      </c>
      <c r="C167" s="5" t="str">
        <f>IFERROR(IF(SUMIFS(tblDaily[Discharges],tblDaily[EntryDate],DATE(2026,5,5),tblDaily[WardCode],"CW")=0,"",SUMIFS(tblDaily[Discharges],tblDaily[EntryDate],DATE(2026,5,5),tblDaily[WardCode],"CW")),"")</f>
        <v/>
      </c>
      <c r="D167" s="5" t="str">
        <f>IFERROR(IF(SUMIFS(tblDaily[Deaths],tblDaily[EntryDate],DATE(2026,5,5),tblDaily[WardCode],"CW")=0,"",SUMIFS(tblDaily[Deaths],tblDaily[EntryDate],DATE(2026,5,5),tblDaily[WardCode],"CW")),"")</f>
        <v/>
      </c>
      <c r="E167" s="5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5" t="str">
        <f>IFERROR(IF(SUMIFS(tblDaily[TransfersIn],tblDaily[EntryDate],DATE(2026,5,5),tblDaily[WardCode],"CW")=0,"",SUMIFS(tblDaily[TransfersIn],tblDaily[EntryDate],DATE(2026,5,5),tblDaily[WardCode],"CW")),"")</f>
        <v/>
      </c>
      <c r="G167" s="5" t="str">
        <f>IFERROR(IF(SUMIFS(tblDaily[TransfersOut],tblDaily[EntryDate],DATE(2026,5,5),tblDaily[WardCode],"CW")=0,"",SUMIFS(tblDaily[TransfersOut],tblDaily[EntryDate],DATE(2026,5,5),tblDaily[WardCode],"CW")),"")</f>
        <v/>
      </c>
      <c r="H167" s="5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IFERROR(IF(SUMIFS(tblDaily[Admissions],tblDaily[EntryDate],DATE(2026,5,6),tblDaily[WardCode],"CW")=0,"",SUMIFS(tblDaily[Admissions],tblDaily[EntryDate],DATE(2026,5,6),tblDaily[WardCode],"CW")),"")</f>
        <v/>
      </c>
      <c r="C168" s="5" t="str">
        <f>IFERROR(IF(SUMIFS(tblDaily[Discharges],tblDaily[EntryDate],DATE(2026,5,6),tblDaily[WardCode],"CW")=0,"",SUMIFS(tblDaily[Discharges],tblDaily[EntryDate],DATE(2026,5,6),tblDaily[WardCode],"CW")),"")</f>
        <v/>
      </c>
      <c r="D168" s="5" t="str">
        <f>IFERROR(IF(SUMIFS(tblDaily[Deaths],tblDaily[EntryDate],DATE(2026,5,6),tblDaily[WardCode],"CW")=0,"",SUMIFS(tblDaily[Deaths],tblDaily[EntryDate],DATE(2026,5,6),tblDaily[WardCode],"CW")),"")</f>
        <v/>
      </c>
      <c r="E168" s="5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5" t="str">
        <f>IFERROR(IF(SUMIFS(tblDaily[TransfersIn],tblDaily[EntryDate],DATE(2026,5,6),tblDaily[WardCode],"CW")=0,"",SUMIFS(tblDaily[TransfersIn],tblDaily[EntryDate],DATE(2026,5,6),tblDaily[WardCode],"CW")),"")</f>
        <v/>
      </c>
      <c r="G168" s="5" t="str">
        <f>IFERROR(IF(SUMIFS(tblDaily[TransfersOut],tblDaily[EntryDate],DATE(2026,5,6),tblDaily[WardCode],"CW")=0,"",SUMIFS(tblDaily[TransfersOut],tblDaily[EntryDate],DATE(2026,5,6),tblDaily[WardCode],"CW")),"")</f>
        <v/>
      </c>
      <c r="H168" s="5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IFERROR(IF(SUMIFS(tblDaily[Admissions],tblDaily[EntryDate],DATE(2026,5,7),tblDaily[WardCode],"CW")=0,"",SUMIFS(tblDaily[Admissions],tblDaily[EntryDate],DATE(2026,5,7),tblDaily[WardCode],"CW")),"")</f>
        <v/>
      </c>
      <c r="C169" s="5" t="str">
        <f>IFERROR(IF(SUMIFS(tblDaily[Discharges],tblDaily[EntryDate],DATE(2026,5,7),tblDaily[WardCode],"CW")=0,"",SUMIFS(tblDaily[Discharges],tblDaily[EntryDate],DATE(2026,5,7),tblDaily[WardCode],"CW")),"")</f>
        <v/>
      </c>
      <c r="D169" s="5" t="str">
        <f>IFERROR(IF(SUMIFS(tblDaily[Deaths],tblDaily[EntryDate],DATE(2026,5,7),tblDaily[WardCode],"CW")=0,"",SUMIFS(tblDaily[Deaths],tblDaily[EntryDate],DATE(2026,5,7),tblDaily[WardCode],"CW")),"")</f>
        <v/>
      </c>
      <c r="E169" s="5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5" t="str">
        <f>IFERROR(IF(SUMIFS(tblDaily[TransfersIn],tblDaily[EntryDate],DATE(2026,5,7),tblDaily[WardCode],"CW")=0,"",SUMIFS(tblDaily[TransfersIn],tblDaily[EntryDate],DATE(2026,5,7),tblDaily[WardCode],"CW")),"")</f>
        <v/>
      </c>
      <c r="G169" s="5" t="str">
        <f>IFERROR(IF(SUMIFS(tblDaily[TransfersOut],tblDaily[EntryDate],DATE(2026,5,7),tblDaily[WardCode],"CW")=0,"",SUMIFS(tblDaily[TransfersOut],tblDaily[EntryDate],DATE(2026,5,7),tblDaily[WardCode],"CW")),"")</f>
        <v/>
      </c>
      <c r="H169" s="5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IFERROR(IF(SUMIFS(tblDaily[Admissions],tblDaily[EntryDate],DATE(2026,5,8),tblDaily[WardCode],"CW")=0,"",SUMIFS(tblDaily[Admissions],tblDaily[EntryDate],DATE(2026,5,8),tblDaily[WardCode],"CW")),"")</f>
        <v/>
      </c>
      <c r="C170" s="5" t="str">
        <f>IFERROR(IF(SUMIFS(tblDaily[Discharges],tblDaily[EntryDate],DATE(2026,5,8),tblDaily[WardCode],"CW")=0,"",SUMIFS(tblDaily[Discharges],tblDaily[EntryDate],DATE(2026,5,8),tblDaily[WardCode],"CW")),"")</f>
        <v/>
      </c>
      <c r="D170" s="5" t="str">
        <f>IFERROR(IF(SUMIFS(tblDaily[Deaths],tblDaily[EntryDate],DATE(2026,5,8),tblDaily[WardCode],"CW")=0,"",SUMIFS(tblDaily[Deaths],tblDaily[EntryDate],DATE(2026,5,8),tblDaily[WardCode],"CW")),"")</f>
        <v/>
      </c>
      <c r="E170" s="5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5" t="str">
        <f>IFERROR(IF(SUMIFS(tblDaily[TransfersIn],tblDaily[EntryDate],DATE(2026,5,8),tblDaily[WardCode],"CW")=0,"",SUMIFS(tblDaily[TransfersIn],tblDaily[EntryDate],DATE(2026,5,8),tblDaily[WardCode],"CW")),"")</f>
        <v/>
      </c>
      <c r="G170" s="5" t="str">
        <f>IFERROR(IF(SUMIFS(tblDaily[TransfersOut],tblDaily[EntryDate],DATE(2026,5,8),tblDaily[WardCode],"CW")=0,"",SUMIFS(tblDaily[TransfersOut],tblDaily[EntryDate],DATE(2026,5,8),tblDaily[WardCode],"CW")),"")</f>
        <v/>
      </c>
      <c r="H170" s="5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IFERROR(IF(SUMIFS(tblDaily[Admissions],tblDaily[EntryDate],DATE(2026,5,9),tblDaily[WardCode],"CW")=0,"",SUMIFS(tblDaily[Admissions],tblDaily[EntryDate],DATE(2026,5,9),tblDaily[WardCode],"CW")),"")</f>
        <v/>
      </c>
      <c r="C171" s="5" t="str">
        <f>IFERROR(IF(SUMIFS(tblDaily[Discharges],tblDaily[EntryDate],DATE(2026,5,9),tblDaily[WardCode],"CW")=0,"",SUMIFS(tblDaily[Discharges],tblDaily[EntryDate],DATE(2026,5,9),tblDaily[WardCode],"CW")),"")</f>
        <v/>
      </c>
      <c r="D171" s="5" t="str">
        <f>IFERROR(IF(SUMIFS(tblDaily[Deaths],tblDaily[EntryDate],DATE(2026,5,9),tblDaily[WardCode],"CW")=0,"",SUMIFS(tblDaily[Deaths],tblDaily[EntryDate],DATE(2026,5,9),tblDaily[WardCode],"CW")),"")</f>
        <v/>
      </c>
      <c r="E171" s="5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5" t="str">
        <f>IFERROR(IF(SUMIFS(tblDaily[TransfersIn],tblDaily[EntryDate],DATE(2026,5,9),tblDaily[WardCode],"CW")=0,"",SUMIFS(tblDaily[TransfersIn],tblDaily[EntryDate],DATE(2026,5,9),tblDaily[WardCode],"CW")),"")</f>
        <v/>
      </c>
      <c r="G171" s="5" t="str">
        <f>IFERROR(IF(SUMIFS(tblDaily[TransfersOut],tblDaily[EntryDate],DATE(2026,5,9),tblDaily[WardCode],"CW")=0,"",SUMIFS(tblDaily[TransfersOut],tblDaily[EntryDate],DATE(2026,5,9),tblDaily[WardCode],"CW")),"")</f>
        <v/>
      </c>
      <c r="H171" s="5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IFERROR(IF(SUMIFS(tblDaily[Admissions],tblDaily[EntryDate],DATE(2026,5,10),tblDaily[WardCode],"CW")=0,"",SUMIFS(tblDaily[Admissions],tblDaily[EntryDate],DATE(2026,5,10),tblDaily[WardCode],"CW")),"")</f>
        <v/>
      </c>
      <c r="C172" s="5" t="str">
        <f>IFERROR(IF(SUMIFS(tblDaily[Discharges],tblDaily[EntryDate],DATE(2026,5,10),tblDaily[WardCode],"CW")=0,"",SUMIFS(tblDaily[Discharges],tblDaily[EntryDate],DATE(2026,5,10),tblDaily[WardCode],"CW")),"")</f>
        <v/>
      </c>
      <c r="D172" s="5" t="str">
        <f>IFERROR(IF(SUMIFS(tblDaily[Deaths],tblDaily[EntryDate],DATE(2026,5,10),tblDaily[WardCode],"CW")=0,"",SUMIFS(tblDaily[Deaths],tblDaily[EntryDate],DATE(2026,5,10),tblDaily[WardCode],"CW")),"")</f>
        <v/>
      </c>
      <c r="E172" s="5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5" t="str">
        <f>IFERROR(IF(SUMIFS(tblDaily[TransfersIn],tblDaily[EntryDate],DATE(2026,5,10),tblDaily[WardCode],"CW")=0,"",SUMIFS(tblDaily[TransfersIn],tblDaily[EntryDate],DATE(2026,5,10),tblDaily[WardCode],"CW")),"")</f>
        <v/>
      </c>
      <c r="G172" s="5" t="str">
        <f>IFERROR(IF(SUMIFS(tblDaily[TransfersOut],tblDaily[EntryDate],DATE(2026,5,10),tblDaily[WardCode],"CW")=0,"",SUMIFS(tblDaily[TransfersOut],tblDaily[EntryDate],DATE(2026,5,10),tblDaily[WardCode],"CW")),"")</f>
        <v/>
      </c>
      <c r="H172" s="5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IFERROR(IF(SUMIFS(tblDaily[Admissions],tblDaily[EntryDate],DATE(2026,5,11),tblDaily[WardCode],"CW")=0,"",SUMIFS(tblDaily[Admissions],tblDaily[EntryDate],DATE(2026,5,11),tblDaily[WardCode],"CW")),"")</f>
        <v/>
      </c>
      <c r="C173" s="5" t="str">
        <f>IFERROR(IF(SUMIFS(tblDaily[Discharges],tblDaily[EntryDate],DATE(2026,5,11),tblDaily[WardCode],"CW")=0,"",SUMIFS(tblDaily[Discharges],tblDaily[EntryDate],DATE(2026,5,11),tblDaily[WardCode],"CW")),"")</f>
        <v/>
      </c>
      <c r="D173" s="5" t="str">
        <f>IFERROR(IF(SUMIFS(tblDaily[Deaths],tblDaily[EntryDate],DATE(2026,5,11),tblDaily[WardCode],"CW")=0,"",SUMIFS(tblDaily[Deaths],tblDaily[EntryDate],DATE(2026,5,11),tblDaily[WardCode],"CW")),"")</f>
        <v/>
      </c>
      <c r="E173" s="5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5" t="str">
        <f>IFERROR(IF(SUMIFS(tblDaily[TransfersIn],tblDaily[EntryDate],DATE(2026,5,11),tblDaily[WardCode],"CW")=0,"",SUMIFS(tblDaily[TransfersIn],tblDaily[EntryDate],DATE(2026,5,11),tblDaily[WardCode],"CW")),"")</f>
        <v/>
      </c>
      <c r="G173" s="5" t="str">
        <f>IFERROR(IF(SUMIFS(tblDaily[TransfersOut],tblDaily[EntryDate],DATE(2026,5,11),tblDaily[WardCode],"CW")=0,"",SUMIFS(tblDaily[TransfersOut],tblDaily[EntryDate],DATE(2026,5,11),tblDaily[WardCode],"CW")),"")</f>
        <v/>
      </c>
      <c r="H173" s="5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IFERROR(IF(SUMIFS(tblDaily[Admissions],tblDaily[EntryDate],DATE(2026,5,12),tblDaily[WardCode],"CW")=0,"",SUMIFS(tblDaily[Admissions],tblDaily[EntryDate],DATE(2026,5,12),tblDaily[WardCode],"CW")),"")</f>
        <v/>
      </c>
      <c r="C174" s="5" t="str">
        <f>IFERROR(IF(SUMIFS(tblDaily[Discharges],tblDaily[EntryDate],DATE(2026,5,12),tblDaily[WardCode],"CW")=0,"",SUMIFS(tblDaily[Discharges],tblDaily[EntryDate],DATE(2026,5,12),tblDaily[WardCode],"CW")),"")</f>
        <v/>
      </c>
      <c r="D174" s="5" t="str">
        <f>IFERROR(IF(SUMIFS(tblDaily[Deaths],tblDaily[EntryDate],DATE(2026,5,12),tblDaily[WardCode],"CW")=0,"",SUMIFS(tblDaily[Deaths],tblDaily[EntryDate],DATE(2026,5,12),tblDaily[WardCode],"CW")),"")</f>
        <v/>
      </c>
      <c r="E174" s="5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5" t="str">
        <f>IFERROR(IF(SUMIFS(tblDaily[TransfersIn],tblDaily[EntryDate],DATE(2026,5,12),tblDaily[WardCode],"CW")=0,"",SUMIFS(tblDaily[TransfersIn],tblDaily[EntryDate],DATE(2026,5,12),tblDaily[WardCode],"CW")),"")</f>
        <v/>
      </c>
      <c r="G174" s="5" t="str">
        <f>IFERROR(IF(SUMIFS(tblDaily[TransfersOut],tblDaily[EntryDate],DATE(2026,5,12),tblDaily[WardCode],"CW")=0,"",SUMIFS(tblDaily[TransfersOut],tblDaily[EntryDate],DATE(2026,5,12),tblDaily[WardCode],"CW")),"")</f>
        <v/>
      </c>
      <c r="H174" s="5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IFERROR(IF(SUMIFS(tblDaily[Admissions],tblDaily[EntryDate],DATE(2026,5,13),tblDaily[WardCode],"CW")=0,"",SUMIFS(tblDaily[Admissions],tblDaily[EntryDate],DATE(2026,5,13),tblDaily[WardCode],"CW")),"")</f>
        <v/>
      </c>
      <c r="C175" s="5" t="str">
        <f>IFERROR(IF(SUMIFS(tblDaily[Discharges],tblDaily[EntryDate],DATE(2026,5,13),tblDaily[WardCode],"CW")=0,"",SUMIFS(tblDaily[Discharges],tblDaily[EntryDate],DATE(2026,5,13),tblDaily[WardCode],"CW")),"")</f>
        <v/>
      </c>
      <c r="D175" s="5" t="str">
        <f>IFERROR(IF(SUMIFS(tblDaily[Deaths],tblDaily[EntryDate],DATE(2026,5,13),tblDaily[WardCode],"CW")=0,"",SUMIFS(tblDaily[Deaths],tblDaily[EntryDate],DATE(2026,5,13),tblDaily[WardCode],"CW")),"")</f>
        <v/>
      </c>
      <c r="E175" s="5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5" t="str">
        <f>IFERROR(IF(SUMIFS(tblDaily[TransfersIn],tblDaily[EntryDate],DATE(2026,5,13),tblDaily[WardCode],"CW")=0,"",SUMIFS(tblDaily[TransfersIn],tblDaily[EntryDate],DATE(2026,5,13),tblDaily[WardCode],"CW")),"")</f>
        <v/>
      </c>
      <c r="G175" s="5" t="str">
        <f>IFERROR(IF(SUMIFS(tblDaily[TransfersOut],tblDaily[EntryDate],DATE(2026,5,13),tblDaily[WardCode],"CW")=0,"",SUMIFS(tblDaily[TransfersOut],tblDaily[EntryDate],DATE(2026,5,13),tblDaily[WardCode],"CW")),"")</f>
        <v/>
      </c>
      <c r="H175" s="5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IFERROR(IF(SUMIFS(tblDaily[Admissions],tblDaily[EntryDate],DATE(2026,5,14),tblDaily[WardCode],"CW")=0,"",SUMIFS(tblDaily[Admissions],tblDaily[EntryDate],DATE(2026,5,14),tblDaily[WardCode],"CW")),"")</f>
        <v/>
      </c>
      <c r="C176" s="5" t="str">
        <f>IFERROR(IF(SUMIFS(tblDaily[Discharges],tblDaily[EntryDate],DATE(2026,5,14),tblDaily[WardCode],"CW")=0,"",SUMIFS(tblDaily[Discharges],tblDaily[EntryDate],DATE(2026,5,14),tblDaily[WardCode],"CW")),"")</f>
        <v/>
      </c>
      <c r="D176" s="5" t="str">
        <f>IFERROR(IF(SUMIFS(tblDaily[Deaths],tblDaily[EntryDate],DATE(2026,5,14),tblDaily[WardCode],"CW")=0,"",SUMIFS(tblDaily[Deaths],tblDaily[EntryDate],DATE(2026,5,14),tblDaily[WardCode],"CW")),"")</f>
        <v/>
      </c>
      <c r="E176" s="5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5" t="str">
        <f>IFERROR(IF(SUMIFS(tblDaily[TransfersIn],tblDaily[EntryDate],DATE(2026,5,14),tblDaily[WardCode],"CW")=0,"",SUMIFS(tblDaily[TransfersIn],tblDaily[EntryDate],DATE(2026,5,14),tblDaily[WardCode],"CW")),"")</f>
        <v/>
      </c>
      <c r="G176" s="5" t="str">
        <f>IFERROR(IF(SUMIFS(tblDaily[TransfersOut],tblDaily[EntryDate],DATE(2026,5,14),tblDaily[WardCode],"CW")=0,"",SUMIFS(tblDaily[TransfersOut],tblDaily[EntryDate],DATE(2026,5,14),tblDaily[WardCode],"CW")),"")</f>
        <v/>
      </c>
      <c r="H176" s="5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IFERROR(IF(SUMIFS(tblDaily[Admissions],tblDaily[EntryDate],DATE(2026,5,15),tblDaily[WardCode],"CW")=0,"",SUMIFS(tblDaily[Admissions],tblDaily[EntryDate],DATE(2026,5,15),tblDaily[WardCode],"CW")),"")</f>
        <v/>
      </c>
      <c r="C177" s="5" t="str">
        <f>IFERROR(IF(SUMIFS(tblDaily[Discharges],tblDaily[EntryDate],DATE(2026,5,15),tblDaily[WardCode],"CW")=0,"",SUMIFS(tblDaily[Discharges],tblDaily[EntryDate],DATE(2026,5,15),tblDaily[WardCode],"CW")),"")</f>
        <v/>
      </c>
      <c r="D177" s="5" t="str">
        <f>IFERROR(IF(SUMIFS(tblDaily[Deaths],tblDaily[EntryDate],DATE(2026,5,15),tblDaily[WardCode],"CW")=0,"",SUMIFS(tblDaily[Deaths],tblDaily[EntryDate],DATE(2026,5,15),tblDaily[WardCode],"CW")),"")</f>
        <v/>
      </c>
      <c r="E177" s="5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5" t="str">
        <f>IFERROR(IF(SUMIFS(tblDaily[TransfersIn],tblDaily[EntryDate],DATE(2026,5,15),tblDaily[WardCode],"CW")=0,"",SUMIFS(tblDaily[TransfersIn],tblDaily[EntryDate],DATE(2026,5,15),tblDaily[WardCode],"CW")),"")</f>
        <v/>
      </c>
      <c r="G177" s="5" t="str">
        <f>IFERROR(IF(SUMIFS(tblDaily[TransfersOut],tblDaily[EntryDate],DATE(2026,5,15),tblDaily[WardCode],"CW")=0,"",SUMIFS(tblDaily[TransfersOut],tblDaily[EntryDate],DATE(2026,5,15),tblDaily[WardCode],"CW")),"")</f>
        <v/>
      </c>
      <c r="H177" s="5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IFERROR(IF(SUMIFS(tblDaily[Admissions],tblDaily[EntryDate],DATE(2026,5,16),tblDaily[WardCode],"CW")=0,"",SUMIFS(tblDaily[Admissions],tblDaily[EntryDate],DATE(2026,5,16),tblDaily[WardCode],"CW")),"")</f>
        <v/>
      </c>
      <c r="C178" s="5" t="str">
        <f>IFERROR(IF(SUMIFS(tblDaily[Discharges],tblDaily[EntryDate],DATE(2026,5,16),tblDaily[WardCode],"CW")=0,"",SUMIFS(tblDaily[Discharges],tblDaily[EntryDate],DATE(2026,5,16),tblDaily[WardCode],"CW")),"")</f>
        <v/>
      </c>
      <c r="D178" s="5" t="str">
        <f>IFERROR(IF(SUMIFS(tblDaily[Deaths],tblDaily[EntryDate],DATE(2026,5,16),tblDaily[WardCode],"CW")=0,"",SUMIFS(tblDaily[Deaths],tblDaily[EntryDate],DATE(2026,5,16),tblDaily[WardCode],"CW")),"")</f>
        <v/>
      </c>
      <c r="E178" s="5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5" t="str">
        <f>IFERROR(IF(SUMIFS(tblDaily[TransfersIn],tblDaily[EntryDate],DATE(2026,5,16),tblDaily[WardCode],"CW")=0,"",SUMIFS(tblDaily[TransfersIn],tblDaily[EntryDate],DATE(2026,5,16),tblDaily[WardCode],"CW")),"")</f>
        <v/>
      </c>
      <c r="G178" s="5" t="str">
        <f>IFERROR(IF(SUMIFS(tblDaily[TransfersOut],tblDaily[EntryDate],DATE(2026,5,16),tblDaily[WardCode],"CW")=0,"",SUMIFS(tblDaily[TransfersOut],tblDaily[EntryDate],DATE(2026,5,16),tblDaily[WardCode],"CW")),"")</f>
        <v/>
      </c>
      <c r="H178" s="5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IFERROR(IF(SUMIFS(tblDaily[Admissions],tblDaily[EntryDate],DATE(2026,5,17),tblDaily[WardCode],"CW")=0,"",SUMIFS(tblDaily[Admissions],tblDaily[EntryDate],DATE(2026,5,17),tblDaily[WardCode],"CW")),"")</f>
        <v/>
      </c>
      <c r="C179" s="5" t="str">
        <f>IFERROR(IF(SUMIFS(tblDaily[Discharges],tblDaily[EntryDate],DATE(2026,5,17),tblDaily[WardCode],"CW")=0,"",SUMIFS(tblDaily[Discharges],tblDaily[EntryDate],DATE(2026,5,17),tblDaily[WardCode],"CW")),"")</f>
        <v/>
      </c>
      <c r="D179" s="5" t="str">
        <f>IFERROR(IF(SUMIFS(tblDaily[Deaths],tblDaily[EntryDate],DATE(2026,5,17),tblDaily[WardCode],"CW")=0,"",SUMIFS(tblDaily[Deaths],tblDaily[EntryDate],DATE(2026,5,17),tblDaily[WardCode],"CW")),"")</f>
        <v/>
      </c>
      <c r="E179" s="5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5" t="str">
        <f>IFERROR(IF(SUMIFS(tblDaily[TransfersIn],tblDaily[EntryDate],DATE(2026,5,17),tblDaily[WardCode],"CW")=0,"",SUMIFS(tblDaily[TransfersIn],tblDaily[EntryDate],DATE(2026,5,17),tblDaily[WardCode],"CW")),"")</f>
        <v/>
      </c>
      <c r="G179" s="5" t="str">
        <f>IFERROR(IF(SUMIFS(tblDaily[TransfersOut],tblDaily[EntryDate],DATE(2026,5,17),tblDaily[WardCode],"CW")=0,"",SUMIFS(tblDaily[TransfersOut],tblDaily[EntryDate],DATE(2026,5,17),tblDaily[WardCode],"CW")),"")</f>
        <v/>
      </c>
      <c r="H179" s="5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IFERROR(IF(SUMIFS(tblDaily[Admissions],tblDaily[EntryDate],DATE(2026,5,18),tblDaily[WardCode],"CW")=0,"",SUMIFS(tblDaily[Admissions],tblDaily[EntryDate],DATE(2026,5,18),tblDaily[WardCode],"CW")),"")</f>
        <v/>
      </c>
      <c r="C180" s="5" t="str">
        <f>IFERROR(IF(SUMIFS(tblDaily[Discharges],tblDaily[EntryDate],DATE(2026,5,18),tblDaily[WardCode],"CW")=0,"",SUMIFS(tblDaily[Discharges],tblDaily[EntryDate],DATE(2026,5,18),tblDaily[WardCode],"CW")),"")</f>
        <v/>
      </c>
      <c r="D180" s="5" t="str">
        <f>IFERROR(IF(SUMIFS(tblDaily[Deaths],tblDaily[EntryDate],DATE(2026,5,18),tblDaily[WardCode],"CW")=0,"",SUMIFS(tblDaily[Deaths],tblDaily[EntryDate],DATE(2026,5,18),tblDaily[WardCode],"CW")),"")</f>
        <v/>
      </c>
      <c r="E180" s="5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5" t="str">
        <f>IFERROR(IF(SUMIFS(tblDaily[TransfersIn],tblDaily[EntryDate],DATE(2026,5,18),tblDaily[WardCode],"CW")=0,"",SUMIFS(tblDaily[TransfersIn],tblDaily[EntryDate],DATE(2026,5,18),tblDaily[WardCode],"CW")),"")</f>
        <v/>
      </c>
      <c r="G180" s="5" t="str">
        <f>IFERROR(IF(SUMIFS(tblDaily[TransfersOut],tblDaily[EntryDate],DATE(2026,5,18),tblDaily[WardCode],"CW")=0,"",SUMIFS(tblDaily[TransfersOut],tblDaily[EntryDate],DATE(2026,5,18),tblDaily[WardCode],"CW")),"")</f>
        <v/>
      </c>
      <c r="H180" s="5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IFERROR(IF(SUMIFS(tblDaily[Admissions],tblDaily[EntryDate],DATE(2026,5,19),tblDaily[WardCode],"CW")=0,"",SUMIFS(tblDaily[Admissions],tblDaily[EntryDate],DATE(2026,5,19),tblDaily[WardCode],"CW")),"")</f>
        <v/>
      </c>
      <c r="C181" s="5" t="str">
        <f>IFERROR(IF(SUMIFS(tblDaily[Discharges],tblDaily[EntryDate],DATE(2026,5,19),tblDaily[WardCode],"CW")=0,"",SUMIFS(tblDaily[Discharges],tblDaily[EntryDate],DATE(2026,5,19),tblDaily[WardCode],"CW")),"")</f>
        <v/>
      </c>
      <c r="D181" s="5" t="str">
        <f>IFERROR(IF(SUMIFS(tblDaily[Deaths],tblDaily[EntryDate],DATE(2026,5,19),tblDaily[WardCode],"CW")=0,"",SUMIFS(tblDaily[Deaths],tblDaily[EntryDate],DATE(2026,5,19),tblDaily[WardCode],"CW")),"")</f>
        <v/>
      </c>
      <c r="E181" s="5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5" t="str">
        <f>IFERROR(IF(SUMIFS(tblDaily[TransfersIn],tblDaily[EntryDate],DATE(2026,5,19),tblDaily[WardCode],"CW")=0,"",SUMIFS(tblDaily[TransfersIn],tblDaily[EntryDate],DATE(2026,5,19),tblDaily[WardCode],"CW")),"")</f>
        <v/>
      </c>
      <c r="G181" s="5" t="str">
        <f>IFERROR(IF(SUMIFS(tblDaily[TransfersOut],tblDaily[EntryDate],DATE(2026,5,19),tblDaily[WardCode],"CW")=0,"",SUMIFS(tblDaily[TransfersOut],tblDaily[EntryDate],DATE(2026,5,19),tblDaily[WardCode],"CW")),"")</f>
        <v/>
      </c>
      <c r="H181" s="5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IFERROR(IF(SUMIFS(tblDaily[Admissions],tblDaily[EntryDate],DATE(2026,5,20),tblDaily[WardCode],"CW")=0,"",SUMIFS(tblDaily[Admissions],tblDaily[EntryDate],DATE(2026,5,20),tblDaily[WardCode],"CW")),"")</f>
        <v/>
      </c>
      <c r="C182" s="5" t="str">
        <f>IFERROR(IF(SUMIFS(tblDaily[Discharges],tblDaily[EntryDate],DATE(2026,5,20),tblDaily[WardCode],"CW")=0,"",SUMIFS(tblDaily[Discharges],tblDaily[EntryDate],DATE(2026,5,20),tblDaily[WardCode],"CW")),"")</f>
        <v/>
      </c>
      <c r="D182" s="5" t="str">
        <f>IFERROR(IF(SUMIFS(tblDaily[Deaths],tblDaily[EntryDate],DATE(2026,5,20),tblDaily[WardCode],"CW")=0,"",SUMIFS(tblDaily[Deaths],tblDaily[EntryDate],DATE(2026,5,20),tblDaily[WardCode],"CW")),"")</f>
        <v/>
      </c>
      <c r="E182" s="5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5" t="str">
        <f>IFERROR(IF(SUMIFS(tblDaily[TransfersIn],tblDaily[EntryDate],DATE(2026,5,20),tblDaily[WardCode],"CW")=0,"",SUMIFS(tblDaily[TransfersIn],tblDaily[EntryDate],DATE(2026,5,20),tblDaily[WardCode],"CW")),"")</f>
        <v/>
      </c>
      <c r="G182" s="5" t="str">
        <f>IFERROR(IF(SUMIFS(tblDaily[TransfersOut],tblDaily[EntryDate],DATE(2026,5,20),tblDaily[WardCode],"CW")=0,"",SUMIFS(tblDaily[TransfersOut],tblDaily[EntryDate],DATE(2026,5,20),tblDaily[WardCode],"CW")),"")</f>
        <v/>
      </c>
      <c r="H182" s="5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IFERROR(IF(SUMIFS(tblDaily[Admissions],tblDaily[EntryDate],DATE(2026,5,21),tblDaily[WardCode],"CW")=0,"",SUMIFS(tblDaily[Admissions],tblDaily[EntryDate],DATE(2026,5,21),tblDaily[WardCode],"CW")),"")</f>
        <v/>
      </c>
      <c r="C183" s="5" t="str">
        <f>IFERROR(IF(SUMIFS(tblDaily[Discharges],tblDaily[EntryDate],DATE(2026,5,21),tblDaily[WardCode],"CW")=0,"",SUMIFS(tblDaily[Discharges],tblDaily[EntryDate],DATE(2026,5,21),tblDaily[WardCode],"CW")),"")</f>
        <v/>
      </c>
      <c r="D183" s="5" t="str">
        <f>IFERROR(IF(SUMIFS(tblDaily[Deaths],tblDaily[EntryDate],DATE(2026,5,21),tblDaily[WardCode],"CW")=0,"",SUMIFS(tblDaily[Deaths],tblDaily[EntryDate],DATE(2026,5,21),tblDaily[WardCode],"CW")),"")</f>
        <v/>
      </c>
      <c r="E183" s="5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5" t="str">
        <f>IFERROR(IF(SUMIFS(tblDaily[TransfersIn],tblDaily[EntryDate],DATE(2026,5,21),tblDaily[WardCode],"CW")=0,"",SUMIFS(tblDaily[TransfersIn],tblDaily[EntryDate],DATE(2026,5,21),tblDaily[WardCode],"CW")),"")</f>
        <v/>
      </c>
      <c r="G183" s="5" t="str">
        <f>IFERROR(IF(SUMIFS(tblDaily[TransfersOut],tblDaily[EntryDate],DATE(2026,5,21),tblDaily[WardCode],"CW")=0,"",SUMIFS(tblDaily[TransfersOut],tblDaily[EntryDate],DATE(2026,5,21),tblDaily[WardCode],"CW")),"")</f>
        <v/>
      </c>
      <c r="H183" s="5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IFERROR(IF(SUMIFS(tblDaily[Admissions],tblDaily[EntryDate],DATE(2026,5,22),tblDaily[WardCode],"CW")=0,"",SUMIFS(tblDaily[Admissions],tblDaily[EntryDate],DATE(2026,5,22),tblDaily[WardCode],"CW")),"")</f>
        <v/>
      </c>
      <c r="C184" s="5" t="str">
        <f>IFERROR(IF(SUMIFS(tblDaily[Discharges],tblDaily[EntryDate],DATE(2026,5,22),tblDaily[WardCode],"CW")=0,"",SUMIFS(tblDaily[Discharges],tblDaily[EntryDate],DATE(2026,5,22),tblDaily[WardCode],"CW")),"")</f>
        <v/>
      </c>
      <c r="D184" s="5" t="str">
        <f>IFERROR(IF(SUMIFS(tblDaily[Deaths],tblDaily[EntryDate],DATE(2026,5,22),tblDaily[WardCode],"CW")=0,"",SUMIFS(tblDaily[Deaths],tblDaily[EntryDate],DATE(2026,5,22),tblDaily[WardCode],"CW")),"")</f>
        <v/>
      </c>
      <c r="E184" s="5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5" t="str">
        <f>IFERROR(IF(SUMIFS(tblDaily[TransfersIn],tblDaily[EntryDate],DATE(2026,5,22),tblDaily[WardCode],"CW")=0,"",SUMIFS(tblDaily[TransfersIn],tblDaily[EntryDate],DATE(2026,5,22),tblDaily[WardCode],"CW")),"")</f>
        <v/>
      </c>
      <c r="G184" s="5" t="str">
        <f>IFERROR(IF(SUMIFS(tblDaily[TransfersOut],tblDaily[EntryDate],DATE(2026,5,22),tblDaily[WardCode],"CW")=0,"",SUMIFS(tblDaily[TransfersOut],tblDaily[EntryDate],DATE(2026,5,22),tblDaily[WardCode],"CW")),"")</f>
        <v/>
      </c>
      <c r="H184" s="5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IFERROR(IF(SUMIFS(tblDaily[Admissions],tblDaily[EntryDate],DATE(2026,5,23),tblDaily[WardCode],"CW")=0,"",SUMIFS(tblDaily[Admissions],tblDaily[EntryDate],DATE(2026,5,23),tblDaily[WardCode],"CW")),"")</f>
        <v/>
      </c>
      <c r="C185" s="5" t="str">
        <f>IFERROR(IF(SUMIFS(tblDaily[Discharges],tblDaily[EntryDate],DATE(2026,5,23),tblDaily[WardCode],"CW")=0,"",SUMIFS(tblDaily[Discharges],tblDaily[EntryDate],DATE(2026,5,23),tblDaily[WardCode],"CW")),"")</f>
        <v/>
      </c>
      <c r="D185" s="5" t="str">
        <f>IFERROR(IF(SUMIFS(tblDaily[Deaths],tblDaily[EntryDate],DATE(2026,5,23),tblDaily[WardCode],"CW")=0,"",SUMIFS(tblDaily[Deaths],tblDaily[EntryDate],DATE(2026,5,23),tblDaily[WardCode],"CW")),"")</f>
        <v/>
      </c>
      <c r="E185" s="5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5" t="str">
        <f>IFERROR(IF(SUMIFS(tblDaily[TransfersIn],tblDaily[EntryDate],DATE(2026,5,23),tblDaily[WardCode],"CW")=0,"",SUMIFS(tblDaily[TransfersIn],tblDaily[EntryDate],DATE(2026,5,23),tblDaily[WardCode],"CW")),"")</f>
        <v/>
      </c>
      <c r="G185" s="5" t="str">
        <f>IFERROR(IF(SUMIFS(tblDaily[TransfersOut],tblDaily[EntryDate],DATE(2026,5,23),tblDaily[WardCode],"CW")=0,"",SUMIFS(tblDaily[TransfersOut],tblDaily[EntryDate],DATE(2026,5,23),tblDaily[WardCode],"CW")),"")</f>
        <v/>
      </c>
      <c r="H185" s="5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IFERROR(IF(SUMIFS(tblDaily[Admissions],tblDaily[EntryDate],DATE(2026,5,24),tblDaily[WardCode],"CW")=0,"",SUMIFS(tblDaily[Admissions],tblDaily[EntryDate],DATE(2026,5,24),tblDaily[WardCode],"CW")),"")</f>
        <v/>
      </c>
      <c r="C186" s="5" t="str">
        <f>IFERROR(IF(SUMIFS(tblDaily[Discharges],tblDaily[EntryDate],DATE(2026,5,24),tblDaily[WardCode],"CW")=0,"",SUMIFS(tblDaily[Discharges],tblDaily[EntryDate],DATE(2026,5,24),tblDaily[WardCode],"CW")),"")</f>
        <v/>
      </c>
      <c r="D186" s="5" t="str">
        <f>IFERROR(IF(SUMIFS(tblDaily[Deaths],tblDaily[EntryDate],DATE(2026,5,24),tblDaily[WardCode],"CW")=0,"",SUMIFS(tblDaily[Deaths],tblDaily[EntryDate],DATE(2026,5,24),tblDaily[WardCode],"CW")),"")</f>
        <v/>
      </c>
      <c r="E186" s="5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5" t="str">
        <f>IFERROR(IF(SUMIFS(tblDaily[TransfersIn],tblDaily[EntryDate],DATE(2026,5,24),tblDaily[WardCode],"CW")=0,"",SUMIFS(tblDaily[TransfersIn],tblDaily[EntryDate],DATE(2026,5,24),tblDaily[WardCode],"CW")),"")</f>
        <v/>
      </c>
      <c r="G186" s="5" t="str">
        <f>IFERROR(IF(SUMIFS(tblDaily[TransfersOut],tblDaily[EntryDate],DATE(2026,5,24),tblDaily[WardCode],"CW")=0,"",SUMIFS(tblDaily[TransfersOut],tblDaily[EntryDate],DATE(2026,5,24),tblDaily[WardCode],"CW")),"")</f>
        <v/>
      </c>
      <c r="H186" s="5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IFERROR(IF(SUMIFS(tblDaily[Admissions],tblDaily[EntryDate],DATE(2026,5,25),tblDaily[WardCode],"CW")=0,"",SUMIFS(tblDaily[Admissions],tblDaily[EntryDate],DATE(2026,5,25),tblDaily[WardCode],"CW")),"")</f>
        <v/>
      </c>
      <c r="C187" s="5" t="str">
        <f>IFERROR(IF(SUMIFS(tblDaily[Discharges],tblDaily[EntryDate],DATE(2026,5,25),tblDaily[WardCode],"CW")=0,"",SUMIFS(tblDaily[Discharges],tblDaily[EntryDate],DATE(2026,5,25),tblDaily[WardCode],"CW")),"")</f>
        <v/>
      </c>
      <c r="D187" s="5" t="str">
        <f>IFERROR(IF(SUMIFS(tblDaily[Deaths],tblDaily[EntryDate],DATE(2026,5,25),tblDaily[WardCode],"CW")=0,"",SUMIFS(tblDaily[Deaths],tblDaily[EntryDate],DATE(2026,5,25),tblDaily[WardCode],"CW")),"")</f>
        <v/>
      </c>
      <c r="E187" s="5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5" t="str">
        <f>IFERROR(IF(SUMIFS(tblDaily[TransfersIn],tblDaily[EntryDate],DATE(2026,5,25),tblDaily[WardCode],"CW")=0,"",SUMIFS(tblDaily[TransfersIn],tblDaily[EntryDate],DATE(2026,5,25),tblDaily[WardCode],"CW")),"")</f>
        <v/>
      </c>
      <c r="G187" s="5" t="str">
        <f>IFERROR(IF(SUMIFS(tblDaily[TransfersOut],tblDaily[EntryDate],DATE(2026,5,25),tblDaily[WardCode],"CW")=0,"",SUMIFS(tblDaily[TransfersOut],tblDaily[EntryDate],DATE(2026,5,25),tblDaily[WardCode],"CW")),"")</f>
        <v/>
      </c>
      <c r="H187" s="5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IFERROR(IF(SUMIFS(tblDaily[Admissions],tblDaily[EntryDate],DATE(2026,5,26),tblDaily[WardCode],"CW")=0,"",SUMIFS(tblDaily[Admissions],tblDaily[EntryDate],DATE(2026,5,26),tblDaily[WardCode],"CW")),"")</f>
        <v/>
      </c>
      <c r="C188" s="5" t="str">
        <f>IFERROR(IF(SUMIFS(tblDaily[Discharges],tblDaily[EntryDate],DATE(2026,5,26),tblDaily[WardCode],"CW")=0,"",SUMIFS(tblDaily[Discharges],tblDaily[EntryDate],DATE(2026,5,26),tblDaily[WardCode],"CW")),"")</f>
        <v/>
      </c>
      <c r="D188" s="5" t="str">
        <f>IFERROR(IF(SUMIFS(tblDaily[Deaths],tblDaily[EntryDate],DATE(2026,5,26),tblDaily[WardCode],"CW")=0,"",SUMIFS(tblDaily[Deaths],tblDaily[EntryDate],DATE(2026,5,26),tblDaily[WardCode],"CW")),"")</f>
        <v/>
      </c>
      <c r="E188" s="5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5" t="str">
        <f>IFERROR(IF(SUMIFS(tblDaily[TransfersIn],tblDaily[EntryDate],DATE(2026,5,26),tblDaily[WardCode],"CW")=0,"",SUMIFS(tblDaily[TransfersIn],tblDaily[EntryDate],DATE(2026,5,26),tblDaily[WardCode],"CW")),"")</f>
        <v/>
      </c>
      <c r="G188" s="5" t="str">
        <f>IFERROR(IF(SUMIFS(tblDaily[TransfersOut],tblDaily[EntryDate],DATE(2026,5,26),tblDaily[WardCode],"CW")=0,"",SUMIFS(tblDaily[TransfersOut],tblDaily[EntryDate],DATE(2026,5,26),tblDaily[WardCode],"CW")),"")</f>
        <v/>
      </c>
      <c r="H188" s="5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IFERROR(IF(SUMIFS(tblDaily[Admissions],tblDaily[EntryDate],DATE(2026,5,27),tblDaily[WardCode],"CW")=0,"",SUMIFS(tblDaily[Admissions],tblDaily[EntryDate],DATE(2026,5,27),tblDaily[WardCode],"CW")),"")</f>
        <v/>
      </c>
      <c r="C189" s="5" t="str">
        <f>IFERROR(IF(SUMIFS(tblDaily[Discharges],tblDaily[EntryDate],DATE(2026,5,27),tblDaily[WardCode],"CW")=0,"",SUMIFS(tblDaily[Discharges],tblDaily[EntryDate],DATE(2026,5,27),tblDaily[WardCode],"CW")),"")</f>
        <v/>
      </c>
      <c r="D189" s="5" t="str">
        <f>IFERROR(IF(SUMIFS(tblDaily[Deaths],tblDaily[EntryDate],DATE(2026,5,27),tblDaily[WardCode],"CW")=0,"",SUMIFS(tblDaily[Deaths],tblDaily[EntryDate],DATE(2026,5,27),tblDaily[WardCode],"CW")),"")</f>
        <v/>
      </c>
      <c r="E189" s="5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5" t="str">
        <f>IFERROR(IF(SUMIFS(tblDaily[TransfersIn],tblDaily[EntryDate],DATE(2026,5,27),tblDaily[WardCode],"CW")=0,"",SUMIFS(tblDaily[TransfersIn],tblDaily[EntryDate],DATE(2026,5,27),tblDaily[WardCode],"CW")),"")</f>
        <v/>
      </c>
      <c r="G189" s="5" t="str">
        <f>IFERROR(IF(SUMIFS(tblDaily[TransfersOut],tblDaily[EntryDate],DATE(2026,5,27),tblDaily[WardCode],"CW")=0,"",SUMIFS(tblDaily[TransfersOut],tblDaily[EntryDate],DATE(2026,5,27),tblDaily[WardCode],"CW")),"")</f>
        <v/>
      </c>
      <c r="H189" s="5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IFERROR(IF(SUMIFS(tblDaily[Admissions],tblDaily[EntryDate],DATE(2026,5,28),tblDaily[WardCode],"CW")=0,"",SUMIFS(tblDaily[Admissions],tblDaily[EntryDate],DATE(2026,5,28),tblDaily[WardCode],"CW")),"")</f>
        <v/>
      </c>
      <c r="C190" s="5" t="str">
        <f>IFERROR(IF(SUMIFS(tblDaily[Discharges],tblDaily[EntryDate],DATE(2026,5,28),tblDaily[WardCode],"CW")=0,"",SUMIFS(tblDaily[Discharges],tblDaily[EntryDate],DATE(2026,5,28),tblDaily[WardCode],"CW")),"")</f>
        <v/>
      </c>
      <c r="D190" s="5" t="str">
        <f>IFERROR(IF(SUMIFS(tblDaily[Deaths],tblDaily[EntryDate],DATE(2026,5,28),tblDaily[WardCode],"CW")=0,"",SUMIFS(tblDaily[Deaths],tblDaily[EntryDate],DATE(2026,5,28),tblDaily[WardCode],"CW")),"")</f>
        <v/>
      </c>
      <c r="E190" s="5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5" t="str">
        <f>IFERROR(IF(SUMIFS(tblDaily[TransfersIn],tblDaily[EntryDate],DATE(2026,5,28),tblDaily[WardCode],"CW")=0,"",SUMIFS(tblDaily[TransfersIn],tblDaily[EntryDate],DATE(2026,5,28),tblDaily[WardCode],"CW")),"")</f>
        <v/>
      </c>
      <c r="G190" s="5" t="str">
        <f>IFERROR(IF(SUMIFS(tblDaily[TransfersOut],tblDaily[EntryDate],DATE(2026,5,28),tblDaily[WardCode],"CW")=0,"",SUMIFS(tblDaily[TransfersOut],tblDaily[EntryDate],DATE(2026,5,28),tblDaily[WardCode],"CW")),"")</f>
        <v/>
      </c>
      <c r="H190" s="5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IFERROR(IF(SUMIFS(tblDaily[Admissions],tblDaily[EntryDate],DATE(2026,5,29),tblDaily[WardCode],"CW")=0,"",SUMIFS(tblDaily[Admissions],tblDaily[EntryDate],DATE(2026,5,29),tblDaily[WardCode],"CW")),"")</f>
        <v/>
      </c>
      <c r="C191" s="5" t="str">
        <f>IFERROR(IF(SUMIFS(tblDaily[Discharges],tblDaily[EntryDate],DATE(2026,5,29),tblDaily[WardCode],"CW")=0,"",SUMIFS(tblDaily[Discharges],tblDaily[EntryDate],DATE(2026,5,29),tblDaily[WardCode],"CW")),"")</f>
        <v/>
      </c>
      <c r="D191" s="5" t="str">
        <f>IFERROR(IF(SUMIFS(tblDaily[Deaths],tblDaily[EntryDate],DATE(2026,5,29),tblDaily[WardCode],"CW")=0,"",SUMIFS(tblDaily[Deaths],tblDaily[EntryDate],DATE(2026,5,29),tblDaily[WardCode],"CW")),"")</f>
        <v/>
      </c>
      <c r="E191" s="5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5" t="str">
        <f>IFERROR(IF(SUMIFS(tblDaily[TransfersIn],tblDaily[EntryDate],DATE(2026,5,29),tblDaily[WardCode],"CW")=0,"",SUMIFS(tblDaily[TransfersIn],tblDaily[EntryDate],DATE(2026,5,29),tblDaily[WardCode],"CW")),"")</f>
        <v/>
      </c>
      <c r="G191" s="5" t="str">
        <f>IFERROR(IF(SUMIFS(tblDaily[TransfersOut],tblDaily[EntryDate],DATE(2026,5,29),tblDaily[WardCode],"CW")=0,"",SUMIFS(tblDaily[TransfersOut],tblDaily[EntryDate],DATE(2026,5,29),tblDaily[WardCode],"CW")),"")</f>
        <v/>
      </c>
      <c r="H191" s="5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IFERROR(IF(SUMIFS(tblDaily[Admissions],tblDaily[EntryDate],DATE(2026,5,30),tblDaily[WardCode],"CW")=0,"",SUMIFS(tblDaily[Admissions],tblDaily[EntryDate],DATE(2026,5,30),tblDaily[WardCode],"CW")),"")</f>
        <v/>
      </c>
      <c r="C192" s="5" t="str">
        <f>IFERROR(IF(SUMIFS(tblDaily[Discharges],tblDaily[EntryDate],DATE(2026,5,30),tblDaily[WardCode],"CW")=0,"",SUMIFS(tblDaily[Discharges],tblDaily[EntryDate],DATE(2026,5,30),tblDaily[WardCode],"CW")),"")</f>
        <v/>
      </c>
      <c r="D192" s="5" t="str">
        <f>IFERROR(IF(SUMIFS(tblDaily[Deaths],tblDaily[EntryDate],DATE(2026,5,30),tblDaily[WardCode],"CW")=0,"",SUMIFS(tblDaily[Deaths],tblDaily[EntryDate],DATE(2026,5,30),tblDaily[WardCode],"CW")),"")</f>
        <v/>
      </c>
      <c r="E192" s="5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5" t="str">
        <f>IFERROR(IF(SUMIFS(tblDaily[TransfersIn],tblDaily[EntryDate],DATE(2026,5,30),tblDaily[WardCode],"CW")=0,"",SUMIFS(tblDaily[TransfersIn],tblDaily[EntryDate],DATE(2026,5,30),tblDaily[WardCode],"CW")),"")</f>
        <v/>
      </c>
      <c r="G192" s="5" t="str">
        <f>IFERROR(IF(SUMIFS(tblDaily[TransfersOut],tblDaily[EntryDate],DATE(2026,5,30),tblDaily[WardCode],"CW")=0,"",SUMIFS(tblDaily[TransfersOut],tblDaily[EntryDate],DATE(2026,5,30),tblDaily[WardCode],"CW")),"")</f>
        <v/>
      </c>
      <c r="H192" s="5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IFERROR(IF(SUMIFS(tblDaily[Admissions],tblDaily[EntryDate],DATE(2026,5,31),tblDaily[WardCode],"CW")=0,"",SUMIFS(tblDaily[Admissions],tblDaily[EntryDate],DATE(2026,5,31),tblDaily[WardCode],"CW")),"")</f>
        <v/>
      </c>
      <c r="C193" s="5" t="str">
        <f>IFERROR(IF(SUMIFS(tblDaily[Discharges],tblDaily[EntryDate],DATE(2026,5,31),tblDaily[WardCode],"CW")=0,"",SUMIFS(tblDaily[Discharges],tblDaily[EntryDate],DATE(2026,5,31),tblDaily[WardCode],"CW")),"")</f>
        <v/>
      </c>
      <c r="D193" s="5" t="str">
        <f>IFERROR(IF(SUMIFS(tblDaily[Deaths],tblDaily[EntryDate],DATE(2026,5,31),tblDaily[WardCode],"CW")=0,"",SUMIFS(tblDaily[Deaths],tblDaily[EntryDate],DATE(2026,5,31),tblDaily[WardCode],"CW")),"")</f>
        <v/>
      </c>
      <c r="E193" s="5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5" t="str">
        <f>IFERROR(IF(SUMIFS(tblDaily[TransfersIn],tblDaily[EntryDate],DATE(2026,5,31),tblDaily[WardCode],"CW")=0,"",SUMIFS(tblDaily[TransfersIn],tblDaily[EntryDate],DATE(2026,5,31),tblDaily[WardCode],"CW")),"")</f>
        <v/>
      </c>
      <c r="G193" s="5" t="str">
        <f>IFERROR(IF(SUMIFS(tblDaily[TransfersOut],tblDaily[EntryDate],DATE(2026,5,31),tblDaily[WardCode],"CW")=0,"",SUMIFS(tblDaily[TransfersOut],tblDaily[EntryDate],DATE(2026,5,31),tblDaily[WardCode],"CW")),"")</f>
        <v/>
      </c>
      <c r="H193" s="5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95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97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89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IFERROR(IF(SUMIFS(tblDaily[Admissions],tblDaily[EntryDate],DATE(2026,6,1),tblDaily[WardCode],"CW")=0,"",SUMIFS(tblDaily[Admissions],tblDaily[EntryDate],DATE(2026,6,1),tblDaily[WardCode],"CW")),"")</f>
        <v/>
      </c>
      <c r="C202" s="5" t="str">
        <f>IFERROR(IF(SUMIFS(tblDaily[Discharges],tblDaily[EntryDate],DATE(2026,6,1),tblDaily[WardCode],"CW")=0,"",SUMIFS(tblDaily[Discharges],tblDaily[EntryDate],DATE(2026,6,1),tblDaily[WardCode],"CW")),"")</f>
        <v/>
      </c>
      <c r="D202" s="5" t="str">
        <f>IFERROR(IF(SUMIFS(tblDaily[Deaths],tblDaily[EntryDate],DATE(2026,6,1),tblDaily[WardCode],"CW")=0,"",SUMIFS(tblDaily[Deaths],tblDaily[EntryDate],DATE(2026,6,1),tblDaily[WardCode],"CW")),"")</f>
        <v/>
      </c>
      <c r="E202" s="5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5" t="str">
        <f>IFERROR(IF(SUMIFS(tblDaily[TransfersIn],tblDaily[EntryDate],DATE(2026,6,1),tblDaily[WardCode],"CW")=0,"",SUMIFS(tblDaily[TransfersIn],tblDaily[EntryDate],DATE(2026,6,1),tblDaily[WardCode],"CW")),"")</f>
        <v/>
      </c>
      <c r="G202" s="5" t="str">
        <f>IFERROR(IF(SUMIFS(tblDaily[TransfersOut],tblDaily[EntryDate],DATE(2026,6,1),tblDaily[WardCode],"CW")=0,"",SUMIFS(tblDaily[TransfersOut],tblDaily[EntryDate],DATE(2026,6,1),tblDaily[WardCode],"CW")),"")</f>
        <v/>
      </c>
      <c r="H202" s="5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IFERROR(IF(SUMIFS(tblDaily[Admissions],tblDaily[EntryDate],DATE(2026,6,2),tblDaily[WardCode],"CW")=0,"",SUMIFS(tblDaily[Admissions],tblDaily[EntryDate],DATE(2026,6,2),tblDaily[WardCode],"CW")),"")</f>
        <v/>
      </c>
      <c r="C203" s="5" t="str">
        <f>IFERROR(IF(SUMIFS(tblDaily[Discharges],tblDaily[EntryDate],DATE(2026,6,2),tblDaily[WardCode],"CW")=0,"",SUMIFS(tblDaily[Discharges],tblDaily[EntryDate],DATE(2026,6,2),tblDaily[WardCode],"CW")),"")</f>
        <v/>
      </c>
      <c r="D203" s="5" t="str">
        <f>IFERROR(IF(SUMIFS(tblDaily[Deaths],tblDaily[EntryDate],DATE(2026,6,2),tblDaily[WardCode],"CW")=0,"",SUMIFS(tblDaily[Deaths],tblDaily[EntryDate],DATE(2026,6,2),tblDaily[WardCode],"CW")),"")</f>
        <v/>
      </c>
      <c r="E203" s="5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5" t="str">
        <f>IFERROR(IF(SUMIFS(tblDaily[TransfersIn],tblDaily[EntryDate],DATE(2026,6,2),tblDaily[WardCode],"CW")=0,"",SUMIFS(tblDaily[TransfersIn],tblDaily[EntryDate],DATE(2026,6,2),tblDaily[WardCode],"CW")),"")</f>
        <v/>
      </c>
      <c r="G203" s="5" t="str">
        <f>IFERROR(IF(SUMIFS(tblDaily[TransfersOut],tblDaily[EntryDate],DATE(2026,6,2),tblDaily[WardCode],"CW")=0,"",SUMIFS(tblDaily[TransfersOut],tblDaily[EntryDate],DATE(2026,6,2),tblDaily[WardCode],"CW")),"")</f>
        <v/>
      </c>
      <c r="H203" s="5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IFERROR(IF(SUMIFS(tblDaily[Admissions],tblDaily[EntryDate],DATE(2026,6,3),tblDaily[WardCode],"CW")=0,"",SUMIFS(tblDaily[Admissions],tblDaily[EntryDate],DATE(2026,6,3),tblDaily[WardCode],"CW")),"")</f>
        <v/>
      </c>
      <c r="C204" s="5" t="str">
        <f>IFERROR(IF(SUMIFS(tblDaily[Discharges],tblDaily[EntryDate],DATE(2026,6,3),tblDaily[WardCode],"CW")=0,"",SUMIFS(tblDaily[Discharges],tblDaily[EntryDate],DATE(2026,6,3),tblDaily[WardCode],"CW")),"")</f>
        <v/>
      </c>
      <c r="D204" s="5" t="str">
        <f>IFERROR(IF(SUMIFS(tblDaily[Deaths],tblDaily[EntryDate],DATE(2026,6,3),tblDaily[WardCode],"CW")=0,"",SUMIFS(tblDaily[Deaths],tblDaily[EntryDate],DATE(2026,6,3),tblDaily[WardCode],"CW")),"")</f>
        <v/>
      </c>
      <c r="E204" s="5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5" t="str">
        <f>IFERROR(IF(SUMIFS(tblDaily[TransfersIn],tblDaily[EntryDate],DATE(2026,6,3),tblDaily[WardCode],"CW")=0,"",SUMIFS(tblDaily[TransfersIn],tblDaily[EntryDate],DATE(2026,6,3),tblDaily[WardCode],"CW")),"")</f>
        <v/>
      </c>
      <c r="G204" s="5" t="str">
        <f>IFERROR(IF(SUMIFS(tblDaily[TransfersOut],tblDaily[EntryDate],DATE(2026,6,3),tblDaily[WardCode],"CW")=0,"",SUMIFS(tblDaily[TransfersOut],tblDaily[EntryDate],DATE(2026,6,3),tblDaily[WardCode],"CW")),"")</f>
        <v/>
      </c>
      <c r="H204" s="5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IFERROR(IF(SUMIFS(tblDaily[Admissions],tblDaily[EntryDate],DATE(2026,6,4),tblDaily[WardCode],"CW")=0,"",SUMIFS(tblDaily[Admissions],tblDaily[EntryDate],DATE(2026,6,4),tblDaily[WardCode],"CW")),"")</f>
        <v/>
      </c>
      <c r="C205" s="5" t="str">
        <f>IFERROR(IF(SUMIFS(tblDaily[Discharges],tblDaily[EntryDate],DATE(2026,6,4),tblDaily[WardCode],"CW")=0,"",SUMIFS(tblDaily[Discharges],tblDaily[EntryDate],DATE(2026,6,4),tblDaily[WardCode],"CW")),"")</f>
        <v/>
      </c>
      <c r="D205" s="5" t="str">
        <f>IFERROR(IF(SUMIFS(tblDaily[Deaths],tblDaily[EntryDate],DATE(2026,6,4),tblDaily[WardCode],"CW")=0,"",SUMIFS(tblDaily[Deaths],tblDaily[EntryDate],DATE(2026,6,4),tblDaily[WardCode],"CW")),"")</f>
        <v/>
      </c>
      <c r="E205" s="5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5" t="str">
        <f>IFERROR(IF(SUMIFS(tblDaily[TransfersIn],tblDaily[EntryDate],DATE(2026,6,4),tblDaily[WardCode],"CW")=0,"",SUMIFS(tblDaily[TransfersIn],tblDaily[EntryDate],DATE(2026,6,4),tblDaily[WardCode],"CW")),"")</f>
        <v/>
      </c>
      <c r="G205" s="5" t="str">
        <f>IFERROR(IF(SUMIFS(tblDaily[TransfersOut],tblDaily[EntryDate],DATE(2026,6,4),tblDaily[WardCode],"CW")=0,"",SUMIFS(tblDaily[TransfersOut],tblDaily[EntryDate],DATE(2026,6,4),tblDaily[WardCode],"CW")),"")</f>
        <v/>
      </c>
      <c r="H205" s="5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IFERROR(IF(SUMIFS(tblDaily[Admissions],tblDaily[EntryDate],DATE(2026,6,5),tblDaily[WardCode],"CW")=0,"",SUMIFS(tblDaily[Admissions],tblDaily[EntryDate],DATE(2026,6,5),tblDaily[WardCode],"CW")),"")</f>
        <v/>
      </c>
      <c r="C206" s="5" t="str">
        <f>IFERROR(IF(SUMIFS(tblDaily[Discharges],tblDaily[EntryDate],DATE(2026,6,5),tblDaily[WardCode],"CW")=0,"",SUMIFS(tblDaily[Discharges],tblDaily[EntryDate],DATE(2026,6,5),tblDaily[WardCode],"CW")),"")</f>
        <v/>
      </c>
      <c r="D206" s="5" t="str">
        <f>IFERROR(IF(SUMIFS(tblDaily[Deaths],tblDaily[EntryDate],DATE(2026,6,5),tblDaily[WardCode],"CW")=0,"",SUMIFS(tblDaily[Deaths],tblDaily[EntryDate],DATE(2026,6,5),tblDaily[WardCode],"CW")),"")</f>
        <v/>
      </c>
      <c r="E206" s="5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5" t="str">
        <f>IFERROR(IF(SUMIFS(tblDaily[TransfersIn],tblDaily[EntryDate],DATE(2026,6,5),tblDaily[WardCode],"CW")=0,"",SUMIFS(tblDaily[TransfersIn],tblDaily[EntryDate],DATE(2026,6,5),tblDaily[WardCode],"CW")),"")</f>
        <v/>
      </c>
      <c r="G206" s="5" t="str">
        <f>IFERROR(IF(SUMIFS(tblDaily[TransfersOut],tblDaily[EntryDate],DATE(2026,6,5),tblDaily[WardCode],"CW")=0,"",SUMIFS(tblDaily[TransfersOut],tblDaily[EntryDate],DATE(2026,6,5),tblDaily[WardCode],"CW")),"")</f>
        <v/>
      </c>
      <c r="H206" s="5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IFERROR(IF(SUMIFS(tblDaily[Admissions],tblDaily[EntryDate],DATE(2026,6,6),tblDaily[WardCode],"CW")=0,"",SUMIFS(tblDaily[Admissions],tblDaily[EntryDate],DATE(2026,6,6),tblDaily[WardCode],"CW")),"")</f>
        <v/>
      </c>
      <c r="C207" s="5" t="str">
        <f>IFERROR(IF(SUMIFS(tblDaily[Discharges],tblDaily[EntryDate],DATE(2026,6,6),tblDaily[WardCode],"CW")=0,"",SUMIFS(tblDaily[Discharges],tblDaily[EntryDate],DATE(2026,6,6),tblDaily[WardCode],"CW")),"")</f>
        <v/>
      </c>
      <c r="D207" s="5" t="str">
        <f>IFERROR(IF(SUMIFS(tblDaily[Deaths],tblDaily[EntryDate],DATE(2026,6,6),tblDaily[WardCode],"CW")=0,"",SUMIFS(tblDaily[Deaths],tblDaily[EntryDate],DATE(2026,6,6),tblDaily[WardCode],"CW")),"")</f>
        <v/>
      </c>
      <c r="E207" s="5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5" t="str">
        <f>IFERROR(IF(SUMIFS(tblDaily[TransfersIn],tblDaily[EntryDate],DATE(2026,6,6),tblDaily[WardCode],"CW")=0,"",SUMIFS(tblDaily[TransfersIn],tblDaily[EntryDate],DATE(2026,6,6),tblDaily[WardCode],"CW")),"")</f>
        <v/>
      </c>
      <c r="G207" s="5" t="str">
        <f>IFERROR(IF(SUMIFS(tblDaily[TransfersOut],tblDaily[EntryDate],DATE(2026,6,6),tblDaily[WardCode],"CW")=0,"",SUMIFS(tblDaily[TransfersOut],tblDaily[EntryDate],DATE(2026,6,6),tblDaily[WardCode],"CW")),"")</f>
        <v/>
      </c>
      <c r="H207" s="5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IFERROR(IF(SUMIFS(tblDaily[Admissions],tblDaily[EntryDate],DATE(2026,6,7),tblDaily[WardCode],"CW")=0,"",SUMIFS(tblDaily[Admissions],tblDaily[EntryDate],DATE(2026,6,7),tblDaily[WardCode],"CW")),"")</f>
        <v/>
      </c>
      <c r="C208" s="5" t="str">
        <f>IFERROR(IF(SUMIFS(tblDaily[Discharges],tblDaily[EntryDate],DATE(2026,6,7),tblDaily[WardCode],"CW")=0,"",SUMIFS(tblDaily[Discharges],tblDaily[EntryDate],DATE(2026,6,7),tblDaily[WardCode],"CW")),"")</f>
        <v/>
      </c>
      <c r="D208" s="5" t="str">
        <f>IFERROR(IF(SUMIFS(tblDaily[Deaths],tblDaily[EntryDate],DATE(2026,6,7),tblDaily[WardCode],"CW")=0,"",SUMIFS(tblDaily[Deaths],tblDaily[EntryDate],DATE(2026,6,7),tblDaily[WardCode],"CW")),"")</f>
        <v/>
      </c>
      <c r="E208" s="5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5" t="str">
        <f>IFERROR(IF(SUMIFS(tblDaily[TransfersIn],tblDaily[EntryDate],DATE(2026,6,7),tblDaily[WardCode],"CW")=0,"",SUMIFS(tblDaily[TransfersIn],tblDaily[EntryDate],DATE(2026,6,7),tblDaily[WardCode],"CW")),"")</f>
        <v/>
      </c>
      <c r="G208" s="5" t="str">
        <f>IFERROR(IF(SUMIFS(tblDaily[TransfersOut],tblDaily[EntryDate],DATE(2026,6,7),tblDaily[WardCode],"CW")=0,"",SUMIFS(tblDaily[TransfersOut],tblDaily[EntryDate],DATE(2026,6,7),tblDaily[WardCode],"CW")),"")</f>
        <v/>
      </c>
      <c r="H208" s="5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IFERROR(IF(SUMIFS(tblDaily[Admissions],tblDaily[EntryDate],DATE(2026,6,8),tblDaily[WardCode],"CW")=0,"",SUMIFS(tblDaily[Admissions],tblDaily[EntryDate],DATE(2026,6,8),tblDaily[WardCode],"CW")),"")</f>
        <v/>
      </c>
      <c r="C209" s="5" t="str">
        <f>IFERROR(IF(SUMIFS(tblDaily[Discharges],tblDaily[EntryDate],DATE(2026,6,8),tblDaily[WardCode],"CW")=0,"",SUMIFS(tblDaily[Discharges],tblDaily[EntryDate],DATE(2026,6,8),tblDaily[WardCode],"CW")),"")</f>
        <v/>
      </c>
      <c r="D209" s="5" t="str">
        <f>IFERROR(IF(SUMIFS(tblDaily[Deaths],tblDaily[EntryDate],DATE(2026,6,8),tblDaily[WardCode],"CW")=0,"",SUMIFS(tblDaily[Deaths],tblDaily[EntryDate],DATE(2026,6,8),tblDaily[WardCode],"CW")),"")</f>
        <v/>
      </c>
      <c r="E209" s="5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5" t="str">
        <f>IFERROR(IF(SUMIFS(tblDaily[TransfersIn],tblDaily[EntryDate],DATE(2026,6,8),tblDaily[WardCode],"CW")=0,"",SUMIFS(tblDaily[TransfersIn],tblDaily[EntryDate],DATE(2026,6,8),tblDaily[WardCode],"CW")),"")</f>
        <v/>
      </c>
      <c r="G209" s="5" t="str">
        <f>IFERROR(IF(SUMIFS(tblDaily[TransfersOut],tblDaily[EntryDate],DATE(2026,6,8),tblDaily[WardCode],"CW")=0,"",SUMIFS(tblDaily[TransfersOut],tblDaily[EntryDate],DATE(2026,6,8),tblDaily[WardCode],"CW")),"")</f>
        <v/>
      </c>
      <c r="H209" s="5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IFERROR(IF(SUMIFS(tblDaily[Admissions],tblDaily[EntryDate],DATE(2026,6,9),tblDaily[WardCode],"CW")=0,"",SUMIFS(tblDaily[Admissions],tblDaily[EntryDate],DATE(2026,6,9),tblDaily[WardCode],"CW")),"")</f>
        <v/>
      </c>
      <c r="C210" s="5" t="str">
        <f>IFERROR(IF(SUMIFS(tblDaily[Discharges],tblDaily[EntryDate],DATE(2026,6,9),tblDaily[WardCode],"CW")=0,"",SUMIFS(tblDaily[Discharges],tblDaily[EntryDate],DATE(2026,6,9),tblDaily[WardCode],"CW")),"")</f>
        <v/>
      </c>
      <c r="D210" s="5" t="str">
        <f>IFERROR(IF(SUMIFS(tblDaily[Deaths],tblDaily[EntryDate],DATE(2026,6,9),tblDaily[WardCode],"CW")=0,"",SUMIFS(tblDaily[Deaths],tblDaily[EntryDate],DATE(2026,6,9),tblDaily[WardCode],"CW")),"")</f>
        <v/>
      </c>
      <c r="E210" s="5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5" t="str">
        <f>IFERROR(IF(SUMIFS(tblDaily[TransfersIn],tblDaily[EntryDate],DATE(2026,6,9),tblDaily[WardCode],"CW")=0,"",SUMIFS(tblDaily[TransfersIn],tblDaily[EntryDate],DATE(2026,6,9),tblDaily[WardCode],"CW")),"")</f>
        <v/>
      </c>
      <c r="G210" s="5" t="str">
        <f>IFERROR(IF(SUMIFS(tblDaily[TransfersOut],tblDaily[EntryDate],DATE(2026,6,9),tblDaily[WardCode],"CW")=0,"",SUMIFS(tblDaily[TransfersOut],tblDaily[EntryDate],DATE(2026,6,9),tblDaily[WardCode],"CW")),"")</f>
        <v/>
      </c>
      <c r="H210" s="5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IFERROR(IF(SUMIFS(tblDaily[Admissions],tblDaily[EntryDate],DATE(2026,6,10),tblDaily[WardCode],"CW")=0,"",SUMIFS(tblDaily[Admissions],tblDaily[EntryDate],DATE(2026,6,10),tblDaily[WardCode],"CW")),"")</f>
        <v/>
      </c>
      <c r="C211" s="5" t="str">
        <f>IFERROR(IF(SUMIFS(tblDaily[Discharges],tblDaily[EntryDate],DATE(2026,6,10),tblDaily[WardCode],"CW")=0,"",SUMIFS(tblDaily[Discharges],tblDaily[EntryDate],DATE(2026,6,10),tblDaily[WardCode],"CW")),"")</f>
        <v/>
      </c>
      <c r="D211" s="5" t="str">
        <f>IFERROR(IF(SUMIFS(tblDaily[Deaths],tblDaily[EntryDate],DATE(2026,6,10),tblDaily[WardCode],"CW")=0,"",SUMIFS(tblDaily[Deaths],tblDaily[EntryDate],DATE(2026,6,10),tblDaily[WardCode],"CW")),"")</f>
        <v/>
      </c>
      <c r="E211" s="5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5" t="str">
        <f>IFERROR(IF(SUMIFS(tblDaily[TransfersIn],tblDaily[EntryDate],DATE(2026,6,10),tblDaily[WardCode],"CW")=0,"",SUMIFS(tblDaily[TransfersIn],tblDaily[EntryDate],DATE(2026,6,10),tblDaily[WardCode],"CW")),"")</f>
        <v/>
      </c>
      <c r="G211" s="5" t="str">
        <f>IFERROR(IF(SUMIFS(tblDaily[TransfersOut],tblDaily[EntryDate],DATE(2026,6,10),tblDaily[WardCode],"CW")=0,"",SUMIFS(tblDaily[TransfersOut],tblDaily[EntryDate],DATE(2026,6,10),tblDaily[WardCode],"CW")),"")</f>
        <v/>
      </c>
      <c r="H211" s="5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IFERROR(IF(SUMIFS(tblDaily[Admissions],tblDaily[EntryDate],DATE(2026,6,11),tblDaily[WardCode],"CW")=0,"",SUMIFS(tblDaily[Admissions],tblDaily[EntryDate],DATE(2026,6,11),tblDaily[WardCode],"CW")),"")</f>
        <v/>
      </c>
      <c r="C212" s="5" t="str">
        <f>IFERROR(IF(SUMIFS(tblDaily[Discharges],tblDaily[EntryDate],DATE(2026,6,11),tblDaily[WardCode],"CW")=0,"",SUMIFS(tblDaily[Discharges],tblDaily[EntryDate],DATE(2026,6,11),tblDaily[WardCode],"CW")),"")</f>
        <v/>
      </c>
      <c r="D212" s="5" t="str">
        <f>IFERROR(IF(SUMIFS(tblDaily[Deaths],tblDaily[EntryDate],DATE(2026,6,11),tblDaily[WardCode],"CW")=0,"",SUMIFS(tblDaily[Deaths],tblDaily[EntryDate],DATE(2026,6,11),tblDaily[WardCode],"CW")),"")</f>
        <v/>
      </c>
      <c r="E212" s="5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5" t="str">
        <f>IFERROR(IF(SUMIFS(tblDaily[TransfersIn],tblDaily[EntryDate],DATE(2026,6,11),tblDaily[WardCode],"CW")=0,"",SUMIFS(tblDaily[TransfersIn],tblDaily[EntryDate],DATE(2026,6,11),tblDaily[WardCode],"CW")),"")</f>
        <v/>
      </c>
      <c r="G212" s="5" t="str">
        <f>IFERROR(IF(SUMIFS(tblDaily[TransfersOut],tblDaily[EntryDate],DATE(2026,6,11),tblDaily[WardCode],"CW")=0,"",SUMIFS(tblDaily[TransfersOut],tblDaily[EntryDate],DATE(2026,6,11),tblDaily[WardCode],"CW")),"")</f>
        <v/>
      </c>
      <c r="H212" s="5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IFERROR(IF(SUMIFS(tblDaily[Admissions],tblDaily[EntryDate],DATE(2026,6,12),tblDaily[WardCode],"CW")=0,"",SUMIFS(tblDaily[Admissions],tblDaily[EntryDate],DATE(2026,6,12),tblDaily[WardCode],"CW")),"")</f>
        <v/>
      </c>
      <c r="C213" s="5" t="str">
        <f>IFERROR(IF(SUMIFS(tblDaily[Discharges],tblDaily[EntryDate],DATE(2026,6,12),tblDaily[WardCode],"CW")=0,"",SUMIFS(tblDaily[Discharges],tblDaily[EntryDate],DATE(2026,6,12),tblDaily[WardCode],"CW")),"")</f>
        <v/>
      </c>
      <c r="D213" s="5" t="str">
        <f>IFERROR(IF(SUMIFS(tblDaily[Deaths],tblDaily[EntryDate],DATE(2026,6,12),tblDaily[WardCode],"CW")=0,"",SUMIFS(tblDaily[Deaths],tblDaily[EntryDate],DATE(2026,6,12),tblDaily[WardCode],"CW")),"")</f>
        <v/>
      </c>
      <c r="E213" s="5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5" t="str">
        <f>IFERROR(IF(SUMIFS(tblDaily[TransfersIn],tblDaily[EntryDate],DATE(2026,6,12),tblDaily[WardCode],"CW")=0,"",SUMIFS(tblDaily[TransfersIn],tblDaily[EntryDate],DATE(2026,6,12),tblDaily[WardCode],"CW")),"")</f>
        <v/>
      </c>
      <c r="G213" s="5" t="str">
        <f>IFERROR(IF(SUMIFS(tblDaily[TransfersOut],tblDaily[EntryDate],DATE(2026,6,12),tblDaily[WardCode],"CW")=0,"",SUMIFS(tblDaily[TransfersOut],tblDaily[EntryDate],DATE(2026,6,12),tblDaily[WardCode],"CW")),"")</f>
        <v/>
      </c>
      <c r="H213" s="5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IFERROR(IF(SUMIFS(tblDaily[Admissions],tblDaily[EntryDate],DATE(2026,6,13),tblDaily[WardCode],"CW")=0,"",SUMIFS(tblDaily[Admissions],tblDaily[EntryDate],DATE(2026,6,13),tblDaily[WardCode],"CW")),"")</f>
        <v/>
      </c>
      <c r="C214" s="5" t="str">
        <f>IFERROR(IF(SUMIFS(tblDaily[Discharges],tblDaily[EntryDate],DATE(2026,6,13),tblDaily[WardCode],"CW")=0,"",SUMIFS(tblDaily[Discharges],tblDaily[EntryDate],DATE(2026,6,13),tblDaily[WardCode],"CW")),"")</f>
        <v/>
      </c>
      <c r="D214" s="5" t="str">
        <f>IFERROR(IF(SUMIFS(tblDaily[Deaths],tblDaily[EntryDate],DATE(2026,6,13),tblDaily[WardCode],"CW")=0,"",SUMIFS(tblDaily[Deaths],tblDaily[EntryDate],DATE(2026,6,13),tblDaily[WardCode],"CW")),"")</f>
        <v/>
      </c>
      <c r="E214" s="5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5" t="str">
        <f>IFERROR(IF(SUMIFS(tblDaily[TransfersIn],tblDaily[EntryDate],DATE(2026,6,13),tblDaily[WardCode],"CW")=0,"",SUMIFS(tblDaily[TransfersIn],tblDaily[EntryDate],DATE(2026,6,13),tblDaily[WardCode],"CW")),"")</f>
        <v/>
      </c>
      <c r="G214" s="5" t="str">
        <f>IFERROR(IF(SUMIFS(tblDaily[TransfersOut],tblDaily[EntryDate],DATE(2026,6,13),tblDaily[WardCode],"CW")=0,"",SUMIFS(tblDaily[TransfersOut],tblDaily[EntryDate],DATE(2026,6,13),tblDaily[WardCode],"CW")),"")</f>
        <v/>
      </c>
      <c r="H214" s="5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IFERROR(IF(SUMIFS(tblDaily[Admissions],tblDaily[EntryDate],DATE(2026,6,14),tblDaily[WardCode],"CW")=0,"",SUMIFS(tblDaily[Admissions],tblDaily[EntryDate],DATE(2026,6,14),tblDaily[WardCode],"CW")),"")</f>
        <v/>
      </c>
      <c r="C215" s="5" t="str">
        <f>IFERROR(IF(SUMIFS(tblDaily[Discharges],tblDaily[EntryDate],DATE(2026,6,14),tblDaily[WardCode],"CW")=0,"",SUMIFS(tblDaily[Discharges],tblDaily[EntryDate],DATE(2026,6,14),tblDaily[WardCode],"CW")),"")</f>
        <v/>
      </c>
      <c r="D215" s="5" t="str">
        <f>IFERROR(IF(SUMIFS(tblDaily[Deaths],tblDaily[EntryDate],DATE(2026,6,14),tblDaily[WardCode],"CW")=0,"",SUMIFS(tblDaily[Deaths],tblDaily[EntryDate],DATE(2026,6,14),tblDaily[WardCode],"CW")),"")</f>
        <v/>
      </c>
      <c r="E215" s="5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5" t="str">
        <f>IFERROR(IF(SUMIFS(tblDaily[TransfersIn],tblDaily[EntryDate],DATE(2026,6,14),tblDaily[WardCode],"CW")=0,"",SUMIFS(tblDaily[TransfersIn],tblDaily[EntryDate],DATE(2026,6,14),tblDaily[WardCode],"CW")),"")</f>
        <v/>
      </c>
      <c r="G215" s="5" t="str">
        <f>IFERROR(IF(SUMIFS(tblDaily[TransfersOut],tblDaily[EntryDate],DATE(2026,6,14),tblDaily[WardCode],"CW")=0,"",SUMIFS(tblDaily[TransfersOut],tblDaily[EntryDate],DATE(2026,6,14),tblDaily[WardCode],"CW")),"")</f>
        <v/>
      </c>
      <c r="H215" s="5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IFERROR(IF(SUMIFS(tblDaily[Admissions],tblDaily[EntryDate],DATE(2026,6,15),tblDaily[WardCode],"CW")=0,"",SUMIFS(tblDaily[Admissions],tblDaily[EntryDate],DATE(2026,6,15),tblDaily[WardCode],"CW")),"")</f>
        <v/>
      </c>
      <c r="C216" s="5" t="str">
        <f>IFERROR(IF(SUMIFS(tblDaily[Discharges],tblDaily[EntryDate],DATE(2026,6,15),tblDaily[WardCode],"CW")=0,"",SUMIFS(tblDaily[Discharges],tblDaily[EntryDate],DATE(2026,6,15),tblDaily[WardCode],"CW")),"")</f>
        <v/>
      </c>
      <c r="D216" s="5" t="str">
        <f>IFERROR(IF(SUMIFS(tblDaily[Deaths],tblDaily[EntryDate],DATE(2026,6,15),tblDaily[WardCode],"CW")=0,"",SUMIFS(tblDaily[Deaths],tblDaily[EntryDate],DATE(2026,6,15),tblDaily[WardCode],"CW")),"")</f>
        <v/>
      </c>
      <c r="E216" s="5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5" t="str">
        <f>IFERROR(IF(SUMIFS(tblDaily[TransfersIn],tblDaily[EntryDate],DATE(2026,6,15),tblDaily[WardCode],"CW")=0,"",SUMIFS(tblDaily[TransfersIn],tblDaily[EntryDate],DATE(2026,6,15),tblDaily[WardCode],"CW")),"")</f>
        <v/>
      </c>
      <c r="G216" s="5" t="str">
        <f>IFERROR(IF(SUMIFS(tblDaily[TransfersOut],tblDaily[EntryDate],DATE(2026,6,15),tblDaily[WardCode],"CW")=0,"",SUMIFS(tblDaily[TransfersOut],tblDaily[EntryDate],DATE(2026,6,15),tblDaily[WardCode],"CW")),"")</f>
        <v/>
      </c>
      <c r="H216" s="5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IFERROR(IF(SUMIFS(tblDaily[Admissions],tblDaily[EntryDate],DATE(2026,6,16),tblDaily[WardCode],"CW")=0,"",SUMIFS(tblDaily[Admissions],tblDaily[EntryDate],DATE(2026,6,16),tblDaily[WardCode],"CW")),"")</f>
        <v/>
      </c>
      <c r="C217" s="5" t="str">
        <f>IFERROR(IF(SUMIFS(tblDaily[Discharges],tblDaily[EntryDate],DATE(2026,6,16),tblDaily[WardCode],"CW")=0,"",SUMIFS(tblDaily[Discharges],tblDaily[EntryDate],DATE(2026,6,16),tblDaily[WardCode],"CW")),"")</f>
        <v/>
      </c>
      <c r="D217" s="5" t="str">
        <f>IFERROR(IF(SUMIFS(tblDaily[Deaths],tblDaily[EntryDate],DATE(2026,6,16),tblDaily[WardCode],"CW")=0,"",SUMIFS(tblDaily[Deaths],tblDaily[EntryDate],DATE(2026,6,16),tblDaily[WardCode],"CW")),"")</f>
        <v/>
      </c>
      <c r="E217" s="5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5" t="str">
        <f>IFERROR(IF(SUMIFS(tblDaily[TransfersIn],tblDaily[EntryDate],DATE(2026,6,16),tblDaily[WardCode],"CW")=0,"",SUMIFS(tblDaily[TransfersIn],tblDaily[EntryDate],DATE(2026,6,16),tblDaily[WardCode],"CW")),"")</f>
        <v/>
      </c>
      <c r="G217" s="5" t="str">
        <f>IFERROR(IF(SUMIFS(tblDaily[TransfersOut],tblDaily[EntryDate],DATE(2026,6,16),tblDaily[WardCode],"CW")=0,"",SUMIFS(tblDaily[TransfersOut],tblDaily[EntryDate],DATE(2026,6,16),tblDaily[WardCode],"CW")),"")</f>
        <v/>
      </c>
      <c r="H217" s="5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IFERROR(IF(SUMIFS(tblDaily[Admissions],tblDaily[EntryDate],DATE(2026,6,17),tblDaily[WardCode],"CW")=0,"",SUMIFS(tblDaily[Admissions],tblDaily[EntryDate],DATE(2026,6,17),tblDaily[WardCode],"CW")),"")</f>
        <v/>
      </c>
      <c r="C218" s="5" t="str">
        <f>IFERROR(IF(SUMIFS(tblDaily[Discharges],tblDaily[EntryDate],DATE(2026,6,17),tblDaily[WardCode],"CW")=0,"",SUMIFS(tblDaily[Discharges],tblDaily[EntryDate],DATE(2026,6,17),tblDaily[WardCode],"CW")),"")</f>
        <v/>
      </c>
      <c r="D218" s="5" t="str">
        <f>IFERROR(IF(SUMIFS(tblDaily[Deaths],tblDaily[EntryDate],DATE(2026,6,17),tblDaily[WardCode],"CW")=0,"",SUMIFS(tblDaily[Deaths],tblDaily[EntryDate],DATE(2026,6,17),tblDaily[WardCode],"CW")),"")</f>
        <v/>
      </c>
      <c r="E218" s="5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5" t="str">
        <f>IFERROR(IF(SUMIFS(tblDaily[TransfersIn],tblDaily[EntryDate],DATE(2026,6,17),tblDaily[WardCode],"CW")=0,"",SUMIFS(tblDaily[TransfersIn],tblDaily[EntryDate],DATE(2026,6,17),tblDaily[WardCode],"CW")),"")</f>
        <v/>
      </c>
      <c r="G218" s="5" t="str">
        <f>IFERROR(IF(SUMIFS(tblDaily[TransfersOut],tblDaily[EntryDate],DATE(2026,6,17),tblDaily[WardCode],"CW")=0,"",SUMIFS(tblDaily[TransfersOut],tblDaily[EntryDate],DATE(2026,6,17),tblDaily[WardCode],"CW")),"")</f>
        <v/>
      </c>
      <c r="H218" s="5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IFERROR(IF(SUMIFS(tblDaily[Admissions],tblDaily[EntryDate],DATE(2026,6,18),tblDaily[WardCode],"CW")=0,"",SUMIFS(tblDaily[Admissions],tblDaily[EntryDate],DATE(2026,6,18),tblDaily[WardCode],"CW")),"")</f>
        <v/>
      </c>
      <c r="C219" s="5" t="str">
        <f>IFERROR(IF(SUMIFS(tblDaily[Discharges],tblDaily[EntryDate],DATE(2026,6,18),tblDaily[WardCode],"CW")=0,"",SUMIFS(tblDaily[Discharges],tblDaily[EntryDate],DATE(2026,6,18),tblDaily[WardCode],"CW")),"")</f>
        <v/>
      </c>
      <c r="D219" s="5" t="str">
        <f>IFERROR(IF(SUMIFS(tblDaily[Deaths],tblDaily[EntryDate],DATE(2026,6,18),tblDaily[WardCode],"CW")=0,"",SUMIFS(tblDaily[Deaths],tblDaily[EntryDate],DATE(2026,6,18),tblDaily[WardCode],"CW")),"")</f>
        <v/>
      </c>
      <c r="E219" s="5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5" t="str">
        <f>IFERROR(IF(SUMIFS(tblDaily[TransfersIn],tblDaily[EntryDate],DATE(2026,6,18),tblDaily[WardCode],"CW")=0,"",SUMIFS(tblDaily[TransfersIn],tblDaily[EntryDate],DATE(2026,6,18),tblDaily[WardCode],"CW")),"")</f>
        <v/>
      </c>
      <c r="G219" s="5" t="str">
        <f>IFERROR(IF(SUMIFS(tblDaily[TransfersOut],tblDaily[EntryDate],DATE(2026,6,18),tblDaily[WardCode],"CW")=0,"",SUMIFS(tblDaily[TransfersOut],tblDaily[EntryDate],DATE(2026,6,18),tblDaily[WardCode],"CW")),"")</f>
        <v/>
      </c>
      <c r="H219" s="5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IFERROR(IF(SUMIFS(tblDaily[Admissions],tblDaily[EntryDate],DATE(2026,6,19),tblDaily[WardCode],"CW")=0,"",SUMIFS(tblDaily[Admissions],tblDaily[EntryDate],DATE(2026,6,19),tblDaily[WardCode],"CW")),"")</f>
        <v/>
      </c>
      <c r="C220" s="5" t="str">
        <f>IFERROR(IF(SUMIFS(tblDaily[Discharges],tblDaily[EntryDate],DATE(2026,6,19),tblDaily[WardCode],"CW")=0,"",SUMIFS(tblDaily[Discharges],tblDaily[EntryDate],DATE(2026,6,19),tblDaily[WardCode],"CW")),"")</f>
        <v/>
      </c>
      <c r="D220" s="5" t="str">
        <f>IFERROR(IF(SUMIFS(tblDaily[Deaths],tblDaily[EntryDate],DATE(2026,6,19),tblDaily[WardCode],"CW")=0,"",SUMIFS(tblDaily[Deaths],tblDaily[EntryDate],DATE(2026,6,19),tblDaily[WardCode],"CW")),"")</f>
        <v/>
      </c>
      <c r="E220" s="5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5" t="str">
        <f>IFERROR(IF(SUMIFS(tblDaily[TransfersIn],tblDaily[EntryDate],DATE(2026,6,19),tblDaily[WardCode],"CW")=0,"",SUMIFS(tblDaily[TransfersIn],tblDaily[EntryDate],DATE(2026,6,19),tblDaily[WardCode],"CW")),"")</f>
        <v/>
      </c>
      <c r="G220" s="5" t="str">
        <f>IFERROR(IF(SUMIFS(tblDaily[TransfersOut],tblDaily[EntryDate],DATE(2026,6,19),tblDaily[WardCode],"CW")=0,"",SUMIFS(tblDaily[TransfersOut],tblDaily[EntryDate],DATE(2026,6,19),tblDaily[WardCode],"CW")),"")</f>
        <v/>
      </c>
      <c r="H220" s="5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IFERROR(IF(SUMIFS(tblDaily[Admissions],tblDaily[EntryDate],DATE(2026,6,20),tblDaily[WardCode],"CW")=0,"",SUMIFS(tblDaily[Admissions],tblDaily[EntryDate],DATE(2026,6,20),tblDaily[WardCode],"CW")),"")</f>
        <v/>
      </c>
      <c r="C221" s="5" t="str">
        <f>IFERROR(IF(SUMIFS(tblDaily[Discharges],tblDaily[EntryDate],DATE(2026,6,20),tblDaily[WardCode],"CW")=0,"",SUMIFS(tblDaily[Discharges],tblDaily[EntryDate],DATE(2026,6,20),tblDaily[WardCode],"CW")),"")</f>
        <v/>
      </c>
      <c r="D221" s="5" t="str">
        <f>IFERROR(IF(SUMIFS(tblDaily[Deaths],tblDaily[EntryDate],DATE(2026,6,20),tblDaily[WardCode],"CW")=0,"",SUMIFS(tblDaily[Deaths],tblDaily[EntryDate],DATE(2026,6,20),tblDaily[WardCode],"CW")),"")</f>
        <v/>
      </c>
      <c r="E221" s="5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5" t="str">
        <f>IFERROR(IF(SUMIFS(tblDaily[TransfersIn],tblDaily[EntryDate],DATE(2026,6,20),tblDaily[WardCode],"CW")=0,"",SUMIFS(tblDaily[TransfersIn],tblDaily[EntryDate],DATE(2026,6,20),tblDaily[WardCode],"CW")),"")</f>
        <v/>
      </c>
      <c r="G221" s="5" t="str">
        <f>IFERROR(IF(SUMIFS(tblDaily[TransfersOut],tblDaily[EntryDate],DATE(2026,6,20),tblDaily[WardCode],"CW")=0,"",SUMIFS(tblDaily[TransfersOut],tblDaily[EntryDate],DATE(2026,6,20),tblDaily[WardCode],"CW")),"")</f>
        <v/>
      </c>
      <c r="H221" s="5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IFERROR(IF(SUMIFS(tblDaily[Admissions],tblDaily[EntryDate],DATE(2026,6,21),tblDaily[WardCode],"CW")=0,"",SUMIFS(tblDaily[Admissions],tblDaily[EntryDate],DATE(2026,6,21),tblDaily[WardCode],"CW")),"")</f>
        <v/>
      </c>
      <c r="C222" s="5" t="str">
        <f>IFERROR(IF(SUMIFS(tblDaily[Discharges],tblDaily[EntryDate],DATE(2026,6,21),tblDaily[WardCode],"CW")=0,"",SUMIFS(tblDaily[Discharges],tblDaily[EntryDate],DATE(2026,6,21),tblDaily[WardCode],"CW")),"")</f>
        <v/>
      </c>
      <c r="D222" s="5" t="str">
        <f>IFERROR(IF(SUMIFS(tblDaily[Deaths],tblDaily[EntryDate],DATE(2026,6,21),tblDaily[WardCode],"CW")=0,"",SUMIFS(tblDaily[Deaths],tblDaily[EntryDate],DATE(2026,6,21),tblDaily[WardCode],"CW")),"")</f>
        <v/>
      </c>
      <c r="E222" s="5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5" t="str">
        <f>IFERROR(IF(SUMIFS(tblDaily[TransfersIn],tblDaily[EntryDate],DATE(2026,6,21),tblDaily[WardCode],"CW")=0,"",SUMIFS(tblDaily[TransfersIn],tblDaily[EntryDate],DATE(2026,6,21),tblDaily[WardCode],"CW")),"")</f>
        <v/>
      </c>
      <c r="G222" s="5" t="str">
        <f>IFERROR(IF(SUMIFS(tblDaily[TransfersOut],tblDaily[EntryDate],DATE(2026,6,21),tblDaily[WardCode],"CW")=0,"",SUMIFS(tblDaily[TransfersOut],tblDaily[EntryDate],DATE(2026,6,21),tblDaily[WardCode],"CW")),"")</f>
        <v/>
      </c>
      <c r="H222" s="5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IFERROR(IF(SUMIFS(tblDaily[Admissions],tblDaily[EntryDate],DATE(2026,6,22),tblDaily[WardCode],"CW")=0,"",SUMIFS(tblDaily[Admissions],tblDaily[EntryDate],DATE(2026,6,22),tblDaily[WardCode],"CW")),"")</f>
        <v/>
      </c>
      <c r="C223" s="5" t="str">
        <f>IFERROR(IF(SUMIFS(tblDaily[Discharges],tblDaily[EntryDate],DATE(2026,6,22),tblDaily[WardCode],"CW")=0,"",SUMIFS(tblDaily[Discharges],tblDaily[EntryDate],DATE(2026,6,22),tblDaily[WardCode],"CW")),"")</f>
        <v/>
      </c>
      <c r="D223" s="5" t="str">
        <f>IFERROR(IF(SUMIFS(tblDaily[Deaths],tblDaily[EntryDate],DATE(2026,6,22),tblDaily[WardCode],"CW")=0,"",SUMIFS(tblDaily[Deaths],tblDaily[EntryDate],DATE(2026,6,22),tblDaily[WardCode],"CW")),"")</f>
        <v/>
      </c>
      <c r="E223" s="5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5" t="str">
        <f>IFERROR(IF(SUMIFS(tblDaily[TransfersIn],tblDaily[EntryDate],DATE(2026,6,22),tblDaily[WardCode],"CW")=0,"",SUMIFS(tblDaily[TransfersIn],tblDaily[EntryDate],DATE(2026,6,22),tblDaily[WardCode],"CW")),"")</f>
        <v/>
      </c>
      <c r="G223" s="5" t="str">
        <f>IFERROR(IF(SUMIFS(tblDaily[TransfersOut],tblDaily[EntryDate],DATE(2026,6,22),tblDaily[WardCode],"CW")=0,"",SUMIFS(tblDaily[TransfersOut],tblDaily[EntryDate],DATE(2026,6,22),tblDaily[WardCode],"CW")),"")</f>
        <v/>
      </c>
      <c r="H223" s="5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IFERROR(IF(SUMIFS(tblDaily[Admissions],tblDaily[EntryDate],DATE(2026,6,23),tblDaily[WardCode],"CW")=0,"",SUMIFS(tblDaily[Admissions],tblDaily[EntryDate],DATE(2026,6,23),tblDaily[WardCode],"CW")),"")</f>
        <v/>
      </c>
      <c r="C224" s="5" t="str">
        <f>IFERROR(IF(SUMIFS(tblDaily[Discharges],tblDaily[EntryDate],DATE(2026,6,23),tblDaily[WardCode],"CW")=0,"",SUMIFS(tblDaily[Discharges],tblDaily[EntryDate],DATE(2026,6,23),tblDaily[WardCode],"CW")),"")</f>
        <v/>
      </c>
      <c r="D224" s="5" t="str">
        <f>IFERROR(IF(SUMIFS(tblDaily[Deaths],tblDaily[EntryDate],DATE(2026,6,23),tblDaily[WardCode],"CW")=0,"",SUMIFS(tblDaily[Deaths],tblDaily[EntryDate],DATE(2026,6,23),tblDaily[WardCode],"CW")),"")</f>
        <v/>
      </c>
      <c r="E224" s="5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5" t="str">
        <f>IFERROR(IF(SUMIFS(tblDaily[TransfersIn],tblDaily[EntryDate],DATE(2026,6,23),tblDaily[WardCode],"CW")=0,"",SUMIFS(tblDaily[TransfersIn],tblDaily[EntryDate],DATE(2026,6,23),tblDaily[WardCode],"CW")),"")</f>
        <v/>
      </c>
      <c r="G224" s="5" t="str">
        <f>IFERROR(IF(SUMIFS(tblDaily[TransfersOut],tblDaily[EntryDate],DATE(2026,6,23),tblDaily[WardCode],"CW")=0,"",SUMIFS(tblDaily[TransfersOut],tblDaily[EntryDate],DATE(2026,6,23),tblDaily[WardCode],"CW")),"")</f>
        <v/>
      </c>
      <c r="H224" s="5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IFERROR(IF(SUMIFS(tblDaily[Admissions],tblDaily[EntryDate],DATE(2026,6,24),tblDaily[WardCode],"CW")=0,"",SUMIFS(tblDaily[Admissions],tblDaily[EntryDate],DATE(2026,6,24),tblDaily[WardCode],"CW")),"")</f>
        <v/>
      </c>
      <c r="C225" s="5" t="str">
        <f>IFERROR(IF(SUMIFS(tblDaily[Discharges],tblDaily[EntryDate],DATE(2026,6,24),tblDaily[WardCode],"CW")=0,"",SUMIFS(tblDaily[Discharges],tblDaily[EntryDate],DATE(2026,6,24),tblDaily[WardCode],"CW")),"")</f>
        <v/>
      </c>
      <c r="D225" s="5" t="str">
        <f>IFERROR(IF(SUMIFS(tblDaily[Deaths],tblDaily[EntryDate],DATE(2026,6,24),tblDaily[WardCode],"CW")=0,"",SUMIFS(tblDaily[Deaths],tblDaily[EntryDate],DATE(2026,6,24),tblDaily[WardCode],"CW")),"")</f>
        <v/>
      </c>
      <c r="E225" s="5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5" t="str">
        <f>IFERROR(IF(SUMIFS(tblDaily[TransfersIn],tblDaily[EntryDate],DATE(2026,6,24),tblDaily[WardCode],"CW")=0,"",SUMIFS(tblDaily[TransfersIn],tblDaily[EntryDate],DATE(2026,6,24),tblDaily[WardCode],"CW")),"")</f>
        <v/>
      </c>
      <c r="G225" s="5" t="str">
        <f>IFERROR(IF(SUMIFS(tblDaily[TransfersOut],tblDaily[EntryDate],DATE(2026,6,24),tblDaily[WardCode],"CW")=0,"",SUMIFS(tblDaily[TransfersOut],tblDaily[EntryDate],DATE(2026,6,24),tblDaily[WardCode],"CW")),"")</f>
        <v/>
      </c>
      <c r="H225" s="5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IFERROR(IF(SUMIFS(tblDaily[Admissions],tblDaily[EntryDate],DATE(2026,6,25),tblDaily[WardCode],"CW")=0,"",SUMIFS(tblDaily[Admissions],tblDaily[EntryDate],DATE(2026,6,25),tblDaily[WardCode],"CW")),"")</f>
        <v/>
      </c>
      <c r="C226" s="5" t="str">
        <f>IFERROR(IF(SUMIFS(tblDaily[Discharges],tblDaily[EntryDate],DATE(2026,6,25),tblDaily[WardCode],"CW")=0,"",SUMIFS(tblDaily[Discharges],tblDaily[EntryDate],DATE(2026,6,25),tblDaily[WardCode],"CW")),"")</f>
        <v/>
      </c>
      <c r="D226" s="5" t="str">
        <f>IFERROR(IF(SUMIFS(tblDaily[Deaths],tblDaily[EntryDate],DATE(2026,6,25),tblDaily[WardCode],"CW")=0,"",SUMIFS(tblDaily[Deaths],tblDaily[EntryDate],DATE(2026,6,25),tblDaily[WardCode],"CW")),"")</f>
        <v/>
      </c>
      <c r="E226" s="5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5" t="str">
        <f>IFERROR(IF(SUMIFS(tblDaily[TransfersIn],tblDaily[EntryDate],DATE(2026,6,25),tblDaily[WardCode],"CW")=0,"",SUMIFS(tblDaily[TransfersIn],tblDaily[EntryDate],DATE(2026,6,25),tblDaily[WardCode],"CW")),"")</f>
        <v/>
      </c>
      <c r="G226" s="5" t="str">
        <f>IFERROR(IF(SUMIFS(tblDaily[TransfersOut],tblDaily[EntryDate],DATE(2026,6,25),tblDaily[WardCode],"CW")=0,"",SUMIFS(tblDaily[TransfersOut],tblDaily[EntryDate],DATE(2026,6,25),tblDaily[WardCode],"CW")),"")</f>
        <v/>
      </c>
      <c r="H226" s="5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IFERROR(IF(SUMIFS(tblDaily[Admissions],tblDaily[EntryDate],DATE(2026,6,26),tblDaily[WardCode],"CW")=0,"",SUMIFS(tblDaily[Admissions],tblDaily[EntryDate],DATE(2026,6,26),tblDaily[WardCode],"CW")),"")</f>
        <v/>
      </c>
      <c r="C227" s="5" t="str">
        <f>IFERROR(IF(SUMIFS(tblDaily[Discharges],tblDaily[EntryDate],DATE(2026,6,26),tblDaily[WardCode],"CW")=0,"",SUMIFS(tblDaily[Discharges],tblDaily[EntryDate],DATE(2026,6,26),tblDaily[WardCode],"CW")),"")</f>
        <v/>
      </c>
      <c r="D227" s="5" t="str">
        <f>IFERROR(IF(SUMIFS(tblDaily[Deaths],tblDaily[EntryDate],DATE(2026,6,26),tblDaily[WardCode],"CW")=0,"",SUMIFS(tblDaily[Deaths],tblDaily[EntryDate],DATE(2026,6,26),tblDaily[WardCode],"CW")),"")</f>
        <v/>
      </c>
      <c r="E227" s="5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5" t="str">
        <f>IFERROR(IF(SUMIFS(tblDaily[TransfersIn],tblDaily[EntryDate],DATE(2026,6,26),tblDaily[WardCode],"CW")=0,"",SUMIFS(tblDaily[TransfersIn],tblDaily[EntryDate],DATE(2026,6,26),tblDaily[WardCode],"CW")),"")</f>
        <v/>
      </c>
      <c r="G227" s="5" t="str">
        <f>IFERROR(IF(SUMIFS(tblDaily[TransfersOut],tblDaily[EntryDate],DATE(2026,6,26),tblDaily[WardCode],"CW")=0,"",SUMIFS(tblDaily[TransfersOut],tblDaily[EntryDate],DATE(2026,6,26),tblDaily[WardCode],"CW")),"")</f>
        <v/>
      </c>
      <c r="H227" s="5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IFERROR(IF(SUMIFS(tblDaily[Admissions],tblDaily[EntryDate],DATE(2026,6,27),tblDaily[WardCode],"CW")=0,"",SUMIFS(tblDaily[Admissions],tblDaily[EntryDate],DATE(2026,6,27),tblDaily[WardCode],"CW")),"")</f>
        <v/>
      </c>
      <c r="C228" s="5" t="str">
        <f>IFERROR(IF(SUMIFS(tblDaily[Discharges],tblDaily[EntryDate],DATE(2026,6,27),tblDaily[WardCode],"CW")=0,"",SUMIFS(tblDaily[Discharges],tblDaily[EntryDate],DATE(2026,6,27),tblDaily[WardCode],"CW")),"")</f>
        <v/>
      </c>
      <c r="D228" s="5" t="str">
        <f>IFERROR(IF(SUMIFS(tblDaily[Deaths],tblDaily[EntryDate],DATE(2026,6,27),tblDaily[WardCode],"CW")=0,"",SUMIFS(tblDaily[Deaths],tblDaily[EntryDate],DATE(2026,6,27),tblDaily[WardCode],"CW")),"")</f>
        <v/>
      </c>
      <c r="E228" s="5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5" t="str">
        <f>IFERROR(IF(SUMIFS(tblDaily[TransfersIn],tblDaily[EntryDate],DATE(2026,6,27),tblDaily[WardCode],"CW")=0,"",SUMIFS(tblDaily[TransfersIn],tblDaily[EntryDate],DATE(2026,6,27),tblDaily[WardCode],"CW")),"")</f>
        <v/>
      </c>
      <c r="G228" s="5" t="str">
        <f>IFERROR(IF(SUMIFS(tblDaily[TransfersOut],tblDaily[EntryDate],DATE(2026,6,27),tblDaily[WardCode],"CW")=0,"",SUMIFS(tblDaily[TransfersOut],tblDaily[EntryDate],DATE(2026,6,27),tblDaily[WardCode],"CW")),"")</f>
        <v/>
      </c>
      <c r="H228" s="5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IFERROR(IF(SUMIFS(tblDaily[Admissions],tblDaily[EntryDate],DATE(2026,6,28),tblDaily[WardCode],"CW")=0,"",SUMIFS(tblDaily[Admissions],tblDaily[EntryDate],DATE(2026,6,28),tblDaily[WardCode],"CW")),"")</f>
        <v/>
      </c>
      <c r="C229" s="5" t="str">
        <f>IFERROR(IF(SUMIFS(tblDaily[Discharges],tblDaily[EntryDate],DATE(2026,6,28),tblDaily[WardCode],"CW")=0,"",SUMIFS(tblDaily[Discharges],tblDaily[EntryDate],DATE(2026,6,28),tblDaily[WardCode],"CW")),"")</f>
        <v/>
      </c>
      <c r="D229" s="5" t="str">
        <f>IFERROR(IF(SUMIFS(tblDaily[Deaths],tblDaily[EntryDate],DATE(2026,6,28),tblDaily[WardCode],"CW")=0,"",SUMIFS(tblDaily[Deaths],tblDaily[EntryDate],DATE(2026,6,28),tblDaily[WardCode],"CW")),"")</f>
        <v/>
      </c>
      <c r="E229" s="5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5" t="str">
        <f>IFERROR(IF(SUMIFS(tblDaily[TransfersIn],tblDaily[EntryDate],DATE(2026,6,28),tblDaily[WardCode],"CW")=0,"",SUMIFS(tblDaily[TransfersIn],tblDaily[EntryDate],DATE(2026,6,28),tblDaily[WardCode],"CW")),"")</f>
        <v/>
      </c>
      <c r="G229" s="5" t="str">
        <f>IFERROR(IF(SUMIFS(tblDaily[TransfersOut],tblDaily[EntryDate],DATE(2026,6,28),tblDaily[WardCode],"CW")=0,"",SUMIFS(tblDaily[TransfersOut],tblDaily[EntryDate],DATE(2026,6,28),tblDaily[WardCode],"CW")),"")</f>
        <v/>
      </c>
      <c r="H229" s="5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IFERROR(IF(SUMIFS(tblDaily[Admissions],tblDaily[EntryDate],DATE(2026,6,29),tblDaily[WardCode],"CW")=0,"",SUMIFS(tblDaily[Admissions],tblDaily[EntryDate],DATE(2026,6,29),tblDaily[WardCode],"CW")),"")</f>
        <v/>
      </c>
      <c r="C230" s="5" t="str">
        <f>IFERROR(IF(SUMIFS(tblDaily[Discharges],tblDaily[EntryDate],DATE(2026,6,29),tblDaily[WardCode],"CW")=0,"",SUMIFS(tblDaily[Discharges],tblDaily[EntryDate],DATE(2026,6,29),tblDaily[WardCode],"CW")),"")</f>
        <v/>
      </c>
      <c r="D230" s="5" t="str">
        <f>IFERROR(IF(SUMIFS(tblDaily[Deaths],tblDaily[EntryDate],DATE(2026,6,29),tblDaily[WardCode],"CW")=0,"",SUMIFS(tblDaily[Deaths],tblDaily[EntryDate],DATE(2026,6,29),tblDaily[WardCode],"CW")),"")</f>
        <v/>
      </c>
      <c r="E230" s="5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5" t="str">
        <f>IFERROR(IF(SUMIFS(tblDaily[TransfersIn],tblDaily[EntryDate],DATE(2026,6,29),tblDaily[WardCode],"CW")=0,"",SUMIFS(tblDaily[TransfersIn],tblDaily[EntryDate],DATE(2026,6,29),tblDaily[WardCode],"CW")),"")</f>
        <v/>
      </c>
      <c r="G230" s="5" t="str">
        <f>IFERROR(IF(SUMIFS(tblDaily[TransfersOut],tblDaily[EntryDate],DATE(2026,6,29),tblDaily[WardCode],"CW")=0,"",SUMIFS(tblDaily[TransfersOut],tblDaily[EntryDate],DATE(2026,6,29),tblDaily[WardCode],"CW")),"")</f>
        <v/>
      </c>
      <c r="H230" s="5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IFERROR(IF(SUMIFS(tblDaily[Admissions],tblDaily[EntryDate],DATE(2026,6,30),tblDaily[WardCode],"CW")=0,"",SUMIFS(tblDaily[Admissions],tblDaily[EntryDate],DATE(2026,6,30),tblDaily[WardCode],"CW")),"")</f>
        <v/>
      </c>
      <c r="C231" s="5" t="str">
        <f>IFERROR(IF(SUMIFS(tblDaily[Discharges],tblDaily[EntryDate],DATE(2026,6,30),tblDaily[WardCode],"CW")=0,"",SUMIFS(tblDaily[Discharges],tblDaily[EntryDate],DATE(2026,6,30),tblDaily[WardCode],"CW")),"")</f>
        <v/>
      </c>
      <c r="D231" s="5" t="str">
        <f>IFERROR(IF(SUMIFS(tblDaily[Deaths],tblDaily[EntryDate],DATE(2026,6,30),tblDaily[WardCode],"CW")=0,"",SUMIFS(tblDaily[Deaths],tblDaily[EntryDate],DATE(2026,6,30),tblDaily[WardCode],"CW")),"")</f>
        <v/>
      </c>
      <c r="E231" s="5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5" t="str">
        <f>IFERROR(IF(SUMIFS(tblDaily[TransfersIn],tblDaily[EntryDate],DATE(2026,6,30),tblDaily[WardCode],"CW")=0,"",SUMIFS(tblDaily[TransfersIn],tblDaily[EntryDate],DATE(2026,6,30),tblDaily[WardCode],"CW")),"")</f>
        <v/>
      </c>
      <c r="G231" s="5" t="str">
        <f>IFERROR(IF(SUMIFS(tblDaily[TransfersOut],tblDaily[EntryDate],DATE(2026,6,30),tblDaily[WardCode],"CW")=0,"",SUMIFS(tblDaily[TransfersOut],tblDaily[EntryDate],DATE(2026,6,30),tblDaily[WardCode],"CW")),"")</f>
        <v/>
      </c>
      <c r="H231" s="5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97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89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IFERROR(IF(SUMIFS(tblDaily[Admissions],tblDaily[EntryDate],DATE(2026,7,1),tblDaily[WardCode],"CW")=0,"",SUMIFS(tblDaily[Admissions],tblDaily[EntryDate],DATE(2026,7,1),tblDaily[WardCode],"CW")),"")</f>
        <v/>
      </c>
      <c r="C241" s="5" t="str">
        <f>IFERROR(IF(SUMIFS(tblDaily[Discharges],tblDaily[EntryDate],DATE(2026,7,1),tblDaily[WardCode],"CW")=0,"",SUMIFS(tblDaily[Discharges],tblDaily[EntryDate],DATE(2026,7,1),tblDaily[WardCode],"CW")),"")</f>
        <v/>
      </c>
      <c r="D241" s="5" t="str">
        <f>IFERROR(IF(SUMIFS(tblDaily[Deaths],tblDaily[EntryDate],DATE(2026,7,1),tblDaily[WardCode],"CW")=0,"",SUMIFS(tblDaily[Deaths],tblDaily[EntryDate],DATE(2026,7,1),tblDaily[WardCode],"CW")),"")</f>
        <v/>
      </c>
      <c r="E241" s="5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5" t="str">
        <f>IFERROR(IF(SUMIFS(tblDaily[TransfersIn],tblDaily[EntryDate],DATE(2026,7,1),tblDaily[WardCode],"CW")=0,"",SUMIFS(tblDaily[TransfersIn],tblDaily[EntryDate],DATE(2026,7,1),tblDaily[WardCode],"CW")),"")</f>
        <v/>
      </c>
      <c r="G241" s="5" t="str">
        <f>IFERROR(IF(SUMIFS(tblDaily[TransfersOut],tblDaily[EntryDate],DATE(2026,7,1),tblDaily[WardCode],"CW")=0,"",SUMIFS(tblDaily[TransfersOut],tblDaily[EntryDate],DATE(2026,7,1),tblDaily[WardCode],"CW")),"")</f>
        <v/>
      </c>
      <c r="H241" s="5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IFERROR(IF(SUMIFS(tblDaily[Admissions],tblDaily[EntryDate],DATE(2026,7,2),tblDaily[WardCode],"CW")=0,"",SUMIFS(tblDaily[Admissions],tblDaily[EntryDate],DATE(2026,7,2),tblDaily[WardCode],"CW")),"")</f>
        <v/>
      </c>
      <c r="C242" s="5" t="str">
        <f>IFERROR(IF(SUMIFS(tblDaily[Discharges],tblDaily[EntryDate],DATE(2026,7,2),tblDaily[WardCode],"CW")=0,"",SUMIFS(tblDaily[Discharges],tblDaily[EntryDate],DATE(2026,7,2),tblDaily[WardCode],"CW")),"")</f>
        <v/>
      </c>
      <c r="D242" s="5" t="str">
        <f>IFERROR(IF(SUMIFS(tblDaily[Deaths],tblDaily[EntryDate],DATE(2026,7,2),tblDaily[WardCode],"CW")=0,"",SUMIFS(tblDaily[Deaths],tblDaily[EntryDate],DATE(2026,7,2),tblDaily[WardCode],"CW")),"")</f>
        <v/>
      </c>
      <c r="E242" s="5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5" t="str">
        <f>IFERROR(IF(SUMIFS(tblDaily[TransfersIn],tblDaily[EntryDate],DATE(2026,7,2),tblDaily[WardCode],"CW")=0,"",SUMIFS(tblDaily[TransfersIn],tblDaily[EntryDate],DATE(2026,7,2),tblDaily[WardCode],"CW")),"")</f>
        <v/>
      </c>
      <c r="G242" s="5" t="str">
        <f>IFERROR(IF(SUMIFS(tblDaily[TransfersOut],tblDaily[EntryDate],DATE(2026,7,2),tblDaily[WardCode],"CW")=0,"",SUMIFS(tblDaily[TransfersOut],tblDaily[EntryDate],DATE(2026,7,2),tblDaily[WardCode],"CW")),"")</f>
        <v/>
      </c>
      <c r="H242" s="5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IFERROR(IF(SUMIFS(tblDaily[Admissions],tblDaily[EntryDate],DATE(2026,7,3),tblDaily[WardCode],"CW")=0,"",SUMIFS(tblDaily[Admissions],tblDaily[EntryDate],DATE(2026,7,3),tblDaily[WardCode],"CW")),"")</f>
        <v/>
      </c>
      <c r="C243" s="5" t="str">
        <f>IFERROR(IF(SUMIFS(tblDaily[Discharges],tblDaily[EntryDate],DATE(2026,7,3),tblDaily[WardCode],"CW")=0,"",SUMIFS(tblDaily[Discharges],tblDaily[EntryDate],DATE(2026,7,3),tblDaily[WardCode],"CW")),"")</f>
        <v/>
      </c>
      <c r="D243" s="5" t="str">
        <f>IFERROR(IF(SUMIFS(tblDaily[Deaths],tblDaily[EntryDate],DATE(2026,7,3),tblDaily[WardCode],"CW")=0,"",SUMIFS(tblDaily[Deaths],tblDaily[EntryDate],DATE(2026,7,3),tblDaily[WardCode],"CW")),"")</f>
        <v/>
      </c>
      <c r="E243" s="5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5" t="str">
        <f>IFERROR(IF(SUMIFS(tblDaily[TransfersIn],tblDaily[EntryDate],DATE(2026,7,3),tblDaily[WardCode],"CW")=0,"",SUMIFS(tblDaily[TransfersIn],tblDaily[EntryDate],DATE(2026,7,3),tblDaily[WardCode],"CW")),"")</f>
        <v/>
      </c>
      <c r="G243" s="5" t="str">
        <f>IFERROR(IF(SUMIFS(tblDaily[TransfersOut],tblDaily[EntryDate],DATE(2026,7,3),tblDaily[WardCode],"CW")=0,"",SUMIFS(tblDaily[TransfersOut],tblDaily[EntryDate],DATE(2026,7,3),tblDaily[WardCode],"CW")),"")</f>
        <v/>
      </c>
      <c r="H243" s="5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IFERROR(IF(SUMIFS(tblDaily[Admissions],tblDaily[EntryDate],DATE(2026,7,4),tblDaily[WardCode],"CW")=0,"",SUMIFS(tblDaily[Admissions],tblDaily[EntryDate],DATE(2026,7,4),tblDaily[WardCode],"CW")),"")</f>
        <v/>
      </c>
      <c r="C244" s="5" t="str">
        <f>IFERROR(IF(SUMIFS(tblDaily[Discharges],tblDaily[EntryDate],DATE(2026,7,4),tblDaily[WardCode],"CW")=0,"",SUMIFS(tblDaily[Discharges],tblDaily[EntryDate],DATE(2026,7,4),tblDaily[WardCode],"CW")),"")</f>
        <v/>
      </c>
      <c r="D244" s="5" t="str">
        <f>IFERROR(IF(SUMIFS(tblDaily[Deaths],tblDaily[EntryDate],DATE(2026,7,4),tblDaily[WardCode],"CW")=0,"",SUMIFS(tblDaily[Deaths],tblDaily[EntryDate],DATE(2026,7,4),tblDaily[WardCode],"CW")),"")</f>
        <v/>
      </c>
      <c r="E244" s="5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5" t="str">
        <f>IFERROR(IF(SUMIFS(tblDaily[TransfersIn],tblDaily[EntryDate],DATE(2026,7,4),tblDaily[WardCode],"CW")=0,"",SUMIFS(tblDaily[TransfersIn],tblDaily[EntryDate],DATE(2026,7,4),tblDaily[WardCode],"CW")),"")</f>
        <v/>
      </c>
      <c r="G244" s="5" t="str">
        <f>IFERROR(IF(SUMIFS(tblDaily[TransfersOut],tblDaily[EntryDate],DATE(2026,7,4),tblDaily[WardCode],"CW")=0,"",SUMIFS(tblDaily[TransfersOut],tblDaily[EntryDate],DATE(2026,7,4),tblDaily[WardCode],"CW")),"")</f>
        <v/>
      </c>
      <c r="H244" s="5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IFERROR(IF(SUMIFS(tblDaily[Admissions],tblDaily[EntryDate],DATE(2026,7,5),tblDaily[WardCode],"CW")=0,"",SUMIFS(tblDaily[Admissions],tblDaily[EntryDate],DATE(2026,7,5),tblDaily[WardCode],"CW")),"")</f>
        <v/>
      </c>
      <c r="C245" s="5" t="str">
        <f>IFERROR(IF(SUMIFS(tblDaily[Discharges],tblDaily[EntryDate],DATE(2026,7,5),tblDaily[WardCode],"CW")=0,"",SUMIFS(tblDaily[Discharges],tblDaily[EntryDate],DATE(2026,7,5),tblDaily[WardCode],"CW")),"")</f>
        <v/>
      </c>
      <c r="D245" s="5" t="str">
        <f>IFERROR(IF(SUMIFS(tblDaily[Deaths],tblDaily[EntryDate],DATE(2026,7,5),tblDaily[WardCode],"CW")=0,"",SUMIFS(tblDaily[Deaths],tblDaily[EntryDate],DATE(2026,7,5),tblDaily[WardCode],"CW")),"")</f>
        <v/>
      </c>
      <c r="E245" s="5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5" t="str">
        <f>IFERROR(IF(SUMIFS(tblDaily[TransfersIn],tblDaily[EntryDate],DATE(2026,7,5),tblDaily[WardCode],"CW")=0,"",SUMIFS(tblDaily[TransfersIn],tblDaily[EntryDate],DATE(2026,7,5),tblDaily[WardCode],"CW")),"")</f>
        <v/>
      </c>
      <c r="G245" s="5" t="str">
        <f>IFERROR(IF(SUMIFS(tblDaily[TransfersOut],tblDaily[EntryDate],DATE(2026,7,5),tblDaily[WardCode],"CW")=0,"",SUMIFS(tblDaily[TransfersOut],tblDaily[EntryDate],DATE(2026,7,5),tblDaily[WardCode],"CW")),"")</f>
        <v/>
      </c>
      <c r="H245" s="5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IFERROR(IF(SUMIFS(tblDaily[Admissions],tblDaily[EntryDate],DATE(2026,7,6),tblDaily[WardCode],"CW")=0,"",SUMIFS(tblDaily[Admissions],tblDaily[EntryDate],DATE(2026,7,6),tblDaily[WardCode],"CW")),"")</f>
        <v/>
      </c>
      <c r="C246" s="5" t="str">
        <f>IFERROR(IF(SUMIFS(tblDaily[Discharges],tblDaily[EntryDate],DATE(2026,7,6),tblDaily[WardCode],"CW")=0,"",SUMIFS(tblDaily[Discharges],tblDaily[EntryDate],DATE(2026,7,6),tblDaily[WardCode],"CW")),"")</f>
        <v/>
      </c>
      <c r="D246" s="5" t="str">
        <f>IFERROR(IF(SUMIFS(tblDaily[Deaths],tblDaily[EntryDate],DATE(2026,7,6),tblDaily[WardCode],"CW")=0,"",SUMIFS(tblDaily[Deaths],tblDaily[EntryDate],DATE(2026,7,6),tblDaily[WardCode],"CW")),"")</f>
        <v/>
      </c>
      <c r="E246" s="5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5" t="str">
        <f>IFERROR(IF(SUMIFS(tblDaily[TransfersIn],tblDaily[EntryDate],DATE(2026,7,6),tblDaily[WardCode],"CW")=0,"",SUMIFS(tblDaily[TransfersIn],tblDaily[EntryDate],DATE(2026,7,6),tblDaily[WardCode],"CW")),"")</f>
        <v/>
      </c>
      <c r="G246" s="5" t="str">
        <f>IFERROR(IF(SUMIFS(tblDaily[TransfersOut],tblDaily[EntryDate],DATE(2026,7,6),tblDaily[WardCode],"CW")=0,"",SUMIFS(tblDaily[TransfersOut],tblDaily[EntryDate],DATE(2026,7,6),tblDaily[WardCode],"CW")),"")</f>
        <v/>
      </c>
      <c r="H246" s="5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IFERROR(IF(SUMIFS(tblDaily[Admissions],tblDaily[EntryDate],DATE(2026,7,7),tblDaily[WardCode],"CW")=0,"",SUMIFS(tblDaily[Admissions],tblDaily[EntryDate],DATE(2026,7,7),tblDaily[WardCode],"CW")),"")</f>
        <v/>
      </c>
      <c r="C247" s="5" t="str">
        <f>IFERROR(IF(SUMIFS(tblDaily[Discharges],tblDaily[EntryDate],DATE(2026,7,7),tblDaily[WardCode],"CW")=0,"",SUMIFS(tblDaily[Discharges],tblDaily[EntryDate],DATE(2026,7,7),tblDaily[WardCode],"CW")),"")</f>
        <v/>
      </c>
      <c r="D247" s="5" t="str">
        <f>IFERROR(IF(SUMIFS(tblDaily[Deaths],tblDaily[EntryDate],DATE(2026,7,7),tblDaily[WardCode],"CW")=0,"",SUMIFS(tblDaily[Deaths],tblDaily[EntryDate],DATE(2026,7,7),tblDaily[WardCode],"CW")),"")</f>
        <v/>
      </c>
      <c r="E247" s="5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5" t="str">
        <f>IFERROR(IF(SUMIFS(tblDaily[TransfersIn],tblDaily[EntryDate],DATE(2026,7,7),tblDaily[WardCode],"CW")=0,"",SUMIFS(tblDaily[TransfersIn],tblDaily[EntryDate],DATE(2026,7,7),tblDaily[WardCode],"CW")),"")</f>
        <v/>
      </c>
      <c r="G247" s="5" t="str">
        <f>IFERROR(IF(SUMIFS(tblDaily[TransfersOut],tblDaily[EntryDate],DATE(2026,7,7),tblDaily[WardCode],"CW")=0,"",SUMIFS(tblDaily[TransfersOut],tblDaily[EntryDate],DATE(2026,7,7),tblDaily[WardCode],"CW")),"")</f>
        <v/>
      </c>
      <c r="H247" s="5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IFERROR(IF(SUMIFS(tblDaily[Admissions],tblDaily[EntryDate],DATE(2026,7,8),tblDaily[WardCode],"CW")=0,"",SUMIFS(tblDaily[Admissions],tblDaily[EntryDate],DATE(2026,7,8),tblDaily[WardCode],"CW")),"")</f>
        <v/>
      </c>
      <c r="C248" s="5" t="str">
        <f>IFERROR(IF(SUMIFS(tblDaily[Discharges],tblDaily[EntryDate],DATE(2026,7,8),tblDaily[WardCode],"CW")=0,"",SUMIFS(tblDaily[Discharges],tblDaily[EntryDate],DATE(2026,7,8),tblDaily[WardCode],"CW")),"")</f>
        <v/>
      </c>
      <c r="D248" s="5" t="str">
        <f>IFERROR(IF(SUMIFS(tblDaily[Deaths],tblDaily[EntryDate],DATE(2026,7,8),tblDaily[WardCode],"CW")=0,"",SUMIFS(tblDaily[Deaths],tblDaily[EntryDate],DATE(2026,7,8),tblDaily[WardCode],"CW")),"")</f>
        <v/>
      </c>
      <c r="E248" s="5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5" t="str">
        <f>IFERROR(IF(SUMIFS(tblDaily[TransfersIn],tblDaily[EntryDate],DATE(2026,7,8),tblDaily[WardCode],"CW")=0,"",SUMIFS(tblDaily[TransfersIn],tblDaily[EntryDate],DATE(2026,7,8),tblDaily[WardCode],"CW")),"")</f>
        <v/>
      </c>
      <c r="G248" s="5" t="str">
        <f>IFERROR(IF(SUMIFS(tblDaily[TransfersOut],tblDaily[EntryDate],DATE(2026,7,8),tblDaily[WardCode],"CW")=0,"",SUMIFS(tblDaily[TransfersOut],tblDaily[EntryDate],DATE(2026,7,8),tblDaily[WardCode],"CW")),"")</f>
        <v/>
      </c>
      <c r="H248" s="5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IFERROR(IF(SUMIFS(tblDaily[Admissions],tblDaily[EntryDate],DATE(2026,7,9),tblDaily[WardCode],"CW")=0,"",SUMIFS(tblDaily[Admissions],tblDaily[EntryDate],DATE(2026,7,9),tblDaily[WardCode],"CW")),"")</f>
        <v/>
      </c>
      <c r="C249" s="5" t="str">
        <f>IFERROR(IF(SUMIFS(tblDaily[Discharges],tblDaily[EntryDate],DATE(2026,7,9),tblDaily[WardCode],"CW")=0,"",SUMIFS(tblDaily[Discharges],tblDaily[EntryDate],DATE(2026,7,9),tblDaily[WardCode],"CW")),"")</f>
        <v/>
      </c>
      <c r="D249" s="5" t="str">
        <f>IFERROR(IF(SUMIFS(tblDaily[Deaths],tblDaily[EntryDate],DATE(2026,7,9),tblDaily[WardCode],"CW")=0,"",SUMIFS(tblDaily[Deaths],tblDaily[EntryDate],DATE(2026,7,9),tblDaily[WardCode],"CW")),"")</f>
        <v/>
      </c>
      <c r="E249" s="5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5" t="str">
        <f>IFERROR(IF(SUMIFS(tblDaily[TransfersIn],tblDaily[EntryDate],DATE(2026,7,9),tblDaily[WardCode],"CW")=0,"",SUMIFS(tblDaily[TransfersIn],tblDaily[EntryDate],DATE(2026,7,9),tblDaily[WardCode],"CW")),"")</f>
        <v/>
      </c>
      <c r="G249" s="5" t="str">
        <f>IFERROR(IF(SUMIFS(tblDaily[TransfersOut],tblDaily[EntryDate],DATE(2026,7,9),tblDaily[WardCode],"CW")=0,"",SUMIFS(tblDaily[TransfersOut],tblDaily[EntryDate],DATE(2026,7,9),tblDaily[WardCode],"CW")),"")</f>
        <v/>
      </c>
      <c r="H249" s="5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IFERROR(IF(SUMIFS(tblDaily[Admissions],tblDaily[EntryDate],DATE(2026,7,10),tblDaily[WardCode],"CW")=0,"",SUMIFS(tblDaily[Admissions],tblDaily[EntryDate],DATE(2026,7,10),tblDaily[WardCode],"CW")),"")</f>
        <v/>
      </c>
      <c r="C250" s="5" t="str">
        <f>IFERROR(IF(SUMIFS(tblDaily[Discharges],tblDaily[EntryDate],DATE(2026,7,10),tblDaily[WardCode],"CW")=0,"",SUMIFS(tblDaily[Discharges],tblDaily[EntryDate],DATE(2026,7,10),tblDaily[WardCode],"CW")),"")</f>
        <v/>
      </c>
      <c r="D250" s="5" t="str">
        <f>IFERROR(IF(SUMIFS(tblDaily[Deaths],tblDaily[EntryDate],DATE(2026,7,10),tblDaily[WardCode],"CW")=0,"",SUMIFS(tblDaily[Deaths],tblDaily[EntryDate],DATE(2026,7,10),tblDaily[WardCode],"CW")),"")</f>
        <v/>
      </c>
      <c r="E250" s="5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5" t="str">
        <f>IFERROR(IF(SUMIFS(tblDaily[TransfersIn],tblDaily[EntryDate],DATE(2026,7,10),tblDaily[WardCode],"CW")=0,"",SUMIFS(tblDaily[TransfersIn],tblDaily[EntryDate],DATE(2026,7,10),tblDaily[WardCode],"CW")),"")</f>
        <v/>
      </c>
      <c r="G250" s="5" t="str">
        <f>IFERROR(IF(SUMIFS(tblDaily[TransfersOut],tblDaily[EntryDate],DATE(2026,7,10),tblDaily[WardCode],"CW")=0,"",SUMIFS(tblDaily[TransfersOut],tblDaily[EntryDate],DATE(2026,7,10),tblDaily[WardCode],"CW")),"")</f>
        <v/>
      </c>
      <c r="H250" s="5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IFERROR(IF(SUMIFS(tblDaily[Admissions],tblDaily[EntryDate],DATE(2026,7,11),tblDaily[WardCode],"CW")=0,"",SUMIFS(tblDaily[Admissions],tblDaily[EntryDate],DATE(2026,7,11),tblDaily[WardCode],"CW")),"")</f>
        <v/>
      </c>
      <c r="C251" s="5" t="str">
        <f>IFERROR(IF(SUMIFS(tblDaily[Discharges],tblDaily[EntryDate],DATE(2026,7,11),tblDaily[WardCode],"CW")=0,"",SUMIFS(tblDaily[Discharges],tblDaily[EntryDate],DATE(2026,7,11),tblDaily[WardCode],"CW")),"")</f>
        <v/>
      </c>
      <c r="D251" s="5" t="str">
        <f>IFERROR(IF(SUMIFS(tblDaily[Deaths],tblDaily[EntryDate],DATE(2026,7,11),tblDaily[WardCode],"CW")=0,"",SUMIFS(tblDaily[Deaths],tblDaily[EntryDate],DATE(2026,7,11),tblDaily[WardCode],"CW")),"")</f>
        <v/>
      </c>
      <c r="E251" s="5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5" t="str">
        <f>IFERROR(IF(SUMIFS(tblDaily[TransfersIn],tblDaily[EntryDate],DATE(2026,7,11),tblDaily[WardCode],"CW")=0,"",SUMIFS(tblDaily[TransfersIn],tblDaily[EntryDate],DATE(2026,7,11),tblDaily[WardCode],"CW")),"")</f>
        <v/>
      </c>
      <c r="G251" s="5" t="str">
        <f>IFERROR(IF(SUMIFS(tblDaily[TransfersOut],tblDaily[EntryDate],DATE(2026,7,11),tblDaily[WardCode],"CW")=0,"",SUMIFS(tblDaily[TransfersOut],tblDaily[EntryDate],DATE(2026,7,11),tblDaily[WardCode],"CW")),"")</f>
        <v/>
      </c>
      <c r="H251" s="5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IFERROR(IF(SUMIFS(tblDaily[Admissions],tblDaily[EntryDate],DATE(2026,7,12),tblDaily[WardCode],"CW")=0,"",SUMIFS(tblDaily[Admissions],tblDaily[EntryDate],DATE(2026,7,12),tblDaily[WardCode],"CW")),"")</f>
        <v/>
      </c>
      <c r="C252" s="5" t="str">
        <f>IFERROR(IF(SUMIFS(tblDaily[Discharges],tblDaily[EntryDate],DATE(2026,7,12),tblDaily[WardCode],"CW")=0,"",SUMIFS(tblDaily[Discharges],tblDaily[EntryDate],DATE(2026,7,12),tblDaily[WardCode],"CW")),"")</f>
        <v/>
      </c>
      <c r="D252" s="5" t="str">
        <f>IFERROR(IF(SUMIFS(tblDaily[Deaths],tblDaily[EntryDate],DATE(2026,7,12),tblDaily[WardCode],"CW")=0,"",SUMIFS(tblDaily[Deaths],tblDaily[EntryDate],DATE(2026,7,12),tblDaily[WardCode],"CW")),"")</f>
        <v/>
      </c>
      <c r="E252" s="5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5" t="str">
        <f>IFERROR(IF(SUMIFS(tblDaily[TransfersIn],tblDaily[EntryDate],DATE(2026,7,12),tblDaily[WardCode],"CW")=0,"",SUMIFS(tblDaily[TransfersIn],tblDaily[EntryDate],DATE(2026,7,12),tblDaily[WardCode],"CW")),"")</f>
        <v/>
      </c>
      <c r="G252" s="5" t="str">
        <f>IFERROR(IF(SUMIFS(tblDaily[TransfersOut],tblDaily[EntryDate],DATE(2026,7,12),tblDaily[WardCode],"CW")=0,"",SUMIFS(tblDaily[TransfersOut],tblDaily[EntryDate],DATE(2026,7,12),tblDaily[WardCode],"CW")),"")</f>
        <v/>
      </c>
      <c r="H252" s="5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IFERROR(IF(SUMIFS(tblDaily[Admissions],tblDaily[EntryDate],DATE(2026,7,13),tblDaily[WardCode],"CW")=0,"",SUMIFS(tblDaily[Admissions],tblDaily[EntryDate],DATE(2026,7,13),tblDaily[WardCode],"CW")),"")</f>
        <v/>
      </c>
      <c r="C253" s="5" t="str">
        <f>IFERROR(IF(SUMIFS(tblDaily[Discharges],tblDaily[EntryDate],DATE(2026,7,13),tblDaily[WardCode],"CW")=0,"",SUMIFS(tblDaily[Discharges],tblDaily[EntryDate],DATE(2026,7,13),tblDaily[WardCode],"CW")),"")</f>
        <v/>
      </c>
      <c r="D253" s="5" t="str">
        <f>IFERROR(IF(SUMIFS(tblDaily[Deaths],tblDaily[EntryDate],DATE(2026,7,13),tblDaily[WardCode],"CW")=0,"",SUMIFS(tblDaily[Deaths],tblDaily[EntryDate],DATE(2026,7,13),tblDaily[WardCode],"CW")),"")</f>
        <v/>
      </c>
      <c r="E253" s="5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5" t="str">
        <f>IFERROR(IF(SUMIFS(tblDaily[TransfersIn],tblDaily[EntryDate],DATE(2026,7,13),tblDaily[WardCode],"CW")=0,"",SUMIFS(tblDaily[TransfersIn],tblDaily[EntryDate],DATE(2026,7,13),tblDaily[WardCode],"CW")),"")</f>
        <v/>
      </c>
      <c r="G253" s="5" t="str">
        <f>IFERROR(IF(SUMIFS(tblDaily[TransfersOut],tblDaily[EntryDate],DATE(2026,7,13),tblDaily[WardCode],"CW")=0,"",SUMIFS(tblDaily[TransfersOut],tblDaily[EntryDate],DATE(2026,7,13),tblDaily[WardCode],"CW")),"")</f>
        <v/>
      </c>
      <c r="H253" s="5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IFERROR(IF(SUMIFS(tblDaily[Admissions],tblDaily[EntryDate],DATE(2026,7,14),tblDaily[WardCode],"CW")=0,"",SUMIFS(tblDaily[Admissions],tblDaily[EntryDate],DATE(2026,7,14),tblDaily[WardCode],"CW")),"")</f>
        <v/>
      </c>
      <c r="C254" s="5" t="str">
        <f>IFERROR(IF(SUMIFS(tblDaily[Discharges],tblDaily[EntryDate],DATE(2026,7,14),tblDaily[WardCode],"CW")=0,"",SUMIFS(tblDaily[Discharges],tblDaily[EntryDate],DATE(2026,7,14),tblDaily[WardCode],"CW")),"")</f>
        <v/>
      </c>
      <c r="D254" s="5" t="str">
        <f>IFERROR(IF(SUMIFS(tblDaily[Deaths],tblDaily[EntryDate],DATE(2026,7,14),tblDaily[WardCode],"CW")=0,"",SUMIFS(tblDaily[Deaths],tblDaily[EntryDate],DATE(2026,7,14),tblDaily[WardCode],"CW")),"")</f>
        <v/>
      </c>
      <c r="E254" s="5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5" t="str">
        <f>IFERROR(IF(SUMIFS(tblDaily[TransfersIn],tblDaily[EntryDate],DATE(2026,7,14),tblDaily[WardCode],"CW")=0,"",SUMIFS(tblDaily[TransfersIn],tblDaily[EntryDate],DATE(2026,7,14),tblDaily[WardCode],"CW")),"")</f>
        <v/>
      </c>
      <c r="G254" s="5" t="str">
        <f>IFERROR(IF(SUMIFS(tblDaily[TransfersOut],tblDaily[EntryDate],DATE(2026,7,14),tblDaily[WardCode],"CW")=0,"",SUMIFS(tblDaily[TransfersOut],tblDaily[EntryDate],DATE(2026,7,14),tblDaily[WardCode],"CW")),"")</f>
        <v/>
      </c>
      <c r="H254" s="5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IFERROR(IF(SUMIFS(tblDaily[Admissions],tblDaily[EntryDate],DATE(2026,7,15),tblDaily[WardCode],"CW")=0,"",SUMIFS(tblDaily[Admissions],tblDaily[EntryDate],DATE(2026,7,15),tblDaily[WardCode],"CW")),"")</f>
        <v/>
      </c>
      <c r="C255" s="5" t="str">
        <f>IFERROR(IF(SUMIFS(tblDaily[Discharges],tblDaily[EntryDate],DATE(2026,7,15),tblDaily[WardCode],"CW")=0,"",SUMIFS(tblDaily[Discharges],tblDaily[EntryDate],DATE(2026,7,15),tblDaily[WardCode],"CW")),"")</f>
        <v/>
      </c>
      <c r="D255" s="5" t="str">
        <f>IFERROR(IF(SUMIFS(tblDaily[Deaths],tblDaily[EntryDate],DATE(2026,7,15),tblDaily[WardCode],"CW")=0,"",SUMIFS(tblDaily[Deaths],tblDaily[EntryDate],DATE(2026,7,15),tblDaily[WardCode],"CW")),"")</f>
        <v/>
      </c>
      <c r="E255" s="5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5" t="str">
        <f>IFERROR(IF(SUMIFS(tblDaily[TransfersIn],tblDaily[EntryDate],DATE(2026,7,15),tblDaily[WardCode],"CW")=0,"",SUMIFS(tblDaily[TransfersIn],tblDaily[EntryDate],DATE(2026,7,15),tblDaily[WardCode],"CW")),"")</f>
        <v/>
      </c>
      <c r="G255" s="5" t="str">
        <f>IFERROR(IF(SUMIFS(tblDaily[TransfersOut],tblDaily[EntryDate],DATE(2026,7,15),tblDaily[WardCode],"CW")=0,"",SUMIFS(tblDaily[TransfersOut],tblDaily[EntryDate],DATE(2026,7,15),tblDaily[WardCode],"CW")),"")</f>
        <v/>
      </c>
      <c r="H255" s="5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IFERROR(IF(SUMIFS(tblDaily[Admissions],tblDaily[EntryDate],DATE(2026,7,16),tblDaily[WardCode],"CW")=0,"",SUMIFS(tblDaily[Admissions],tblDaily[EntryDate],DATE(2026,7,16),tblDaily[WardCode],"CW")),"")</f>
        <v/>
      </c>
      <c r="C256" s="5" t="str">
        <f>IFERROR(IF(SUMIFS(tblDaily[Discharges],tblDaily[EntryDate],DATE(2026,7,16),tblDaily[WardCode],"CW")=0,"",SUMIFS(tblDaily[Discharges],tblDaily[EntryDate],DATE(2026,7,16),tblDaily[WardCode],"CW")),"")</f>
        <v/>
      </c>
      <c r="D256" s="5" t="str">
        <f>IFERROR(IF(SUMIFS(tblDaily[Deaths],tblDaily[EntryDate],DATE(2026,7,16),tblDaily[WardCode],"CW")=0,"",SUMIFS(tblDaily[Deaths],tblDaily[EntryDate],DATE(2026,7,16),tblDaily[WardCode],"CW")),"")</f>
        <v/>
      </c>
      <c r="E256" s="5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5" t="str">
        <f>IFERROR(IF(SUMIFS(tblDaily[TransfersIn],tblDaily[EntryDate],DATE(2026,7,16),tblDaily[WardCode],"CW")=0,"",SUMIFS(tblDaily[TransfersIn],tblDaily[EntryDate],DATE(2026,7,16),tblDaily[WardCode],"CW")),"")</f>
        <v/>
      </c>
      <c r="G256" s="5" t="str">
        <f>IFERROR(IF(SUMIFS(tblDaily[TransfersOut],tblDaily[EntryDate],DATE(2026,7,16),tblDaily[WardCode],"CW")=0,"",SUMIFS(tblDaily[TransfersOut],tblDaily[EntryDate],DATE(2026,7,16),tblDaily[WardCode],"CW")),"")</f>
        <v/>
      </c>
      <c r="H256" s="5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IFERROR(IF(SUMIFS(tblDaily[Admissions],tblDaily[EntryDate],DATE(2026,7,17),tblDaily[WardCode],"CW")=0,"",SUMIFS(tblDaily[Admissions],tblDaily[EntryDate],DATE(2026,7,17),tblDaily[WardCode],"CW")),"")</f>
        <v/>
      </c>
      <c r="C257" s="5" t="str">
        <f>IFERROR(IF(SUMIFS(tblDaily[Discharges],tblDaily[EntryDate],DATE(2026,7,17),tblDaily[WardCode],"CW")=0,"",SUMIFS(tblDaily[Discharges],tblDaily[EntryDate],DATE(2026,7,17),tblDaily[WardCode],"CW")),"")</f>
        <v/>
      </c>
      <c r="D257" s="5" t="str">
        <f>IFERROR(IF(SUMIFS(tblDaily[Deaths],tblDaily[EntryDate],DATE(2026,7,17),tblDaily[WardCode],"CW")=0,"",SUMIFS(tblDaily[Deaths],tblDaily[EntryDate],DATE(2026,7,17),tblDaily[WardCode],"CW")),"")</f>
        <v/>
      </c>
      <c r="E257" s="5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5" t="str">
        <f>IFERROR(IF(SUMIFS(tblDaily[TransfersIn],tblDaily[EntryDate],DATE(2026,7,17),tblDaily[WardCode],"CW")=0,"",SUMIFS(tblDaily[TransfersIn],tblDaily[EntryDate],DATE(2026,7,17),tblDaily[WardCode],"CW")),"")</f>
        <v/>
      </c>
      <c r="G257" s="5" t="str">
        <f>IFERROR(IF(SUMIFS(tblDaily[TransfersOut],tblDaily[EntryDate],DATE(2026,7,17),tblDaily[WardCode],"CW")=0,"",SUMIFS(tblDaily[TransfersOut],tblDaily[EntryDate],DATE(2026,7,17),tblDaily[WardCode],"CW")),"")</f>
        <v/>
      </c>
      <c r="H257" s="5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IFERROR(IF(SUMIFS(tblDaily[Admissions],tblDaily[EntryDate],DATE(2026,7,18),tblDaily[WardCode],"CW")=0,"",SUMIFS(tblDaily[Admissions],tblDaily[EntryDate],DATE(2026,7,18),tblDaily[WardCode],"CW")),"")</f>
        <v/>
      </c>
      <c r="C258" s="5" t="str">
        <f>IFERROR(IF(SUMIFS(tblDaily[Discharges],tblDaily[EntryDate],DATE(2026,7,18),tblDaily[WardCode],"CW")=0,"",SUMIFS(tblDaily[Discharges],tblDaily[EntryDate],DATE(2026,7,18),tblDaily[WardCode],"CW")),"")</f>
        <v/>
      </c>
      <c r="D258" s="5" t="str">
        <f>IFERROR(IF(SUMIFS(tblDaily[Deaths],tblDaily[EntryDate],DATE(2026,7,18),tblDaily[WardCode],"CW")=0,"",SUMIFS(tblDaily[Deaths],tblDaily[EntryDate],DATE(2026,7,18),tblDaily[WardCode],"CW")),"")</f>
        <v/>
      </c>
      <c r="E258" s="5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5" t="str">
        <f>IFERROR(IF(SUMIFS(tblDaily[TransfersIn],tblDaily[EntryDate],DATE(2026,7,18),tblDaily[WardCode],"CW")=0,"",SUMIFS(tblDaily[TransfersIn],tblDaily[EntryDate],DATE(2026,7,18),tblDaily[WardCode],"CW")),"")</f>
        <v/>
      </c>
      <c r="G258" s="5" t="str">
        <f>IFERROR(IF(SUMIFS(tblDaily[TransfersOut],tblDaily[EntryDate],DATE(2026,7,18),tblDaily[WardCode],"CW")=0,"",SUMIFS(tblDaily[TransfersOut],tblDaily[EntryDate],DATE(2026,7,18),tblDaily[WardCode],"CW")),"")</f>
        <v/>
      </c>
      <c r="H258" s="5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IFERROR(IF(SUMIFS(tblDaily[Admissions],tblDaily[EntryDate],DATE(2026,7,19),tblDaily[WardCode],"CW")=0,"",SUMIFS(tblDaily[Admissions],tblDaily[EntryDate],DATE(2026,7,19),tblDaily[WardCode],"CW")),"")</f>
        <v/>
      </c>
      <c r="C259" s="5" t="str">
        <f>IFERROR(IF(SUMIFS(tblDaily[Discharges],tblDaily[EntryDate],DATE(2026,7,19),tblDaily[WardCode],"CW")=0,"",SUMIFS(tblDaily[Discharges],tblDaily[EntryDate],DATE(2026,7,19),tblDaily[WardCode],"CW")),"")</f>
        <v/>
      </c>
      <c r="D259" s="5" t="str">
        <f>IFERROR(IF(SUMIFS(tblDaily[Deaths],tblDaily[EntryDate],DATE(2026,7,19),tblDaily[WardCode],"CW")=0,"",SUMIFS(tblDaily[Deaths],tblDaily[EntryDate],DATE(2026,7,19),tblDaily[WardCode],"CW")),"")</f>
        <v/>
      </c>
      <c r="E259" s="5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5" t="str">
        <f>IFERROR(IF(SUMIFS(tblDaily[TransfersIn],tblDaily[EntryDate],DATE(2026,7,19),tblDaily[WardCode],"CW")=0,"",SUMIFS(tblDaily[TransfersIn],tblDaily[EntryDate],DATE(2026,7,19),tblDaily[WardCode],"CW")),"")</f>
        <v/>
      </c>
      <c r="G259" s="5" t="str">
        <f>IFERROR(IF(SUMIFS(tblDaily[TransfersOut],tblDaily[EntryDate],DATE(2026,7,19),tblDaily[WardCode],"CW")=0,"",SUMIFS(tblDaily[TransfersOut],tblDaily[EntryDate],DATE(2026,7,19),tblDaily[WardCode],"CW")),"")</f>
        <v/>
      </c>
      <c r="H259" s="5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IFERROR(IF(SUMIFS(tblDaily[Admissions],tblDaily[EntryDate],DATE(2026,7,20),tblDaily[WardCode],"CW")=0,"",SUMIFS(tblDaily[Admissions],tblDaily[EntryDate],DATE(2026,7,20),tblDaily[WardCode],"CW")),"")</f>
        <v/>
      </c>
      <c r="C260" s="5" t="str">
        <f>IFERROR(IF(SUMIFS(tblDaily[Discharges],tblDaily[EntryDate],DATE(2026,7,20),tblDaily[WardCode],"CW")=0,"",SUMIFS(tblDaily[Discharges],tblDaily[EntryDate],DATE(2026,7,20),tblDaily[WardCode],"CW")),"")</f>
        <v/>
      </c>
      <c r="D260" s="5" t="str">
        <f>IFERROR(IF(SUMIFS(tblDaily[Deaths],tblDaily[EntryDate],DATE(2026,7,20),tblDaily[WardCode],"CW")=0,"",SUMIFS(tblDaily[Deaths],tblDaily[EntryDate],DATE(2026,7,20),tblDaily[WardCode],"CW")),"")</f>
        <v/>
      </c>
      <c r="E260" s="5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5" t="str">
        <f>IFERROR(IF(SUMIFS(tblDaily[TransfersIn],tblDaily[EntryDate],DATE(2026,7,20),tblDaily[WardCode],"CW")=0,"",SUMIFS(tblDaily[TransfersIn],tblDaily[EntryDate],DATE(2026,7,20),tblDaily[WardCode],"CW")),"")</f>
        <v/>
      </c>
      <c r="G260" s="5" t="str">
        <f>IFERROR(IF(SUMIFS(tblDaily[TransfersOut],tblDaily[EntryDate],DATE(2026,7,20),tblDaily[WardCode],"CW")=0,"",SUMIFS(tblDaily[TransfersOut],tblDaily[EntryDate],DATE(2026,7,20),tblDaily[WardCode],"CW")),"")</f>
        <v/>
      </c>
      <c r="H260" s="5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IFERROR(IF(SUMIFS(tblDaily[Admissions],tblDaily[EntryDate],DATE(2026,7,21),tblDaily[WardCode],"CW")=0,"",SUMIFS(tblDaily[Admissions],tblDaily[EntryDate],DATE(2026,7,21),tblDaily[WardCode],"CW")),"")</f>
        <v/>
      </c>
      <c r="C261" s="5" t="str">
        <f>IFERROR(IF(SUMIFS(tblDaily[Discharges],tblDaily[EntryDate],DATE(2026,7,21),tblDaily[WardCode],"CW")=0,"",SUMIFS(tblDaily[Discharges],tblDaily[EntryDate],DATE(2026,7,21),tblDaily[WardCode],"CW")),"")</f>
        <v/>
      </c>
      <c r="D261" s="5" t="str">
        <f>IFERROR(IF(SUMIFS(tblDaily[Deaths],tblDaily[EntryDate],DATE(2026,7,21),tblDaily[WardCode],"CW")=0,"",SUMIFS(tblDaily[Deaths],tblDaily[EntryDate],DATE(2026,7,21),tblDaily[WardCode],"CW")),"")</f>
        <v/>
      </c>
      <c r="E261" s="5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5" t="str">
        <f>IFERROR(IF(SUMIFS(tblDaily[TransfersIn],tblDaily[EntryDate],DATE(2026,7,21),tblDaily[WardCode],"CW")=0,"",SUMIFS(tblDaily[TransfersIn],tblDaily[EntryDate],DATE(2026,7,21),tblDaily[WardCode],"CW")),"")</f>
        <v/>
      </c>
      <c r="G261" s="5" t="str">
        <f>IFERROR(IF(SUMIFS(tblDaily[TransfersOut],tblDaily[EntryDate],DATE(2026,7,21),tblDaily[WardCode],"CW")=0,"",SUMIFS(tblDaily[TransfersOut],tblDaily[EntryDate],DATE(2026,7,21),tblDaily[WardCode],"CW")),"")</f>
        <v/>
      </c>
      <c r="H261" s="5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IFERROR(IF(SUMIFS(tblDaily[Admissions],tblDaily[EntryDate],DATE(2026,7,22),tblDaily[WardCode],"CW")=0,"",SUMIFS(tblDaily[Admissions],tblDaily[EntryDate],DATE(2026,7,22),tblDaily[WardCode],"CW")),"")</f>
        <v/>
      </c>
      <c r="C262" s="5" t="str">
        <f>IFERROR(IF(SUMIFS(tblDaily[Discharges],tblDaily[EntryDate],DATE(2026,7,22),tblDaily[WardCode],"CW")=0,"",SUMIFS(tblDaily[Discharges],tblDaily[EntryDate],DATE(2026,7,22),tblDaily[WardCode],"CW")),"")</f>
        <v/>
      </c>
      <c r="D262" s="5" t="str">
        <f>IFERROR(IF(SUMIFS(tblDaily[Deaths],tblDaily[EntryDate],DATE(2026,7,22),tblDaily[WardCode],"CW")=0,"",SUMIFS(tblDaily[Deaths],tblDaily[EntryDate],DATE(2026,7,22),tblDaily[WardCode],"CW")),"")</f>
        <v/>
      </c>
      <c r="E262" s="5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5" t="str">
        <f>IFERROR(IF(SUMIFS(tblDaily[TransfersIn],tblDaily[EntryDate],DATE(2026,7,22),tblDaily[WardCode],"CW")=0,"",SUMIFS(tblDaily[TransfersIn],tblDaily[EntryDate],DATE(2026,7,22),tblDaily[WardCode],"CW")),"")</f>
        <v/>
      </c>
      <c r="G262" s="5" t="str">
        <f>IFERROR(IF(SUMIFS(tblDaily[TransfersOut],tblDaily[EntryDate],DATE(2026,7,22),tblDaily[WardCode],"CW")=0,"",SUMIFS(tblDaily[TransfersOut],tblDaily[EntryDate],DATE(2026,7,22),tblDaily[WardCode],"CW")),"")</f>
        <v/>
      </c>
      <c r="H262" s="5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IFERROR(IF(SUMIFS(tblDaily[Admissions],tblDaily[EntryDate],DATE(2026,7,23),tblDaily[WardCode],"CW")=0,"",SUMIFS(tblDaily[Admissions],tblDaily[EntryDate],DATE(2026,7,23),tblDaily[WardCode],"CW")),"")</f>
        <v/>
      </c>
      <c r="C263" s="5" t="str">
        <f>IFERROR(IF(SUMIFS(tblDaily[Discharges],tblDaily[EntryDate],DATE(2026,7,23),tblDaily[WardCode],"CW")=0,"",SUMIFS(tblDaily[Discharges],tblDaily[EntryDate],DATE(2026,7,23),tblDaily[WardCode],"CW")),"")</f>
        <v/>
      </c>
      <c r="D263" s="5" t="str">
        <f>IFERROR(IF(SUMIFS(tblDaily[Deaths],tblDaily[EntryDate],DATE(2026,7,23),tblDaily[WardCode],"CW")=0,"",SUMIFS(tblDaily[Deaths],tblDaily[EntryDate],DATE(2026,7,23),tblDaily[WardCode],"CW")),"")</f>
        <v/>
      </c>
      <c r="E263" s="5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5" t="str">
        <f>IFERROR(IF(SUMIFS(tblDaily[TransfersIn],tblDaily[EntryDate],DATE(2026,7,23),tblDaily[WardCode],"CW")=0,"",SUMIFS(tblDaily[TransfersIn],tblDaily[EntryDate],DATE(2026,7,23),tblDaily[WardCode],"CW")),"")</f>
        <v/>
      </c>
      <c r="G263" s="5" t="str">
        <f>IFERROR(IF(SUMIFS(tblDaily[TransfersOut],tblDaily[EntryDate],DATE(2026,7,23),tblDaily[WardCode],"CW")=0,"",SUMIFS(tblDaily[TransfersOut],tblDaily[EntryDate],DATE(2026,7,23),tblDaily[WardCode],"CW")),"")</f>
        <v/>
      </c>
      <c r="H263" s="5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IFERROR(IF(SUMIFS(tblDaily[Admissions],tblDaily[EntryDate],DATE(2026,7,24),tblDaily[WardCode],"CW")=0,"",SUMIFS(tblDaily[Admissions],tblDaily[EntryDate],DATE(2026,7,24),tblDaily[WardCode],"CW")),"")</f>
        <v/>
      </c>
      <c r="C264" s="5" t="str">
        <f>IFERROR(IF(SUMIFS(tblDaily[Discharges],tblDaily[EntryDate],DATE(2026,7,24),tblDaily[WardCode],"CW")=0,"",SUMIFS(tblDaily[Discharges],tblDaily[EntryDate],DATE(2026,7,24),tblDaily[WardCode],"CW")),"")</f>
        <v/>
      </c>
      <c r="D264" s="5" t="str">
        <f>IFERROR(IF(SUMIFS(tblDaily[Deaths],tblDaily[EntryDate],DATE(2026,7,24),tblDaily[WardCode],"CW")=0,"",SUMIFS(tblDaily[Deaths],tblDaily[EntryDate],DATE(2026,7,24),tblDaily[WardCode],"CW")),"")</f>
        <v/>
      </c>
      <c r="E264" s="5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5" t="str">
        <f>IFERROR(IF(SUMIFS(tblDaily[TransfersIn],tblDaily[EntryDate],DATE(2026,7,24),tblDaily[WardCode],"CW")=0,"",SUMIFS(tblDaily[TransfersIn],tblDaily[EntryDate],DATE(2026,7,24),tblDaily[WardCode],"CW")),"")</f>
        <v/>
      </c>
      <c r="G264" s="5" t="str">
        <f>IFERROR(IF(SUMIFS(tblDaily[TransfersOut],tblDaily[EntryDate],DATE(2026,7,24),tblDaily[WardCode],"CW")=0,"",SUMIFS(tblDaily[TransfersOut],tblDaily[EntryDate],DATE(2026,7,24),tblDaily[WardCode],"CW")),"")</f>
        <v/>
      </c>
      <c r="H264" s="5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IFERROR(IF(SUMIFS(tblDaily[Admissions],tblDaily[EntryDate],DATE(2026,7,25),tblDaily[WardCode],"CW")=0,"",SUMIFS(tblDaily[Admissions],tblDaily[EntryDate],DATE(2026,7,25),tblDaily[WardCode],"CW")),"")</f>
        <v/>
      </c>
      <c r="C265" s="5" t="str">
        <f>IFERROR(IF(SUMIFS(tblDaily[Discharges],tblDaily[EntryDate],DATE(2026,7,25),tblDaily[WardCode],"CW")=0,"",SUMIFS(tblDaily[Discharges],tblDaily[EntryDate],DATE(2026,7,25),tblDaily[WardCode],"CW")),"")</f>
        <v/>
      </c>
      <c r="D265" s="5" t="str">
        <f>IFERROR(IF(SUMIFS(tblDaily[Deaths],tblDaily[EntryDate],DATE(2026,7,25),tblDaily[WardCode],"CW")=0,"",SUMIFS(tblDaily[Deaths],tblDaily[EntryDate],DATE(2026,7,25),tblDaily[WardCode],"CW")),"")</f>
        <v/>
      </c>
      <c r="E265" s="5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5" t="str">
        <f>IFERROR(IF(SUMIFS(tblDaily[TransfersIn],tblDaily[EntryDate],DATE(2026,7,25),tblDaily[WardCode],"CW")=0,"",SUMIFS(tblDaily[TransfersIn],tblDaily[EntryDate],DATE(2026,7,25),tblDaily[WardCode],"CW")),"")</f>
        <v/>
      </c>
      <c r="G265" s="5" t="str">
        <f>IFERROR(IF(SUMIFS(tblDaily[TransfersOut],tblDaily[EntryDate],DATE(2026,7,25),tblDaily[WardCode],"CW")=0,"",SUMIFS(tblDaily[TransfersOut],tblDaily[EntryDate],DATE(2026,7,25),tblDaily[WardCode],"CW")),"")</f>
        <v/>
      </c>
      <c r="H265" s="5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IFERROR(IF(SUMIFS(tblDaily[Admissions],tblDaily[EntryDate],DATE(2026,7,26),tblDaily[WardCode],"CW")=0,"",SUMIFS(tblDaily[Admissions],tblDaily[EntryDate],DATE(2026,7,26),tblDaily[WardCode],"CW")),"")</f>
        <v/>
      </c>
      <c r="C266" s="5" t="str">
        <f>IFERROR(IF(SUMIFS(tblDaily[Discharges],tblDaily[EntryDate],DATE(2026,7,26),tblDaily[WardCode],"CW")=0,"",SUMIFS(tblDaily[Discharges],tblDaily[EntryDate],DATE(2026,7,26),tblDaily[WardCode],"CW")),"")</f>
        <v/>
      </c>
      <c r="D266" s="5" t="str">
        <f>IFERROR(IF(SUMIFS(tblDaily[Deaths],tblDaily[EntryDate],DATE(2026,7,26),tblDaily[WardCode],"CW")=0,"",SUMIFS(tblDaily[Deaths],tblDaily[EntryDate],DATE(2026,7,26),tblDaily[WardCode],"CW")),"")</f>
        <v/>
      </c>
      <c r="E266" s="5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5" t="str">
        <f>IFERROR(IF(SUMIFS(tblDaily[TransfersIn],tblDaily[EntryDate],DATE(2026,7,26),tblDaily[WardCode],"CW")=0,"",SUMIFS(tblDaily[TransfersIn],tblDaily[EntryDate],DATE(2026,7,26),tblDaily[WardCode],"CW")),"")</f>
        <v/>
      </c>
      <c r="G266" s="5" t="str">
        <f>IFERROR(IF(SUMIFS(tblDaily[TransfersOut],tblDaily[EntryDate],DATE(2026,7,26),tblDaily[WardCode],"CW")=0,"",SUMIFS(tblDaily[TransfersOut],tblDaily[EntryDate],DATE(2026,7,26),tblDaily[WardCode],"CW")),"")</f>
        <v/>
      </c>
      <c r="H266" s="5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IFERROR(IF(SUMIFS(tblDaily[Admissions],tblDaily[EntryDate],DATE(2026,7,27),tblDaily[WardCode],"CW")=0,"",SUMIFS(tblDaily[Admissions],tblDaily[EntryDate],DATE(2026,7,27),tblDaily[WardCode],"CW")),"")</f>
        <v/>
      </c>
      <c r="C267" s="5" t="str">
        <f>IFERROR(IF(SUMIFS(tblDaily[Discharges],tblDaily[EntryDate],DATE(2026,7,27),tblDaily[WardCode],"CW")=0,"",SUMIFS(tblDaily[Discharges],tblDaily[EntryDate],DATE(2026,7,27),tblDaily[WardCode],"CW")),"")</f>
        <v/>
      </c>
      <c r="D267" s="5" t="str">
        <f>IFERROR(IF(SUMIFS(tblDaily[Deaths],tblDaily[EntryDate],DATE(2026,7,27),tblDaily[WardCode],"CW")=0,"",SUMIFS(tblDaily[Deaths],tblDaily[EntryDate],DATE(2026,7,27),tblDaily[WardCode],"CW")),"")</f>
        <v/>
      </c>
      <c r="E267" s="5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5" t="str">
        <f>IFERROR(IF(SUMIFS(tblDaily[TransfersIn],tblDaily[EntryDate],DATE(2026,7,27),tblDaily[WardCode],"CW")=0,"",SUMIFS(tblDaily[TransfersIn],tblDaily[EntryDate],DATE(2026,7,27),tblDaily[WardCode],"CW")),"")</f>
        <v/>
      </c>
      <c r="G267" s="5" t="str">
        <f>IFERROR(IF(SUMIFS(tblDaily[TransfersOut],tblDaily[EntryDate],DATE(2026,7,27),tblDaily[WardCode],"CW")=0,"",SUMIFS(tblDaily[TransfersOut],tblDaily[EntryDate],DATE(2026,7,27),tblDaily[WardCode],"CW")),"")</f>
        <v/>
      </c>
      <c r="H267" s="5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IFERROR(IF(SUMIFS(tblDaily[Admissions],tblDaily[EntryDate],DATE(2026,7,28),tblDaily[WardCode],"CW")=0,"",SUMIFS(tblDaily[Admissions],tblDaily[EntryDate],DATE(2026,7,28),tblDaily[WardCode],"CW")),"")</f>
        <v/>
      </c>
      <c r="C268" s="5" t="str">
        <f>IFERROR(IF(SUMIFS(tblDaily[Discharges],tblDaily[EntryDate],DATE(2026,7,28),tblDaily[WardCode],"CW")=0,"",SUMIFS(tblDaily[Discharges],tblDaily[EntryDate],DATE(2026,7,28),tblDaily[WardCode],"CW")),"")</f>
        <v/>
      </c>
      <c r="D268" s="5" t="str">
        <f>IFERROR(IF(SUMIFS(tblDaily[Deaths],tblDaily[EntryDate],DATE(2026,7,28),tblDaily[WardCode],"CW")=0,"",SUMIFS(tblDaily[Deaths],tblDaily[EntryDate],DATE(2026,7,28),tblDaily[WardCode],"CW")),"")</f>
        <v/>
      </c>
      <c r="E268" s="5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5" t="str">
        <f>IFERROR(IF(SUMIFS(tblDaily[TransfersIn],tblDaily[EntryDate],DATE(2026,7,28),tblDaily[WardCode],"CW")=0,"",SUMIFS(tblDaily[TransfersIn],tblDaily[EntryDate],DATE(2026,7,28),tblDaily[WardCode],"CW")),"")</f>
        <v/>
      </c>
      <c r="G268" s="5" t="str">
        <f>IFERROR(IF(SUMIFS(tblDaily[TransfersOut],tblDaily[EntryDate],DATE(2026,7,28),tblDaily[WardCode],"CW")=0,"",SUMIFS(tblDaily[TransfersOut],tblDaily[EntryDate],DATE(2026,7,28),tblDaily[WardCode],"CW")),"")</f>
        <v/>
      </c>
      <c r="H268" s="5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IFERROR(IF(SUMIFS(tblDaily[Admissions],tblDaily[EntryDate],DATE(2026,7,29),tblDaily[WardCode],"CW")=0,"",SUMIFS(tblDaily[Admissions],tblDaily[EntryDate],DATE(2026,7,29),tblDaily[WardCode],"CW")),"")</f>
        <v/>
      </c>
      <c r="C269" s="5" t="str">
        <f>IFERROR(IF(SUMIFS(tblDaily[Discharges],tblDaily[EntryDate],DATE(2026,7,29),tblDaily[WardCode],"CW")=0,"",SUMIFS(tblDaily[Discharges],tblDaily[EntryDate],DATE(2026,7,29),tblDaily[WardCode],"CW")),"")</f>
        <v/>
      </c>
      <c r="D269" s="5" t="str">
        <f>IFERROR(IF(SUMIFS(tblDaily[Deaths],tblDaily[EntryDate],DATE(2026,7,29),tblDaily[WardCode],"CW")=0,"",SUMIFS(tblDaily[Deaths],tblDaily[EntryDate],DATE(2026,7,29),tblDaily[WardCode],"CW")),"")</f>
        <v/>
      </c>
      <c r="E269" s="5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5" t="str">
        <f>IFERROR(IF(SUMIFS(tblDaily[TransfersIn],tblDaily[EntryDate],DATE(2026,7,29),tblDaily[WardCode],"CW")=0,"",SUMIFS(tblDaily[TransfersIn],tblDaily[EntryDate],DATE(2026,7,29),tblDaily[WardCode],"CW")),"")</f>
        <v/>
      </c>
      <c r="G269" s="5" t="str">
        <f>IFERROR(IF(SUMIFS(tblDaily[TransfersOut],tblDaily[EntryDate],DATE(2026,7,29),tblDaily[WardCode],"CW")=0,"",SUMIFS(tblDaily[TransfersOut],tblDaily[EntryDate],DATE(2026,7,29),tblDaily[WardCode],"CW")),"")</f>
        <v/>
      </c>
      <c r="H269" s="5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IFERROR(IF(SUMIFS(tblDaily[Admissions],tblDaily[EntryDate],DATE(2026,7,30),tblDaily[WardCode],"CW")=0,"",SUMIFS(tblDaily[Admissions],tblDaily[EntryDate],DATE(2026,7,30),tblDaily[WardCode],"CW")),"")</f>
        <v/>
      </c>
      <c r="C270" s="5" t="str">
        <f>IFERROR(IF(SUMIFS(tblDaily[Discharges],tblDaily[EntryDate],DATE(2026,7,30),tblDaily[WardCode],"CW")=0,"",SUMIFS(tblDaily[Discharges],tblDaily[EntryDate],DATE(2026,7,30),tblDaily[WardCode],"CW")),"")</f>
        <v/>
      </c>
      <c r="D270" s="5" t="str">
        <f>IFERROR(IF(SUMIFS(tblDaily[Deaths],tblDaily[EntryDate],DATE(2026,7,30),tblDaily[WardCode],"CW")=0,"",SUMIFS(tblDaily[Deaths],tblDaily[EntryDate],DATE(2026,7,30),tblDaily[WardCode],"CW")),"")</f>
        <v/>
      </c>
      <c r="E270" s="5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5" t="str">
        <f>IFERROR(IF(SUMIFS(tblDaily[TransfersIn],tblDaily[EntryDate],DATE(2026,7,30),tblDaily[WardCode],"CW")=0,"",SUMIFS(tblDaily[TransfersIn],tblDaily[EntryDate],DATE(2026,7,30),tblDaily[WardCode],"CW")),"")</f>
        <v/>
      </c>
      <c r="G270" s="5" t="str">
        <f>IFERROR(IF(SUMIFS(tblDaily[TransfersOut],tblDaily[EntryDate],DATE(2026,7,30),tblDaily[WardCode],"CW")=0,"",SUMIFS(tblDaily[TransfersOut],tblDaily[EntryDate],DATE(2026,7,30),tblDaily[WardCode],"CW")),"")</f>
        <v/>
      </c>
      <c r="H270" s="5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IFERROR(IF(SUMIFS(tblDaily[Admissions],tblDaily[EntryDate],DATE(2026,7,31),tblDaily[WardCode],"CW")=0,"",SUMIFS(tblDaily[Admissions],tblDaily[EntryDate],DATE(2026,7,31),tblDaily[WardCode],"CW")),"")</f>
        <v/>
      </c>
      <c r="C271" s="5" t="str">
        <f>IFERROR(IF(SUMIFS(tblDaily[Discharges],tblDaily[EntryDate],DATE(2026,7,31),tblDaily[WardCode],"CW")=0,"",SUMIFS(tblDaily[Discharges],tblDaily[EntryDate],DATE(2026,7,31),tblDaily[WardCode],"CW")),"")</f>
        <v/>
      </c>
      <c r="D271" s="5" t="str">
        <f>IFERROR(IF(SUMIFS(tblDaily[Deaths],tblDaily[EntryDate],DATE(2026,7,31),tblDaily[WardCode],"CW")=0,"",SUMIFS(tblDaily[Deaths],tblDaily[EntryDate],DATE(2026,7,31),tblDaily[WardCode],"CW")),"")</f>
        <v/>
      </c>
      <c r="E271" s="5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5" t="str">
        <f>IFERROR(IF(SUMIFS(tblDaily[TransfersIn],tblDaily[EntryDate],DATE(2026,7,31),tblDaily[WardCode],"CW")=0,"",SUMIFS(tblDaily[TransfersIn],tblDaily[EntryDate],DATE(2026,7,31),tblDaily[WardCode],"CW")),"")</f>
        <v/>
      </c>
      <c r="G271" s="5" t="str">
        <f>IFERROR(IF(SUMIFS(tblDaily[TransfersOut],tblDaily[EntryDate],DATE(2026,7,31),tblDaily[WardCode],"CW")=0,"",SUMIFS(tblDaily[TransfersOut],tblDaily[EntryDate],DATE(2026,7,31),tblDaily[WardCode],"CW")),"")</f>
        <v/>
      </c>
      <c r="H271" s="5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95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97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89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IFERROR(IF(SUMIFS(tblDaily[Admissions],tblDaily[EntryDate],DATE(2026,8,1),tblDaily[WardCode],"CW")=0,"",SUMIFS(tblDaily[Admissions],tblDaily[EntryDate],DATE(2026,8,1),tblDaily[WardCode],"CW")),"")</f>
        <v/>
      </c>
      <c r="C280" s="5" t="str">
        <f>IFERROR(IF(SUMIFS(tblDaily[Discharges],tblDaily[EntryDate],DATE(2026,8,1),tblDaily[WardCode],"CW")=0,"",SUMIFS(tblDaily[Discharges],tblDaily[EntryDate],DATE(2026,8,1),tblDaily[WardCode],"CW")),"")</f>
        <v/>
      </c>
      <c r="D280" s="5" t="str">
        <f>IFERROR(IF(SUMIFS(tblDaily[Deaths],tblDaily[EntryDate],DATE(2026,8,1),tblDaily[WardCode],"CW")=0,"",SUMIFS(tblDaily[Deaths],tblDaily[EntryDate],DATE(2026,8,1),tblDaily[WardCode],"CW")),"")</f>
        <v/>
      </c>
      <c r="E280" s="5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5" t="str">
        <f>IFERROR(IF(SUMIFS(tblDaily[TransfersIn],tblDaily[EntryDate],DATE(2026,8,1),tblDaily[WardCode],"CW")=0,"",SUMIFS(tblDaily[TransfersIn],tblDaily[EntryDate],DATE(2026,8,1),tblDaily[WardCode],"CW")),"")</f>
        <v/>
      </c>
      <c r="G280" s="5" t="str">
        <f>IFERROR(IF(SUMIFS(tblDaily[TransfersOut],tblDaily[EntryDate],DATE(2026,8,1),tblDaily[WardCode],"CW")=0,"",SUMIFS(tblDaily[TransfersOut],tblDaily[EntryDate],DATE(2026,8,1),tblDaily[WardCode],"CW")),"")</f>
        <v/>
      </c>
      <c r="H280" s="5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IFERROR(IF(SUMIFS(tblDaily[Admissions],tblDaily[EntryDate],DATE(2026,8,2),tblDaily[WardCode],"CW")=0,"",SUMIFS(tblDaily[Admissions],tblDaily[EntryDate],DATE(2026,8,2),tblDaily[WardCode],"CW")),"")</f>
        <v/>
      </c>
      <c r="C281" s="5" t="str">
        <f>IFERROR(IF(SUMIFS(tblDaily[Discharges],tblDaily[EntryDate],DATE(2026,8,2),tblDaily[WardCode],"CW")=0,"",SUMIFS(tblDaily[Discharges],tblDaily[EntryDate],DATE(2026,8,2),tblDaily[WardCode],"CW")),"")</f>
        <v/>
      </c>
      <c r="D281" s="5" t="str">
        <f>IFERROR(IF(SUMIFS(tblDaily[Deaths],tblDaily[EntryDate],DATE(2026,8,2),tblDaily[WardCode],"CW")=0,"",SUMIFS(tblDaily[Deaths],tblDaily[EntryDate],DATE(2026,8,2),tblDaily[WardCode],"CW")),"")</f>
        <v/>
      </c>
      <c r="E281" s="5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5" t="str">
        <f>IFERROR(IF(SUMIFS(tblDaily[TransfersIn],tblDaily[EntryDate],DATE(2026,8,2),tblDaily[WardCode],"CW")=0,"",SUMIFS(tblDaily[TransfersIn],tblDaily[EntryDate],DATE(2026,8,2),tblDaily[WardCode],"CW")),"")</f>
        <v/>
      </c>
      <c r="G281" s="5" t="str">
        <f>IFERROR(IF(SUMIFS(tblDaily[TransfersOut],tblDaily[EntryDate],DATE(2026,8,2),tblDaily[WardCode],"CW")=0,"",SUMIFS(tblDaily[TransfersOut],tblDaily[EntryDate],DATE(2026,8,2),tblDaily[WardCode],"CW")),"")</f>
        <v/>
      </c>
      <c r="H281" s="5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IFERROR(IF(SUMIFS(tblDaily[Admissions],tblDaily[EntryDate],DATE(2026,8,3),tblDaily[WardCode],"CW")=0,"",SUMIFS(tblDaily[Admissions],tblDaily[EntryDate],DATE(2026,8,3),tblDaily[WardCode],"CW")),"")</f>
        <v/>
      </c>
      <c r="C282" s="5" t="str">
        <f>IFERROR(IF(SUMIFS(tblDaily[Discharges],tblDaily[EntryDate],DATE(2026,8,3),tblDaily[WardCode],"CW")=0,"",SUMIFS(tblDaily[Discharges],tblDaily[EntryDate],DATE(2026,8,3),tblDaily[WardCode],"CW")),"")</f>
        <v/>
      </c>
      <c r="D282" s="5" t="str">
        <f>IFERROR(IF(SUMIFS(tblDaily[Deaths],tblDaily[EntryDate],DATE(2026,8,3),tblDaily[WardCode],"CW")=0,"",SUMIFS(tblDaily[Deaths],tblDaily[EntryDate],DATE(2026,8,3),tblDaily[WardCode],"CW")),"")</f>
        <v/>
      </c>
      <c r="E282" s="5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5" t="str">
        <f>IFERROR(IF(SUMIFS(tblDaily[TransfersIn],tblDaily[EntryDate],DATE(2026,8,3),tblDaily[WardCode],"CW")=0,"",SUMIFS(tblDaily[TransfersIn],tblDaily[EntryDate],DATE(2026,8,3),tblDaily[WardCode],"CW")),"")</f>
        <v/>
      </c>
      <c r="G282" s="5" t="str">
        <f>IFERROR(IF(SUMIFS(tblDaily[TransfersOut],tblDaily[EntryDate],DATE(2026,8,3),tblDaily[WardCode],"CW")=0,"",SUMIFS(tblDaily[TransfersOut],tblDaily[EntryDate],DATE(2026,8,3),tblDaily[WardCode],"CW")),"")</f>
        <v/>
      </c>
      <c r="H282" s="5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IFERROR(IF(SUMIFS(tblDaily[Admissions],tblDaily[EntryDate],DATE(2026,8,4),tblDaily[WardCode],"CW")=0,"",SUMIFS(tblDaily[Admissions],tblDaily[EntryDate],DATE(2026,8,4),tblDaily[WardCode],"CW")),"")</f>
        <v/>
      </c>
      <c r="C283" s="5" t="str">
        <f>IFERROR(IF(SUMIFS(tblDaily[Discharges],tblDaily[EntryDate],DATE(2026,8,4),tblDaily[WardCode],"CW")=0,"",SUMIFS(tblDaily[Discharges],tblDaily[EntryDate],DATE(2026,8,4),tblDaily[WardCode],"CW")),"")</f>
        <v/>
      </c>
      <c r="D283" s="5" t="str">
        <f>IFERROR(IF(SUMIFS(tblDaily[Deaths],tblDaily[EntryDate],DATE(2026,8,4),tblDaily[WardCode],"CW")=0,"",SUMIFS(tblDaily[Deaths],tblDaily[EntryDate],DATE(2026,8,4),tblDaily[WardCode],"CW")),"")</f>
        <v/>
      </c>
      <c r="E283" s="5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5" t="str">
        <f>IFERROR(IF(SUMIFS(tblDaily[TransfersIn],tblDaily[EntryDate],DATE(2026,8,4),tblDaily[WardCode],"CW")=0,"",SUMIFS(tblDaily[TransfersIn],tblDaily[EntryDate],DATE(2026,8,4),tblDaily[WardCode],"CW")),"")</f>
        <v/>
      </c>
      <c r="G283" s="5" t="str">
        <f>IFERROR(IF(SUMIFS(tblDaily[TransfersOut],tblDaily[EntryDate],DATE(2026,8,4),tblDaily[WardCode],"CW")=0,"",SUMIFS(tblDaily[TransfersOut],tblDaily[EntryDate],DATE(2026,8,4),tblDaily[WardCode],"CW")),"")</f>
        <v/>
      </c>
      <c r="H283" s="5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IFERROR(IF(SUMIFS(tblDaily[Admissions],tblDaily[EntryDate],DATE(2026,8,5),tblDaily[WardCode],"CW")=0,"",SUMIFS(tblDaily[Admissions],tblDaily[EntryDate],DATE(2026,8,5),tblDaily[WardCode],"CW")),"")</f>
        <v/>
      </c>
      <c r="C284" s="5" t="str">
        <f>IFERROR(IF(SUMIFS(tblDaily[Discharges],tblDaily[EntryDate],DATE(2026,8,5),tblDaily[WardCode],"CW")=0,"",SUMIFS(tblDaily[Discharges],tblDaily[EntryDate],DATE(2026,8,5),tblDaily[WardCode],"CW")),"")</f>
        <v/>
      </c>
      <c r="D284" s="5" t="str">
        <f>IFERROR(IF(SUMIFS(tblDaily[Deaths],tblDaily[EntryDate],DATE(2026,8,5),tblDaily[WardCode],"CW")=0,"",SUMIFS(tblDaily[Deaths],tblDaily[EntryDate],DATE(2026,8,5),tblDaily[WardCode],"CW")),"")</f>
        <v/>
      </c>
      <c r="E284" s="5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5" t="str">
        <f>IFERROR(IF(SUMIFS(tblDaily[TransfersIn],tblDaily[EntryDate],DATE(2026,8,5),tblDaily[WardCode],"CW")=0,"",SUMIFS(tblDaily[TransfersIn],tblDaily[EntryDate],DATE(2026,8,5),tblDaily[WardCode],"CW")),"")</f>
        <v/>
      </c>
      <c r="G284" s="5" t="str">
        <f>IFERROR(IF(SUMIFS(tblDaily[TransfersOut],tblDaily[EntryDate],DATE(2026,8,5),tblDaily[WardCode],"CW")=0,"",SUMIFS(tblDaily[TransfersOut],tblDaily[EntryDate],DATE(2026,8,5),tblDaily[WardCode],"CW")),"")</f>
        <v/>
      </c>
      <c r="H284" s="5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IFERROR(IF(SUMIFS(tblDaily[Admissions],tblDaily[EntryDate],DATE(2026,8,6),tblDaily[WardCode],"CW")=0,"",SUMIFS(tblDaily[Admissions],tblDaily[EntryDate],DATE(2026,8,6),tblDaily[WardCode],"CW")),"")</f>
        <v/>
      </c>
      <c r="C285" s="5" t="str">
        <f>IFERROR(IF(SUMIFS(tblDaily[Discharges],tblDaily[EntryDate],DATE(2026,8,6),tblDaily[WardCode],"CW")=0,"",SUMIFS(tblDaily[Discharges],tblDaily[EntryDate],DATE(2026,8,6),tblDaily[WardCode],"CW")),"")</f>
        <v/>
      </c>
      <c r="D285" s="5" t="str">
        <f>IFERROR(IF(SUMIFS(tblDaily[Deaths],tblDaily[EntryDate],DATE(2026,8,6),tblDaily[WardCode],"CW")=0,"",SUMIFS(tblDaily[Deaths],tblDaily[EntryDate],DATE(2026,8,6),tblDaily[WardCode],"CW")),"")</f>
        <v/>
      </c>
      <c r="E285" s="5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5" t="str">
        <f>IFERROR(IF(SUMIFS(tblDaily[TransfersIn],tblDaily[EntryDate],DATE(2026,8,6),tblDaily[WardCode],"CW")=0,"",SUMIFS(tblDaily[TransfersIn],tblDaily[EntryDate],DATE(2026,8,6),tblDaily[WardCode],"CW")),"")</f>
        <v/>
      </c>
      <c r="G285" s="5" t="str">
        <f>IFERROR(IF(SUMIFS(tblDaily[TransfersOut],tblDaily[EntryDate],DATE(2026,8,6),tblDaily[WardCode],"CW")=0,"",SUMIFS(tblDaily[TransfersOut],tblDaily[EntryDate],DATE(2026,8,6),tblDaily[WardCode],"CW")),"")</f>
        <v/>
      </c>
      <c r="H285" s="5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IFERROR(IF(SUMIFS(tblDaily[Admissions],tblDaily[EntryDate],DATE(2026,8,7),tblDaily[WardCode],"CW")=0,"",SUMIFS(tblDaily[Admissions],tblDaily[EntryDate],DATE(2026,8,7),tblDaily[WardCode],"CW")),"")</f>
        <v/>
      </c>
      <c r="C286" s="5" t="str">
        <f>IFERROR(IF(SUMIFS(tblDaily[Discharges],tblDaily[EntryDate],DATE(2026,8,7),tblDaily[WardCode],"CW")=0,"",SUMIFS(tblDaily[Discharges],tblDaily[EntryDate],DATE(2026,8,7),tblDaily[WardCode],"CW")),"")</f>
        <v/>
      </c>
      <c r="D286" s="5" t="str">
        <f>IFERROR(IF(SUMIFS(tblDaily[Deaths],tblDaily[EntryDate],DATE(2026,8,7),tblDaily[WardCode],"CW")=0,"",SUMIFS(tblDaily[Deaths],tblDaily[EntryDate],DATE(2026,8,7),tblDaily[WardCode],"CW")),"")</f>
        <v/>
      </c>
      <c r="E286" s="5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5" t="str">
        <f>IFERROR(IF(SUMIFS(tblDaily[TransfersIn],tblDaily[EntryDate],DATE(2026,8,7),tblDaily[WardCode],"CW")=0,"",SUMIFS(tblDaily[TransfersIn],tblDaily[EntryDate],DATE(2026,8,7),tblDaily[WardCode],"CW")),"")</f>
        <v/>
      </c>
      <c r="G286" s="5" t="str">
        <f>IFERROR(IF(SUMIFS(tblDaily[TransfersOut],tblDaily[EntryDate],DATE(2026,8,7),tblDaily[WardCode],"CW")=0,"",SUMIFS(tblDaily[TransfersOut],tblDaily[EntryDate],DATE(2026,8,7),tblDaily[WardCode],"CW")),"")</f>
        <v/>
      </c>
      <c r="H286" s="5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IFERROR(IF(SUMIFS(tblDaily[Admissions],tblDaily[EntryDate],DATE(2026,8,8),tblDaily[WardCode],"CW")=0,"",SUMIFS(tblDaily[Admissions],tblDaily[EntryDate],DATE(2026,8,8),tblDaily[WardCode],"CW")),"")</f>
        <v/>
      </c>
      <c r="C287" s="5" t="str">
        <f>IFERROR(IF(SUMIFS(tblDaily[Discharges],tblDaily[EntryDate],DATE(2026,8,8),tblDaily[WardCode],"CW")=0,"",SUMIFS(tblDaily[Discharges],tblDaily[EntryDate],DATE(2026,8,8),tblDaily[WardCode],"CW")),"")</f>
        <v/>
      </c>
      <c r="D287" s="5" t="str">
        <f>IFERROR(IF(SUMIFS(tblDaily[Deaths],tblDaily[EntryDate],DATE(2026,8,8),tblDaily[WardCode],"CW")=0,"",SUMIFS(tblDaily[Deaths],tblDaily[EntryDate],DATE(2026,8,8),tblDaily[WardCode],"CW")),"")</f>
        <v/>
      </c>
      <c r="E287" s="5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5" t="str">
        <f>IFERROR(IF(SUMIFS(tblDaily[TransfersIn],tblDaily[EntryDate],DATE(2026,8,8),tblDaily[WardCode],"CW")=0,"",SUMIFS(tblDaily[TransfersIn],tblDaily[EntryDate],DATE(2026,8,8),tblDaily[WardCode],"CW")),"")</f>
        <v/>
      </c>
      <c r="G287" s="5" t="str">
        <f>IFERROR(IF(SUMIFS(tblDaily[TransfersOut],tblDaily[EntryDate],DATE(2026,8,8),tblDaily[WardCode],"CW")=0,"",SUMIFS(tblDaily[TransfersOut],tblDaily[EntryDate],DATE(2026,8,8),tblDaily[WardCode],"CW")),"")</f>
        <v/>
      </c>
      <c r="H287" s="5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IFERROR(IF(SUMIFS(tblDaily[Admissions],tblDaily[EntryDate],DATE(2026,8,9),tblDaily[WardCode],"CW")=0,"",SUMIFS(tblDaily[Admissions],tblDaily[EntryDate],DATE(2026,8,9),tblDaily[WardCode],"CW")),"")</f>
        <v/>
      </c>
      <c r="C288" s="5" t="str">
        <f>IFERROR(IF(SUMIFS(tblDaily[Discharges],tblDaily[EntryDate],DATE(2026,8,9),tblDaily[WardCode],"CW")=0,"",SUMIFS(tblDaily[Discharges],tblDaily[EntryDate],DATE(2026,8,9),tblDaily[WardCode],"CW")),"")</f>
        <v/>
      </c>
      <c r="D288" s="5" t="str">
        <f>IFERROR(IF(SUMIFS(tblDaily[Deaths],tblDaily[EntryDate],DATE(2026,8,9),tblDaily[WardCode],"CW")=0,"",SUMIFS(tblDaily[Deaths],tblDaily[EntryDate],DATE(2026,8,9),tblDaily[WardCode],"CW")),"")</f>
        <v/>
      </c>
      <c r="E288" s="5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5" t="str">
        <f>IFERROR(IF(SUMIFS(tblDaily[TransfersIn],tblDaily[EntryDate],DATE(2026,8,9),tblDaily[WardCode],"CW")=0,"",SUMIFS(tblDaily[TransfersIn],tblDaily[EntryDate],DATE(2026,8,9),tblDaily[WardCode],"CW")),"")</f>
        <v/>
      </c>
      <c r="G288" s="5" t="str">
        <f>IFERROR(IF(SUMIFS(tblDaily[TransfersOut],tblDaily[EntryDate],DATE(2026,8,9),tblDaily[WardCode],"CW")=0,"",SUMIFS(tblDaily[TransfersOut],tblDaily[EntryDate],DATE(2026,8,9),tblDaily[WardCode],"CW")),"")</f>
        <v/>
      </c>
      <c r="H288" s="5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IFERROR(IF(SUMIFS(tblDaily[Admissions],tblDaily[EntryDate],DATE(2026,8,10),tblDaily[WardCode],"CW")=0,"",SUMIFS(tblDaily[Admissions],tblDaily[EntryDate],DATE(2026,8,10),tblDaily[WardCode],"CW")),"")</f>
        <v/>
      </c>
      <c r="C289" s="5" t="str">
        <f>IFERROR(IF(SUMIFS(tblDaily[Discharges],tblDaily[EntryDate],DATE(2026,8,10),tblDaily[WardCode],"CW")=0,"",SUMIFS(tblDaily[Discharges],tblDaily[EntryDate],DATE(2026,8,10),tblDaily[WardCode],"CW")),"")</f>
        <v/>
      </c>
      <c r="D289" s="5" t="str">
        <f>IFERROR(IF(SUMIFS(tblDaily[Deaths],tblDaily[EntryDate],DATE(2026,8,10),tblDaily[WardCode],"CW")=0,"",SUMIFS(tblDaily[Deaths],tblDaily[EntryDate],DATE(2026,8,10),tblDaily[WardCode],"CW")),"")</f>
        <v/>
      </c>
      <c r="E289" s="5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5" t="str">
        <f>IFERROR(IF(SUMIFS(tblDaily[TransfersIn],tblDaily[EntryDate],DATE(2026,8,10),tblDaily[WardCode],"CW")=0,"",SUMIFS(tblDaily[TransfersIn],tblDaily[EntryDate],DATE(2026,8,10),tblDaily[WardCode],"CW")),"")</f>
        <v/>
      </c>
      <c r="G289" s="5" t="str">
        <f>IFERROR(IF(SUMIFS(tblDaily[TransfersOut],tblDaily[EntryDate],DATE(2026,8,10),tblDaily[WardCode],"CW")=0,"",SUMIFS(tblDaily[TransfersOut],tblDaily[EntryDate],DATE(2026,8,10),tblDaily[WardCode],"CW")),"")</f>
        <v/>
      </c>
      <c r="H289" s="5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IFERROR(IF(SUMIFS(tblDaily[Admissions],tblDaily[EntryDate],DATE(2026,8,11),tblDaily[WardCode],"CW")=0,"",SUMIFS(tblDaily[Admissions],tblDaily[EntryDate],DATE(2026,8,11),tblDaily[WardCode],"CW")),"")</f>
        <v/>
      </c>
      <c r="C290" s="5" t="str">
        <f>IFERROR(IF(SUMIFS(tblDaily[Discharges],tblDaily[EntryDate],DATE(2026,8,11),tblDaily[WardCode],"CW")=0,"",SUMIFS(tblDaily[Discharges],tblDaily[EntryDate],DATE(2026,8,11),tblDaily[WardCode],"CW")),"")</f>
        <v/>
      </c>
      <c r="D290" s="5" t="str">
        <f>IFERROR(IF(SUMIFS(tblDaily[Deaths],tblDaily[EntryDate],DATE(2026,8,11),tblDaily[WardCode],"CW")=0,"",SUMIFS(tblDaily[Deaths],tblDaily[EntryDate],DATE(2026,8,11),tblDaily[WardCode],"CW")),"")</f>
        <v/>
      </c>
      <c r="E290" s="5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5" t="str">
        <f>IFERROR(IF(SUMIFS(tblDaily[TransfersIn],tblDaily[EntryDate],DATE(2026,8,11),tblDaily[WardCode],"CW")=0,"",SUMIFS(tblDaily[TransfersIn],tblDaily[EntryDate],DATE(2026,8,11),tblDaily[WardCode],"CW")),"")</f>
        <v/>
      </c>
      <c r="G290" s="5" t="str">
        <f>IFERROR(IF(SUMIFS(tblDaily[TransfersOut],tblDaily[EntryDate],DATE(2026,8,11),tblDaily[WardCode],"CW")=0,"",SUMIFS(tblDaily[TransfersOut],tblDaily[EntryDate],DATE(2026,8,11),tblDaily[WardCode],"CW")),"")</f>
        <v/>
      </c>
      <c r="H290" s="5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IFERROR(IF(SUMIFS(tblDaily[Admissions],tblDaily[EntryDate],DATE(2026,8,12),tblDaily[WardCode],"CW")=0,"",SUMIFS(tblDaily[Admissions],tblDaily[EntryDate],DATE(2026,8,12),tblDaily[WardCode],"CW")),"")</f>
        <v/>
      </c>
      <c r="C291" s="5" t="str">
        <f>IFERROR(IF(SUMIFS(tblDaily[Discharges],tblDaily[EntryDate],DATE(2026,8,12),tblDaily[WardCode],"CW")=0,"",SUMIFS(tblDaily[Discharges],tblDaily[EntryDate],DATE(2026,8,12),tblDaily[WardCode],"CW")),"")</f>
        <v/>
      </c>
      <c r="D291" s="5" t="str">
        <f>IFERROR(IF(SUMIFS(tblDaily[Deaths],tblDaily[EntryDate],DATE(2026,8,12),tblDaily[WardCode],"CW")=0,"",SUMIFS(tblDaily[Deaths],tblDaily[EntryDate],DATE(2026,8,12),tblDaily[WardCode],"CW")),"")</f>
        <v/>
      </c>
      <c r="E291" s="5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5" t="str">
        <f>IFERROR(IF(SUMIFS(tblDaily[TransfersIn],tblDaily[EntryDate],DATE(2026,8,12),tblDaily[WardCode],"CW")=0,"",SUMIFS(tblDaily[TransfersIn],tblDaily[EntryDate],DATE(2026,8,12),tblDaily[WardCode],"CW")),"")</f>
        <v/>
      </c>
      <c r="G291" s="5" t="str">
        <f>IFERROR(IF(SUMIFS(tblDaily[TransfersOut],tblDaily[EntryDate],DATE(2026,8,12),tblDaily[WardCode],"CW")=0,"",SUMIFS(tblDaily[TransfersOut],tblDaily[EntryDate],DATE(2026,8,12),tblDaily[WardCode],"CW")),"")</f>
        <v/>
      </c>
      <c r="H291" s="5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IFERROR(IF(SUMIFS(tblDaily[Admissions],tblDaily[EntryDate],DATE(2026,8,13),tblDaily[WardCode],"CW")=0,"",SUMIFS(tblDaily[Admissions],tblDaily[EntryDate],DATE(2026,8,13),tblDaily[WardCode],"CW")),"")</f>
        <v/>
      </c>
      <c r="C292" s="5" t="str">
        <f>IFERROR(IF(SUMIFS(tblDaily[Discharges],tblDaily[EntryDate],DATE(2026,8,13),tblDaily[WardCode],"CW")=0,"",SUMIFS(tblDaily[Discharges],tblDaily[EntryDate],DATE(2026,8,13),tblDaily[WardCode],"CW")),"")</f>
        <v/>
      </c>
      <c r="D292" s="5" t="str">
        <f>IFERROR(IF(SUMIFS(tblDaily[Deaths],tblDaily[EntryDate],DATE(2026,8,13),tblDaily[WardCode],"CW")=0,"",SUMIFS(tblDaily[Deaths],tblDaily[EntryDate],DATE(2026,8,13),tblDaily[WardCode],"CW")),"")</f>
        <v/>
      </c>
      <c r="E292" s="5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5" t="str">
        <f>IFERROR(IF(SUMIFS(tblDaily[TransfersIn],tblDaily[EntryDate],DATE(2026,8,13),tblDaily[WardCode],"CW")=0,"",SUMIFS(tblDaily[TransfersIn],tblDaily[EntryDate],DATE(2026,8,13),tblDaily[WardCode],"CW")),"")</f>
        <v/>
      </c>
      <c r="G292" s="5" t="str">
        <f>IFERROR(IF(SUMIFS(tblDaily[TransfersOut],tblDaily[EntryDate],DATE(2026,8,13),tblDaily[WardCode],"CW")=0,"",SUMIFS(tblDaily[TransfersOut],tblDaily[EntryDate],DATE(2026,8,13),tblDaily[WardCode],"CW")),"")</f>
        <v/>
      </c>
      <c r="H292" s="5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IFERROR(IF(SUMIFS(tblDaily[Admissions],tblDaily[EntryDate],DATE(2026,8,14),tblDaily[WardCode],"CW")=0,"",SUMIFS(tblDaily[Admissions],tblDaily[EntryDate],DATE(2026,8,14),tblDaily[WardCode],"CW")),"")</f>
        <v/>
      </c>
      <c r="C293" s="5" t="str">
        <f>IFERROR(IF(SUMIFS(tblDaily[Discharges],tblDaily[EntryDate],DATE(2026,8,14),tblDaily[WardCode],"CW")=0,"",SUMIFS(tblDaily[Discharges],tblDaily[EntryDate],DATE(2026,8,14),tblDaily[WardCode],"CW")),"")</f>
        <v/>
      </c>
      <c r="D293" s="5" t="str">
        <f>IFERROR(IF(SUMIFS(tblDaily[Deaths],tblDaily[EntryDate],DATE(2026,8,14),tblDaily[WardCode],"CW")=0,"",SUMIFS(tblDaily[Deaths],tblDaily[EntryDate],DATE(2026,8,14),tblDaily[WardCode],"CW")),"")</f>
        <v/>
      </c>
      <c r="E293" s="5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5" t="str">
        <f>IFERROR(IF(SUMIFS(tblDaily[TransfersIn],tblDaily[EntryDate],DATE(2026,8,14),tblDaily[WardCode],"CW")=0,"",SUMIFS(tblDaily[TransfersIn],tblDaily[EntryDate],DATE(2026,8,14),tblDaily[WardCode],"CW")),"")</f>
        <v/>
      </c>
      <c r="G293" s="5" t="str">
        <f>IFERROR(IF(SUMIFS(tblDaily[TransfersOut],tblDaily[EntryDate],DATE(2026,8,14),tblDaily[WardCode],"CW")=0,"",SUMIFS(tblDaily[TransfersOut],tblDaily[EntryDate],DATE(2026,8,14),tblDaily[WardCode],"CW")),"")</f>
        <v/>
      </c>
      <c r="H293" s="5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IFERROR(IF(SUMIFS(tblDaily[Admissions],tblDaily[EntryDate],DATE(2026,8,15),tblDaily[WardCode],"CW")=0,"",SUMIFS(tblDaily[Admissions],tblDaily[EntryDate],DATE(2026,8,15),tblDaily[WardCode],"CW")),"")</f>
        <v/>
      </c>
      <c r="C294" s="5" t="str">
        <f>IFERROR(IF(SUMIFS(tblDaily[Discharges],tblDaily[EntryDate],DATE(2026,8,15),tblDaily[WardCode],"CW")=0,"",SUMIFS(tblDaily[Discharges],tblDaily[EntryDate],DATE(2026,8,15),tblDaily[WardCode],"CW")),"")</f>
        <v/>
      </c>
      <c r="D294" s="5" t="str">
        <f>IFERROR(IF(SUMIFS(tblDaily[Deaths],tblDaily[EntryDate],DATE(2026,8,15),tblDaily[WardCode],"CW")=0,"",SUMIFS(tblDaily[Deaths],tblDaily[EntryDate],DATE(2026,8,15),tblDaily[WardCode],"CW")),"")</f>
        <v/>
      </c>
      <c r="E294" s="5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5" t="str">
        <f>IFERROR(IF(SUMIFS(tblDaily[TransfersIn],tblDaily[EntryDate],DATE(2026,8,15),tblDaily[WardCode],"CW")=0,"",SUMIFS(tblDaily[TransfersIn],tblDaily[EntryDate],DATE(2026,8,15),tblDaily[WardCode],"CW")),"")</f>
        <v/>
      </c>
      <c r="G294" s="5" t="str">
        <f>IFERROR(IF(SUMIFS(tblDaily[TransfersOut],tblDaily[EntryDate],DATE(2026,8,15),tblDaily[WardCode],"CW")=0,"",SUMIFS(tblDaily[TransfersOut],tblDaily[EntryDate],DATE(2026,8,15),tblDaily[WardCode],"CW")),"")</f>
        <v/>
      </c>
      <c r="H294" s="5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IFERROR(IF(SUMIFS(tblDaily[Admissions],tblDaily[EntryDate],DATE(2026,8,16),tblDaily[WardCode],"CW")=0,"",SUMIFS(tblDaily[Admissions],tblDaily[EntryDate],DATE(2026,8,16),tblDaily[WardCode],"CW")),"")</f>
        <v/>
      </c>
      <c r="C295" s="5" t="str">
        <f>IFERROR(IF(SUMIFS(tblDaily[Discharges],tblDaily[EntryDate],DATE(2026,8,16),tblDaily[WardCode],"CW")=0,"",SUMIFS(tblDaily[Discharges],tblDaily[EntryDate],DATE(2026,8,16),tblDaily[WardCode],"CW")),"")</f>
        <v/>
      </c>
      <c r="D295" s="5" t="str">
        <f>IFERROR(IF(SUMIFS(tblDaily[Deaths],tblDaily[EntryDate],DATE(2026,8,16),tblDaily[WardCode],"CW")=0,"",SUMIFS(tblDaily[Deaths],tblDaily[EntryDate],DATE(2026,8,16),tblDaily[WardCode],"CW")),"")</f>
        <v/>
      </c>
      <c r="E295" s="5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5" t="str">
        <f>IFERROR(IF(SUMIFS(tblDaily[TransfersIn],tblDaily[EntryDate],DATE(2026,8,16),tblDaily[WardCode],"CW")=0,"",SUMIFS(tblDaily[TransfersIn],tblDaily[EntryDate],DATE(2026,8,16),tblDaily[WardCode],"CW")),"")</f>
        <v/>
      </c>
      <c r="G295" s="5" t="str">
        <f>IFERROR(IF(SUMIFS(tblDaily[TransfersOut],tblDaily[EntryDate],DATE(2026,8,16),tblDaily[WardCode],"CW")=0,"",SUMIFS(tblDaily[TransfersOut],tblDaily[EntryDate],DATE(2026,8,16),tblDaily[WardCode],"CW")),"")</f>
        <v/>
      </c>
      <c r="H295" s="5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IFERROR(IF(SUMIFS(tblDaily[Admissions],tblDaily[EntryDate],DATE(2026,8,17),tblDaily[WardCode],"CW")=0,"",SUMIFS(tblDaily[Admissions],tblDaily[EntryDate],DATE(2026,8,17),tblDaily[WardCode],"CW")),"")</f>
        <v/>
      </c>
      <c r="C296" s="5" t="str">
        <f>IFERROR(IF(SUMIFS(tblDaily[Discharges],tblDaily[EntryDate],DATE(2026,8,17),tblDaily[WardCode],"CW")=0,"",SUMIFS(tblDaily[Discharges],tblDaily[EntryDate],DATE(2026,8,17),tblDaily[WardCode],"CW")),"")</f>
        <v/>
      </c>
      <c r="D296" s="5" t="str">
        <f>IFERROR(IF(SUMIFS(tblDaily[Deaths],tblDaily[EntryDate],DATE(2026,8,17),tblDaily[WardCode],"CW")=0,"",SUMIFS(tblDaily[Deaths],tblDaily[EntryDate],DATE(2026,8,17),tblDaily[WardCode],"CW")),"")</f>
        <v/>
      </c>
      <c r="E296" s="5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5" t="str">
        <f>IFERROR(IF(SUMIFS(tblDaily[TransfersIn],tblDaily[EntryDate],DATE(2026,8,17),tblDaily[WardCode],"CW")=0,"",SUMIFS(tblDaily[TransfersIn],tblDaily[EntryDate],DATE(2026,8,17),tblDaily[WardCode],"CW")),"")</f>
        <v/>
      </c>
      <c r="G296" s="5" t="str">
        <f>IFERROR(IF(SUMIFS(tblDaily[TransfersOut],tblDaily[EntryDate],DATE(2026,8,17),tblDaily[WardCode],"CW")=0,"",SUMIFS(tblDaily[TransfersOut],tblDaily[EntryDate],DATE(2026,8,17),tblDaily[WardCode],"CW")),"")</f>
        <v/>
      </c>
      <c r="H296" s="5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IFERROR(IF(SUMIFS(tblDaily[Admissions],tblDaily[EntryDate],DATE(2026,8,18),tblDaily[WardCode],"CW")=0,"",SUMIFS(tblDaily[Admissions],tblDaily[EntryDate],DATE(2026,8,18),tblDaily[WardCode],"CW")),"")</f>
        <v/>
      </c>
      <c r="C297" s="5" t="str">
        <f>IFERROR(IF(SUMIFS(tblDaily[Discharges],tblDaily[EntryDate],DATE(2026,8,18),tblDaily[WardCode],"CW")=0,"",SUMIFS(tblDaily[Discharges],tblDaily[EntryDate],DATE(2026,8,18),tblDaily[WardCode],"CW")),"")</f>
        <v/>
      </c>
      <c r="D297" s="5" t="str">
        <f>IFERROR(IF(SUMIFS(tblDaily[Deaths],tblDaily[EntryDate],DATE(2026,8,18),tblDaily[WardCode],"CW")=0,"",SUMIFS(tblDaily[Deaths],tblDaily[EntryDate],DATE(2026,8,18),tblDaily[WardCode],"CW")),"")</f>
        <v/>
      </c>
      <c r="E297" s="5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5" t="str">
        <f>IFERROR(IF(SUMIFS(tblDaily[TransfersIn],tblDaily[EntryDate],DATE(2026,8,18),tblDaily[WardCode],"CW")=0,"",SUMIFS(tblDaily[TransfersIn],tblDaily[EntryDate],DATE(2026,8,18),tblDaily[WardCode],"CW")),"")</f>
        <v/>
      </c>
      <c r="G297" s="5" t="str">
        <f>IFERROR(IF(SUMIFS(tblDaily[TransfersOut],tblDaily[EntryDate],DATE(2026,8,18),tblDaily[WardCode],"CW")=0,"",SUMIFS(tblDaily[TransfersOut],tblDaily[EntryDate],DATE(2026,8,18),tblDaily[WardCode],"CW")),"")</f>
        <v/>
      </c>
      <c r="H297" s="5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IFERROR(IF(SUMIFS(tblDaily[Admissions],tblDaily[EntryDate],DATE(2026,8,19),tblDaily[WardCode],"CW")=0,"",SUMIFS(tblDaily[Admissions],tblDaily[EntryDate],DATE(2026,8,19),tblDaily[WardCode],"CW")),"")</f>
        <v/>
      </c>
      <c r="C298" s="5" t="str">
        <f>IFERROR(IF(SUMIFS(tblDaily[Discharges],tblDaily[EntryDate],DATE(2026,8,19),tblDaily[WardCode],"CW")=0,"",SUMIFS(tblDaily[Discharges],tblDaily[EntryDate],DATE(2026,8,19),tblDaily[WardCode],"CW")),"")</f>
        <v/>
      </c>
      <c r="D298" s="5" t="str">
        <f>IFERROR(IF(SUMIFS(tblDaily[Deaths],tblDaily[EntryDate],DATE(2026,8,19),tblDaily[WardCode],"CW")=0,"",SUMIFS(tblDaily[Deaths],tblDaily[EntryDate],DATE(2026,8,19),tblDaily[WardCode],"CW")),"")</f>
        <v/>
      </c>
      <c r="E298" s="5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5" t="str">
        <f>IFERROR(IF(SUMIFS(tblDaily[TransfersIn],tblDaily[EntryDate],DATE(2026,8,19),tblDaily[WardCode],"CW")=0,"",SUMIFS(tblDaily[TransfersIn],tblDaily[EntryDate],DATE(2026,8,19),tblDaily[WardCode],"CW")),"")</f>
        <v/>
      </c>
      <c r="G298" s="5" t="str">
        <f>IFERROR(IF(SUMIFS(tblDaily[TransfersOut],tblDaily[EntryDate],DATE(2026,8,19),tblDaily[WardCode],"CW")=0,"",SUMIFS(tblDaily[TransfersOut],tblDaily[EntryDate],DATE(2026,8,19),tblDaily[WardCode],"CW")),"")</f>
        <v/>
      </c>
      <c r="H298" s="5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IFERROR(IF(SUMIFS(tblDaily[Admissions],tblDaily[EntryDate],DATE(2026,8,20),tblDaily[WardCode],"CW")=0,"",SUMIFS(tblDaily[Admissions],tblDaily[EntryDate],DATE(2026,8,20),tblDaily[WardCode],"CW")),"")</f>
        <v/>
      </c>
      <c r="C299" s="5" t="str">
        <f>IFERROR(IF(SUMIFS(tblDaily[Discharges],tblDaily[EntryDate],DATE(2026,8,20),tblDaily[WardCode],"CW")=0,"",SUMIFS(tblDaily[Discharges],tblDaily[EntryDate],DATE(2026,8,20),tblDaily[WardCode],"CW")),"")</f>
        <v/>
      </c>
      <c r="D299" s="5" t="str">
        <f>IFERROR(IF(SUMIFS(tblDaily[Deaths],tblDaily[EntryDate],DATE(2026,8,20),tblDaily[WardCode],"CW")=0,"",SUMIFS(tblDaily[Deaths],tblDaily[EntryDate],DATE(2026,8,20),tblDaily[WardCode],"CW")),"")</f>
        <v/>
      </c>
      <c r="E299" s="5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5" t="str">
        <f>IFERROR(IF(SUMIFS(tblDaily[TransfersIn],tblDaily[EntryDate],DATE(2026,8,20),tblDaily[WardCode],"CW")=0,"",SUMIFS(tblDaily[TransfersIn],tblDaily[EntryDate],DATE(2026,8,20),tblDaily[WardCode],"CW")),"")</f>
        <v/>
      </c>
      <c r="G299" s="5" t="str">
        <f>IFERROR(IF(SUMIFS(tblDaily[TransfersOut],tblDaily[EntryDate],DATE(2026,8,20),tblDaily[WardCode],"CW")=0,"",SUMIFS(tblDaily[TransfersOut],tblDaily[EntryDate],DATE(2026,8,20),tblDaily[WardCode],"CW")),"")</f>
        <v/>
      </c>
      <c r="H299" s="5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IFERROR(IF(SUMIFS(tblDaily[Admissions],tblDaily[EntryDate],DATE(2026,8,21),tblDaily[WardCode],"CW")=0,"",SUMIFS(tblDaily[Admissions],tblDaily[EntryDate],DATE(2026,8,21),tblDaily[WardCode],"CW")),"")</f>
        <v/>
      </c>
      <c r="C300" s="5" t="str">
        <f>IFERROR(IF(SUMIFS(tblDaily[Discharges],tblDaily[EntryDate],DATE(2026,8,21),tblDaily[WardCode],"CW")=0,"",SUMIFS(tblDaily[Discharges],tblDaily[EntryDate],DATE(2026,8,21),tblDaily[WardCode],"CW")),"")</f>
        <v/>
      </c>
      <c r="D300" s="5" t="str">
        <f>IFERROR(IF(SUMIFS(tblDaily[Deaths],tblDaily[EntryDate],DATE(2026,8,21),tblDaily[WardCode],"CW")=0,"",SUMIFS(tblDaily[Deaths],tblDaily[EntryDate],DATE(2026,8,21),tblDaily[WardCode],"CW")),"")</f>
        <v/>
      </c>
      <c r="E300" s="5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5" t="str">
        <f>IFERROR(IF(SUMIFS(tblDaily[TransfersIn],tblDaily[EntryDate],DATE(2026,8,21),tblDaily[WardCode],"CW")=0,"",SUMIFS(tblDaily[TransfersIn],tblDaily[EntryDate],DATE(2026,8,21),tblDaily[WardCode],"CW")),"")</f>
        <v/>
      </c>
      <c r="G300" s="5" t="str">
        <f>IFERROR(IF(SUMIFS(tblDaily[TransfersOut],tblDaily[EntryDate],DATE(2026,8,21),tblDaily[WardCode],"CW")=0,"",SUMIFS(tblDaily[TransfersOut],tblDaily[EntryDate],DATE(2026,8,21),tblDaily[WardCode],"CW")),"")</f>
        <v/>
      </c>
      <c r="H300" s="5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IFERROR(IF(SUMIFS(tblDaily[Admissions],tblDaily[EntryDate],DATE(2026,8,22),tblDaily[WardCode],"CW")=0,"",SUMIFS(tblDaily[Admissions],tblDaily[EntryDate],DATE(2026,8,22),tblDaily[WardCode],"CW")),"")</f>
        <v/>
      </c>
      <c r="C301" s="5" t="str">
        <f>IFERROR(IF(SUMIFS(tblDaily[Discharges],tblDaily[EntryDate],DATE(2026,8,22),tblDaily[WardCode],"CW")=0,"",SUMIFS(tblDaily[Discharges],tblDaily[EntryDate],DATE(2026,8,22),tblDaily[WardCode],"CW")),"")</f>
        <v/>
      </c>
      <c r="D301" s="5" t="str">
        <f>IFERROR(IF(SUMIFS(tblDaily[Deaths],tblDaily[EntryDate],DATE(2026,8,22),tblDaily[WardCode],"CW")=0,"",SUMIFS(tblDaily[Deaths],tblDaily[EntryDate],DATE(2026,8,22),tblDaily[WardCode],"CW")),"")</f>
        <v/>
      </c>
      <c r="E301" s="5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5" t="str">
        <f>IFERROR(IF(SUMIFS(tblDaily[TransfersIn],tblDaily[EntryDate],DATE(2026,8,22),tblDaily[WardCode],"CW")=0,"",SUMIFS(tblDaily[TransfersIn],tblDaily[EntryDate],DATE(2026,8,22),tblDaily[WardCode],"CW")),"")</f>
        <v/>
      </c>
      <c r="G301" s="5" t="str">
        <f>IFERROR(IF(SUMIFS(tblDaily[TransfersOut],tblDaily[EntryDate],DATE(2026,8,22),tblDaily[WardCode],"CW")=0,"",SUMIFS(tblDaily[TransfersOut],tblDaily[EntryDate],DATE(2026,8,22),tblDaily[WardCode],"CW")),"")</f>
        <v/>
      </c>
      <c r="H301" s="5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IFERROR(IF(SUMIFS(tblDaily[Admissions],tblDaily[EntryDate],DATE(2026,8,23),tblDaily[WardCode],"CW")=0,"",SUMIFS(tblDaily[Admissions],tblDaily[EntryDate],DATE(2026,8,23),tblDaily[WardCode],"CW")),"")</f>
        <v/>
      </c>
      <c r="C302" s="5" t="str">
        <f>IFERROR(IF(SUMIFS(tblDaily[Discharges],tblDaily[EntryDate],DATE(2026,8,23),tblDaily[WardCode],"CW")=0,"",SUMIFS(tblDaily[Discharges],tblDaily[EntryDate],DATE(2026,8,23),tblDaily[WardCode],"CW")),"")</f>
        <v/>
      </c>
      <c r="D302" s="5" t="str">
        <f>IFERROR(IF(SUMIFS(tblDaily[Deaths],tblDaily[EntryDate],DATE(2026,8,23),tblDaily[WardCode],"CW")=0,"",SUMIFS(tblDaily[Deaths],tblDaily[EntryDate],DATE(2026,8,23),tblDaily[WardCode],"CW")),"")</f>
        <v/>
      </c>
      <c r="E302" s="5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5" t="str">
        <f>IFERROR(IF(SUMIFS(tblDaily[TransfersIn],tblDaily[EntryDate],DATE(2026,8,23),tblDaily[WardCode],"CW")=0,"",SUMIFS(tblDaily[TransfersIn],tblDaily[EntryDate],DATE(2026,8,23),tblDaily[WardCode],"CW")),"")</f>
        <v/>
      </c>
      <c r="G302" s="5" t="str">
        <f>IFERROR(IF(SUMIFS(tblDaily[TransfersOut],tblDaily[EntryDate],DATE(2026,8,23),tblDaily[WardCode],"CW")=0,"",SUMIFS(tblDaily[TransfersOut],tblDaily[EntryDate],DATE(2026,8,23),tblDaily[WardCode],"CW")),"")</f>
        <v/>
      </c>
      <c r="H302" s="5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IFERROR(IF(SUMIFS(tblDaily[Admissions],tblDaily[EntryDate],DATE(2026,8,24),tblDaily[WardCode],"CW")=0,"",SUMIFS(tblDaily[Admissions],tblDaily[EntryDate],DATE(2026,8,24),tblDaily[WardCode],"CW")),"")</f>
        <v/>
      </c>
      <c r="C303" s="5" t="str">
        <f>IFERROR(IF(SUMIFS(tblDaily[Discharges],tblDaily[EntryDate],DATE(2026,8,24),tblDaily[WardCode],"CW")=0,"",SUMIFS(tblDaily[Discharges],tblDaily[EntryDate],DATE(2026,8,24),tblDaily[WardCode],"CW")),"")</f>
        <v/>
      </c>
      <c r="D303" s="5" t="str">
        <f>IFERROR(IF(SUMIFS(tblDaily[Deaths],tblDaily[EntryDate],DATE(2026,8,24),tblDaily[WardCode],"CW")=0,"",SUMIFS(tblDaily[Deaths],tblDaily[EntryDate],DATE(2026,8,24),tblDaily[WardCode],"CW")),"")</f>
        <v/>
      </c>
      <c r="E303" s="5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5" t="str">
        <f>IFERROR(IF(SUMIFS(tblDaily[TransfersIn],tblDaily[EntryDate],DATE(2026,8,24),tblDaily[WardCode],"CW")=0,"",SUMIFS(tblDaily[TransfersIn],tblDaily[EntryDate],DATE(2026,8,24),tblDaily[WardCode],"CW")),"")</f>
        <v/>
      </c>
      <c r="G303" s="5" t="str">
        <f>IFERROR(IF(SUMIFS(tblDaily[TransfersOut],tblDaily[EntryDate],DATE(2026,8,24),tblDaily[WardCode],"CW")=0,"",SUMIFS(tblDaily[TransfersOut],tblDaily[EntryDate],DATE(2026,8,24),tblDaily[WardCode],"CW")),"")</f>
        <v/>
      </c>
      <c r="H303" s="5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IFERROR(IF(SUMIFS(tblDaily[Admissions],tblDaily[EntryDate],DATE(2026,8,25),tblDaily[WardCode],"CW")=0,"",SUMIFS(tblDaily[Admissions],tblDaily[EntryDate],DATE(2026,8,25),tblDaily[WardCode],"CW")),"")</f>
        <v/>
      </c>
      <c r="C304" s="5" t="str">
        <f>IFERROR(IF(SUMIFS(tblDaily[Discharges],tblDaily[EntryDate],DATE(2026,8,25),tblDaily[WardCode],"CW")=0,"",SUMIFS(tblDaily[Discharges],tblDaily[EntryDate],DATE(2026,8,25),tblDaily[WardCode],"CW")),"")</f>
        <v/>
      </c>
      <c r="D304" s="5" t="str">
        <f>IFERROR(IF(SUMIFS(tblDaily[Deaths],tblDaily[EntryDate],DATE(2026,8,25),tblDaily[WardCode],"CW")=0,"",SUMIFS(tblDaily[Deaths],tblDaily[EntryDate],DATE(2026,8,25),tblDaily[WardCode],"CW")),"")</f>
        <v/>
      </c>
      <c r="E304" s="5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5" t="str">
        <f>IFERROR(IF(SUMIFS(tblDaily[TransfersIn],tblDaily[EntryDate],DATE(2026,8,25),tblDaily[WardCode],"CW")=0,"",SUMIFS(tblDaily[TransfersIn],tblDaily[EntryDate],DATE(2026,8,25),tblDaily[WardCode],"CW")),"")</f>
        <v/>
      </c>
      <c r="G304" s="5" t="str">
        <f>IFERROR(IF(SUMIFS(tblDaily[TransfersOut],tblDaily[EntryDate],DATE(2026,8,25),tblDaily[WardCode],"CW")=0,"",SUMIFS(tblDaily[TransfersOut],tblDaily[EntryDate],DATE(2026,8,25),tblDaily[WardCode],"CW")),"")</f>
        <v/>
      </c>
      <c r="H304" s="5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IFERROR(IF(SUMIFS(tblDaily[Admissions],tblDaily[EntryDate],DATE(2026,8,26),tblDaily[WardCode],"CW")=0,"",SUMIFS(tblDaily[Admissions],tblDaily[EntryDate],DATE(2026,8,26),tblDaily[WardCode],"CW")),"")</f>
        <v/>
      </c>
      <c r="C305" s="5" t="str">
        <f>IFERROR(IF(SUMIFS(tblDaily[Discharges],tblDaily[EntryDate],DATE(2026,8,26),tblDaily[WardCode],"CW")=0,"",SUMIFS(tblDaily[Discharges],tblDaily[EntryDate],DATE(2026,8,26),tblDaily[WardCode],"CW")),"")</f>
        <v/>
      </c>
      <c r="D305" s="5" t="str">
        <f>IFERROR(IF(SUMIFS(tblDaily[Deaths],tblDaily[EntryDate],DATE(2026,8,26),tblDaily[WardCode],"CW")=0,"",SUMIFS(tblDaily[Deaths],tblDaily[EntryDate],DATE(2026,8,26),tblDaily[WardCode],"CW")),"")</f>
        <v/>
      </c>
      <c r="E305" s="5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5" t="str">
        <f>IFERROR(IF(SUMIFS(tblDaily[TransfersIn],tblDaily[EntryDate],DATE(2026,8,26),tblDaily[WardCode],"CW")=0,"",SUMIFS(tblDaily[TransfersIn],tblDaily[EntryDate],DATE(2026,8,26),tblDaily[WardCode],"CW")),"")</f>
        <v/>
      </c>
      <c r="G305" s="5" t="str">
        <f>IFERROR(IF(SUMIFS(tblDaily[TransfersOut],tblDaily[EntryDate],DATE(2026,8,26),tblDaily[WardCode],"CW")=0,"",SUMIFS(tblDaily[TransfersOut],tblDaily[EntryDate],DATE(2026,8,26),tblDaily[WardCode],"CW")),"")</f>
        <v/>
      </c>
      <c r="H305" s="5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IFERROR(IF(SUMIFS(tblDaily[Admissions],tblDaily[EntryDate],DATE(2026,8,27),tblDaily[WardCode],"CW")=0,"",SUMIFS(tblDaily[Admissions],tblDaily[EntryDate],DATE(2026,8,27),tblDaily[WardCode],"CW")),"")</f>
        <v/>
      </c>
      <c r="C306" s="5" t="str">
        <f>IFERROR(IF(SUMIFS(tblDaily[Discharges],tblDaily[EntryDate],DATE(2026,8,27),tblDaily[WardCode],"CW")=0,"",SUMIFS(tblDaily[Discharges],tblDaily[EntryDate],DATE(2026,8,27),tblDaily[WardCode],"CW")),"")</f>
        <v/>
      </c>
      <c r="D306" s="5" t="str">
        <f>IFERROR(IF(SUMIFS(tblDaily[Deaths],tblDaily[EntryDate],DATE(2026,8,27),tblDaily[WardCode],"CW")=0,"",SUMIFS(tblDaily[Deaths],tblDaily[EntryDate],DATE(2026,8,27),tblDaily[WardCode],"CW")),"")</f>
        <v/>
      </c>
      <c r="E306" s="5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5" t="str">
        <f>IFERROR(IF(SUMIFS(tblDaily[TransfersIn],tblDaily[EntryDate],DATE(2026,8,27),tblDaily[WardCode],"CW")=0,"",SUMIFS(tblDaily[TransfersIn],tblDaily[EntryDate],DATE(2026,8,27),tblDaily[WardCode],"CW")),"")</f>
        <v/>
      </c>
      <c r="G306" s="5" t="str">
        <f>IFERROR(IF(SUMIFS(tblDaily[TransfersOut],tblDaily[EntryDate],DATE(2026,8,27),tblDaily[WardCode],"CW")=0,"",SUMIFS(tblDaily[TransfersOut],tblDaily[EntryDate],DATE(2026,8,27),tblDaily[WardCode],"CW")),"")</f>
        <v/>
      </c>
      <c r="H306" s="5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IFERROR(IF(SUMIFS(tblDaily[Admissions],tblDaily[EntryDate],DATE(2026,8,28),tblDaily[WardCode],"CW")=0,"",SUMIFS(tblDaily[Admissions],tblDaily[EntryDate],DATE(2026,8,28),tblDaily[WardCode],"CW")),"")</f>
        <v/>
      </c>
      <c r="C307" s="5" t="str">
        <f>IFERROR(IF(SUMIFS(tblDaily[Discharges],tblDaily[EntryDate],DATE(2026,8,28),tblDaily[WardCode],"CW")=0,"",SUMIFS(tblDaily[Discharges],tblDaily[EntryDate],DATE(2026,8,28),tblDaily[WardCode],"CW")),"")</f>
        <v/>
      </c>
      <c r="D307" s="5" t="str">
        <f>IFERROR(IF(SUMIFS(tblDaily[Deaths],tblDaily[EntryDate],DATE(2026,8,28),tblDaily[WardCode],"CW")=0,"",SUMIFS(tblDaily[Deaths],tblDaily[EntryDate],DATE(2026,8,28),tblDaily[WardCode],"CW")),"")</f>
        <v/>
      </c>
      <c r="E307" s="5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5" t="str">
        <f>IFERROR(IF(SUMIFS(tblDaily[TransfersIn],tblDaily[EntryDate],DATE(2026,8,28),tblDaily[WardCode],"CW")=0,"",SUMIFS(tblDaily[TransfersIn],tblDaily[EntryDate],DATE(2026,8,28),tblDaily[WardCode],"CW")),"")</f>
        <v/>
      </c>
      <c r="G307" s="5" t="str">
        <f>IFERROR(IF(SUMIFS(tblDaily[TransfersOut],tblDaily[EntryDate],DATE(2026,8,28),tblDaily[WardCode],"CW")=0,"",SUMIFS(tblDaily[TransfersOut],tblDaily[EntryDate],DATE(2026,8,28),tblDaily[WardCode],"CW")),"")</f>
        <v/>
      </c>
      <c r="H307" s="5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IFERROR(IF(SUMIFS(tblDaily[Admissions],tblDaily[EntryDate],DATE(2026,8,29),tblDaily[WardCode],"CW")=0,"",SUMIFS(tblDaily[Admissions],tblDaily[EntryDate],DATE(2026,8,29),tblDaily[WardCode],"CW")),"")</f>
        <v/>
      </c>
      <c r="C308" s="5" t="str">
        <f>IFERROR(IF(SUMIFS(tblDaily[Discharges],tblDaily[EntryDate],DATE(2026,8,29),tblDaily[WardCode],"CW")=0,"",SUMIFS(tblDaily[Discharges],tblDaily[EntryDate],DATE(2026,8,29),tblDaily[WardCode],"CW")),"")</f>
        <v/>
      </c>
      <c r="D308" s="5" t="str">
        <f>IFERROR(IF(SUMIFS(tblDaily[Deaths],tblDaily[EntryDate],DATE(2026,8,29),tblDaily[WardCode],"CW")=0,"",SUMIFS(tblDaily[Deaths],tblDaily[EntryDate],DATE(2026,8,29),tblDaily[WardCode],"CW")),"")</f>
        <v/>
      </c>
      <c r="E308" s="5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5" t="str">
        <f>IFERROR(IF(SUMIFS(tblDaily[TransfersIn],tblDaily[EntryDate],DATE(2026,8,29),tblDaily[WardCode],"CW")=0,"",SUMIFS(tblDaily[TransfersIn],tblDaily[EntryDate],DATE(2026,8,29),tblDaily[WardCode],"CW")),"")</f>
        <v/>
      </c>
      <c r="G308" s="5" t="str">
        <f>IFERROR(IF(SUMIFS(tblDaily[TransfersOut],tblDaily[EntryDate],DATE(2026,8,29),tblDaily[WardCode],"CW")=0,"",SUMIFS(tblDaily[TransfersOut],tblDaily[EntryDate],DATE(2026,8,29),tblDaily[WardCode],"CW")),"")</f>
        <v/>
      </c>
      <c r="H308" s="5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IFERROR(IF(SUMIFS(tblDaily[Admissions],tblDaily[EntryDate],DATE(2026,8,30),tblDaily[WardCode],"CW")=0,"",SUMIFS(tblDaily[Admissions],tblDaily[EntryDate],DATE(2026,8,30),tblDaily[WardCode],"CW")),"")</f>
        <v/>
      </c>
      <c r="C309" s="5" t="str">
        <f>IFERROR(IF(SUMIFS(tblDaily[Discharges],tblDaily[EntryDate],DATE(2026,8,30),tblDaily[WardCode],"CW")=0,"",SUMIFS(tblDaily[Discharges],tblDaily[EntryDate],DATE(2026,8,30),tblDaily[WardCode],"CW")),"")</f>
        <v/>
      </c>
      <c r="D309" s="5" t="str">
        <f>IFERROR(IF(SUMIFS(tblDaily[Deaths],tblDaily[EntryDate],DATE(2026,8,30),tblDaily[WardCode],"CW")=0,"",SUMIFS(tblDaily[Deaths],tblDaily[EntryDate],DATE(2026,8,30),tblDaily[WardCode],"CW")),"")</f>
        <v/>
      </c>
      <c r="E309" s="5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5" t="str">
        <f>IFERROR(IF(SUMIFS(tblDaily[TransfersIn],tblDaily[EntryDate],DATE(2026,8,30),tblDaily[WardCode],"CW")=0,"",SUMIFS(tblDaily[TransfersIn],tblDaily[EntryDate],DATE(2026,8,30),tblDaily[WardCode],"CW")),"")</f>
        <v/>
      </c>
      <c r="G309" s="5" t="str">
        <f>IFERROR(IF(SUMIFS(tblDaily[TransfersOut],tblDaily[EntryDate],DATE(2026,8,30),tblDaily[WardCode],"CW")=0,"",SUMIFS(tblDaily[TransfersOut],tblDaily[EntryDate],DATE(2026,8,30),tblDaily[WardCode],"CW")),"")</f>
        <v/>
      </c>
      <c r="H309" s="5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IFERROR(IF(SUMIFS(tblDaily[Admissions],tblDaily[EntryDate],DATE(2026,8,31),tblDaily[WardCode],"CW")=0,"",SUMIFS(tblDaily[Admissions],tblDaily[EntryDate],DATE(2026,8,31),tblDaily[WardCode],"CW")),"")</f>
        <v/>
      </c>
      <c r="C310" s="5" t="str">
        <f>IFERROR(IF(SUMIFS(tblDaily[Discharges],tblDaily[EntryDate],DATE(2026,8,31),tblDaily[WardCode],"CW")=0,"",SUMIFS(tblDaily[Discharges],tblDaily[EntryDate],DATE(2026,8,31),tblDaily[WardCode],"CW")),"")</f>
        <v/>
      </c>
      <c r="D310" s="5" t="str">
        <f>IFERROR(IF(SUMIFS(tblDaily[Deaths],tblDaily[EntryDate],DATE(2026,8,31),tblDaily[WardCode],"CW")=0,"",SUMIFS(tblDaily[Deaths],tblDaily[EntryDate],DATE(2026,8,31),tblDaily[WardCode],"CW")),"")</f>
        <v/>
      </c>
      <c r="E310" s="5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5" t="str">
        <f>IFERROR(IF(SUMIFS(tblDaily[TransfersIn],tblDaily[EntryDate],DATE(2026,8,31),tblDaily[WardCode],"CW")=0,"",SUMIFS(tblDaily[TransfersIn],tblDaily[EntryDate],DATE(2026,8,31),tblDaily[WardCode],"CW")),"")</f>
        <v/>
      </c>
      <c r="G310" s="5" t="str">
        <f>IFERROR(IF(SUMIFS(tblDaily[TransfersOut],tblDaily[EntryDate],DATE(2026,8,31),tblDaily[WardCode],"CW")=0,"",SUMIFS(tblDaily[TransfersOut],tblDaily[EntryDate],DATE(2026,8,31),tblDaily[WardCode],"CW")),"")</f>
        <v/>
      </c>
      <c r="H310" s="5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95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97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89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IFERROR(IF(SUMIFS(tblDaily[Admissions],tblDaily[EntryDate],DATE(2026,9,1),tblDaily[WardCode],"CW")=0,"",SUMIFS(tblDaily[Admissions],tblDaily[EntryDate],DATE(2026,9,1),tblDaily[WardCode],"CW")),"")</f>
        <v/>
      </c>
      <c r="C319" s="5" t="str">
        <f>IFERROR(IF(SUMIFS(tblDaily[Discharges],tblDaily[EntryDate],DATE(2026,9,1),tblDaily[WardCode],"CW")=0,"",SUMIFS(tblDaily[Discharges],tblDaily[EntryDate],DATE(2026,9,1),tblDaily[WardCode],"CW")),"")</f>
        <v/>
      </c>
      <c r="D319" s="5" t="str">
        <f>IFERROR(IF(SUMIFS(tblDaily[Deaths],tblDaily[EntryDate],DATE(2026,9,1),tblDaily[WardCode],"CW")=0,"",SUMIFS(tblDaily[Deaths],tblDaily[EntryDate],DATE(2026,9,1),tblDaily[WardCode],"CW")),"")</f>
        <v/>
      </c>
      <c r="E319" s="5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5" t="str">
        <f>IFERROR(IF(SUMIFS(tblDaily[TransfersIn],tblDaily[EntryDate],DATE(2026,9,1),tblDaily[WardCode],"CW")=0,"",SUMIFS(tblDaily[TransfersIn],tblDaily[EntryDate],DATE(2026,9,1),tblDaily[WardCode],"CW")),"")</f>
        <v/>
      </c>
      <c r="G319" s="5" t="str">
        <f>IFERROR(IF(SUMIFS(tblDaily[TransfersOut],tblDaily[EntryDate],DATE(2026,9,1),tblDaily[WardCode],"CW")=0,"",SUMIFS(tblDaily[TransfersOut],tblDaily[EntryDate],DATE(2026,9,1),tblDaily[WardCode],"CW")),"")</f>
        <v/>
      </c>
      <c r="H319" s="5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IFERROR(IF(SUMIFS(tblDaily[Admissions],tblDaily[EntryDate],DATE(2026,9,2),tblDaily[WardCode],"CW")=0,"",SUMIFS(tblDaily[Admissions],tblDaily[EntryDate],DATE(2026,9,2),tblDaily[WardCode],"CW")),"")</f>
        <v/>
      </c>
      <c r="C320" s="5" t="str">
        <f>IFERROR(IF(SUMIFS(tblDaily[Discharges],tblDaily[EntryDate],DATE(2026,9,2),tblDaily[WardCode],"CW")=0,"",SUMIFS(tblDaily[Discharges],tblDaily[EntryDate],DATE(2026,9,2),tblDaily[WardCode],"CW")),"")</f>
        <v/>
      </c>
      <c r="D320" s="5" t="str">
        <f>IFERROR(IF(SUMIFS(tblDaily[Deaths],tblDaily[EntryDate],DATE(2026,9,2),tblDaily[WardCode],"CW")=0,"",SUMIFS(tblDaily[Deaths],tblDaily[EntryDate],DATE(2026,9,2),tblDaily[WardCode],"CW")),"")</f>
        <v/>
      </c>
      <c r="E320" s="5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5" t="str">
        <f>IFERROR(IF(SUMIFS(tblDaily[TransfersIn],tblDaily[EntryDate],DATE(2026,9,2),tblDaily[WardCode],"CW")=0,"",SUMIFS(tblDaily[TransfersIn],tblDaily[EntryDate],DATE(2026,9,2),tblDaily[WardCode],"CW")),"")</f>
        <v/>
      </c>
      <c r="G320" s="5" t="str">
        <f>IFERROR(IF(SUMIFS(tblDaily[TransfersOut],tblDaily[EntryDate],DATE(2026,9,2),tblDaily[WardCode],"CW")=0,"",SUMIFS(tblDaily[TransfersOut],tblDaily[EntryDate],DATE(2026,9,2),tblDaily[WardCode],"CW")),"")</f>
        <v/>
      </c>
      <c r="H320" s="5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IFERROR(IF(SUMIFS(tblDaily[Admissions],tblDaily[EntryDate],DATE(2026,9,3),tblDaily[WardCode],"CW")=0,"",SUMIFS(tblDaily[Admissions],tblDaily[EntryDate],DATE(2026,9,3),tblDaily[WardCode],"CW")),"")</f>
        <v/>
      </c>
      <c r="C321" s="5" t="str">
        <f>IFERROR(IF(SUMIFS(tblDaily[Discharges],tblDaily[EntryDate],DATE(2026,9,3),tblDaily[WardCode],"CW")=0,"",SUMIFS(tblDaily[Discharges],tblDaily[EntryDate],DATE(2026,9,3),tblDaily[WardCode],"CW")),"")</f>
        <v/>
      </c>
      <c r="D321" s="5" t="str">
        <f>IFERROR(IF(SUMIFS(tblDaily[Deaths],tblDaily[EntryDate],DATE(2026,9,3),tblDaily[WardCode],"CW")=0,"",SUMIFS(tblDaily[Deaths],tblDaily[EntryDate],DATE(2026,9,3),tblDaily[WardCode],"CW")),"")</f>
        <v/>
      </c>
      <c r="E321" s="5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5" t="str">
        <f>IFERROR(IF(SUMIFS(tblDaily[TransfersIn],tblDaily[EntryDate],DATE(2026,9,3),tblDaily[WardCode],"CW")=0,"",SUMIFS(tblDaily[TransfersIn],tblDaily[EntryDate],DATE(2026,9,3),tblDaily[WardCode],"CW")),"")</f>
        <v/>
      </c>
      <c r="G321" s="5" t="str">
        <f>IFERROR(IF(SUMIFS(tblDaily[TransfersOut],tblDaily[EntryDate],DATE(2026,9,3),tblDaily[WardCode],"CW")=0,"",SUMIFS(tblDaily[TransfersOut],tblDaily[EntryDate],DATE(2026,9,3),tblDaily[WardCode],"CW")),"")</f>
        <v/>
      </c>
      <c r="H321" s="5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IFERROR(IF(SUMIFS(tblDaily[Admissions],tblDaily[EntryDate],DATE(2026,9,4),tblDaily[WardCode],"CW")=0,"",SUMIFS(tblDaily[Admissions],tblDaily[EntryDate],DATE(2026,9,4),tblDaily[WardCode],"CW")),"")</f>
        <v/>
      </c>
      <c r="C322" s="5" t="str">
        <f>IFERROR(IF(SUMIFS(tblDaily[Discharges],tblDaily[EntryDate],DATE(2026,9,4),tblDaily[WardCode],"CW")=0,"",SUMIFS(tblDaily[Discharges],tblDaily[EntryDate],DATE(2026,9,4),tblDaily[WardCode],"CW")),"")</f>
        <v/>
      </c>
      <c r="D322" s="5" t="str">
        <f>IFERROR(IF(SUMIFS(tblDaily[Deaths],tblDaily[EntryDate],DATE(2026,9,4),tblDaily[WardCode],"CW")=0,"",SUMIFS(tblDaily[Deaths],tblDaily[EntryDate],DATE(2026,9,4),tblDaily[WardCode],"CW")),"")</f>
        <v/>
      </c>
      <c r="E322" s="5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5" t="str">
        <f>IFERROR(IF(SUMIFS(tblDaily[TransfersIn],tblDaily[EntryDate],DATE(2026,9,4),tblDaily[WardCode],"CW")=0,"",SUMIFS(tblDaily[TransfersIn],tblDaily[EntryDate],DATE(2026,9,4),tblDaily[WardCode],"CW")),"")</f>
        <v/>
      </c>
      <c r="G322" s="5" t="str">
        <f>IFERROR(IF(SUMIFS(tblDaily[TransfersOut],tblDaily[EntryDate],DATE(2026,9,4),tblDaily[WardCode],"CW")=0,"",SUMIFS(tblDaily[TransfersOut],tblDaily[EntryDate],DATE(2026,9,4),tblDaily[WardCode],"CW")),"")</f>
        <v/>
      </c>
      <c r="H322" s="5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IFERROR(IF(SUMIFS(tblDaily[Admissions],tblDaily[EntryDate],DATE(2026,9,5),tblDaily[WardCode],"CW")=0,"",SUMIFS(tblDaily[Admissions],tblDaily[EntryDate],DATE(2026,9,5),tblDaily[WardCode],"CW")),"")</f>
        <v/>
      </c>
      <c r="C323" s="5" t="str">
        <f>IFERROR(IF(SUMIFS(tblDaily[Discharges],tblDaily[EntryDate],DATE(2026,9,5),tblDaily[WardCode],"CW")=0,"",SUMIFS(tblDaily[Discharges],tblDaily[EntryDate],DATE(2026,9,5),tblDaily[WardCode],"CW")),"")</f>
        <v/>
      </c>
      <c r="D323" s="5" t="str">
        <f>IFERROR(IF(SUMIFS(tblDaily[Deaths],tblDaily[EntryDate],DATE(2026,9,5),tblDaily[WardCode],"CW")=0,"",SUMIFS(tblDaily[Deaths],tblDaily[EntryDate],DATE(2026,9,5),tblDaily[WardCode],"CW")),"")</f>
        <v/>
      </c>
      <c r="E323" s="5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5" t="str">
        <f>IFERROR(IF(SUMIFS(tblDaily[TransfersIn],tblDaily[EntryDate],DATE(2026,9,5),tblDaily[WardCode],"CW")=0,"",SUMIFS(tblDaily[TransfersIn],tblDaily[EntryDate],DATE(2026,9,5),tblDaily[WardCode],"CW")),"")</f>
        <v/>
      </c>
      <c r="G323" s="5" t="str">
        <f>IFERROR(IF(SUMIFS(tblDaily[TransfersOut],tblDaily[EntryDate],DATE(2026,9,5),tblDaily[WardCode],"CW")=0,"",SUMIFS(tblDaily[TransfersOut],tblDaily[EntryDate],DATE(2026,9,5),tblDaily[WardCode],"CW")),"")</f>
        <v/>
      </c>
      <c r="H323" s="5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IFERROR(IF(SUMIFS(tblDaily[Admissions],tblDaily[EntryDate],DATE(2026,9,6),tblDaily[WardCode],"CW")=0,"",SUMIFS(tblDaily[Admissions],tblDaily[EntryDate],DATE(2026,9,6),tblDaily[WardCode],"CW")),"")</f>
        <v/>
      </c>
      <c r="C324" s="5" t="str">
        <f>IFERROR(IF(SUMIFS(tblDaily[Discharges],tblDaily[EntryDate],DATE(2026,9,6),tblDaily[WardCode],"CW")=0,"",SUMIFS(tblDaily[Discharges],tblDaily[EntryDate],DATE(2026,9,6),tblDaily[WardCode],"CW")),"")</f>
        <v/>
      </c>
      <c r="D324" s="5" t="str">
        <f>IFERROR(IF(SUMIFS(tblDaily[Deaths],tblDaily[EntryDate],DATE(2026,9,6),tblDaily[WardCode],"CW")=0,"",SUMIFS(tblDaily[Deaths],tblDaily[EntryDate],DATE(2026,9,6),tblDaily[WardCode],"CW")),"")</f>
        <v/>
      </c>
      <c r="E324" s="5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5" t="str">
        <f>IFERROR(IF(SUMIFS(tblDaily[TransfersIn],tblDaily[EntryDate],DATE(2026,9,6),tblDaily[WardCode],"CW")=0,"",SUMIFS(tblDaily[TransfersIn],tblDaily[EntryDate],DATE(2026,9,6),tblDaily[WardCode],"CW")),"")</f>
        <v/>
      </c>
      <c r="G324" s="5" t="str">
        <f>IFERROR(IF(SUMIFS(tblDaily[TransfersOut],tblDaily[EntryDate],DATE(2026,9,6),tblDaily[WardCode],"CW")=0,"",SUMIFS(tblDaily[TransfersOut],tblDaily[EntryDate],DATE(2026,9,6),tblDaily[WardCode],"CW")),"")</f>
        <v/>
      </c>
      <c r="H324" s="5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IFERROR(IF(SUMIFS(tblDaily[Admissions],tblDaily[EntryDate],DATE(2026,9,7),tblDaily[WardCode],"CW")=0,"",SUMIFS(tblDaily[Admissions],tblDaily[EntryDate],DATE(2026,9,7),tblDaily[WardCode],"CW")),"")</f>
        <v/>
      </c>
      <c r="C325" s="5" t="str">
        <f>IFERROR(IF(SUMIFS(tblDaily[Discharges],tblDaily[EntryDate],DATE(2026,9,7),tblDaily[WardCode],"CW")=0,"",SUMIFS(tblDaily[Discharges],tblDaily[EntryDate],DATE(2026,9,7),tblDaily[WardCode],"CW")),"")</f>
        <v/>
      </c>
      <c r="D325" s="5" t="str">
        <f>IFERROR(IF(SUMIFS(tblDaily[Deaths],tblDaily[EntryDate],DATE(2026,9,7),tblDaily[WardCode],"CW")=0,"",SUMIFS(tblDaily[Deaths],tblDaily[EntryDate],DATE(2026,9,7),tblDaily[WardCode],"CW")),"")</f>
        <v/>
      </c>
      <c r="E325" s="5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5" t="str">
        <f>IFERROR(IF(SUMIFS(tblDaily[TransfersIn],tblDaily[EntryDate],DATE(2026,9,7),tblDaily[WardCode],"CW")=0,"",SUMIFS(tblDaily[TransfersIn],tblDaily[EntryDate],DATE(2026,9,7),tblDaily[WardCode],"CW")),"")</f>
        <v/>
      </c>
      <c r="G325" s="5" t="str">
        <f>IFERROR(IF(SUMIFS(tblDaily[TransfersOut],tblDaily[EntryDate],DATE(2026,9,7),tblDaily[WardCode],"CW")=0,"",SUMIFS(tblDaily[TransfersOut],tblDaily[EntryDate],DATE(2026,9,7),tblDaily[WardCode],"CW")),"")</f>
        <v/>
      </c>
      <c r="H325" s="5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IFERROR(IF(SUMIFS(tblDaily[Admissions],tblDaily[EntryDate],DATE(2026,9,8),tblDaily[WardCode],"CW")=0,"",SUMIFS(tblDaily[Admissions],tblDaily[EntryDate],DATE(2026,9,8),tblDaily[WardCode],"CW")),"")</f>
        <v/>
      </c>
      <c r="C326" s="5" t="str">
        <f>IFERROR(IF(SUMIFS(tblDaily[Discharges],tblDaily[EntryDate],DATE(2026,9,8),tblDaily[WardCode],"CW")=0,"",SUMIFS(tblDaily[Discharges],tblDaily[EntryDate],DATE(2026,9,8),tblDaily[WardCode],"CW")),"")</f>
        <v/>
      </c>
      <c r="D326" s="5" t="str">
        <f>IFERROR(IF(SUMIFS(tblDaily[Deaths],tblDaily[EntryDate],DATE(2026,9,8),tblDaily[WardCode],"CW")=0,"",SUMIFS(tblDaily[Deaths],tblDaily[EntryDate],DATE(2026,9,8),tblDaily[WardCode],"CW")),"")</f>
        <v/>
      </c>
      <c r="E326" s="5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5" t="str">
        <f>IFERROR(IF(SUMIFS(tblDaily[TransfersIn],tblDaily[EntryDate],DATE(2026,9,8),tblDaily[WardCode],"CW")=0,"",SUMIFS(tblDaily[TransfersIn],tblDaily[EntryDate],DATE(2026,9,8),tblDaily[WardCode],"CW")),"")</f>
        <v/>
      </c>
      <c r="G326" s="5" t="str">
        <f>IFERROR(IF(SUMIFS(tblDaily[TransfersOut],tblDaily[EntryDate],DATE(2026,9,8),tblDaily[WardCode],"CW")=0,"",SUMIFS(tblDaily[TransfersOut],tblDaily[EntryDate],DATE(2026,9,8),tblDaily[WardCode],"CW")),"")</f>
        <v/>
      </c>
      <c r="H326" s="5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IFERROR(IF(SUMIFS(tblDaily[Admissions],tblDaily[EntryDate],DATE(2026,9,9),tblDaily[WardCode],"CW")=0,"",SUMIFS(tblDaily[Admissions],tblDaily[EntryDate],DATE(2026,9,9),tblDaily[WardCode],"CW")),"")</f>
        <v/>
      </c>
      <c r="C327" s="5" t="str">
        <f>IFERROR(IF(SUMIFS(tblDaily[Discharges],tblDaily[EntryDate],DATE(2026,9,9),tblDaily[WardCode],"CW")=0,"",SUMIFS(tblDaily[Discharges],tblDaily[EntryDate],DATE(2026,9,9),tblDaily[WardCode],"CW")),"")</f>
        <v/>
      </c>
      <c r="D327" s="5" t="str">
        <f>IFERROR(IF(SUMIFS(tblDaily[Deaths],tblDaily[EntryDate],DATE(2026,9,9),tblDaily[WardCode],"CW")=0,"",SUMIFS(tblDaily[Deaths],tblDaily[EntryDate],DATE(2026,9,9),tblDaily[WardCode],"CW")),"")</f>
        <v/>
      </c>
      <c r="E327" s="5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5" t="str">
        <f>IFERROR(IF(SUMIFS(tblDaily[TransfersIn],tblDaily[EntryDate],DATE(2026,9,9),tblDaily[WardCode],"CW")=0,"",SUMIFS(tblDaily[TransfersIn],tblDaily[EntryDate],DATE(2026,9,9),tblDaily[WardCode],"CW")),"")</f>
        <v/>
      </c>
      <c r="G327" s="5" t="str">
        <f>IFERROR(IF(SUMIFS(tblDaily[TransfersOut],tblDaily[EntryDate],DATE(2026,9,9),tblDaily[WardCode],"CW")=0,"",SUMIFS(tblDaily[TransfersOut],tblDaily[EntryDate],DATE(2026,9,9),tblDaily[WardCode],"CW")),"")</f>
        <v/>
      </c>
      <c r="H327" s="5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IFERROR(IF(SUMIFS(tblDaily[Admissions],tblDaily[EntryDate],DATE(2026,9,10),tblDaily[WardCode],"CW")=0,"",SUMIFS(tblDaily[Admissions],tblDaily[EntryDate],DATE(2026,9,10),tblDaily[WardCode],"CW")),"")</f>
        <v/>
      </c>
      <c r="C328" s="5" t="str">
        <f>IFERROR(IF(SUMIFS(tblDaily[Discharges],tblDaily[EntryDate],DATE(2026,9,10),tblDaily[WardCode],"CW")=0,"",SUMIFS(tblDaily[Discharges],tblDaily[EntryDate],DATE(2026,9,10),tblDaily[WardCode],"CW")),"")</f>
        <v/>
      </c>
      <c r="D328" s="5" t="str">
        <f>IFERROR(IF(SUMIFS(tblDaily[Deaths],tblDaily[EntryDate],DATE(2026,9,10),tblDaily[WardCode],"CW")=0,"",SUMIFS(tblDaily[Deaths],tblDaily[EntryDate],DATE(2026,9,10),tblDaily[WardCode],"CW")),"")</f>
        <v/>
      </c>
      <c r="E328" s="5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5" t="str">
        <f>IFERROR(IF(SUMIFS(tblDaily[TransfersIn],tblDaily[EntryDate],DATE(2026,9,10),tblDaily[WardCode],"CW")=0,"",SUMIFS(tblDaily[TransfersIn],tblDaily[EntryDate],DATE(2026,9,10),tblDaily[WardCode],"CW")),"")</f>
        <v/>
      </c>
      <c r="G328" s="5" t="str">
        <f>IFERROR(IF(SUMIFS(tblDaily[TransfersOut],tblDaily[EntryDate],DATE(2026,9,10),tblDaily[WardCode],"CW")=0,"",SUMIFS(tblDaily[TransfersOut],tblDaily[EntryDate],DATE(2026,9,10),tblDaily[WardCode],"CW")),"")</f>
        <v/>
      </c>
      <c r="H328" s="5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IFERROR(IF(SUMIFS(tblDaily[Admissions],tblDaily[EntryDate],DATE(2026,9,11),tblDaily[WardCode],"CW")=0,"",SUMIFS(tblDaily[Admissions],tblDaily[EntryDate],DATE(2026,9,11),tblDaily[WardCode],"CW")),"")</f>
        <v/>
      </c>
      <c r="C329" s="5" t="str">
        <f>IFERROR(IF(SUMIFS(tblDaily[Discharges],tblDaily[EntryDate],DATE(2026,9,11),tblDaily[WardCode],"CW")=0,"",SUMIFS(tblDaily[Discharges],tblDaily[EntryDate],DATE(2026,9,11),tblDaily[WardCode],"CW")),"")</f>
        <v/>
      </c>
      <c r="D329" s="5" t="str">
        <f>IFERROR(IF(SUMIFS(tblDaily[Deaths],tblDaily[EntryDate],DATE(2026,9,11),tblDaily[WardCode],"CW")=0,"",SUMIFS(tblDaily[Deaths],tblDaily[EntryDate],DATE(2026,9,11),tblDaily[WardCode],"CW")),"")</f>
        <v/>
      </c>
      <c r="E329" s="5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5" t="str">
        <f>IFERROR(IF(SUMIFS(tblDaily[TransfersIn],tblDaily[EntryDate],DATE(2026,9,11),tblDaily[WardCode],"CW")=0,"",SUMIFS(tblDaily[TransfersIn],tblDaily[EntryDate],DATE(2026,9,11),tblDaily[WardCode],"CW")),"")</f>
        <v/>
      </c>
      <c r="G329" s="5" t="str">
        <f>IFERROR(IF(SUMIFS(tblDaily[TransfersOut],tblDaily[EntryDate],DATE(2026,9,11),tblDaily[WardCode],"CW")=0,"",SUMIFS(tblDaily[TransfersOut],tblDaily[EntryDate],DATE(2026,9,11),tblDaily[WardCode],"CW")),"")</f>
        <v/>
      </c>
      <c r="H329" s="5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IFERROR(IF(SUMIFS(tblDaily[Admissions],tblDaily[EntryDate],DATE(2026,9,12),tblDaily[WardCode],"CW")=0,"",SUMIFS(tblDaily[Admissions],tblDaily[EntryDate],DATE(2026,9,12),tblDaily[WardCode],"CW")),"")</f>
        <v/>
      </c>
      <c r="C330" s="5" t="str">
        <f>IFERROR(IF(SUMIFS(tblDaily[Discharges],tblDaily[EntryDate],DATE(2026,9,12),tblDaily[WardCode],"CW")=0,"",SUMIFS(tblDaily[Discharges],tblDaily[EntryDate],DATE(2026,9,12),tblDaily[WardCode],"CW")),"")</f>
        <v/>
      </c>
      <c r="D330" s="5" t="str">
        <f>IFERROR(IF(SUMIFS(tblDaily[Deaths],tblDaily[EntryDate],DATE(2026,9,12),tblDaily[WardCode],"CW")=0,"",SUMIFS(tblDaily[Deaths],tblDaily[EntryDate],DATE(2026,9,12),tblDaily[WardCode],"CW")),"")</f>
        <v/>
      </c>
      <c r="E330" s="5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5" t="str">
        <f>IFERROR(IF(SUMIFS(tblDaily[TransfersIn],tblDaily[EntryDate],DATE(2026,9,12),tblDaily[WardCode],"CW")=0,"",SUMIFS(tblDaily[TransfersIn],tblDaily[EntryDate],DATE(2026,9,12),tblDaily[WardCode],"CW")),"")</f>
        <v/>
      </c>
      <c r="G330" s="5" t="str">
        <f>IFERROR(IF(SUMIFS(tblDaily[TransfersOut],tblDaily[EntryDate],DATE(2026,9,12),tblDaily[WardCode],"CW")=0,"",SUMIFS(tblDaily[TransfersOut],tblDaily[EntryDate],DATE(2026,9,12),tblDaily[WardCode],"CW")),"")</f>
        <v/>
      </c>
      <c r="H330" s="5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IFERROR(IF(SUMIFS(tblDaily[Admissions],tblDaily[EntryDate],DATE(2026,9,13),tblDaily[WardCode],"CW")=0,"",SUMIFS(tblDaily[Admissions],tblDaily[EntryDate],DATE(2026,9,13),tblDaily[WardCode],"CW")),"")</f>
        <v/>
      </c>
      <c r="C331" s="5" t="str">
        <f>IFERROR(IF(SUMIFS(tblDaily[Discharges],tblDaily[EntryDate],DATE(2026,9,13),tblDaily[WardCode],"CW")=0,"",SUMIFS(tblDaily[Discharges],tblDaily[EntryDate],DATE(2026,9,13),tblDaily[WardCode],"CW")),"")</f>
        <v/>
      </c>
      <c r="D331" s="5" t="str">
        <f>IFERROR(IF(SUMIFS(tblDaily[Deaths],tblDaily[EntryDate],DATE(2026,9,13),tblDaily[WardCode],"CW")=0,"",SUMIFS(tblDaily[Deaths],tblDaily[EntryDate],DATE(2026,9,13),tblDaily[WardCode],"CW")),"")</f>
        <v/>
      </c>
      <c r="E331" s="5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5" t="str">
        <f>IFERROR(IF(SUMIFS(tblDaily[TransfersIn],tblDaily[EntryDate],DATE(2026,9,13),tblDaily[WardCode],"CW")=0,"",SUMIFS(tblDaily[TransfersIn],tblDaily[EntryDate],DATE(2026,9,13),tblDaily[WardCode],"CW")),"")</f>
        <v/>
      </c>
      <c r="G331" s="5" t="str">
        <f>IFERROR(IF(SUMIFS(tblDaily[TransfersOut],tblDaily[EntryDate],DATE(2026,9,13),tblDaily[WardCode],"CW")=0,"",SUMIFS(tblDaily[TransfersOut],tblDaily[EntryDate],DATE(2026,9,13),tblDaily[WardCode],"CW")),"")</f>
        <v/>
      </c>
      <c r="H331" s="5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IFERROR(IF(SUMIFS(tblDaily[Admissions],tblDaily[EntryDate],DATE(2026,9,14),tblDaily[WardCode],"CW")=0,"",SUMIFS(tblDaily[Admissions],tblDaily[EntryDate],DATE(2026,9,14),tblDaily[WardCode],"CW")),"")</f>
        <v/>
      </c>
      <c r="C332" s="5" t="str">
        <f>IFERROR(IF(SUMIFS(tblDaily[Discharges],tblDaily[EntryDate],DATE(2026,9,14),tblDaily[WardCode],"CW")=0,"",SUMIFS(tblDaily[Discharges],tblDaily[EntryDate],DATE(2026,9,14),tblDaily[WardCode],"CW")),"")</f>
        <v/>
      </c>
      <c r="D332" s="5" t="str">
        <f>IFERROR(IF(SUMIFS(tblDaily[Deaths],tblDaily[EntryDate],DATE(2026,9,14),tblDaily[WardCode],"CW")=0,"",SUMIFS(tblDaily[Deaths],tblDaily[EntryDate],DATE(2026,9,14),tblDaily[WardCode],"CW")),"")</f>
        <v/>
      </c>
      <c r="E332" s="5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5" t="str">
        <f>IFERROR(IF(SUMIFS(tblDaily[TransfersIn],tblDaily[EntryDate],DATE(2026,9,14),tblDaily[WardCode],"CW")=0,"",SUMIFS(tblDaily[TransfersIn],tblDaily[EntryDate],DATE(2026,9,14),tblDaily[WardCode],"CW")),"")</f>
        <v/>
      </c>
      <c r="G332" s="5" t="str">
        <f>IFERROR(IF(SUMIFS(tblDaily[TransfersOut],tblDaily[EntryDate],DATE(2026,9,14),tblDaily[WardCode],"CW")=0,"",SUMIFS(tblDaily[TransfersOut],tblDaily[EntryDate],DATE(2026,9,14),tblDaily[WardCode],"CW")),"")</f>
        <v/>
      </c>
      <c r="H332" s="5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IFERROR(IF(SUMIFS(tblDaily[Admissions],tblDaily[EntryDate],DATE(2026,9,15),tblDaily[WardCode],"CW")=0,"",SUMIFS(tblDaily[Admissions],tblDaily[EntryDate],DATE(2026,9,15),tblDaily[WardCode],"CW")),"")</f>
        <v/>
      </c>
      <c r="C333" s="5" t="str">
        <f>IFERROR(IF(SUMIFS(tblDaily[Discharges],tblDaily[EntryDate],DATE(2026,9,15),tblDaily[WardCode],"CW")=0,"",SUMIFS(tblDaily[Discharges],tblDaily[EntryDate],DATE(2026,9,15),tblDaily[WardCode],"CW")),"")</f>
        <v/>
      </c>
      <c r="D333" s="5" t="str">
        <f>IFERROR(IF(SUMIFS(tblDaily[Deaths],tblDaily[EntryDate],DATE(2026,9,15),tblDaily[WardCode],"CW")=0,"",SUMIFS(tblDaily[Deaths],tblDaily[EntryDate],DATE(2026,9,15),tblDaily[WardCode],"CW")),"")</f>
        <v/>
      </c>
      <c r="E333" s="5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5" t="str">
        <f>IFERROR(IF(SUMIFS(tblDaily[TransfersIn],tblDaily[EntryDate],DATE(2026,9,15),tblDaily[WardCode],"CW")=0,"",SUMIFS(tblDaily[TransfersIn],tblDaily[EntryDate],DATE(2026,9,15),tblDaily[WardCode],"CW")),"")</f>
        <v/>
      </c>
      <c r="G333" s="5" t="str">
        <f>IFERROR(IF(SUMIFS(tblDaily[TransfersOut],tblDaily[EntryDate],DATE(2026,9,15),tblDaily[WardCode],"CW")=0,"",SUMIFS(tblDaily[TransfersOut],tblDaily[EntryDate],DATE(2026,9,15),tblDaily[WardCode],"CW")),"")</f>
        <v/>
      </c>
      <c r="H333" s="5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IFERROR(IF(SUMIFS(tblDaily[Admissions],tblDaily[EntryDate],DATE(2026,9,16),tblDaily[WardCode],"CW")=0,"",SUMIFS(tblDaily[Admissions],tblDaily[EntryDate],DATE(2026,9,16),tblDaily[WardCode],"CW")),"")</f>
        <v/>
      </c>
      <c r="C334" s="5" t="str">
        <f>IFERROR(IF(SUMIFS(tblDaily[Discharges],tblDaily[EntryDate],DATE(2026,9,16),tblDaily[WardCode],"CW")=0,"",SUMIFS(tblDaily[Discharges],tblDaily[EntryDate],DATE(2026,9,16),tblDaily[WardCode],"CW")),"")</f>
        <v/>
      </c>
      <c r="D334" s="5" t="str">
        <f>IFERROR(IF(SUMIFS(tblDaily[Deaths],tblDaily[EntryDate],DATE(2026,9,16),tblDaily[WardCode],"CW")=0,"",SUMIFS(tblDaily[Deaths],tblDaily[EntryDate],DATE(2026,9,16),tblDaily[WardCode],"CW")),"")</f>
        <v/>
      </c>
      <c r="E334" s="5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5" t="str">
        <f>IFERROR(IF(SUMIFS(tblDaily[TransfersIn],tblDaily[EntryDate],DATE(2026,9,16),tblDaily[WardCode],"CW")=0,"",SUMIFS(tblDaily[TransfersIn],tblDaily[EntryDate],DATE(2026,9,16),tblDaily[WardCode],"CW")),"")</f>
        <v/>
      </c>
      <c r="G334" s="5" t="str">
        <f>IFERROR(IF(SUMIFS(tblDaily[TransfersOut],tblDaily[EntryDate],DATE(2026,9,16),tblDaily[WardCode],"CW")=0,"",SUMIFS(tblDaily[TransfersOut],tblDaily[EntryDate],DATE(2026,9,16),tblDaily[WardCode],"CW")),"")</f>
        <v/>
      </c>
      <c r="H334" s="5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IFERROR(IF(SUMIFS(tblDaily[Admissions],tblDaily[EntryDate],DATE(2026,9,17),tblDaily[WardCode],"CW")=0,"",SUMIFS(tblDaily[Admissions],tblDaily[EntryDate],DATE(2026,9,17),tblDaily[WardCode],"CW")),"")</f>
        <v/>
      </c>
      <c r="C335" s="5" t="str">
        <f>IFERROR(IF(SUMIFS(tblDaily[Discharges],tblDaily[EntryDate],DATE(2026,9,17),tblDaily[WardCode],"CW")=0,"",SUMIFS(tblDaily[Discharges],tblDaily[EntryDate],DATE(2026,9,17),tblDaily[WardCode],"CW")),"")</f>
        <v/>
      </c>
      <c r="D335" s="5" t="str">
        <f>IFERROR(IF(SUMIFS(tblDaily[Deaths],tblDaily[EntryDate],DATE(2026,9,17),tblDaily[WardCode],"CW")=0,"",SUMIFS(tblDaily[Deaths],tblDaily[EntryDate],DATE(2026,9,17),tblDaily[WardCode],"CW")),"")</f>
        <v/>
      </c>
      <c r="E335" s="5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5" t="str">
        <f>IFERROR(IF(SUMIFS(tblDaily[TransfersIn],tblDaily[EntryDate],DATE(2026,9,17),tblDaily[WardCode],"CW")=0,"",SUMIFS(tblDaily[TransfersIn],tblDaily[EntryDate],DATE(2026,9,17),tblDaily[WardCode],"CW")),"")</f>
        <v/>
      </c>
      <c r="G335" s="5" t="str">
        <f>IFERROR(IF(SUMIFS(tblDaily[TransfersOut],tblDaily[EntryDate],DATE(2026,9,17),tblDaily[WardCode],"CW")=0,"",SUMIFS(tblDaily[TransfersOut],tblDaily[EntryDate],DATE(2026,9,17),tblDaily[WardCode],"CW")),"")</f>
        <v/>
      </c>
      <c r="H335" s="5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IFERROR(IF(SUMIFS(tblDaily[Admissions],tblDaily[EntryDate],DATE(2026,9,18),tblDaily[WardCode],"CW")=0,"",SUMIFS(tblDaily[Admissions],tblDaily[EntryDate],DATE(2026,9,18),tblDaily[WardCode],"CW")),"")</f>
        <v/>
      </c>
      <c r="C336" s="5" t="str">
        <f>IFERROR(IF(SUMIFS(tblDaily[Discharges],tblDaily[EntryDate],DATE(2026,9,18),tblDaily[WardCode],"CW")=0,"",SUMIFS(tblDaily[Discharges],tblDaily[EntryDate],DATE(2026,9,18),tblDaily[WardCode],"CW")),"")</f>
        <v/>
      </c>
      <c r="D336" s="5" t="str">
        <f>IFERROR(IF(SUMIFS(tblDaily[Deaths],tblDaily[EntryDate],DATE(2026,9,18),tblDaily[WardCode],"CW")=0,"",SUMIFS(tblDaily[Deaths],tblDaily[EntryDate],DATE(2026,9,18),tblDaily[WardCode],"CW")),"")</f>
        <v/>
      </c>
      <c r="E336" s="5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5" t="str">
        <f>IFERROR(IF(SUMIFS(tblDaily[TransfersIn],tblDaily[EntryDate],DATE(2026,9,18),tblDaily[WardCode],"CW")=0,"",SUMIFS(tblDaily[TransfersIn],tblDaily[EntryDate],DATE(2026,9,18),tblDaily[WardCode],"CW")),"")</f>
        <v/>
      </c>
      <c r="G336" s="5" t="str">
        <f>IFERROR(IF(SUMIFS(tblDaily[TransfersOut],tblDaily[EntryDate],DATE(2026,9,18),tblDaily[WardCode],"CW")=0,"",SUMIFS(tblDaily[TransfersOut],tblDaily[EntryDate],DATE(2026,9,18),tblDaily[WardCode],"CW")),"")</f>
        <v/>
      </c>
      <c r="H336" s="5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IFERROR(IF(SUMIFS(tblDaily[Admissions],tblDaily[EntryDate],DATE(2026,9,19),tblDaily[WardCode],"CW")=0,"",SUMIFS(tblDaily[Admissions],tblDaily[EntryDate],DATE(2026,9,19),tblDaily[WardCode],"CW")),"")</f>
        <v/>
      </c>
      <c r="C337" s="5" t="str">
        <f>IFERROR(IF(SUMIFS(tblDaily[Discharges],tblDaily[EntryDate],DATE(2026,9,19),tblDaily[WardCode],"CW")=0,"",SUMIFS(tblDaily[Discharges],tblDaily[EntryDate],DATE(2026,9,19),tblDaily[WardCode],"CW")),"")</f>
        <v/>
      </c>
      <c r="D337" s="5" t="str">
        <f>IFERROR(IF(SUMIFS(tblDaily[Deaths],tblDaily[EntryDate],DATE(2026,9,19),tblDaily[WardCode],"CW")=0,"",SUMIFS(tblDaily[Deaths],tblDaily[EntryDate],DATE(2026,9,19),tblDaily[WardCode],"CW")),"")</f>
        <v/>
      </c>
      <c r="E337" s="5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5" t="str">
        <f>IFERROR(IF(SUMIFS(tblDaily[TransfersIn],tblDaily[EntryDate],DATE(2026,9,19),tblDaily[WardCode],"CW")=0,"",SUMIFS(tblDaily[TransfersIn],tblDaily[EntryDate],DATE(2026,9,19),tblDaily[WardCode],"CW")),"")</f>
        <v/>
      </c>
      <c r="G337" s="5" t="str">
        <f>IFERROR(IF(SUMIFS(tblDaily[TransfersOut],tblDaily[EntryDate],DATE(2026,9,19),tblDaily[WardCode],"CW")=0,"",SUMIFS(tblDaily[TransfersOut],tblDaily[EntryDate],DATE(2026,9,19),tblDaily[WardCode],"CW")),"")</f>
        <v/>
      </c>
      <c r="H337" s="5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IFERROR(IF(SUMIFS(tblDaily[Admissions],tblDaily[EntryDate],DATE(2026,9,20),tblDaily[WardCode],"CW")=0,"",SUMIFS(tblDaily[Admissions],tblDaily[EntryDate],DATE(2026,9,20),tblDaily[WardCode],"CW")),"")</f>
        <v/>
      </c>
      <c r="C338" s="5" t="str">
        <f>IFERROR(IF(SUMIFS(tblDaily[Discharges],tblDaily[EntryDate],DATE(2026,9,20),tblDaily[WardCode],"CW")=0,"",SUMIFS(tblDaily[Discharges],tblDaily[EntryDate],DATE(2026,9,20),tblDaily[WardCode],"CW")),"")</f>
        <v/>
      </c>
      <c r="D338" s="5" t="str">
        <f>IFERROR(IF(SUMIFS(tblDaily[Deaths],tblDaily[EntryDate],DATE(2026,9,20),tblDaily[WardCode],"CW")=0,"",SUMIFS(tblDaily[Deaths],tblDaily[EntryDate],DATE(2026,9,20),tblDaily[WardCode],"CW")),"")</f>
        <v/>
      </c>
      <c r="E338" s="5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5" t="str">
        <f>IFERROR(IF(SUMIFS(tblDaily[TransfersIn],tblDaily[EntryDate],DATE(2026,9,20),tblDaily[WardCode],"CW")=0,"",SUMIFS(tblDaily[TransfersIn],tblDaily[EntryDate],DATE(2026,9,20),tblDaily[WardCode],"CW")),"")</f>
        <v/>
      </c>
      <c r="G338" s="5" t="str">
        <f>IFERROR(IF(SUMIFS(tblDaily[TransfersOut],tblDaily[EntryDate],DATE(2026,9,20),tblDaily[WardCode],"CW")=0,"",SUMIFS(tblDaily[TransfersOut],tblDaily[EntryDate],DATE(2026,9,20),tblDaily[WardCode],"CW")),"")</f>
        <v/>
      </c>
      <c r="H338" s="5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IFERROR(IF(SUMIFS(tblDaily[Admissions],tblDaily[EntryDate],DATE(2026,9,21),tblDaily[WardCode],"CW")=0,"",SUMIFS(tblDaily[Admissions],tblDaily[EntryDate],DATE(2026,9,21),tblDaily[WardCode],"CW")),"")</f>
        <v/>
      </c>
      <c r="C339" s="5" t="str">
        <f>IFERROR(IF(SUMIFS(tblDaily[Discharges],tblDaily[EntryDate],DATE(2026,9,21),tblDaily[WardCode],"CW")=0,"",SUMIFS(tblDaily[Discharges],tblDaily[EntryDate],DATE(2026,9,21),tblDaily[WardCode],"CW")),"")</f>
        <v/>
      </c>
      <c r="D339" s="5" t="str">
        <f>IFERROR(IF(SUMIFS(tblDaily[Deaths],tblDaily[EntryDate],DATE(2026,9,21),tblDaily[WardCode],"CW")=0,"",SUMIFS(tblDaily[Deaths],tblDaily[EntryDate],DATE(2026,9,21),tblDaily[WardCode],"CW")),"")</f>
        <v/>
      </c>
      <c r="E339" s="5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5" t="str">
        <f>IFERROR(IF(SUMIFS(tblDaily[TransfersIn],tblDaily[EntryDate],DATE(2026,9,21),tblDaily[WardCode],"CW")=0,"",SUMIFS(tblDaily[TransfersIn],tblDaily[EntryDate],DATE(2026,9,21),tblDaily[WardCode],"CW")),"")</f>
        <v/>
      </c>
      <c r="G339" s="5" t="str">
        <f>IFERROR(IF(SUMIFS(tblDaily[TransfersOut],tblDaily[EntryDate],DATE(2026,9,21),tblDaily[WardCode],"CW")=0,"",SUMIFS(tblDaily[TransfersOut],tblDaily[EntryDate],DATE(2026,9,21),tblDaily[WardCode],"CW")),"")</f>
        <v/>
      </c>
      <c r="H339" s="5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IFERROR(IF(SUMIFS(tblDaily[Admissions],tblDaily[EntryDate],DATE(2026,9,22),tblDaily[WardCode],"CW")=0,"",SUMIFS(tblDaily[Admissions],tblDaily[EntryDate],DATE(2026,9,22),tblDaily[WardCode],"CW")),"")</f>
        <v/>
      </c>
      <c r="C340" s="5" t="str">
        <f>IFERROR(IF(SUMIFS(tblDaily[Discharges],tblDaily[EntryDate],DATE(2026,9,22),tblDaily[WardCode],"CW")=0,"",SUMIFS(tblDaily[Discharges],tblDaily[EntryDate],DATE(2026,9,22),tblDaily[WardCode],"CW")),"")</f>
        <v/>
      </c>
      <c r="D340" s="5" t="str">
        <f>IFERROR(IF(SUMIFS(tblDaily[Deaths],tblDaily[EntryDate],DATE(2026,9,22),tblDaily[WardCode],"CW")=0,"",SUMIFS(tblDaily[Deaths],tblDaily[EntryDate],DATE(2026,9,22),tblDaily[WardCode],"CW")),"")</f>
        <v/>
      </c>
      <c r="E340" s="5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5" t="str">
        <f>IFERROR(IF(SUMIFS(tblDaily[TransfersIn],tblDaily[EntryDate],DATE(2026,9,22),tblDaily[WardCode],"CW")=0,"",SUMIFS(tblDaily[TransfersIn],tblDaily[EntryDate],DATE(2026,9,22),tblDaily[WardCode],"CW")),"")</f>
        <v/>
      </c>
      <c r="G340" s="5" t="str">
        <f>IFERROR(IF(SUMIFS(tblDaily[TransfersOut],tblDaily[EntryDate],DATE(2026,9,22),tblDaily[WardCode],"CW")=0,"",SUMIFS(tblDaily[TransfersOut],tblDaily[EntryDate],DATE(2026,9,22),tblDaily[WardCode],"CW")),"")</f>
        <v/>
      </c>
      <c r="H340" s="5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IFERROR(IF(SUMIFS(tblDaily[Admissions],tblDaily[EntryDate],DATE(2026,9,23),tblDaily[WardCode],"CW")=0,"",SUMIFS(tblDaily[Admissions],tblDaily[EntryDate],DATE(2026,9,23),tblDaily[WardCode],"CW")),"")</f>
        <v/>
      </c>
      <c r="C341" s="5" t="str">
        <f>IFERROR(IF(SUMIFS(tblDaily[Discharges],tblDaily[EntryDate],DATE(2026,9,23),tblDaily[WardCode],"CW")=0,"",SUMIFS(tblDaily[Discharges],tblDaily[EntryDate],DATE(2026,9,23),tblDaily[WardCode],"CW")),"")</f>
        <v/>
      </c>
      <c r="D341" s="5" t="str">
        <f>IFERROR(IF(SUMIFS(tblDaily[Deaths],tblDaily[EntryDate],DATE(2026,9,23),tblDaily[WardCode],"CW")=0,"",SUMIFS(tblDaily[Deaths],tblDaily[EntryDate],DATE(2026,9,23),tblDaily[WardCode],"CW")),"")</f>
        <v/>
      </c>
      <c r="E341" s="5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5" t="str">
        <f>IFERROR(IF(SUMIFS(tblDaily[TransfersIn],tblDaily[EntryDate],DATE(2026,9,23),tblDaily[WardCode],"CW")=0,"",SUMIFS(tblDaily[TransfersIn],tblDaily[EntryDate],DATE(2026,9,23),tblDaily[WardCode],"CW")),"")</f>
        <v/>
      </c>
      <c r="G341" s="5" t="str">
        <f>IFERROR(IF(SUMIFS(tblDaily[TransfersOut],tblDaily[EntryDate],DATE(2026,9,23),tblDaily[WardCode],"CW")=0,"",SUMIFS(tblDaily[TransfersOut],tblDaily[EntryDate],DATE(2026,9,23),tblDaily[WardCode],"CW")),"")</f>
        <v/>
      </c>
      <c r="H341" s="5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IFERROR(IF(SUMIFS(tblDaily[Admissions],tblDaily[EntryDate],DATE(2026,9,24),tblDaily[WardCode],"CW")=0,"",SUMIFS(tblDaily[Admissions],tblDaily[EntryDate],DATE(2026,9,24),tblDaily[WardCode],"CW")),"")</f>
        <v/>
      </c>
      <c r="C342" s="5" t="str">
        <f>IFERROR(IF(SUMIFS(tblDaily[Discharges],tblDaily[EntryDate],DATE(2026,9,24),tblDaily[WardCode],"CW")=0,"",SUMIFS(tblDaily[Discharges],tblDaily[EntryDate],DATE(2026,9,24),tblDaily[WardCode],"CW")),"")</f>
        <v/>
      </c>
      <c r="D342" s="5" t="str">
        <f>IFERROR(IF(SUMIFS(tblDaily[Deaths],tblDaily[EntryDate],DATE(2026,9,24),tblDaily[WardCode],"CW")=0,"",SUMIFS(tblDaily[Deaths],tblDaily[EntryDate],DATE(2026,9,24),tblDaily[WardCode],"CW")),"")</f>
        <v/>
      </c>
      <c r="E342" s="5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5" t="str">
        <f>IFERROR(IF(SUMIFS(tblDaily[TransfersIn],tblDaily[EntryDate],DATE(2026,9,24),tblDaily[WardCode],"CW")=0,"",SUMIFS(tblDaily[TransfersIn],tblDaily[EntryDate],DATE(2026,9,24),tblDaily[WardCode],"CW")),"")</f>
        <v/>
      </c>
      <c r="G342" s="5" t="str">
        <f>IFERROR(IF(SUMIFS(tblDaily[TransfersOut],tblDaily[EntryDate],DATE(2026,9,24),tblDaily[WardCode],"CW")=0,"",SUMIFS(tblDaily[TransfersOut],tblDaily[EntryDate],DATE(2026,9,24),tblDaily[WardCode],"CW")),"")</f>
        <v/>
      </c>
      <c r="H342" s="5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IFERROR(IF(SUMIFS(tblDaily[Admissions],tblDaily[EntryDate],DATE(2026,9,25),tblDaily[WardCode],"CW")=0,"",SUMIFS(tblDaily[Admissions],tblDaily[EntryDate],DATE(2026,9,25),tblDaily[WardCode],"CW")),"")</f>
        <v/>
      </c>
      <c r="C343" s="5" t="str">
        <f>IFERROR(IF(SUMIFS(tblDaily[Discharges],tblDaily[EntryDate],DATE(2026,9,25),tblDaily[WardCode],"CW")=0,"",SUMIFS(tblDaily[Discharges],tblDaily[EntryDate],DATE(2026,9,25),tblDaily[WardCode],"CW")),"")</f>
        <v/>
      </c>
      <c r="D343" s="5" t="str">
        <f>IFERROR(IF(SUMIFS(tblDaily[Deaths],tblDaily[EntryDate],DATE(2026,9,25),tblDaily[WardCode],"CW")=0,"",SUMIFS(tblDaily[Deaths],tblDaily[EntryDate],DATE(2026,9,25),tblDaily[WardCode],"CW")),"")</f>
        <v/>
      </c>
      <c r="E343" s="5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5" t="str">
        <f>IFERROR(IF(SUMIFS(tblDaily[TransfersIn],tblDaily[EntryDate],DATE(2026,9,25),tblDaily[WardCode],"CW")=0,"",SUMIFS(tblDaily[TransfersIn],tblDaily[EntryDate],DATE(2026,9,25),tblDaily[WardCode],"CW")),"")</f>
        <v/>
      </c>
      <c r="G343" s="5" t="str">
        <f>IFERROR(IF(SUMIFS(tblDaily[TransfersOut],tblDaily[EntryDate],DATE(2026,9,25),tblDaily[WardCode],"CW")=0,"",SUMIFS(tblDaily[TransfersOut],tblDaily[EntryDate],DATE(2026,9,25),tblDaily[WardCode],"CW")),"")</f>
        <v/>
      </c>
      <c r="H343" s="5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IFERROR(IF(SUMIFS(tblDaily[Admissions],tblDaily[EntryDate],DATE(2026,9,26),tblDaily[WardCode],"CW")=0,"",SUMIFS(tblDaily[Admissions],tblDaily[EntryDate],DATE(2026,9,26),tblDaily[WardCode],"CW")),"")</f>
        <v/>
      </c>
      <c r="C344" s="5" t="str">
        <f>IFERROR(IF(SUMIFS(tblDaily[Discharges],tblDaily[EntryDate],DATE(2026,9,26),tblDaily[WardCode],"CW")=0,"",SUMIFS(tblDaily[Discharges],tblDaily[EntryDate],DATE(2026,9,26),tblDaily[WardCode],"CW")),"")</f>
        <v/>
      </c>
      <c r="D344" s="5" t="str">
        <f>IFERROR(IF(SUMIFS(tblDaily[Deaths],tblDaily[EntryDate],DATE(2026,9,26),tblDaily[WardCode],"CW")=0,"",SUMIFS(tblDaily[Deaths],tblDaily[EntryDate],DATE(2026,9,26),tblDaily[WardCode],"CW")),"")</f>
        <v/>
      </c>
      <c r="E344" s="5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5" t="str">
        <f>IFERROR(IF(SUMIFS(tblDaily[TransfersIn],tblDaily[EntryDate],DATE(2026,9,26),tblDaily[WardCode],"CW")=0,"",SUMIFS(tblDaily[TransfersIn],tblDaily[EntryDate],DATE(2026,9,26),tblDaily[WardCode],"CW")),"")</f>
        <v/>
      </c>
      <c r="G344" s="5" t="str">
        <f>IFERROR(IF(SUMIFS(tblDaily[TransfersOut],tblDaily[EntryDate],DATE(2026,9,26),tblDaily[WardCode],"CW")=0,"",SUMIFS(tblDaily[TransfersOut],tblDaily[EntryDate],DATE(2026,9,26),tblDaily[WardCode],"CW")),"")</f>
        <v/>
      </c>
      <c r="H344" s="5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IFERROR(IF(SUMIFS(tblDaily[Admissions],tblDaily[EntryDate],DATE(2026,9,27),tblDaily[WardCode],"CW")=0,"",SUMIFS(tblDaily[Admissions],tblDaily[EntryDate],DATE(2026,9,27),tblDaily[WardCode],"CW")),"")</f>
        <v/>
      </c>
      <c r="C345" s="5" t="str">
        <f>IFERROR(IF(SUMIFS(tblDaily[Discharges],tblDaily[EntryDate],DATE(2026,9,27),tblDaily[WardCode],"CW")=0,"",SUMIFS(tblDaily[Discharges],tblDaily[EntryDate],DATE(2026,9,27),tblDaily[WardCode],"CW")),"")</f>
        <v/>
      </c>
      <c r="D345" s="5" t="str">
        <f>IFERROR(IF(SUMIFS(tblDaily[Deaths],tblDaily[EntryDate],DATE(2026,9,27),tblDaily[WardCode],"CW")=0,"",SUMIFS(tblDaily[Deaths],tblDaily[EntryDate],DATE(2026,9,27),tblDaily[WardCode],"CW")),"")</f>
        <v/>
      </c>
      <c r="E345" s="5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5" t="str">
        <f>IFERROR(IF(SUMIFS(tblDaily[TransfersIn],tblDaily[EntryDate],DATE(2026,9,27),tblDaily[WardCode],"CW")=0,"",SUMIFS(tblDaily[TransfersIn],tblDaily[EntryDate],DATE(2026,9,27),tblDaily[WardCode],"CW")),"")</f>
        <v/>
      </c>
      <c r="G345" s="5" t="str">
        <f>IFERROR(IF(SUMIFS(tblDaily[TransfersOut],tblDaily[EntryDate],DATE(2026,9,27),tblDaily[WardCode],"CW")=0,"",SUMIFS(tblDaily[TransfersOut],tblDaily[EntryDate],DATE(2026,9,27),tblDaily[WardCode],"CW")),"")</f>
        <v/>
      </c>
      <c r="H345" s="5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IFERROR(IF(SUMIFS(tblDaily[Admissions],tblDaily[EntryDate],DATE(2026,9,28),tblDaily[WardCode],"CW")=0,"",SUMIFS(tblDaily[Admissions],tblDaily[EntryDate],DATE(2026,9,28),tblDaily[WardCode],"CW")),"")</f>
        <v/>
      </c>
      <c r="C346" s="5" t="str">
        <f>IFERROR(IF(SUMIFS(tblDaily[Discharges],tblDaily[EntryDate],DATE(2026,9,28),tblDaily[WardCode],"CW")=0,"",SUMIFS(tblDaily[Discharges],tblDaily[EntryDate],DATE(2026,9,28),tblDaily[WardCode],"CW")),"")</f>
        <v/>
      </c>
      <c r="D346" s="5" t="str">
        <f>IFERROR(IF(SUMIFS(tblDaily[Deaths],tblDaily[EntryDate],DATE(2026,9,28),tblDaily[WardCode],"CW")=0,"",SUMIFS(tblDaily[Deaths],tblDaily[EntryDate],DATE(2026,9,28),tblDaily[WardCode],"CW")),"")</f>
        <v/>
      </c>
      <c r="E346" s="5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5" t="str">
        <f>IFERROR(IF(SUMIFS(tblDaily[TransfersIn],tblDaily[EntryDate],DATE(2026,9,28),tblDaily[WardCode],"CW")=0,"",SUMIFS(tblDaily[TransfersIn],tblDaily[EntryDate],DATE(2026,9,28),tblDaily[WardCode],"CW")),"")</f>
        <v/>
      </c>
      <c r="G346" s="5" t="str">
        <f>IFERROR(IF(SUMIFS(tblDaily[TransfersOut],tblDaily[EntryDate],DATE(2026,9,28),tblDaily[WardCode],"CW")=0,"",SUMIFS(tblDaily[TransfersOut],tblDaily[EntryDate],DATE(2026,9,28),tblDaily[WardCode],"CW")),"")</f>
        <v/>
      </c>
      <c r="H346" s="5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IFERROR(IF(SUMIFS(tblDaily[Admissions],tblDaily[EntryDate],DATE(2026,9,29),tblDaily[WardCode],"CW")=0,"",SUMIFS(tblDaily[Admissions],tblDaily[EntryDate],DATE(2026,9,29),tblDaily[WardCode],"CW")),"")</f>
        <v/>
      </c>
      <c r="C347" s="5" t="str">
        <f>IFERROR(IF(SUMIFS(tblDaily[Discharges],tblDaily[EntryDate],DATE(2026,9,29),tblDaily[WardCode],"CW")=0,"",SUMIFS(tblDaily[Discharges],tblDaily[EntryDate],DATE(2026,9,29),tblDaily[WardCode],"CW")),"")</f>
        <v/>
      </c>
      <c r="D347" s="5" t="str">
        <f>IFERROR(IF(SUMIFS(tblDaily[Deaths],tblDaily[EntryDate],DATE(2026,9,29),tblDaily[WardCode],"CW")=0,"",SUMIFS(tblDaily[Deaths],tblDaily[EntryDate],DATE(2026,9,29),tblDaily[WardCode],"CW")),"")</f>
        <v/>
      </c>
      <c r="E347" s="5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5" t="str">
        <f>IFERROR(IF(SUMIFS(tblDaily[TransfersIn],tblDaily[EntryDate],DATE(2026,9,29),tblDaily[WardCode],"CW")=0,"",SUMIFS(tblDaily[TransfersIn],tblDaily[EntryDate],DATE(2026,9,29),tblDaily[WardCode],"CW")),"")</f>
        <v/>
      </c>
      <c r="G347" s="5" t="str">
        <f>IFERROR(IF(SUMIFS(tblDaily[TransfersOut],tblDaily[EntryDate],DATE(2026,9,29),tblDaily[WardCode],"CW")=0,"",SUMIFS(tblDaily[TransfersOut],tblDaily[EntryDate],DATE(2026,9,29),tblDaily[WardCode],"CW")),"")</f>
        <v/>
      </c>
      <c r="H347" s="5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IFERROR(IF(SUMIFS(tblDaily[Admissions],tblDaily[EntryDate],DATE(2026,9,30),tblDaily[WardCode],"CW")=0,"",SUMIFS(tblDaily[Admissions],tblDaily[EntryDate],DATE(2026,9,30),tblDaily[WardCode],"CW")),"")</f>
        <v/>
      </c>
      <c r="C348" s="5" t="str">
        <f>IFERROR(IF(SUMIFS(tblDaily[Discharges],tblDaily[EntryDate],DATE(2026,9,30),tblDaily[WardCode],"CW")=0,"",SUMIFS(tblDaily[Discharges],tblDaily[EntryDate],DATE(2026,9,30),tblDaily[WardCode],"CW")),"")</f>
        <v/>
      </c>
      <c r="D348" s="5" t="str">
        <f>IFERROR(IF(SUMIFS(tblDaily[Deaths],tblDaily[EntryDate],DATE(2026,9,30),tblDaily[WardCode],"CW")=0,"",SUMIFS(tblDaily[Deaths],tblDaily[EntryDate],DATE(2026,9,30),tblDaily[WardCode],"CW")),"")</f>
        <v/>
      </c>
      <c r="E348" s="5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5" t="str">
        <f>IFERROR(IF(SUMIFS(tblDaily[TransfersIn],tblDaily[EntryDate],DATE(2026,9,30),tblDaily[WardCode],"CW")=0,"",SUMIFS(tblDaily[TransfersIn],tblDaily[EntryDate],DATE(2026,9,30),tblDaily[WardCode],"CW")),"")</f>
        <v/>
      </c>
      <c r="G348" s="5" t="str">
        <f>IFERROR(IF(SUMIFS(tblDaily[TransfersOut],tblDaily[EntryDate],DATE(2026,9,30),tblDaily[WardCode],"CW")=0,"",SUMIFS(tblDaily[TransfersOut],tblDaily[EntryDate],DATE(2026,9,30),tblDaily[WardCode],"CW")),"")</f>
        <v/>
      </c>
      <c r="H348" s="5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97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89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IFERROR(IF(SUMIFS(tblDaily[Admissions],tblDaily[EntryDate],DATE(2026,10,1),tblDaily[WardCode],"CW")=0,"",SUMIFS(tblDaily[Admissions],tblDaily[EntryDate],DATE(2026,10,1),tblDaily[WardCode],"CW")),"")</f>
        <v/>
      </c>
      <c r="C358" s="5" t="str">
        <f>IFERROR(IF(SUMIFS(tblDaily[Discharges],tblDaily[EntryDate],DATE(2026,10,1),tblDaily[WardCode],"CW")=0,"",SUMIFS(tblDaily[Discharges],tblDaily[EntryDate],DATE(2026,10,1),tblDaily[WardCode],"CW")),"")</f>
        <v/>
      </c>
      <c r="D358" s="5" t="str">
        <f>IFERROR(IF(SUMIFS(tblDaily[Deaths],tblDaily[EntryDate],DATE(2026,10,1),tblDaily[WardCode],"CW")=0,"",SUMIFS(tblDaily[Deaths],tblDaily[EntryDate],DATE(2026,10,1),tblDaily[WardCode],"CW")),"")</f>
        <v/>
      </c>
      <c r="E358" s="5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5" t="str">
        <f>IFERROR(IF(SUMIFS(tblDaily[TransfersIn],tblDaily[EntryDate],DATE(2026,10,1),tblDaily[WardCode],"CW")=0,"",SUMIFS(tblDaily[TransfersIn],tblDaily[EntryDate],DATE(2026,10,1),tblDaily[WardCode],"CW")),"")</f>
        <v/>
      </c>
      <c r="G358" s="5" t="str">
        <f>IFERROR(IF(SUMIFS(tblDaily[TransfersOut],tblDaily[EntryDate],DATE(2026,10,1),tblDaily[WardCode],"CW")=0,"",SUMIFS(tblDaily[TransfersOut],tblDaily[EntryDate],DATE(2026,10,1),tblDaily[WardCode],"CW")),"")</f>
        <v/>
      </c>
      <c r="H358" s="5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IFERROR(IF(SUMIFS(tblDaily[Admissions],tblDaily[EntryDate],DATE(2026,10,2),tblDaily[WardCode],"CW")=0,"",SUMIFS(tblDaily[Admissions],tblDaily[EntryDate],DATE(2026,10,2),tblDaily[WardCode],"CW")),"")</f>
        <v/>
      </c>
      <c r="C359" s="5" t="str">
        <f>IFERROR(IF(SUMIFS(tblDaily[Discharges],tblDaily[EntryDate],DATE(2026,10,2),tblDaily[WardCode],"CW")=0,"",SUMIFS(tblDaily[Discharges],tblDaily[EntryDate],DATE(2026,10,2),tblDaily[WardCode],"CW")),"")</f>
        <v/>
      </c>
      <c r="D359" s="5" t="str">
        <f>IFERROR(IF(SUMIFS(tblDaily[Deaths],tblDaily[EntryDate],DATE(2026,10,2),tblDaily[WardCode],"CW")=0,"",SUMIFS(tblDaily[Deaths],tblDaily[EntryDate],DATE(2026,10,2),tblDaily[WardCode],"CW")),"")</f>
        <v/>
      </c>
      <c r="E359" s="5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5" t="str">
        <f>IFERROR(IF(SUMIFS(tblDaily[TransfersIn],tblDaily[EntryDate],DATE(2026,10,2),tblDaily[WardCode],"CW")=0,"",SUMIFS(tblDaily[TransfersIn],tblDaily[EntryDate],DATE(2026,10,2),tblDaily[WardCode],"CW")),"")</f>
        <v/>
      </c>
      <c r="G359" s="5" t="str">
        <f>IFERROR(IF(SUMIFS(tblDaily[TransfersOut],tblDaily[EntryDate],DATE(2026,10,2),tblDaily[WardCode],"CW")=0,"",SUMIFS(tblDaily[TransfersOut],tblDaily[EntryDate],DATE(2026,10,2),tblDaily[WardCode],"CW")),"")</f>
        <v/>
      </c>
      <c r="H359" s="5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IFERROR(IF(SUMIFS(tblDaily[Admissions],tblDaily[EntryDate],DATE(2026,10,3),tblDaily[WardCode],"CW")=0,"",SUMIFS(tblDaily[Admissions],tblDaily[EntryDate],DATE(2026,10,3),tblDaily[WardCode],"CW")),"")</f>
        <v/>
      </c>
      <c r="C360" s="5" t="str">
        <f>IFERROR(IF(SUMIFS(tblDaily[Discharges],tblDaily[EntryDate],DATE(2026,10,3),tblDaily[WardCode],"CW")=0,"",SUMIFS(tblDaily[Discharges],tblDaily[EntryDate],DATE(2026,10,3),tblDaily[WardCode],"CW")),"")</f>
        <v/>
      </c>
      <c r="D360" s="5" t="str">
        <f>IFERROR(IF(SUMIFS(tblDaily[Deaths],tblDaily[EntryDate],DATE(2026,10,3),tblDaily[WardCode],"CW")=0,"",SUMIFS(tblDaily[Deaths],tblDaily[EntryDate],DATE(2026,10,3),tblDaily[WardCode],"CW")),"")</f>
        <v/>
      </c>
      <c r="E360" s="5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5" t="str">
        <f>IFERROR(IF(SUMIFS(tblDaily[TransfersIn],tblDaily[EntryDate],DATE(2026,10,3),tblDaily[WardCode],"CW")=0,"",SUMIFS(tblDaily[TransfersIn],tblDaily[EntryDate],DATE(2026,10,3),tblDaily[WardCode],"CW")),"")</f>
        <v/>
      </c>
      <c r="G360" s="5" t="str">
        <f>IFERROR(IF(SUMIFS(tblDaily[TransfersOut],tblDaily[EntryDate],DATE(2026,10,3),tblDaily[WardCode],"CW")=0,"",SUMIFS(tblDaily[TransfersOut],tblDaily[EntryDate],DATE(2026,10,3),tblDaily[WardCode],"CW")),"")</f>
        <v/>
      </c>
      <c r="H360" s="5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IFERROR(IF(SUMIFS(tblDaily[Admissions],tblDaily[EntryDate],DATE(2026,10,4),tblDaily[WardCode],"CW")=0,"",SUMIFS(tblDaily[Admissions],tblDaily[EntryDate],DATE(2026,10,4),tblDaily[WardCode],"CW")),"")</f>
        <v/>
      </c>
      <c r="C361" s="5" t="str">
        <f>IFERROR(IF(SUMIFS(tblDaily[Discharges],tblDaily[EntryDate],DATE(2026,10,4),tblDaily[WardCode],"CW")=0,"",SUMIFS(tblDaily[Discharges],tblDaily[EntryDate],DATE(2026,10,4),tblDaily[WardCode],"CW")),"")</f>
        <v/>
      </c>
      <c r="D361" s="5" t="str">
        <f>IFERROR(IF(SUMIFS(tblDaily[Deaths],tblDaily[EntryDate],DATE(2026,10,4),tblDaily[WardCode],"CW")=0,"",SUMIFS(tblDaily[Deaths],tblDaily[EntryDate],DATE(2026,10,4),tblDaily[WardCode],"CW")),"")</f>
        <v/>
      </c>
      <c r="E361" s="5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5" t="str">
        <f>IFERROR(IF(SUMIFS(tblDaily[TransfersIn],tblDaily[EntryDate],DATE(2026,10,4),tblDaily[WardCode],"CW")=0,"",SUMIFS(tblDaily[TransfersIn],tblDaily[EntryDate],DATE(2026,10,4),tblDaily[WardCode],"CW")),"")</f>
        <v/>
      </c>
      <c r="G361" s="5" t="str">
        <f>IFERROR(IF(SUMIFS(tblDaily[TransfersOut],tblDaily[EntryDate],DATE(2026,10,4),tblDaily[WardCode],"CW")=0,"",SUMIFS(tblDaily[TransfersOut],tblDaily[EntryDate],DATE(2026,10,4),tblDaily[WardCode],"CW")),"")</f>
        <v/>
      </c>
      <c r="H361" s="5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IFERROR(IF(SUMIFS(tblDaily[Admissions],tblDaily[EntryDate],DATE(2026,10,5),tblDaily[WardCode],"CW")=0,"",SUMIFS(tblDaily[Admissions],tblDaily[EntryDate],DATE(2026,10,5),tblDaily[WardCode],"CW")),"")</f>
        <v/>
      </c>
      <c r="C362" s="5" t="str">
        <f>IFERROR(IF(SUMIFS(tblDaily[Discharges],tblDaily[EntryDate],DATE(2026,10,5),tblDaily[WardCode],"CW")=0,"",SUMIFS(tblDaily[Discharges],tblDaily[EntryDate],DATE(2026,10,5),tblDaily[WardCode],"CW")),"")</f>
        <v/>
      </c>
      <c r="D362" s="5" t="str">
        <f>IFERROR(IF(SUMIFS(tblDaily[Deaths],tblDaily[EntryDate],DATE(2026,10,5),tblDaily[WardCode],"CW")=0,"",SUMIFS(tblDaily[Deaths],tblDaily[EntryDate],DATE(2026,10,5),tblDaily[WardCode],"CW")),"")</f>
        <v/>
      </c>
      <c r="E362" s="5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5" t="str">
        <f>IFERROR(IF(SUMIFS(tblDaily[TransfersIn],tblDaily[EntryDate],DATE(2026,10,5),tblDaily[WardCode],"CW")=0,"",SUMIFS(tblDaily[TransfersIn],tblDaily[EntryDate],DATE(2026,10,5),tblDaily[WardCode],"CW")),"")</f>
        <v/>
      </c>
      <c r="G362" s="5" t="str">
        <f>IFERROR(IF(SUMIFS(tblDaily[TransfersOut],tblDaily[EntryDate],DATE(2026,10,5),tblDaily[WardCode],"CW")=0,"",SUMIFS(tblDaily[TransfersOut],tblDaily[EntryDate],DATE(2026,10,5),tblDaily[WardCode],"CW")),"")</f>
        <v/>
      </c>
      <c r="H362" s="5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IFERROR(IF(SUMIFS(tblDaily[Admissions],tblDaily[EntryDate],DATE(2026,10,6),tblDaily[WardCode],"CW")=0,"",SUMIFS(tblDaily[Admissions],tblDaily[EntryDate],DATE(2026,10,6),tblDaily[WardCode],"CW")),"")</f>
        <v/>
      </c>
      <c r="C363" s="5" t="str">
        <f>IFERROR(IF(SUMIFS(tblDaily[Discharges],tblDaily[EntryDate],DATE(2026,10,6),tblDaily[WardCode],"CW")=0,"",SUMIFS(tblDaily[Discharges],tblDaily[EntryDate],DATE(2026,10,6),tblDaily[WardCode],"CW")),"")</f>
        <v/>
      </c>
      <c r="D363" s="5" t="str">
        <f>IFERROR(IF(SUMIFS(tblDaily[Deaths],tblDaily[EntryDate],DATE(2026,10,6),tblDaily[WardCode],"CW")=0,"",SUMIFS(tblDaily[Deaths],tblDaily[EntryDate],DATE(2026,10,6),tblDaily[WardCode],"CW")),"")</f>
        <v/>
      </c>
      <c r="E363" s="5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5" t="str">
        <f>IFERROR(IF(SUMIFS(tblDaily[TransfersIn],tblDaily[EntryDate],DATE(2026,10,6),tblDaily[WardCode],"CW")=0,"",SUMIFS(tblDaily[TransfersIn],tblDaily[EntryDate],DATE(2026,10,6),tblDaily[WardCode],"CW")),"")</f>
        <v/>
      </c>
      <c r="G363" s="5" t="str">
        <f>IFERROR(IF(SUMIFS(tblDaily[TransfersOut],tblDaily[EntryDate],DATE(2026,10,6),tblDaily[WardCode],"CW")=0,"",SUMIFS(tblDaily[TransfersOut],tblDaily[EntryDate],DATE(2026,10,6),tblDaily[WardCode],"CW")),"")</f>
        <v/>
      </c>
      <c r="H363" s="5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IFERROR(IF(SUMIFS(tblDaily[Admissions],tblDaily[EntryDate],DATE(2026,10,7),tblDaily[WardCode],"CW")=0,"",SUMIFS(tblDaily[Admissions],tblDaily[EntryDate],DATE(2026,10,7),tblDaily[WardCode],"CW")),"")</f>
        <v/>
      </c>
      <c r="C364" s="5" t="str">
        <f>IFERROR(IF(SUMIFS(tblDaily[Discharges],tblDaily[EntryDate],DATE(2026,10,7),tblDaily[WardCode],"CW")=0,"",SUMIFS(tblDaily[Discharges],tblDaily[EntryDate],DATE(2026,10,7),tblDaily[WardCode],"CW")),"")</f>
        <v/>
      </c>
      <c r="D364" s="5" t="str">
        <f>IFERROR(IF(SUMIFS(tblDaily[Deaths],tblDaily[EntryDate],DATE(2026,10,7),tblDaily[WardCode],"CW")=0,"",SUMIFS(tblDaily[Deaths],tblDaily[EntryDate],DATE(2026,10,7),tblDaily[WardCode],"CW")),"")</f>
        <v/>
      </c>
      <c r="E364" s="5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5" t="str">
        <f>IFERROR(IF(SUMIFS(tblDaily[TransfersIn],tblDaily[EntryDate],DATE(2026,10,7),tblDaily[WardCode],"CW")=0,"",SUMIFS(tblDaily[TransfersIn],tblDaily[EntryDate],DATE(2026,10,7),tblDaily[WardCode],"CW")),"")</f>
        <v/>
      </c>
      <c r="G364" s="5" t="str">
        <f>IFERROR(IF(SUMIFS(tblDaily[TransfersOut],tblDaily[EntryDate],DATE(2026,10,7),tblDaily[WardCode],"CW")=0,"",SUMIFS(tblDaily[TransfersOut],tblDaily[EntryDate],DATE(2026,10,7),tblDaily[WardCode],"CW")),"")</f>
        <v/>
      </c>
      <c r="H364" s="5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IFERROR(IF(SUMIFS(tblDaily[Admissions],tblDaily[EntryDate],DATE(2026,10,8),tblDaily[WardCode],"CW")=0,"",SUMIFS(tblDaily[Admissions],tblDaily[EntryDate],DATE(2026,10,8),tblDaily[WardCode],"CW")),"")</f>
        <v/>
      </c>
      <c r="C365" s="5" t="str">
        <f>IFERROR(IF(SUMIFS(tblDaily[Discharges],tblDaily[EntryDate],DATE(2026,10,8),tblDaily[WardCode],"CW")=0,"",SUMIFS(tblDaily[Discharges],tblDaily[EntryDate],DATE(2026,10,8),tblDaily[WardCode],"CW")),"")</f>
        <v/>
      </c>
      <c r="D365" s="5" t="str">
        <f>IFERROR(IF(SUMIFS(tblDaily[Deaths],tblDaily[EntryDate],DATE(2026,10,8),tblDaily[WardCode],"CW")=0,"",SUMIFS(tblDaily[Deaths],tblDaily[EntryDate],DATE(2026,10,8),tblDaily[WardCode],"CW")),"")</f>
        <v/>
      </c>
      <c r="E365" s="5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5" t="str">
        <f>IFERROR(IF(SUMIFS(tblDaily[TransfersIn],tblDaily[EntryDate],DATE(2026,10,8),tblDaily[WardCode],"CW")=0,"",SUMIFS(tblDaily[TransfersIn],tblDaily[EntryDate],DATE(2026,10,8),tblDaily[WardCode],"CW")),"")</f>
        <v/>
      </c>
      <c r="G365" s="5" t="str">
        <f>IFERROR(IF(SUMIFS(tblDaily[TransfersOut],tblDaily[EntryDate],DATE(2026,10,8),tblDaily[WardCode],"CW")=0,"",SUMIFS(tblDaily[TransfersOut],tblDaily[EntryDate],DATE(2026,10,8),tblDaily[WardCode],"CW")),"")</f>
        <v/>
      </c>
      <c r="H365" s="5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IFERROR(IF(SUMIFS(tblDaily[Admissions],tblDaily[EntryDate],DATE(2026,10,9),tblDaily[WardCode],"CW")=0,"",SUMIFS(tblDaily[Admissions],tblDaily[EntryDate],DATE(2026,10,9),tblDaily[WardCode],"CW")),"")</f>
        <v/>
      </c>
      <c r="C366" s="5" t="str">
        <f>IFERROR(IF(SUMIFS(tblDaily[Discharges],tblDaily[EntryDate],DATE(2026,10,9),tblDaily[WardCode],"CW")=0,"",SUMIFS(tblDaily[Discharges],tblDaily[EntryDate],DATE(2026,10,9),tblDaily[WardCode],"CW")),"")</f>
        <v/>
      </c>
      <c r="D366" s="5" t="str">
        <f>IFERROR(IF(SUMIFS(tblDaily[Deaths],tblDaily[EntryDate],DATE(2026,10,9),tblDaily[WardCode],"CW")=0,"",SUMIFS(tblDaily[Deaths],tblDaily[EntryDate],DATE(2026,10,9),tblDaily[WardCode],"CW")),"")</f>
        <v/>
      </c>
      <c r="E366" s="5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5" t="str">
        <f>IFERROR(IF(SUMIFS(tblDaily[TransfersIn],tblDaily[EntryDate],DATE(2026,10,9),tblDaily[WardCode],"CW")=0,"",SUMIFS(tblDaily[TransfersIn],tblDaily[EntryDate],DATE(2026,10,9),tblDaily[WardCode],"CW")),"")</f>
        <v/>
      </c>
      <c r="G366" s="5" t="str">
        <f>IFERROR(IF(SUMIFS(tblDaily[TransfersOut],tblDaily[EntryDate],DATE(2026,10,9),tblDaily[WardCode],"CW")=0,"",SUMIFS(tblDaily[TransfersOut],tblDaily[EntryDate],DATE(2026,10,9),tblDaily[WardCode],"CW")),"")</f>
        <v/>
      </c>
      <c r="H366" s="5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IFERROR(IF(SUMIFS(tblDaily[Admissions],tblDaily[EntryDate],DATE(2026,10,10),tblDaily[WardCode],"CW")=0,"",SUMIFS(tblDaily[Admissions],tblDaily[EntryDate],DATE(2026,10,10),tblDaily[WardCode],"CW")),"")</f>
        <v/>
      </c>
      <c r="C367" s="5" t="str">
        <f>IFERROR(IF(SUMIFS(tblDaily[Discharges],tblDaily[EntryDate],DATE(2026,10,10),tblDaily[WardCode],"CW")=0,"",SUMIFS(tblDaily[Discharges],tblDaily[EntryDate],DATE(2026,10,10),tblDaily[WardCode],"CW")),"")</f>
        <v/>
      </c>
      <c r="D367" s="5" t="str">
        <f>IFERROR(IF(SUMIFS(tblDaily[Deaths],tblDaily[EntryDate],DATE(2026,10,10),tblDaily[WardCode],"CW")=0,"",SUMIFS(tblDaily[Deaths],tblDaily[EntryDate],DATE(2026,10,10),tblDaily[WardCode],"CW")),"")</f>
        <v/>
      </c>
      <c r="E367" s="5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5" t="str">
        <f>IFERROR(IF(SUMIFS(tblDaily[TransfersIn],tblDaily[EntryDate],DATE(2026,10,10),tblDaily[WardCode],"CW")=0,"",SUMIFS(tblDaily[TransfersIn],tblDaily[EntryDate],DATE(2026,10,10),tblDaily[WardCode],"CW")),"")</f>
        <v/>
      </c>
      <c r="G367" s="5" t="str">
        <f>IFERROR(IF(SUMIFS(tblDaily[TransfersOut],tblDaily[EntryDate],DATE(2026,10,10),tblDaily[WardCode],"CW")=0,"",SUMIFS(tblDaily[TransfersOut],tblDaily[EntryDate],DATE(2026,10,10),tblDaily[WardCode],"CW")),"")</f>
        <v/>
      </c>
      <c r="H367" s="5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IFERROR(IF(SUMIFS(tblDaily[Admissions],tblDaily[EntryDate],DATE(2026,10,11),tblDaily[WardCode],"CW")=0,"",SUMIFS(tblDaily[Admissions],tblDaily[EntryDate],DATE(2026,10,11),tblDaily[WardCode],"CW")),"")</f>
        <v/>
      </c>
      <c r="C368" s="5" t="str">
        <f>IFERROR(IF(SUMIFS(tblDaily[Discharges],tblDaily[EntryDate],DATE(2026,10,11),tblDaily[WardCode],"CW")=0,"",SUMIFS(tblDaily[Discharges],tblDaily[EntryDate],DATE(2026,10,11),tblDaily[WardCode],"CW")),"")</f>
        <v/>
      </c>
      <c r="D368" s="5" t="str">
        <f>IFERROR(IF(SUMIFS(tblDaily[Deaths],tblDaily[EntryDate],DATE(2026,10,11),tblDaily[WardCode],"CW")=0,"",SUMIFS(tblDaily[Deaths],tblDaily[EntryDate],DATE(2026,10,11),tblDaily[WardCode],"CW")),"")</f>
        <v/>
      </c>
      <c r="E368" s="5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5" t="str">
        <f>IFERROR(IF(SUMIFS(tblDaily[TransfersIn],tblDaily[EntryDate],DATE(2026,10,11),tblDaily[WardCode],"CW")=0,"",SUMIFS(tblDaily[TransfersIn],tblDaily[EntryDate],DATE(2026,10,11),tblDaily[WardCode],"CW")),"")</f>
        <v/>
      </c>
      <c r="G368" s="5" t="str">
        <f>IFERROR(IF(SUMIFS(tblDaily[TransfersOut],tblDaily[EntryDate],DATE(2026,10,11),tblDaily[WardCode],"CW")=0,"",SUMIFS(tblDaily[TransfersOut],tblDaily[EntryDate],DATE(2026,10,11),tblDaily[WardCode],"CW")),"")</f>
        <v/>
      </c>
      <c r="H368" s="5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IFERROR(IF(SUMIFS(tblDaily[Admissions],tblDaily[EntryDate],DATE(2026,10,12),tblDaily[WardCode],"CW")=0,"",SUMIFS(tblDaily[Admissions],tblDaily[EntryDate],DATE(2026,10,12),tblDaily[WardCode],"CW")),"")</f>
        <v/>
      </c>
      <c r="C369" s="5" t="str">
        <f>IFERROR(IF(SUMIFS(tblDaily[Discharges],tblDaily[EntryDate],DATE(2026,10,12),tblDaily[WardCode],"CW")=0,"",SUMIFS(tblDaily[Discharges],tblDaily[EntryDate],DATE(2026,10,12),tblDaily[WardCode],"CW")),"")</f>
        <v/>
      </c>
      <c r="D369" s="5" t="str">
        <f>IFERROR(IF(SUMIFS(tblDaily[Deaths],tblDaily[EntryDate],DATE(2026,10,12),tblDaily[WardCode],"CW")=0,"",SUMIFS(tblDaily[Deaths],tblDaily[EntryDate],DATE(2026,10,12),tblDaily[WardCode],"CW")),"")</f>
        <v/>
      </c>
      <c r="E369" s="5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5" t="str">
        <f>IFERROR(IF(SUMIFS(tblDaily[TransfersIn],tblDaily[EntryDate],DATE(2026,10,12),tblDaily[WardCode],"CW")=0,"",SUMIFS(tblDaily[TransfersIn],tblDaily[EntryDate],DATE(2026,10,12),tblDaily[WardCode],"CW")),"")</f>
        <v/>
      </c>
      <c r="G369" s="5" t="str">
        <f>IFERROR(IF(SUMIFS(tblDaily[TransfersOut],tblDaily[EntryDate],DATE(2026,10,12),tblDaily[WardCode],"CW")=0,"",SUMIFS(tblDaily[TransfersOut],tblDaily[EntryDate],DATE(2026,10,12),tblDaily[WardCode],"CW")),"")</f>
        <v/>
      </c>
      <c r="H369" s="5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IFERROR(IF(SUMIFS(tblDaily[Admissions],tblDaily[EntryDate],DATE(2026,10,13),tblDaily[WardCode],"CW")=0,"",SUMIFS(tblDaily[Admissions],tblDaily[EntryDate],DATE(2026,10,13),tblDaily[WardCode],"CW")),"")</f>
        <v/>
      </c>
      <c r="C370" s="5" t="str">
        <f>IFERROR(IF(SUMIFS(tblDaily[Discharges],tblDaily[EntryDate],DATE(2026,10,13),tblDaily[WardCode],"CW")=0,"",SUMIFS(tblDaily[Discharges],tblDaily[EntryDate],DATE(2026,10,13),tblDaily[WardCode],"CW")),"")</f>
        <v/>
      </c>
      <c r="D370" s="5" t="str">
        <f>IFERROR(IF(SUMIFS(tblDaily[Deaths],tblDaily[EntryDate],DATE(2026,10,13),tblDaily[WardCode],"CW")=0,"",SUMIFS(tblDaily[Deaths],tblDaily[EntryDate],DATE(2026,10,13),tblDaily[WardCode],"CW")),"")</f>
        <v/>
      </c>
      <c r="E370" s="5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5" t="str">
        <f>IFERROR(IF(SUMIFS(tblDaily[TransfersIn],tblDaily[EntryDate],DATE(2026,10,13),tblDaily[WardCode],"CW")=0,"",SUMIFS(tblDaily[TransfersIn],tblDaily[EntryDate],DATE(2026,10,13),tblDaily[WardCode],"CW")),"")</f>
        <v/>
      </c>
      <c r="G370" s="5" t="str">
        <f>IFERROR(IF(SUMIFS(tblDaily[TransfersOut],tblDaily[EntryDate],DATE(2026,10,13),tblDaily[WardCode],"CW")=0,"",SUMIFS(tblDaily[TransfersOut],tblDaily[EntryDate],DATE(2026,10,13),tblDaily[WardCode],"CW")),"")</f>
        <v/>
      </c>
      <c r="H370" s="5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IFERROR(IF(SUMIFS(tblDaily[Admissions],tblDaily[EntryDate],DATE(2026,10,14),tblDaily[WardCode],"CW")=0,"",SUMIFS(tblDaily[Admissions],tblDaily[EntryDate],DATE(2026,10,14),tblDaily[WardCode],"CW")),"")</f>
        <v/>
      </c>
      <c r="C371" s="5" t="str">
        <f>IFERROR(IF(SUMIFS(tblDaily[Discharges],tblDaily[EntryDate],DATE(2026,10,14),tblDaily[WardCode],"CW")=0,"",SUMIFS(tblDaily[Discharges],tblDaily[EntryDate],DATE(2026,10,14),tblDaily[WardCode],"CW")),"")</f>
        <v/>
      </c>
      <c r="D371" s="5" t="str">
        <f>IFERROR(IF(SUMIFS(tblDaily[Deaths],tblDaily[EntryDate],DATE(2026,10,14),tblDaily[WardCode],"CW")=0,"",SUMIFS(tblDaily[Deaths],tblDaily[EntryDate],DATE(2026,10,14),tblDaily[WardCode],"CW")),"")</f>
        <v/>
      </c>
      <c r="E371" s="5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5" t="str">
        <f>IFERROR(IF(SUMIFS(tblDaily[TransfersIn],tblDaily[EntryDate],DATE(2026,10,14),tblDaily[WardCode],"CW")=0,"",SUMIFS(tblDaily[TransfersIn],tblDaily[EntryDate],DATE(2026,10,14),tblDaily[WardCode],"CW")),"")</f>
        <v/>
      </c>
      <c r="G371" s="5" t="str">
        <f>IFERROR(IF(SUMIFS(tblDaily[TransfersOut],tblDaily[EntryDate],DATE(2026,10,14),tblDaily[WardCode],"CW")=0,"",SUMIFS(tblDaily[TransfersOut],tblDaily[EntryDate],DATE(2026,10,14),tblDaily[WardCode],"CW")),"")</f>
        <v/>
      </c>
      <c r="H371" s="5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IFERROR(IF(SUMIFS(tblDaily[Admissions],tblDaily[EntryDate],DATE(2026,10,15),tblDaily[WardCode],"CW")=0,"",SUMIFS(tblDaily[Admissions],tblDaily[EntryDate],DATE(2026,10,15),tblDaily[WardCode],"CW")),"")</f>
        <v/>
      </c>
      <c r="C372" s="5" t="str">
        <f>IFERROR(IF(SUMIFS(tblDaily[Discharges],tblDaily[EntryDate],DATE(2026,10,15),tblDaily[WardCode],"CW")=0,"",SUMIFS(tblDaily[Discharges],tblDaily[EntryDate],DATE(2026,10,15),tblDaily[WardCode],"CW")),"")</f>
        <v/>
      </c>
      <c r="D372" s="5" t="str">
        <f>IFERROR(IF(SUMIFS(tblDaily[Deaths],tblDaily[EntryDate],DATE(2026,10,15),tblDaily[WardCode],"CW")=0,"",SUMIFS(tblDaily[Deaths],tblDaily[EntryDate],DATE(2026,10,15),tblDaily[WardCode],"CW")),"")</f>
        <v/>
      </c>
      <c r="E372" s="5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5" t="str">
        <f>IFERROR(IF(SUMIFS(tblDaily[TransfersIn],tblDaily[EntryDate],DATE(2026,10,15),tblDaily[WardCode],"CW")=0,"",SUMIFS(tblDaily[TransfersIn],tblDaily[EntryDate],DATE(2026,10,15),tblDaily[WardCode],"CW")),"")</f>
        <v/>
      </c>
      <c r="G372" s="5" t="str">
        <f>IFERROR(IF(SUMIFS(tblDaily[TransfersOut],tblDaily[EntryDate],DATE(2026,10,15),tblDaily[WardCode],"CW")=0,"",SUMIFS(tblDaily[TransfersOut],tblDaily[EntryDate],DATE(2026,10,15),tblDaily[WardCode],"CW")),"")</f>
        <v/>
      </c>
      <c r="H372" s="5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IFERROR(IF(SUMIFS(tblDaily[Admissions],tblDaily[EntryDate],DATE(2026,10,16),tblDaily[WardCode],"CW")=0,"",SUMIFS(tblDaily[Admissions],tblDaily[EntryDate],DATE(2026,10,16),tblDaily[WardCode],"CW")),"")</f>
        <v/>
      </c>
      <c r="C373" s="5" t="str">
        <f>IFERROR(IF(SUMIFS(tblDaily[Discharges],tblDaily[EntryDate],DATE(2026,10,16),tblDaily[WardCode],"CW")=0,"",SUMIFS(tblDaily[Discharges],tblDaily[EntryDate],DATE(2026,10,16),tblDaily[WardCode],"CW")),"")</f>
        <v/>
      </c>
      <c r="D373" s="5" t="str">
        <f>IFERROR(IF(SUMIFS(tblDaily[Deaths],tblDaily[EntryDate],DATE(2026,10,16),tblDaily[WardCode],"CW")=0,"",SUMIFS(tblDaily[Deaths],tblDaily[EntryDate],DATE(2026,10,16),tblDaily[WardCode],"CW")),"")</f>
        <v/>
      </c>
      <c r="E373" s="5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5" t="str">
        <f>IFERROR(IF(SUMIFS(tblDaily[TransfersIn],tblDaily[EntryDate],DATE(2026,10,16),tblDaily[WardCode],"CW")=0,"",SUMIFS(tblDaily[TransfersIn],tblDaily[EntryDate],DATE(2026,10,16),tblDaily[WardCode],"CW")),"")</f>
        <v/>
      </c>
      <c r="G373" s="5" t="str">
        <f>IFERROR(IF(SUMIFS(tblDaily[TransfersOut],tblDaily[EntryDate],DATE(2026,10,16),tblDaily[WardCode],"CW")=0,"",SUMIFS(tblDaily[TransfersOut],tblDaily[EntryDate],DATE(2026,10,16),tblDaily[WardCode],"CW")),"")</f>
        <v/>
      </c>
      <c r="H373" s="5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IFERROR(IF(SUMIFS(tblDaily[Admissions],tblDaily[EntryDate],DATE(2026,10,17),tblDaily[WardCode],"CW")=0,"",SUMIFS(tblDaily[Admissions],tblDaily[EntryDate],DATE(2026,10,17),tblDaily[WardCode],"CW")),"")</f>
        <v/>
      </c>
      <c r="C374" s="5" t="str">
        <f>IFERROR(IF(SUMIFS(tblDaily[Discharges],tblDaily[EntryDate],DATE(2026,10,17),tblDaily[WardCode],"CW")=0,"",SUMIFS(tblDaily[Discharges],tblDaily[EntryDate],DATE(2026,10,17),tblDaily[WardCode],"CW")),"")</f>
        <v/>
      </c>
      <c r="D374" s="5" t="str">
        <f>IFERROR(IF(SUMIFS(tblDaily[Deaths],tblDaily[EntryDate],DATE(2026,10,17),tblDaily[WardCode],"CW")=0,"",SUMIFS(tblDaily[Deaths],tblDaily[EntryDate],DATE(2026,10,17),tblDaily[WardCode],"CW")),"")</f>
        <v/>
      </c>
      <c r="E374" s="5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5" t="str">
        <f>IFERROR(IF(SUMIFS(tblDaily[TransfersIn],tblDaily[EntryDate],DATE(2026,10,17),tblDaily[WardCode],"CW")=0,"",SUMIFS(tblDaily[TransfersIn],tblDaily[EntryDate],DATE(2026,10,17),tblDaily[WardCode],"CW")),"")</f>
        <v/>
      </c>
      <c r="G374" s="5" t="str">
        <f>IFERROR(IF(SUMIFS(tblDaily[TransfersOut],tblDaily[EntryDate],DATE(2026,10,17),tblDaily[WardCode],"CW")=0,"",SUMIFS(tblDaily[TransfersOut],tblDaily[EntryDate],DATE(2026,10,17),tblDaily[WardCode],"CW")),"")</f>
        <v/>
      </c>
      <c r="H374" s="5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IFERROR(IF(SUMIFS(tblDaily[Admissions],tblDaily[EntryDate],DATE(2026,10,18),tblDaily[WardCode],"CW")=0,"",SUMIFS(tblDaily[Admissions],tblDaily[EntryDate],DATE(2026,10,18),tblDaily[WardCode],"CW")),"")</f>
        <v/>
      </c>
      <c r="C375" s="5" t="str">
        <f>IFERROR(IF(SUMIFS(tblDaily[Discharges],tblDaily[EntryDate],DATE(2026,10,18),tblDaily[WardCode],"CW")=0,"",SUMIFS(tblDaily[Discharges],tblDaily[EntryDate],DATE(2026,10,18),tblDaily[WardCode],"CW")),"")</f>
        <v/>
      </c>
      <c r="D375" s="5" t="str">
        <f>IFERROR(IF(SUMIFS(tblDaily[Deaths],tblDaily[EntryDate],DATE(2026,10,18),tblDaily[WardCode],"CW")=0,"",SUMIFS(tblDaily[Deaths],tblDaily[EntryDate],DATE(2026,10,18),tblDaily[WardCode],"CW")),"")</f>
        <v/>
      </c>
      <c r="E375" s="5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5" t="str">
        <f>IFERROR(IF(SUMIFS(tblDaily[TransfersIn],tblDaily[EntryDate],DATE(2026,10,18),tblDaily[WardCode],"CW")=0,"",SUMIFS(tblDaily[TransfersIn],tblDaily[EntryDate],DATE(2026,10,18),tblDaily[WardCode],"CW")),"")</f>
        <v/>
      </c>
      <c r="G375" s="5" t="str">
        <f>IFERROR(IF(SUMIFS(tblDaily[TransfersOut],tblDaily[EntryDate],DATE(2026,10,18),tblDaily[WardCode],"CW")=0,"",SUMIFS(tblDaily[TransfersOut],tblDaily[EntryDate],DATE(2026,10,18),tblDaily[WardCode],"CW")),"")</f>
        <v/>
      </c>
      <c r="H375" s="5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IFERROR(IF(SUMIFS(tblDaily[Admissions],tblDaily[EntryDate],DATE(2026,10,19),tblDaily[WardCode],"CW")=0,"",SUMIFS(tblDaily[Admissions],tblDaily[EntryDate],DATE(2026,10,19),tblDaily[WardCode],"CW")),"")</f>
        <v/>
      </c>
      <c r="C376" s="5" t="str">
        <f>IFERROR(IF(SUMIFS(tblDaily[Discharges],tblDaily[EntryDate],DATE(2026,10,19),tblDaily[WardCode],"CW")=0,"",SUMIFS(tblDaily[Discharges],tblDaily[EntryDate],DATE(2026,10,19),tblDaily[WardCode],"CW")),"")</f>
        <v/>
      </c>
      <c r="D376" s="5" t="str">
        <f>IFERROR(IF(SUMIFS(tblDaily[Deaths],tblDaily[EntryDate],DATE(2026,10,19),tblDaily[WardCode],"CW")=0,"",SUMIFS(tblDaily[Deaths],tblDaily[EntryDate],DATE(2026,10,19),tblDaily[WardCode],"CW")),"")</f>
        <v/>
      </c>
      <c r="E376" s="5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5" t="str">
        <f>IFERROR(IF(SUMIFS(tblDaily[TransfersIn],tblDaily[EntryDate],DATE(2026,10,19),tblDaily[WardCode],"CW")=0,"",SUMIFS(tblDaily[TransfersIn],tblDaily[EntryDate],DATE(2026,10,19),tblDaily[WardCode],"CW")),"")</f>
        <v/>
      </c>
      <c r="G376" s="5" t="str">
        <f>IFERROR(IF(SUMIFS(tblDaily[TransfersOut],tblDaily[EntryDate],DATE(2026,10,19),tblDaily[WardCode],"CW")=0,"",SUMIFS(tblDaily[TransfersOut],tblDaily[EntryDate],DATE(2026,10,19),tblDaily[WardCode],"CW")),"")</f>
        <v/>
      </c>
      <c r="H376" s="5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IFERROR(IF(SUMIFS(tblDaily[Admissions],tblDaily[EntryDate],DATE(2026,10,20),tblDaily[WardCode],"CW")=0,"",SUMIFS(tblDaily[Admissions],tblDaily[EntryDate],DATE(2026,10,20),tblDaily[WardCode],"CW")),"")</f>
        <v/>
      </c>
      <c r="C377" s="5" t="str">
        <f>IFERROR(IF(SUMIFS(tblDaily[Discharges],tblDaily[EntryDate],DATE(2026,10,20),tblDaily[WardCode],"CW")=0,"",SUMIFS(tblDaily[Discharges],tblDaily[EntryDate],DATE(2026,10,20),tblDaily[WardCode],"CW")),"")</f>
        <v/>
      </c>
      <c r="D377" s="5" t="str">
        <f>IFERROR(IF(SUMIFS(tblDaily[Deaths],tblDaily[EntryDate],DATE(2026,10,20),tblDaily[WardCode],"CW")=0,"",SUMIFS(tblDaily[Deaths],tblDaily[EntryDate],DATE(2026,10,20),tblDaily[WardCode],"CW")),"")</f>
        <v/>
      </c>
      <c r="E377" s="5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5" t="str">
        <f>IFERROR(IF(SUMIFS(tblDaily[TransfersIn],tblDaily[EntryDate],DATE(2026,10,20),tblDaily[WardCode],"CW")=0,"",SUMIFS(tblDaily[TransfersIn],tblDaily[EntryDate],DATE(2026,10,20),tblDaily[WardCode],"CW")),"")</f>
        <v/>
      </c>
      <c r="G377" s="5" t="str">
        <f>IFERROR(IF(SUMIFS(tblDaily[TransfersOut],tblDaily[EntryDate],DATE(2026,10,20),tblDaily[WardCode],"CW")=0,"",SUMIFS(tblDaily[TransfersOut],tblDaily[EntryDate],DATE(2026,10,20),tblDaily[WardCode],"CW")),"")</f>
        <v/>
      </c>
      <c r="H377" s="5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IFERROR(IF(SUMIFS(tblDaily[Admissions],tblDaily[EntryDate],DATE(2026,10,21),tblDaily[WardCode],"CW")=0,"",SUMIFS(tblDaily[Admissions],tblDaily[EntryDate],DATE(2026,10,21),tblDaily[WardCode],"CW")),"")</f>
        <v/>
      </c>
      <c r="C378" s="5" t="str">
        <f>IFERROR(IF(SUMIFS(tblDaily[Discharges],tblDaily[EntryDate],DATE(2026,10,21),tblDaily[WardCode],"CW")=0,"",SUMIFS(tblDaily[Discharges],tblDaily[EntryDate],DATE(2026,10,21),tblDaily[WardCode],"CW")),"")</f>
        <v/>
      </c>
      <c r="D378" s="5" t="str">
        <f>IFERROR(IF(SUMIFS(tblDaily[Deaths],tblDaily[EntryDate],DATE(2026,10,21),tblDaily[WardCode],"CW")=0,"",SUMIFS(tblDaily[Deaths],tblDaily[EntryDate],DATE(2026,10,21),tblDaily[WardCode],"CW")),"")</f>
        <v/>
      </c>
      <c r="E378" s="5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5" t="str">
        <f>IFERROR(IF(SUMIFS(tblDaily[TransfersIn],tblDaily[EntryDate],DATE(2026,10,21),tblDaily[WardCode],"CW")=0,"",SUMIFS(tblDaily[TransfersIn],tblDaily[EntryDate],DATE(2026,10,21),tblDaily[WardCode],"CW")),"")</f>
        <v/>
      </c>
      <c r="G378" s="5" t="str">
        <f>IFERROR(IF(SUMIFS(tblDaily[TransfersOut],tblDaily[EntryDate],DATE(2026,10,21),tblDaily[WardCode],"CW")=0,"",SUMIFS(tblDaily[TransfersOut],tblDaily[EntryDate],DATE(2026,10,21),tblDaily[WardCode],"CW")),"")</f>
        <v/>
      </c>
      <c r="H378" s="5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IFERROR(IF(SUMIFS(tblDaily[Admissions],tblDaily[EntryDate],DATE(2026,10,22),tblDaily[WardCode],"CW")=0,"",SUMIFS(tblDaily[Admissions],tblDaily[EntryDate],DATE(2026,10,22),tblDaily[WardCode],"CW")),"")</f>
        <v/>
      </c>
      <c r="C379" s="5" t="str">
        <f>IFERROR(IF(SUMIFS(tblDaily[Discharges],tblDaily[EntryDate],DATE(2026,10,22),tblDaily[WardCode],"CW")=0,"",SUMIFS(tblDaily[Discharges],tblDaily[EntryDate],DATE(2026,10,22),tblDaily[WardCode],"CW")),"")</f>
        <v/>
      </c>
      <c r="D379" s="5" t="str">
        <f>IFERROR(IF(SUMIFS(tblDaily[Deaths],tblDaily[EntryDate],DATE(2026,10,22),tblDaily[WardCode],"CW")=0,"",SUMIFS(tblDaily[Deaths],tblDaily[EntryDate],DATE(2026,10,22),tblDaily[WardCode],"CW")),"")</f>
        <v/>
      </c>
      <c r="E379" s="5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5" t="str">
        <f>IFERROR(IF(SUMIFS(tblDaily[TransfersIn],tblDaily[EntryDate],DATE(2026,10,22),tblDaily[WardCode],"CW")=0,"",SUMIFS(tblDaily[TransfersIn],tblDaily[EntryDate],DATE(2026,10,22),tblDaily[WardCode],"CW")),"")</f>
        <v/>
      </c>
      <c r="G379" s="5" t="str">
        <f>IFERROR(IF(SUMIFS(tblDaily[TransfersOut],tblDaily[EntryDate],DATE(2026,10,22),tblDaily[WardCode],"CW")=0,"",SUMIFS(tblDaily[TransfersOut],tblDaily[EntryDate],DATE(2026,10,22),tblDaily[WardCode],"CW")),"")</f>
        <v/>
      </c>
      <c r="H379" s="5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IFERROR(IF(SUMIFS(tblDaily[Admissions],tblDaily[EntryDate],DATE(2026,10,23),tblDaily[WardCode],"CW")=0,"",SUMIFS(tblDaily[Admissions],tblDaily[EntryDate],DATE(2026,10,23),tblDaily[WardCode],"CW")),"")</f>
        <v/>
      </c>
      <c r="C380" s="5" t="str">
        <f>IFERROR(IF(SUMIFS(tblDaily[Discharges],tblDaily[EntryDate],DATE(2026,10,23),tblDaily[WardCode],"CW")=0,"",SUMIFS(tblDaily[Discharges],tblDaily[EntryDate],DATE(2026,10,23),tblDaily[WardCode],"CW")),"")</f>
        <v/>
      </c>
      <c r="D380" s="5" t="str">
        <f>IFERROR(IF(SUMIFS(tblDaily[Deaths],tblDaily[EntryDate],DATE(2026,10,23),tblDaily[WardCode],"CW")=0,"",SUMIFS(tblDaily[Deaths],tblDaily[EntryDate],DATE(2026,10,23),tblDaily[WardCode],"CW")),"")</f>
        <v/>
      </c>
      <c r="E380" s="5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5" t="str">
        <f>IFERROR(IF(SUMIFS(tblDaily[TransfersIn],tblDaily[EntryDate],DATE(2026,10,23),tblDaily[WardCode],"CW")=0,"",SUMIFS(tblDaily[TransfersIn],tblDaily[EntryDate],DATE(2026,10,23),tblDaily[WardCode],"CW")),"")</f>
        <v/>
      </c>
      <c r="G380" s="5" t="str">
        <f>IFERROR(IF(SUMIFS(tblDaily[TransfersOut],tblDaily[EntryDate],DATE(2026,10,23),tblDaily[WardCode],"CW")=0,"",SUMIFS(tblDaily[TransfersOut],tblDaily[EntryDate],DATE(2026,10,23),tblDaily[WardCode],"CW")),"")</f>
        <v/>
      </c>
      <c r="H380" s="5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IFERROR(IF(SUMIFS(tblDaily[Admissions],tblDaily[EntryDate],DATE(2026,10,24),tblDaily[WardCode],"CW")=0,"",SUMIFS(tblDaily[Admissions],tblDaily[EntryDate],DATE(2026,10,24),tblDaily[WardCode],"CW")),"")</f>
        <v/>
      </c>
      <c r="C381" s="5" t="str">
        <f>IFERROR(IF(SUMIFS(tblDaily[Discharges],tblDaily[EntryDate],DATE(2026,10,24),tblDaily[WardCode],"CW")=0,"",SUMIFS(tblDaily[Discharges],tblDaily[EntryDate],DATE(2026,10,24),tblDaily[WardCode],"CW")),"")</f>
        <v/>
      </c>
      <c r="D381" s="5" t="str">
        <f>IFERROR(IF(SUMIFS(tblDaily[Deaths],tblDaily[EntryDate],DATE(2026,10,24),tblDaily[WardCode],"CW")=0,"",SUMIFS(tblDaily[Deaths],tblDaily[EntryDate],DATE(2026,10,24),tblDaily[WardCode],"CW")),"")</f>
        <v/>
      </c>
      <c r="E381" s="5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5" t="str">
        <f>IFERROR(IF(SUMIFS(tblDaily[TransfersIn],tblDaily[EntryDate],DATE(2026,10,24),tblDaily[WardCode],"CW")=0,"",SUMIFS(tblDaily[TransfersIn],tblDaily[EntryDate],DATE(2026,10,24),tblDaily[WardCode],"CW")),"")</f>
        <v/>
      </c>
      <c r="G381" s="5" t="str">
        <f>IFERROR(IF(SUMIFS(tblDaily[TransfersOut],tblDaily[EntryDate],DATE(2026,10,24),tblDaily[WardCode],"CW")=0,"",SUMIFS(tblDaily[TransfersOut],tblDaily[EntryDate],DATE(2026,10,24),tblDaily[WardCode],"CW")),"")</f>
        <v/>
      </c>
      <c r="H381" s="5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IFERROR(IF(SUMIFS(tblDaily[Admissions],tblDaily[EntryDate],DATE(2026,10,25),tblDaily[WardCode],"CW")=0,"",SUMIFS(tblDaily[Admissions],tblDaily[EntryDate],DATE(2026,10,25),tblDaily[WardCode],"CW")),"")</f>
        <v/>
      </c>
      <c r="C382" s="5" t="str">
        <f>IFERROR(IF(SUMIFS(tblDaily[Discharges],tblDaily[EntryDate],DATE(2026,10,25),tblDaily[WardCode],"CW")=0,"",SUMIFS(tblDaily[Discharges],tblDaily[EntryDate],DATE(2026,10,25),tblDaily[WardCode],"CW")),"")</f>
        <v/>
      </c>
      <c r="D382" s="5" t="str">
        <f>IFERROR(IF(SUMIFS(tblDaily[Deaths],tblDaily[EntryDate],DATE(2026,10,25),tblDaily[WardCode],"CW")=0,"",SUMIFS(tblDaily[Deaths],tblDaily[EntryDate],DATE(2026,10,25),tblDaily[WardCode],"CW")),"")</f>
        <v/>
      </c>
      <c r="E382" s="5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5" t="str">
        <f>IFERROR(IF(SUMIFS(tblDaily[TransfersIn],tblDaily[EntryDate],DATE(2026,10,25),tblDaily[WardCode],"CW")=0,"",SUMIFS(tblDaily[TransfersIn],tblDaily[EntryDate],DATE(2026,10,25),tblDaily[WardCode],"CW")),"")</f>
        <v/>
      </c>
      <c r="G382" s="5" t="str">
        <f>IFERROR(IF(SUMIFS(tblDaily[TransfersOut],tblDaily[EntryDate],DATE(2026,10,25),tblDaily[WardCode],"CW")=0,"",SUMIFS(tblDaily[TransfersOut],tblDaily[EntryDate],DATE(2026,10,25),tblDaily[WardCode],"CW")),"")</f>
        <v/>
      </c>
      <c r="H382" s="5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IFERROR(IF(SUMIFS(tblDaily[Admissions],tblDaily[EntryDate],DATE(2026,10,26),tblDaily[WardCode],"CW")=0,"",SUMIFS(tblDaily[Admissions],tblDaily[EntryDate],DATE(2026,10,26),tblDaily[WardCode],"CW")),"")</f>
        <v/>
      </c>
      <c r="C383" s="5" t="str">
        <f>IFERROR(IF(SUMIFS(tblDaily[Discharges],tblDaily[EntryDate],DATE(2026,10,26),tblDaily[WardCode],"CW")=0,"",SUMIFS(tblDaily[Discharges],tblDaily[EntryDate],DATE(2026,10,26),tblDaily[WardCode],"CW")),"")</f>
        <v/>
      </c>
      <c r="D383" s="5" t="str">
        <f>IFERROR(IF(SUMIFS(tblDaily[Deaths],tblDaily[EntryDate],DATE(2026,10,26),tblDaily[WardCode],"CW")=0,"",SUMIFS(tblDaily[Deaths],tblDaily[EntryDate],DATE(2026,10,26),tblDaily[WardCode],"CW")),"")</f>
        <v/>
      </c>
      <c r="E383" s="5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5" t="str">
        <f>IFERROR(IF(SUMIFS(tblDaily[TransfersIn],tblDaily[EntryDate],DATE(2026,10,26),tblDaily[WardCode],"CW")=0,"",SUMIFS(tblDaily[TransfersIn],tblDaily[EntryDate],DATE(2026,10,26),tblDaily[WardCode],"CW")),"")</f>
        <v/>
      </c>
      <c r="G383" s="5" t="str">
        <f>IFERROR(IF(SUMIFS(tblDaily[TransfersOut],tblDaily[EntryDate],DATE(2026,10,26),tblDaily[WardCode],"CW")=0,"",SUMIFS(tblDaily[TransfersOut],tblDaily[EntryDate],DATE(2026,10,26),tblDaily[WardCode],"CW")),"")</f>
        <v/>
      </c>
      <c r="H383" s="5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IFERROR(IF(SUMIFS(tblDaily[Admissions],tblDaily[EntryDate],DATE(2026,10,27),tblDaily[WardCode],"CW")=0,"",SUMIFS(tblDaily[Admissions],tblDaily[EntryDate],DATE(2026,10,27),tblDaily[WardCode],"CW")),"")</f>
        <v/>
      </c>
      <c r="C384" s="5" t="str">
        <f>IFERROR(IF(SUMIFS(tblDaily[Discharges],tblDaily[EntryDate],DATE(2026,10,27),tblDaily[WardCode],"CW")=0,"",SUMIFS(tblDaily[Discharges],tblDaily[EntryDate],DATE(2026,10,27),tblDaily[WardCode],"CW")),"")</f>
        <v/>
      </c>
      <c r="D384" s="5" t="str">
        <f>IFERROR(IF(SUMIFS(tblDaily[Deaths],tblDaily[EntryDate],DATE(2026,10,27),tblDaily[WardCode],"CW")=0,"",SUMIFS(tblDaily[Deaths],tblDaily[EntryDate],DATE(2026,10,27),tblDaily[WardCode],"CW")),"")</f>
        <v/>
      </c>
      <c r="E384" s="5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5" t="str">
        <f>IFERROR(IF(SUMIFS(tblDaily[TransfersIn],tblDaily[EntryDate],DATE(2026,10,27),tblDaily[WardCode],"CW")=0,"",SUMIFS(tblDaily[TransfersIn],tblDaily[EntryDate],DATE(2026,10,27),tblDaily[WardCode],"CW")),"")</f>
        <v/>
      </c>
      <c r="G384" s="5" t="str">
        <f>IFERROR(IF(SUMIFS(tblDaily[TransfersOut],tblDaily[EntryDate],DATE(2026,10,27),tblDaily[WardCode],"CW")=0,"",SUMIFS(tblDaily[TransfersOut],tblDaily[EntryDate],DATE(2026,10,27),tblDaily[WardCode],"CW")),"")</f>
        <v/>
      </c>
      <c r="H384" s="5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IFERROR(IF(SUMIFS(tblDaily[Admissions],tblDaily[EntryDate],DATE(2026,10,28),tblDaily[WardCode],"CW")=0,"",SUMIFS(tblDaily[Admissions],tblDaily[EntryDate],DATE(2026,10,28),tblDaily[WardCode],"CW")),"")</f>
        <v/>
      </c>
      <c r="C385" s="5" t="str">
        <f>IFERROR(IF(SUMIFS(tblDaily[Discharges],tblDaily[EntryDate],DATE(2026,10,28),tblDaily[WardCode],"CW")=0,"",SUMIFS(tblDaily[Discharges],tblDaily[EntryDate],DATE(2026,10,28),tblDaily[WardCode],"CW")),"")</f>
        <v/>
      </c>
      <c r="D385" s="5" t="str">
        <f>IFERROR(IF(SUMIFS(tblDaily[Deaths],tblDaily[EntryDate],DATE(2026,10,28),tblDaily[WardCode],"CW")=0,"",SUMIFS(tblDaily[Deaths],tblDaily[EntryDate],DATE(2026,10,28),tblDaily[WardCode],"CW")),"")</f>
        <v/>
      </c>
      <c r="E385" s="5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5" t="str">
        <f>IFERROR(IF(SUMIFS(tblDaily[TransfersIn],tblDaily[EntryDate],DATE(2026,10,28),tblDaily[WardCode],"CW")=0,"",SUMIFS(tblDaily[TransfersIn],tblDaily[EntryDate],DATE(2026,10,28),tblDaily[WardCode],"CW")),"")</f>
        <v/>
      </c>
      <c r="G385" s="5" t="str">
        <f>IFERROR(IF(SUMIFS(tblDaily[TransfersOut],tblDaily[EntryDate],DATE(2026,10,28),tblDaily[WardCode],"CW")=0,"",SUMIFS(tblDaily[TransfersOut],tblDaily[EntryDate],DATE(2026,10,28),tblDaily[WardCode],"CW")),"")</f>
        <v/>
      </c>
      <c r="H385" s="5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IFERROR(IF(SUMIFS(tblDaily[Admissions],tblDaily[EntryDate],DATE(2026,10,29),tblDaily[WardCode],"CW")=0,"",SUMIFS(tblDaily[Admissions],tblDaily[EntryDate],DATE(2026,10,29),tblDaily[WardCode],"CW")),"")</f>
        <v/>
      </c>
      <c r="C386" s="5" t="str">
        <f>IFERROR(IF(SUMIFS(tblDaily[Discharges],tblDaily[EntryDate],DATE(2026,10,29),tblDaily[WardCode],"CW")=0,"",SUMIFS(tblDaily[Discharges],tblDaily[EntryDate],DATE(2026,10,29),tblDaily[WardCode],"CW")),"")</f>
        <v/>
      </c>
      <c r="D386" s="5" t="str">
        <f>IFERROR(IF(SUMIFS(tblDaily[Deaths],tblDaily[EntryDate],DATE(2026,10,29),tblDaily[WardCode],"CW")=0,"",SUMIFS(tblDaily[Deaths],tblDaily[EntryDate],DATE(2026,10,29),tblDaily[WardCode],"CW")),"")</f>
        <v/>
      </c>
      <c r="E386" s="5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5" t="str">
        <f>IFERROR(IF(SUMIFS(tblDaily[TransfersIn],tblDaily[EntryDate],DATE(2026,10,29),tblDaily[WardCode],"CW")=0,"",SUMIFS(tblDaily[TransfersIn],tblDaily[EntryDate],DATE(2026,10,29),tblDaily[WardCode],"CW")),"")</f>
        <v/>
      </c>
      <c r="G386" s="5" t="str">
        <f>IFERROR(IF(SUMIFS(tblDaily[TransfersOut],tblDaily[EntryDate],DATE(2026,10,29),tblDaily[WardCode],"CW")=0,"",SUMIFS(tblDaily[TransfersOut],tblDaily[EntryDate],DATE(2026,10,29),tblDaily[WardCode],"CW")),"")</f>
        <v/>
      </c>
      <c r="H386" s="5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IFERROR(IF(SUMIFS(tblDaily[Admissions],tblDaily[EntryDate],DATE(2026,10,30),tblDaily[WardCode],"CW")=0,"",SUMIFS(tblDaily[Admissions],tblDaily[EntryDate],DATE(2026,10,30),tblDaily[WardCode],"CW")),"")</f>
        <v/>
      </c>
      <c r="C387" s="5" t="str">
        <f>IFERROR(IF(SUMIFS(tblDaily[Discharges],tblDaily[EntryDate],DATE(2026,10,30),tblDaily[WardCode],"CW")=0,"",SUMIFS(tblDaily[Discharges],tblDaily[EntryDate],DATE(2026,10,30),tblDaily[WardCode],"CW")),"")</f>
        <v/>
      </c>
      <c r="D387" s="5" t="str">
        <f>IFERROR(IF(SUMIFS(tblDaily[Deaths],tblDaily[EntryDate],DATE(2026,10,30),tblDaily[WardCode],"CW")=0,"",SUMIFS(tblDaily[Deaths],tblDaily[EntryDate],DATE(2026,10,30),tblDaily[WardCode],"CW")),"")</f>
        <v/>
      </c>
      <c r="E387" s="5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5" t="str">
        <f>IFERROR(IF(SUMIFS(tblDaily[TransfersIn],tblDaily[EntryDate],DATE(2026,10,30),tblDaily[WardCode],"CW")=0,"",SUMIFS(tblDaily[TransfersIn],tblDaily[EntryDate],DATE(2026,10,30),tblDaily[WardCode],"CW")),"")</f>
        <v/>
      </c>
      <c r="G387" s="5" t="str">
        <f>IFERROR(IF(SUMIFS(tblDaily[TransfersOut],tblDaily[EntryDate],DATE(2026,10,30),tblDaily[WardCode],"CW")=0,"",SUMIFS(tblDaily[TransfersOut],tblDaily[EntryDate],DATE(2026,10,30),tblDaily[WardCode],"CW")),"")</f>
        <v/>
      </c>
      <c r="H387" s="5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IFERROR(IF(SUMIFS(tblDaily[Admissions],tblDaily[EntryDate],DATE(2026,10,31),tblDaily[WardCode],"CW")=0,"",SUMIFS(tblDaily[Admissions],tblDaily[EntryDate],DATE(2026,10,31),tblDaily[WardCode],"CW")),"")</f>
        <v/>
      </c>
      <c r="C388" s="5" t="str">
        <f>IFERROR(IF(SUMIFS(tblDaily[Discharges],tblDaily[EntryDate],DATE(2026,10,31),tblDaily[WardCode],"CW")=0,"",SUMIFS(tblDaily[Discharges],tblDaily[EntryDate],DATE(2026,10,31),tblDaily[WardCode],"CW")),"")</f>
        <v/>
      </c>
      <c r="D388" s="5" t="str">
        <f>IFERROR(IF(SUMIFS(tblDaily[Deaths],tblDaily[EntryDate],DATE(2026,10,31),tblDaily[WardCode],"CW")=0,"",SUMIFS(tblDaily[Deaths],tblDaily[EntryDate],DATE(2026,10,31),tblDaily[WardCode],"CW")),"")</f>
        <v/>
      </c>
      <c r="E388" s="5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5" t="str">
        <f>IFERROR(IF(SUMIFS(tblDaily[TransfersIn],tblDaily[EntryDate],DATE(2026,10,31),tblDaily[WardCode],"CW")=0,"",SUMIFS(tblDaily[TransfersIn],tblDaily[EntryDate],DATE(2026,10,31),tblDaily[WardCode],"CW")),"")</f>
        <v/>
      </c>
      <c r="G388" s="5" t="str">
        <f>IFERROR(IF(SUMIFS(tblDaily[TransfersOut],tblDaily[EntryDate],DATE(2026,10,31),tblDaily[WardCode],"CW")=0,"",SUMIFS(tblDaily[TransfersOut],tblDaily[EntryDate],DATE(2026,10,31),tblDaily[WardCode],"CW")),"")</f>
        <v/>
      </c>
      <c r="H388" s="5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95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97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89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IFERROR(IF(SUMIFS(tblDaily[Admissions],tblDaily[EntryDate],DATE(2026,11,1),tblDaily[WardCode],"CW")=0,"",SUMIFS(tblDaily[Admissions],tblDaily[EntryDate],DATE(2026,11,1),tblDaily[WardCode],"CW")),"")</f>
        <v/>
      </c>
      <c r="C397" s="5" t="str">
        <f>IFERROR(IF(SUMIFS(tblDaily[Discharges],tblDaily[EntryDate],DATE(2026,11,1),tblDaily[WardCode],"CW")=0,"",SUMIFS(tblDaily[Discharges],tblDaily[EntryDate],DATE(2026,11,1),tblDaily[WardCode],"CW")),"")</f>
        <v/>
      </c>
      <c r="D397" s="5" t="str">
        <f>IFERROR(IF(SUMIFS(tblDaily[Deaths],tblDaily[EntryDate],DATE(2026,11,1),tblDaily[WardCode],"CW")=0,"",SUMIFS(tblDaily[Deaths],tblDaily[EntryDate],DATE(2026,11,1),tblDaily[WardCode],"CW")),"")</f>
        <v/>
      </c>
      <c r="E397" s="5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5" t="str">
        <f>IFERROR(IF(SUMIFS(tblDaily[TransfersIn],tblDaily[EntryDate],DATE(2026,11,1),tblDaily[WardCode],"CW")=0,"",SUMIFS(tblDaily[TransfersIn],tblDaily[EntryDate],DATE(2026,11,1),tblDaily[WardCode],"CW")),"")</f>
        <v/>
      </c>
      <c r="G397" s="5" t="str">
        <f>IFERROR(IF(SUMIFS(tblDaily[TransfersOut],tblDaily[EntryDate],DATE(2026,11,1),tblDaily[WardCode],"CW")=0,"",SUMIFS(tblDaily[TransfersOut],tblDaily[EntryDate],DATE(2026,11,1),tblDaily[WardCode],"CW")),"")</f>
        <v/>
      </c>
      <c r="H397" s="5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IFERROR(IF(SUMIFS(tblDaily[Admissions],tblDaily[EntryDate],DATE(2026,11,2),tblDaily[WardCode],"CW")=0,"",SUMIFS(tblDaily[Admissions],tblDaily[EntryDate],DATE(2026,11,2),tblDaily[WardCode],"CW")),"")</f>
        <v/>
      </c>
      <c r="C398" s="5" t="str">
        <f>IFERROR(IF(SUMIFS(tblDaily[Discharges],tblDaily[EntryDate],DATE(2026,11,2),tblDaily[WardCode],"CW")=0,"",SUMIFS(tblDaily[Discharges],tblDaily[EntryDate],DATE(2026,11,2),tblDaily[WardCode],"CW")),"")</f>
        <v/>
      </c>
      <c r="D398" s="5" t="str">
        <f>IFERROR(IF(SUMIFS(tblDaily[Deaths],tblDaily[EntryDate],DATE(2026,11,2),tblDaily[WardCode],"CW")=0,"",SUMIFS(tblDaily[Deaths],tblDaily[EntryDate],DATE(2026,11,2),tblDaily[WardCode],"CW")),"")</f>
        <v/>
      </c>
      <c r="E398" s="5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5" t="str">
        <f>IFERROR(IF(SUMIFS(tblDaily[TransfersIn],tblDaily[EntryDate],DATE(2026,11,2),tblDaily[WardCode],"CW")=0,"",SUMIFS(tblDaily[TransfersIn],tblDaily[EntryDate],DATE(2026,11,2),tblDaily[WardCode],"CW")),"")</f>
        <v/>
      </c>
      <c r="G398" s="5" t="str">
        <f>IFERROR(IF(SUMIFS(tblDaily[TransfersOut],tblDaily[EntryDate],DATE(2026,11,2),tblDaily[WardCode],"CW")=0,"",SUMIFS(tblDaily[TransfersOut],tblDaily[EntryDate],DATE(2026,11,2),tblDaily[WardCode],"CW")),"")</f>
        <v/>
      </c>
      <c r="H398" s="5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IFERROR(IF(SUMIFS(tblDaily[Admissions],tblDaily[EntryDate],DATE(2026,11,3),tblDaily[WardCode],"CW")=0,"",SUMIFS(tblDaily[Admissions],tblDaily[EntryDate],DATE(2026,11,3),tblDaily[WardCode],"CW")),"")</f>
        <v/>
      </c>
      <c r="C399" s="5" t="str">
        <f>IFERROR(IF(SUMIFS(tblDaily[Discharges],tblDaily[EntryDate],DATE(2026,11,3),tblDaily[WardCode],"CW")=0,"",SUMIFS(tblDaily[Discharges],tblDaily[EntryDate],DATE(2026,11,3),tblDaily[WardCode],"CW")),"")</f>
        <v/>
      </c>
      <c r="D399" s="5" t="str">
        <f>IFERROR(IF(SUMIFS(tblDaily[Deaths],tblDaily[EntryDate],DATE(2026,11,3),tblDaily[WardCode],"CW")=0,"",SUMIFS(tblDaily[Deaths],tblDaily[EntryDate],DATE(2026,11,3),tblDaily[WardCode],"CW")),"")</f>
        <v/>
      </c>
      <c r="E399" s="5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5" t="str">
        <f>IFERROR(IF(SUMIFS(tblDaily[TransfersIn],tblDaily[EntryDate],DATE(2026,11,3),tblDaily[WardCode],"CW")=0,"",SUMIFS(tblDaily[TransfersIn],tblDaily[EntryDate],DATE(2026,11,3),tblDaily[WardCode],"CW")),"")</f>
        <v/>
      </c>
      <c r="G399" s="5" t="str">
        <f>IFERROR(IF(SUMIFS(tblDaily[TransfersOut],tblDaily[EntryDate],DATE(2026,11,3),tblDaily[WardCode],"CW")=0,"",SUMIFS(tblDaily[TransfersOut],tblDaily[EntryDate],DATE(2026,11,3),tblDaily[WardCode],"CW")),"")</f>
        <v/>
      </c>
      <c r="H399" s="5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IFERROR(IF(SUMIFS(tblDaily[Admissions],tblDaily[EntryDate],DATE(2026,11,4),tblDaily[WardCode],"CW")=0,"",SUMIFS(tblDaily[Admissions],tblDaily[EntryDate],DATE(2026,11,4),tblDaily[WardCode],"CW")),"")</f>
        <v/>
      </c>
      <c r="C400" s="5" t="str">
        <f>IFERROR(IF(SUMIFS(tblDaily[Discharges],tblDaily[EntryDate],DATE(2026,11,4),tblDaily[WardCode],"CW")=0,"",SUMIFS(tblDaily[Discharges],tblDaily[EntryDate],DATE(2026,11,4),tblDaily[WardCode],"CW")),"")</f>
        <v/>
      </c>
      <c r="D400" s="5" t="str">
        <f>IFERROR(IF(SUMIFS(tblDaily[Deaths],tblDaily[EntryDate],DATE(2026,11,4),tblDaily[WardCode],"CW")=0,"",SUMIFS(tblDaily[Deaths],tblDaily[EntryDate],DATE(2026,11,4),tblDaily[WardCode],"CW")),"")</f>
        <v/>
      </c>
      <c r="E400" s="5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5" t="str">
        <f>IFERROR(IF(SUMIFS(tblDaily[TransfersIn],tblDaily[EntryDate],DATE(2026,11,4),tblDaily[WardCode],"CW")=0,"",SUMIFS(tblDaily[TransfersIn],tblDaily[EntryDate],DATE(2026,11,4),tblDaily[WardCode],"CW")),"")</f>
        <v/>
      </c>
      <c r="G400" s="5" t="str">
        <f>IFERROR(IF(SUMIFS(tblDaily[TransfersOut],tblDaily[EntryDate],DATE(2026,11,4),tblDaily[WardCode],"CW")=0,"",SUMIFS(tblDaily[TransfersOut],tblDaily[EntryDate],DATE(2026,11,4),tblDaily[WardCode],"CW")),"")</f>
        <v/>
      </c>
      <c r="H400" s="5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IFERROR(IF(SUMIFS(tblDaily[Admissions],tblDaily[EntryDate],DATE(2026,11,5),tblDaily[WardCode],"CW")=0,"",SUMIFS(tblDaily[Admissions],tblDaily[EntryDate],DATE(2026,11,5),tblDaily[WardCode],"CW")),"")</f>
        <v/>
      </c>
      <c r="C401" s="5" t="str">
        <f>IFERROR(IF(SUMIFS(tblDaily[Discharges],tblDaily[EntryDate],DATE(2026,11,5),tblDaily[WardCode],"CW")=0,"",SUMIFS(tblDaily[Discharges],tblDaily[EntryDate],DATE(2026,11,5),tblDaily[WardCode],"CW")),"")</f>
        <v/>
      </c>
      <c r="D401" s="5" t="str">
        <f>IFERROR(IF(SUMIFS(tblDaily[Deaths],tblDaily[EntryDate],DATE(2026,11,5),tblDaily[WardCode],"CW")=0,"",SUMIFS(tblDaily[Deaths],tblDaily[EntryDate],DATE(2026,11,5),tblDaily[WardCode],"CW")),"")</f>
        <v/>
      </c>
      <c r="E401" s="5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5" t="str">
        <f>IFERROR(IF(SUMIFS(tblDaily[TransfersIn],tblDaily[EntryDate],DATE(2026,11,5),tblDaily[WardCode],"CW")=0,"",SUMIFS(tblDaily[TransfersIn],tblDaily[EntryDate],DATE(2026,11,5),tblDaily[WardCode],"CW")),"")</f>
        <v/>
      </c>
      <c r="G401" s="5" t="str">
        <f>IFERROR(IF(SUMIFS(tblDaily[TransfersOut],tblDaily[EntryDate],DATE(2026,11,5),tblDaily[WardCode],"CW")=0,"",SUMIFS(tblDaily[TransfersOut],tblDaily[EntryDate],DATE(2026,11,5),tblDaily[WardCode],"CW")),"")</f>
        <v/>
      </c>
      <c r="H401" s="5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IFERROR(IF(SUMIFS(tblDaily[Admissions],tblDaily[EntryDate],DATE(2026,11,6),tblDaily[WardCode],"CW")=0,"",SUMIFS(tblDaily[Admissions],tblDaily[EntryDate],DATE(2026,11,6),tblDaily[WardCode],"CW")),"")</f>
        <v/>
      </c>
      <c r="C402" s="5" t="str">
        <f>IFERROR(IF(SUMIFS(tblDaily[Discharges],tblDaily[EntryDate],DATE(2026,11,6),tblDaily[WardCode],"CW")=0,"",SUMIFS(tblDaily[Discharges],tblDaily[EntryDate],DATE(2026,11,6),tblDaily[WardCode],"CW")),"")</f>
        <v/>
      </c>
      <c r="D402" s="5" t="str">
        <f>IFERROR(IF(SUMIFS(tblDaily[Deaths],tblDaily[EntryDate],DATE(2026,11,6),tblDaily[WardCode],"CW")=0,"",SUMIFS(tblDaily[Deaths],tblDaily[EntryDate],DATE(2026,11,6),tblDaily[WardCode],"CW")),"")</f>
        <v/>
      </c>
      <c r="E402" s="5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5" t="str">
        <f>IFERROR(IF(SUMIFS(tblDaily[TransfersIn],tblDaily[EntryDate],DATE(2026,11,6),tblDaily[WardCode],"CW")=0,"",SUMIFS(tblDaily[TransfersIn],tblDaily[EntryDate],DATE(2026,11,6),tblDaily[WardCode],"CW")),"")</f>
        <v/>
      </c>
      <c r="G402" s="5" t="str">
        <f>IFERROR(IF(SUMIFS(tblDaily[TransfersOut],tblDaily[EntryDate],DATE(2026,11,6),tblDaily[WardCode],"CW")=0,"",SUMIFS(tblDaily[TransfersOut],tblDaily[EntryDate],DATE(2026,11,6),tblDaily[WardCode],"CW")),"")</f>
        <v/>
      </c>
      <c r="H402" s="5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IFERROR(IF(SUMIFS(tblDaily[Admissions],tblDaily[EntryDate],DATE(2026,11,7),tblDaily[WardCode],"CW")=0,"",SUMIFS(tblDaily[Admissions],tblDaily[EntryDate],DATE(2026,11,7),tblDaily[WardCode],"CW")),"")</f>
        <v/>
      </c>
      <c r="C403" s="5" t="str">
        <f>IFERROR(IF(SUMIFS(tblDaily[Discharges],tblDaily[EntryDate],DATE(2026,11,7),tblDaily[WardCode],"CW")=0,"",SUMIFS(tblDaily[Discharges],tblDaily[EntryDate],DATE(2026,11,7),tblDaily[WardCode],"CW")),"")</f>
        <v/>
      </c>
      <c r="D403" s="5" t="str">
        <f>IFERROR(IF(SUMIFS(tblDaily[Deaths],tblDaily[EntryDate],DATE(2026,11,7),tblDaily[WardCode],"CW")=0,"",SUMIFS(tblDaily[Deaths],tblDaily[EntryDate],DATE(2026,11,7),tblDaily[WardCode],"CW")),"")</f>
        <v/>
      </c>
      <c r="E403" s="5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5" t="str">
        <f>IFERROR(IF(SUMIFS(tblDaily[TransfersIn],tblDaily[EntryDate],DATE(2026,11,7),tblDaily[WardCode],"CW")=0,"",SUMIFS(tblDaily[TransfersIn],tblDaily[EntryDate],DATE(2026,11,7),tblDaily[WardCode],"CW")),"")</f>
        <v/>
      </c>
      <c r="G403" s="5" t="str">
        <f>IFERROR(IF(SUMIFS(tblDaily[TransfersOut],tblDaily[EntryDate],DATE(2026,11,7),tblDaily[WardCode],"CW")=0,"",SUMIFS(tblDaily[TransfersOut],tblDaily[EntryDate],DATE(2026,11,7),tblDaily[WardCode],"CW")),"")</f>
        <v/>
      </c>
      <c r="H403" s="5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IFERROR(IF(SUMIFS(tblDaily[Admissions],tblDaily[EntryDate],DATE(2026,11,8),tblDaily[WardCode],"CW")=0,"",SUMIFS(tblDaily[Admissions],tblDaily[EntryDate],DATE(2026,11,8),tblDaily[WardCode],"CW")),"")</f>
        <v/>
      </c>
      <c r="C404" s="5" t="str">
        <f>IFERROR(IF(SUMIFS(tblDaily[Discharges],tblDaily[EntryDate],DATE(2026,11,8),tblDaily[WardCode],"CW")=0,"",SUMIFS(tblDaily[Discharges],tblDaily[EntryDate],DATE(2026,11,8),tblDaily[WardCode],"CW")),"")</f>
        <v/>
      </c>
      <c r="D404" s="5" t="str">
        <f>IFERROR(IF(SUMIFS(tblDaily[Deaths],tblDaily[EntryDate],DATE(2026,11,8),tblDaily[WardCode],"CW")=0,"",SUMIFS(tblDaily[Deaths],tblDaily[EntryDate],DATE(2026,11,8),tblDaily[WardCode],"CW")),"")</f>
        <v/>
      </c>
      <c r="E404" s="5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5" t="str">
        <f>IFERROR(IF(SUMIFS(tblDaily[TransfersIn],tblDaily[EntryDate],DATE(2026,11,8),tblDaily[WardCode],"CW")=0,"",SUMIFS(tblDaily[TransfersIn],tblDaily[EntryDate],DATE(2026,11,8),tblDaily[WardCode],"CW")),"")</f>
        <v/>
      </c>
      <c r="G404" s="5" t="str">
        <f>IFERROR(IF(SUMIFS(tblDaily[TransfersOut],tblDaily[EntryDate],DATE(2026,11,8),tblDaily[WardCode],"CW")=0,"",SUMIFS(tblDaily[TransfersOut],tblDaily[EntryDate],DATE(2026,11,8),tblDaily[WardCode],"CW")),"")</f>
        <v/>
      </c>
      <c r="H404" s="5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IFERROR(IF(SUMIFS(tblDaily[Admissions],tblDaily[EntryDate],DATE(2026,11,9),tblDaily[WardCode],"CW")=0,"",SUMIFS(tblDaily[Admissions],tblDaily[EntryDate],DATE(2026,11,9),tblDaily[WardCode],"CW")),"")</f>
        <v/>
      </c>
      <c r="C405" s="5" t="str">
        <f>IFERROR(IF(SUMIFS(tblDaily[Discharges],tblDaily[EntryDate],DATE(2026,11,9),tblDaily[WardCode],"CW")=0,"",SUMIFS(tblDaily[Discharges],tblDaily[EntryDate],DATE(2026,11,9),tblDaily[WardCode],"CW")),"")</f>
        <v/>
      </c>
      <c r="D405" s="5" t="str">
        <f>IFERROR(IF(SUMIFS(tblDaily[Deaths],tblDaily[EntryDate],DATE(2026,11,9),tblDaily[WardCode],"CW")=0,"",SUMIFS(tblDaily[Deaths],tblDaily[EntryDate],DATE(2026,11,9),tblDaily[WardCode],"CW")),"")</f>
        <v/>
      </c>
      <c r="E405" s="5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5" t="str">
        <f>IFERROR(IF(SUMIFS(tblDaily[TransfersIn],tblDaily[EntryDate],DATE(2026,11,9),tblDaily[WardCode],"CW")=0,"",SUMIFS(tblDaily[TransfersIn],tblDaily[EntryDate],DATE(2026,11,9),tblDaily[WardCode],"CW")),"")</f>
        <v/>
      </c>
      <c r="G405" s="5" t="str">
        <f>IFERROR(IF(SUMIFS(tblDaily[TransfersOut],tblDaily[EntryDate],DATE(2026,11,9),tblDaily[WardCode],"CW")=0,"",SUMIFS(tblDaily[TransfersOut],tblDaily[EntryDate],DATE(2026,11,9),tblDaily[WardCode],"CW")),"")</f>
        <v/>
      </c>
      <c r="H405" s="5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IFERROR(IF(SUMIFS(tblDaily[Admissions],tblDaily[EntryDate],DATE(2026,11,10),tblDaily[WardCode],"CW")=0,"",SUMIFS(tblDaily[Admissions],tblDaily[EntryDate],DATE(2026,11,10),tblDaily[WardCode],"CW")),"")</f>
        <v/>
      </c>
      <c r="C406" s="5" t="str">
        <f>IFERROR(IF(SUMIFS(tblDaily[Discharges],tblDaily[EntryDate],DATE(2026,11,10),tblDaily[WardCode],"CW")=0,"",SUMIFS(tblDaily[Discharges],tblDaily[EntryDate],DATE(2026,11,10),tblDaily[WardCode],"CW")),"")</f>
        <v/>
      </c>
      <c r="D406" s="5" t="str">
        <f>IFERROR(IF(SUMIFS(tblDaily[Deaths],tblDaily[EntryDate],DATE(2026,11,10),tblDaily[WardCode],"CW")=0,"",SUMIFS(tblDaily[Deaths],tblDaily[EntryDate],DATE(2026,11,10),tblDaily[WardCode],"CW")),"")</f>
        <v/>
      </c>
      <c r="E406" s="5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5" t="str">
        <f>IFERROR(IF(SUMIFS(tblDaily[TransfersIn],tblDaily[EntryDate],DATE(2026,11,10),tblDaily[WardCode],"CW")=0,"",SUMIFS(tblDaily[TransfersIn],tblDaily[EntryDate],DATE(2026,11,10),tblDaily[WardCode],"CW")),"")</f>
        <v/>
      </c>
      <c r="G406" s="5" t="str">
        <f>IFERROR(IF(SUMIFS(tblDaily[TransfersOut],tblDaily[EntryDate],DATE(2026,11,10),tblDaily[WardCode],"CW")=0,"",SUMIFS(tblDaily[TransfersOut],tblDaily[EntryDate],DATE(2026,11,10),tblDaily[WardCode],"CW")),"")</f>
        <v/>
      </c>
      <c r="H406" s="5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IFERROR(IF(SUMIFS(tblDaily[Admissions],tblDaily[EntryDate],DATE(2026,11,11),tblDaily[WardCode],"CW")=0,"",SUMIFS(tblDaily[Admissions],tblDaily[EntryDate],DATE(2026,11,11),tblDaily[WardCode],"CW")),"")</f>
        <v/>
      </c>
      <c r="C407" s="5" t="str">
        <f>IFERROR(IF(SUMIFS(tblDaily[Discharges],tblDaily[EntryDate],DATE(2026,11,11),tblDaily[WardCode],"CW")=0,"",SUMIFS(tblDaily[Discharges],tblDaily[EntryDate],DATE(2026,11,11),tblDaily[WardCode],"CW")),"")</f>
        <v/>
      </c>
      <c r="D407" s="5" t="str">
        <f>IFERROR(IF(SUMIFS(tblDaily[Deaths],tblDaily[EntryDate],DATE(2026,11,11),tblDaily[WardCode],"CW")=0,"",SUMIFS(tblDaily[Deaths],tblDaily[EntryDate],DATE(2026,11,11),tblDaily[WardCode],"CW")),"")</f>
        <v/>
      </c>
      <c r="E407" s="5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5" t="str">
        <f>IFERROR(IF(SUMIFS(tblDaily[TransfersIn],tblDaily[EntryDate],DATE(2026,11,11),tblDaily[WardCode],"CW")=0,"",SUMIFS(tblDaily[TransfersIn],tblDaily[EntryDate],DATE(2026,11,11),tblDaily[WardCode],"CW")),"")</f>
        <v/>
      </c>
      <c r="G407" s="5" t="str">
        <f>IFERROR(IF(SUMIFS(tblDaily[TransfersOut],tblDaily[EntryDate],DATE(2026,11,11),tblDaily[WardCode],"CW")=0,"",SUMIFS(tblDaily[TransfersOut],tblDaily[EntryDate],DATE(2026,11,11),tblDaily[WardCode],"CW")),"")</f>
        <v/>
      </c>
      <c r="H407" s="5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IFERROR(IF(SUMIFS(tblDaily[Admissions],tblDaily[EntryDate],DATE(2026,11,12),tblDaily[WardCode],"CW")=0,"",SUMIFS(tblDaily[Admissions],tblDaily[EntryDate],DATE(2026,11,12),tblDaily[WardCode],"CW")),"")</f>
        <v/>
      </c>
      <c r="C408" s="5" t="str">
        <f>IFERROR(IF(SUMIFS(tblDaily[Discharges],tblDaily[EntryDate],DATE(2026,11,12),tblDaily[WardCode],"CW")=0,"",SUMIFS(tblDaily[Discharges],tblDaily[EntryDate],DATE(2026,11,12),tblDaily[WardCode],"CW")),"")</f>
        <v/>
      </c>
      <c r="D408" s="5" t="str">
        <f>IFERROR(IF(SUMIFS(tblDaily[Deaths],tblDaily[EntryDate],DATE(2026,11,12),tblDaily[WardCode],"CW")=0,"",SUMIFS(tblDaily[Deaths],tblDaily[EntryDate],DATE(2026,11,12),tblDaily[WardCode],"CW")),"")</f>
        <v/>
      </c>
      <c r="E408" s="5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5" t="str">
        <f>IFERROR(IF(SUMIFS(tblDaily[TransfersIn],tblDaily[EntryDate],DATE(2026,11,12),tblDaily[WardCode],"CW")=0,"",SUMIFS(tblDaily[TransfersIn],tblDaily[EntryDate],DATE(2026,11,12),tblDaily[WardCode],"CW")),"")</f>
        <v/>
      </c>
      <c r="G408" s="5" t="str">
        <f>IFERROR(IF(SUMIFS(tblDaily[TransfersOut],tblDaily[EntryDate],DATE(2026,11,12),tblDaily[WardCode],"CW")=0,"",SUMIFS(tblDaily[TransfersOut],tblDaily[EntryDate],DATE(2026,11,12),tblDaily[WardCode],"CW")),"")</f>
        <v/>
      </c>
      <c r="H408" s="5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IFERROR(IF(SUMIFS(tblDaily[Admissions],tblDaily[EntryDate],DATE(2026,11,13),tblDaily[WardCode],"CW")=0,"",SUMIFS(tblDaily[Admissions],tblDaily[EntryDate],DATE(2026,11,13),tblDaily[WardCode],"CW")),"")</f>
        <v/>
      </c>
      <c r="C409" s="5" t="str">
        <f>IFERROR(IF(SUMIFS(tblDaily[Discharges],tblDaily[EntryDate],DATE(2026,11,13),tblDaily[WardCode],"CW")=0,"",SUMIFS(tblDaily[Discharges],tblDaily[EntryDate],DATE(2026,11,13),tblDaily[WardCode],"CW")),"")</f>
        <v/>
      </c>
      <c r="D409" s="5" t="str">
        <f>IFERROR(IF(SUMIFS(tblDaily[Deaths],tblDaily[EntryDate],DATE(2026,11,13),tblDaily[WardCode],"CW")=0,"",SUMIFS(tblDaily[Deaths],tblDaily[EntryDate],DATE(2026,11,13),tblDaily[WardCode],"CW")),"")</f>
        <v/>
      </c>
      <c r="E409" s="5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5" t="str">
        <f>IFERROR(IF(SUMIFS(tblDaily[TransfersIn],tblDaily[EntryDate],DATE(2026,11,13),tblDaily[WardCode],"CW")=0,"",SUMIFS(tblDaily[TransfersIn],tblDaily[EntryDate],DATE(2026,11,13),tblDaily[WardCode],"CW")),"")</f>
        <v/>
      </c>
      <c r="G409" s="5" t="str">
        <f>IFERROR(IF(SUMIFS(tblDaily[TransfersOut],tblDaily[EntryDate],DATE(2026,11,13),tblDaily[WardCode],"CW")=0,"",SUMIFS(tblDaily[TransfersOut],tblDaily[EntryDate],DATE(2026,11,13),tblDaily[WardCode],"CW")),"")</f>
        <v/>
      </c>
      <c r="H409" s="5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IFERROR(IF(SUMIFS(tblDaily[Admissions],tblDaily[EntryDate],DATE(2026,11,14),tblDaily[WardCode],"CW")=0,"",SUMIFS(tblDaily[Admissions],tblDaily[EntryDate],DATE(2026,11,14),tblDaily[WardCode],"CW")),"")</f>
        <v/>
      </c>
      <c r="C410" s="5" t="str">
        <f>IFERROR(IF(SUMIFS(tblDaily[Discharges],tblDaily[EntryDate],DATE(2026,11,14),tblDaily[WardCode],"CW")=0,"",SUMIFS(tblDaily[Discharges],tblDaily[EntryDate],DATE(2026,11,14),tblDaily[WardCode],"CW")),"")</f>
        <v/>
      </c>
      <c r="D410" s="5" t="str">
        <f>IFERROR(IF(SUMIFS(tblDaily[Deaths],tblDaily[EntryDate],DATE(2026,11,14),tblDaily[WardCode],"CW")=0,"",SUMIFS(tblDaily[Deaths],tblDaily[EntryDate],DATE(2026,11,14),tblDaily[WardCode],"CW")),"")</f>
        <v/>
      </c>
      <c r="E410" s="5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5" t="str">
        <f>IFERROR(IF(SUMIFS(tblDaily[TransfersIn],tblDaily[EntryDate],DATE(2026,11,14),tblDaily[WardCode],"CW")=0,"",SUMIFS(tblDaily[TransfersIn],tblDaily[EntryDate],DATE(2026,11,14),tblDaily[WardCode],"CW")),"")</f>
        <v/>
      </c>
      <c r="G410" s="5" t="str">
        <f>IFERROR(IF(SUMIFS(tblDaily[TransfersOut],tblDaily[EntryDate],DATE(2026,11,14),tblDaily[WardCode],"CW")=0,"",SUMIFS(tblDaily[TransfersOut],tblDaily[EntryDate],DATE(2026,11,14),tblDaily[WardCode],"CW")),"")</f>
        <v/>
      </c>
      <c r="H410" s="5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IFERROR(IF(SUMIFS(tblDaily[Admissions],tblDaily[EntryDate],DATE(2026,11,15),tblDaily[WardCode],"CW")=0,"",SUMIFS(tblDaily[Admissions],tblDaily[EntryDate],DATE(2026,11,15),tblDaily[WardCode],"CW")),"")</f>
        <v/>
      </c>
      <c r="C411" s="5" t="str">
        <f>IFERROR(IF(SUMIFS(tblDaily[Discharges],tblDaily[EntryDate],DATE(2026,11,15),tblDaily[WardCode],"CW")=0,"",SUMIFS(tblDaily[Discharges],tblDaily[EntryDate],DATE(2026,11,15),tblDaily[WardCode],"CW")),"")</f>
        <v/>
      </c>
      <c r="D411" s="5" t="str">
        <f>IFERROR(IF(SUMIFS(tblDaily[Deaths],tblDaily[EntryDate],DATE(2026,11,15),tblDaily[WardCode],"CW")=0,"",SUMIFS(tblDaily[Deaths],tblDaily[EntryDate],DATE(2026,11,15),tblDaily[WardCode],"CW")),"")</f>
        <v/>
      </c>
      <c r="E411" s="5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5" t="str">
        <f>IFERROR(IF(SUMIFS(tblDaily[TransfersIn],tblDaily[EntryDate],DATE(2026,11,15),tblDaily[WardCode],"CW")=0,"",SUMIFS(tblDaily[TransfersIn],tblDaily[EntryDate],DATE(2026,11,15),tblDaily[WardCode],"CW")),"")</f>
        <v/>
      </c>
      <c r="G411" s="5" t="str">
        <f>IFERROR(IF(SUMIFS(tblDaily[TransfersOut],tblDaily[EntryDate],DATE(2026,11,15),tblDaily[WardCode],"CW")=0,"",SUMIFS(tblDaily[TransfersOut],tblDaily[EntryDate],DATE(2026,11,15),tblDaily[WardCode],"CW")),"")</f>
        <v/>
      </c>
      <c r="H411" s="5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IFERROR(IF(SUMIFS(tblDaily[Admissions],tblDaily[EntryDate],DATE(2026,11,16),tblDaily[WardCode],"CW")=0,"",SUMIFS(tblDaily[Admissions],tblDaily[EntryDate],DATE(2026,11,16),tblDaily[WardCode],"CW")),"")</f>
        <v/>
      </c>
      <c r="C412" s="5" t="str">
        <f>IFERROR(IF(SUMIFS(tblDaily[Discharges],tblDaily[EntryDate],DATE(2026,11,16),tblDaily[WardCode],"CW")=0,"",SUMIFS(tblDaily[Discharges],tblDaily[EntryDate],DATE(2026,11,16),tblDaily[WardCode],"CW")),"")</f>
        <v/>
      </c>
      <c r="D412" s="5" t="str">
        <f>IFERROR(IF(SUMIFS(tblDaily[Deaths],tblDaily[EntryDate],DATE(2026,11,16),tblDaily[WardCode],"CW")=0,"",SUMIFS(tblDaily[Deaths],tblDaily[EntryDate],DATE(2026,11,16),tblDaily[WardCode],"CW")),"")</f>
        <v/>
      </c>
      <c r="E412" s="5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5" t="str">
        <f>IFERROR(IF(SUMIFS(tblDaily[TransfersIn],tblDaily[EntryDate],DATE(2026,11,16),tblDaily[WardCode],"CW")=0,"",SUMIFS(tblDaily[TransfersIn],tblDaily[EntryDate],DATE(2026,11,16),tblDaily[WardCode],"CW")),"")</f>
        <v/>
      </c>
      <c r="G412" s="5" t="str">
        <f>IFERROR(IF(SUMIFS(tblDaily[TransfersOut],tblDaily[EntryDate],DATE(2026,11,16),tblDaily[WardCode],"CW")=0,"",SUMIFS(tblDaily[TransfersOut],tblDaily[EntryDate],DATE(2026,11,16),tblDaily[WardCode],"CW")),"")</f>
        <v/>
      </c>
      <c r="H412" s="5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IFERROR(IF(SUMIFS(tblDaily[Admissions],tblDaily[EntryDate],DATE(2026,11,17),tblDaily[WardCode],"CW")=0,"",SUMIFS(tblDaily[Admissions],tblDaily[EntryDate],DATE(2026,11,17),tblDaily[WardCode],"CW")),"")</f>
        <v/>
      </c>
      <c r="C413" s="5" t="str">
        <f>IFERROR(IF(SUMIFS(tblDaily[Discharges],tblDaily[EntryDate],DATE(2026,11,17),tblDaily[WardCode],"CW")=0,"",SUMIFS(tblDaily[Discharges],tblDaily[EntryDate],DATE(2026,11,17),tblDaily[WardCode],"CW")),"")</f>
        <v/>
      </c>
      <c r="D413" s="5" t="str">
        <f>IFERROR(IF(SUMIFS(tblDaily[Deaths],tblDaily[EntryDate],DATE(2026,11,17),tblDaily[WardCode],"CW")=0,"",SUMIFS(tblDaily[Deaths],tblDaily[EntryDate],DATE(2026,11,17),tblDaily[WardCode],"CW")),"")</f>
        <v/>
      </c>
      <c r="E413" s="5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5" t="str">
        <f>IFERROR(IF(SUMIFS(tblDaily[TransfersIn],tblDaily[EntryDate],DATE(2026,11,17),tblDaily[WardCode],"CW")=0,"",SUMIFS(tblDaily[TransfersIn],tblDaily[EntryDate],DATE(2026,11,17),tblDaily[WardCode],"CW")),"")</f>
        <v/>
      </c>
      <c r="G413" s="5" t="str">
        <f>IFERROR(IF(SUMIFS(tblDaily[TransfersOut],tblDaily[EntryDate],DATE(2026,11,17),tblDaily[WardCode],"CW")=0,"",SUMIFS(tblDaily[TransfersOut],tblDaily[EntryDate],DATE(2026,11,17),tblDaily[WardCode],"CW")),"")</f>
        <v/>
      </c>
      <c r="H413" s="5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IFERROR(IF(SUMIFS(tblDaily[Admissions],tblDaily[EntryDate],DATE(2026,11,18),tblDaily[WardCode],"CW")=0,"",SUMIFS(tblDaily[Admissions],tblDaily[EntryDate],DATE(2026,11,18),tblDaily[WardCode],"CW")),"")</f>
        <v/>
      </c>
      <c r="C414" s="5" t="str">
        <f>IFERROR(IF(SUMIFS(tblDaily[Discharges],tblDaily[EntryDate],DATE(2026,11,18),tblDaily[WardCode],"CW")=0,"",SUMIFS(tblDaily[Discharges],tblDaily[EntryDate],DATE(2026,11,18),tblDaily[WardCode],"CW")),"")</f>
        <v/>
      </c>
      <c r="D414" s="5" t="str">
        <f>IFERROR(IF(SUMIFS(tblDaily[Deaths],tblDaily[EntryDate],DATE(2026,11,18),tblDaily[WardCode],"CW")=0,"",SUMIFS(tblDaily[Deaths],tblDaily[EntryDate],DATE(2026,11,18),tblDaily[WardCode],"CW")),"")</f>
        <v/>
      </c>
      <c r="E414" s="5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5" t="str">
        <f>IFERROR(IF(SUMIFS(tblDaily[TransfersIn],tblDaily[EntryDate],DATE(2026,11,18),tblDaily[WardCode],"CW")=0,"",SUMIFS(tblDaily[TransfersIn],tblDaily[EntryDate],DATE(2026,11,18),tblDaily[WardCode],"CW")),"")</f>
        <v/>
      </c>
      <c r="G414" s="5" t="str">
        <f>IFERROR(IF(SUMIFS(tblDaily[TransfersOut],tblDaily[EntryDate],DATE(2026,11,18),tblDaily[WardCode],"CW")=0,"",SUMIFS(tblDaily[TransfersOut],tblDaily[EntryDate],DATE(2026,11,18),tblDaily[WardCode],"CW")),"")</f>
        <v/>
      </c>
      <c r="H414" s="5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IFERROR(IF(SUMIFS(tblDaily[Admissions],tblDaily[EntryDate],DATE(2026,11,19),tblDaily[WardCode],"CW")=0,"",SUMIFS(tblDaily[Admissions],tblDaily[EntryDate],DATE(2026,11,19),tblDaily[WardCode],"CW")),"")</f>
        <v/>
      </c>
      <c r="C415" s="5" t="str">
        <f>IFERROR(IF(SUMIFS(tblDaily[Discharges],tblDaily[EntryDate],DATE(2026,11,19),tblDaily[WardCode],"CW")=0,"",SUMIFS(tblDaily[Discharges],tblDaily[EntryDate],DATE(2026,11,19),tblDaily[WardCode],"CW")),"")</f>
        <v/>
      </c>
      <c r="D415" s="5" t="str">
        <f>IFERROR(IF(SUMIFS(tblDaily[Deaths],tblDaily[EntryDate],DATE(2026,11,19),tblDaily[WardCode],"CW")=0,"",SUMIFS(tblDaily[Deaths],tblDaily[EntryDate],DATE(2026,11,19),tblDaily[WardCode],"CW")),"")</f>
        <v/>
      </c>
      <c r="E415" s="5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5" t="str">
        <f>IFERROR(IF(SUMIFS(tblDaily[TransfersIn],tblDaily[EntryDate],DATE(2026,11,19),tblDaily[WardCode],"CW")=0,"",SUMIFS(tblDaily[TransfersIn],tblDaily[EntryDate],DATE(2026,11,19),tblDaily[WardCode],"CW")),"")</f>
        <v/>
      </c>
      <c r="G415" s="5" t="str">
        <f>IFERROR(IF(SUMIFS(tblDaily[TransfersOut],tblDaily[EntryDate],DATE(2026,11,19),tblDaily[WardCode],"CW")=0,"",SUMIFS(tblDaily[TransfersOut],tblDaily[EntryDate],DATE(2026,11,19),tblDaily[WardCode],"CW")),"")</f>
        <v/>
      </c>
      <c r="H415" s="5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IFERROR(IF(SUMIFS(tblDaily[Admissions],tblDaily[EntryDate],DATE(2026,11,20),tblDaily[WardCode],"CW")=0,"",SUMIFS(tblDaily[Admissions],tblDaily[EntryDate],DATE(2026,11,20),tblDaily[WardCode],"CW")),"")</f>
        <v/>
      </c>
      <c r="C416" s="5" t="str">
        <f>IFERROR(IF(SUMIFS(tblDaily[Discharges],tblDaily[EntryDate],DATE(2026,11,20),tblDaily[WardCode],"CW")=0,"",SUMIFS(tblDaily[Discharges],tblDaily[EntryDate],DATE(2026,11,20),tblDaily[WardCode],"CW")),"")</f>
        <v/>
      </c>
      <c r="D416" s="5" t="str">
        <f>IFERROR(IF(SUMIFS(tblDaily[Deaths],tblDaily[EntryDate],DATE(2026,11,20),tblDaily[WardCode],"CW")=0,"",SUMIFS(tblDaily[Deaths],tblDaily[EntryDate],DATE(2026,11,20),tblDaily[WardCode],"CW")),"")</f>
        <v/>
      </c>
      <c r="E416" s="5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5" t="str">
        <f>IFERROR(IF(SUMIFS(tblDaily[TransfersIn],tblDaily[EntryDate],DATE(2026,11,20),tblDaily[WardCode],"CW")=0,"",SUMIFS(tblDaily[TransfersIn],tblDaily[EntryDate],DATE(2026,11,20),tblDaily[WardCode],"CW")),"")</f>
        <v/>
      </c>
      <c r="G416" s="5" t="str">
        <f>IFERROR(IF(SUMIFS(tblDaily[TransfersOut],tblDaily[EntryDate],DATE(2026,11,20),tblDaily[WardCode],"CW")=0,"",SUMIFS(tblDaily[TransfersOut],tblDaily[EntryDate],DATE(2026,11,20),tblDaily[WardCode],"CW")),"")</f>
        <v/>
      </c>
      <c r="H416" s="5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IFERROR(IF(SUMIFS(tblDaily[Admissions],tblDaily[EntryDate],DATE(2026,11,21),tblDaily[WardCode],"CW")=0,"",SUMIFS(tblDaily[Admissions],tblDaily[EntryDate],DATE(2026,11,21),tblDaily[WardCode],"CW")),"")</f>
        <v/>
      </c>
      <c r="C417" s="5" t="str">
        <f>IFERROR(IF(SUMIFS(tblDaily[Discharges],tblDaily[EntryDate],DATE(2026,11,21),tblDaily[WardCode],"CW")=0,"",SUMIFS(tblDaily[Discharges],tblDaily[EntryDate],DATE(2026,11,21),tblDaily[WardCode],"CW")),"")</f>
        <v/>
      </c>
      <c r="D417" s="5" t="str">
        <f>IFERROR(IF(SUMIFS(tblDaily[Deaths],tblDaily[EntryDate],DATE(2026,11,21),tblDaily[WardCode],"CW")=0,"",SUMIFS(tblDaily[Deaths],tblDaily[EntryDate],DATE(2026,11,21),tblDaily[WardCode],"CW")),"")</f>
        <v/>
      </c>
      <c r="E417" s="5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5" t="str">
        <f>IFERROR(IF(SUMIFS(tblDaily[TransfersIn],tblDaily[EntryDate],DATE(2026,11,21),tblDaily[WardCode],"CW")=0,"",SUMIFS(tblDaily[TransfersIn],tblDaily[EntryDate],DATE(2026,11,21),tblDaily[WardCode],"CW")),"")</f>
        <v/>
      </c>
      <c r="G417" s="5" t="str">
        <f>IFERROR(IF(SUMIFS(tblDaily[TransfersOut],tblDaily[EntryDate],DATE(2026,11,21),tblDaily[WardCode],"CW")=0,"",SUMIFS(tblDaily[TransfersOut],tblDaily[EntryDate],DATE(2026,11,21),tblDaily[WardCode],"CW")),"")</f>
        <v/>
      </c>
      <c r="H417" s="5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IFERROR(IF(SUMIFS(tblDaily[Admissions],tblDaily[EntryDate],DATE(2026,11,22),tblDaily[WardCode],"CW")=0,"",SUMIFS(tblDaily[Admissions],tblDaily[EntryDate],DATE(2026,11,22),tblDaily[WardCode],"CW")),"")</f>
        <v/>
      </c>
      <c r="C418" s="5" t="str">
        <f>IFERROR(IF(SUMIFS(tblDaily[Discharges],tblDaily[EntryDate],DATE(2026,11,22),tblDaily[WardCode],"CW")=0,"",SUMIFS(tblDaily[Discharges],tblDaily[EntryDate],DATE(2026,11,22),tblDaily[WardCode],"CW")),"")</f>
        <v/>
      </c>
      <c r="D418" s="5" t="str">
        <f>IFERROR(IF(SUMIFS(tblDaily[Deaths],tblDaily[EntryDate],DATE(2026,11,22),tblDaily[WardCode],"CW")=0,"",SUMIFS(tblDaily[Deaths],tblDaily[EntryDate],DATE(2026,11,22),tblDaily[WardCode],"CW")),"")</f>
        <v/>
      </c>
      <c r="E418" s="5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5" t="str">
        <f>IFERROR(IF(SUMIFS(tblDaily[TransfersIn],tblDaily[EntryDate],DATE(2026,11,22),tblDaily[WardCode],"CW")=0,"",SUMIFS(tblDaily[TransfersIn],tblDaily[EntryDate],DATE(2026,11,22),tblDaily[WardCode],"CW")),"")</f>
        <v/>
      </c>
      <c r="G418" s="5" t="str">
        <f>IFERROR(IF(SUMIFS(tblDaily[TransfersOut],tblDaily[EntryDate],DATE(2026,11,22),tblDaily[WardCode],"CW")=0,"",SUMIFS(tblDaily[TransfersOut],tblDaily[EntryDate],DATE(2026,11,22),tblDaily[WardCode],"CW")),"")</f>
        <v/>
      </c>
      <c r="H418" s="5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IFERROR(IF(SUMIFS(tblDaily[Admissions],tblDaily[EntryDate],DATE(2026,11,23),tblDaily[WardCode],"CW")=0,"",SUMIFS(tblDaily[Admissions],tblDaily[EntryDate],DATE(2026,11,23),tblDaily[WardCode],"CW")),"")</f>
        <v/>
      </c>
      <c r="C419" s="5" t="str">
        <f>IFERROR(IF(SUMIFS(tblDaily[Discharges],tblDaily[EntryDate],DATE(2026,11,23),tblDaily[WardCode],"CW")=0,"",SUMIFS(tblDaily[Discharges],tblDaily[EntryDate],DATE(2026,11,23),tblDaily[WardCode],"CW")),"")</f>
        <v/>
      </c>
      <c r="D419" s="5" t="str">
        <f>IFERROR(IF(SUMIFS(tblDaily[Deaths],tblDaily[EntryDate],DATE(2026,11,23),tblDaily[WardCode],"CW")=0,"",SUMIFS(tblDaily[Deaths],tblDaily[EntryDate],DATE(2026,11,23),tblDaily[WardCode],"CW")),"")</f>
        <v/>
      </c>
      <c r="E419" s="5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5" t="str">
        <f>IFERROR(IF(SUMIFS(tblDaily[TransfersIn],tblDaily[EntryDate],DATE(2026,11,23),tblDaily[WardCode],"CW")=0,"",SUMIFS(tblDaily[TransfersIn],tblDaily[EntryDate],DATE(2026,11,23),tblDaily[WardCode],"CW")),"")</f>
        <v/>
      </c>
      <c r="G419" s="5" t="str">
        <f>IFERROR(IF(SUMIFS(tblDaily[TransfersOut],tblDaily[EntryDate],DATE(2026,11,23),tblDaily[WardCode],"CW")=0,"",SUMIFS(tblDaily[TransfersOut],tblDaily[EntryDate],DATE(2026,11,23),tblDaily[WardCode],"CW")),"")</f>
        <v/>
      </c>
      <c r="H419" s="5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IFERROR(IF(SUMIFS(tblDaily[Admissions],tblDaily[EntryDate],DATE(2026,11,24),tblDaily[WardCode],"CW")=0,"",SUMIFS(tblDaily[Admissions],tblDaily[EntryDate],DATE(2026,11,24),tblDaily[WardCode],"CW")),"")</f>
        <v/>
      </c>
      <c r="C420" s="5" t="str">
        <f>IFERROR(IF(SUMIFS(tblDaily[Discharges],tblDaily[EntryDate],DATE(2026,11,24),tblDaily[WardCode],"CW")=0,"",SUMIFS(tblDaily[Discharges],tblDaily[EntryDate],DATE(2026,11,24),tblDaily[WardCode],"CW")),"")</f>
        <v/>
      </c>
      <c r="D420" s="5" t="str">
        <f>IFERROR(IF(SUMIFS(tblDaily[Deaths],tblDaily[EntryDate],DATE(2026,11,24),tblDaily[WardCode],"CW")=0,"",SUMIFS(tblDaily[Deaths],tblDaily[EntryDate],DATE(2026,11,24),tblDaily[WardCode],"CW")),"")</f>
        <v/>
      </c>
      <c r="E420" s="5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5" t="str">
        <f>IFERROR(IF(SUMIFS(tblDaily[TransfersIn],tblDaily[EntryDate],DATE(2026,11,24),tblDaily[WardCode],"CW")=0,"",SUMIFS(tblDaily[TransfersIn],tblDaily[EntryDate],DATE(2026,11,24),tblDaily[WardCode],"CW")),"")</f>
        <v/>
      </c>
      <c r="G420" s="5" t="str">
        <f>IFERROR(IF(SUMIFS(tblDaily[TransfersOut],tblDaily[EntryDate],DATE(2026,11,24),tblDaily[WardCode],"CW")=0,"",SUMIFS(tblDaily[TransfersOut],tblDaily[EntryDate],DATE(2026,11,24),tblDaily[WardCode],"CW")),"")</f>
        <v/>
      </c>
      <c r="H420" s="5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IFERROR(IF(SUMIFS(tblDaily[Admissions],tblDaily[EntryDate],DATE(2026,11,25),tblDaily[WardCode],"CW")=0,"",SUMIFS(tblDaily[Admissions],tblDaily[EntryDate],DATE(2026,11,25),tblDaily[WardCode],"CW")),"")</f>
        <v/>
      </c>
      <c r="C421" s="5" t="str">
        <f>IFERROR(IF(SUMIFS(tblDaily[Discharges],tblDaily[EntryDate],DATE(2026,11,25),tblDaily[WardCode],"CW")=0,"",SUMIFS(tblDaily[Discharges],tblDaily[EntryDate],DATE(2026,11,25),tblDaily[WardCode],"CW")),"")</f>
        <v/>
      </c>
      <c r="D421" s="5" t="str">
        <f>IFERROR(IF(SUMIFS(tblDaily[Deaths],tblDaily[EntryDate],DATE(2026,11,25),tblDaily[WardCode],"CW")=0,"",SUMIFS(tblDaily[Deaths],tblDaily[EntryDate],DATE(2026,11,25),tblDaily[WardCode],"CW")),"")</f>
        <v/>
      </c>
      <c r="E421" s="5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5" t="str">
        <f>IFERROR(IF(SUMIFS(tblDaily[TransfersIn],tblDaily[EntryDate],DATE(2026,11,25),tblDaily[WardCode],"CW")=0,"",SUMIFS(tblDaily[TransfersIn],tblDaily[EntryDate],DATE(2026,11,25),tblDaily[WardCode],"CW")),"")</f>
        <v/>
      </c>
      <c r="G421" s="5" t="str">
        <f>IFERROR(IF(SUMIFS(tblDaily[TransfersOut],tblDaily[EntryDate],DATE(2026,11,25),tblDaily[WardCode],"CW")=0,"",SUMIFS(tblDaily[TransfersOut],tblDaily[EntryDate],DATE(2026,11,25),tblDaily[WardCode],"CW")),"")</f>
        <v/>
      </c>
      <c r="H421" s="5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IFERROR(IF(SUMIFS(tblDaily[Admissions],tblDaily[EntryDate],DATE(2026,11,26),tblDaily[WardCode],"CW")=0,"",SUMIFS(tblDaily[Admissions],tblDaily[EntryDate],DATE(2026,11,26),tblDaily[WardCode],"CW")),"")</f>
        <v/>
      </c>
      <c r="C422" s="5" t="str">
        <f>IFERROR(IF(SUMIFS(tblDaily[Discharges],tblDaily[EntryDate],DATE(2026,11,26),tblDaily[WardCode],"CW")=0,"",SUMIFS(tblDaily[Discharges],tblDaily[EntryDate],DATE(2026,11,26),tblDaily[WardCode],"CW")),"")</f>
        <v/>
      </c>
      <c r="D422" s="5" t="str">
        <f>IFERROR(IF(SUMIFS(tblDaily[Deaths],tblDaily[EntryDate],DATE(2026,11,26),tblDaily[WardCode],"CW")=0,"",SUMIFS(tblDaily[Deaths],tblDaily[EntryDate],DATE(2026,11,26),tblDaily[WardCode],"CW")),"")</f>
        <v/>
      </c>
      <c r="E422" s="5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5" t="str">
        <f>IFERROR(IF(SUMIFS(tblDaily[TransfersIn],tblDaily[EntryDate],DATE(2026,11,26),tblDaily[WardCode],"CW")=0,"",SUMIFS(tblDaily[TransfersIn],tblDaily[EntryDate],DATE(2026,11,26),tblDaily[WardCode],"CW")),"")</f>
        <v/>
      </c>
      <c r="G422" s="5" t="str">
        <f>IFERROR(IF(SUMIFS(tblDaily[TransfersOut],tblDaily[EntryDate],DATE(2026,11,26),tblDaily[WardCode],"CW")=0,"",SUMIFS(tblDaily[TransfersOut],tblDaily[EntryDate],DATE(2026,11,26),tblDaily[WardCode],"CW")),"")</f>
        <v/>
      </c>
      <c r="H422" s="5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IFERROR(IF(SUMIFS(tblDaily[Admissions],tblDaily[EntryDate],DATE(2026,11,27),tblDaily[WardCode],"CW")=0,"",SUMIFS(tblDaily[Admissions],tblDaily[EntryDate],DATE(2026,11,27),tblDaily[WardCode],"CW")),"")</f>
        <v/>
      </c>
      <c r="C423" s="5" t="str">
        <f>IFERROR(IF(SUMIFS(tblDaily[Discharges],tblDaily[EntryDate],DATE(2026,11,27),tblDaily[WardCode],"CW")=0,"",SUMIFS(tblDaily[Discharges],tblDaily[EntryDate],DATE(2026,11,27),tblDaily[WardCode],"CW")),"")</f>
        <v/>
      </c>
      <c r="D423" s="5" t="str">
        <f>IFERROR(IF(SUMIFS(tblDaily[Deaths],tblDaily[EntryDate],DATE(2026,11,27),tblDaily[WardCode],"CW")=0,"",SUMIFS(tblDaily[Deaths],tblDaily[EntryDate],DATE(2026,11,27),tblDaily[WardCode],"CW")),"")</f>
        <v/>
      </c>
      <c r="E423" s="5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5" t="str">
        <f>IFERROR(IF(SUMIFS(tblDaily[TransfersIn],tblDaily[EntryDate],DATE(2026,11,27),tblDaily[WardCode],"CW")=0,"",SUMIFS(tblDaily[TransfersIn],tblDaily[EntryDate],DATE(2026,11,27),tblDaily[WardCode],"CW")),"")</f>
        <v/>
      </c>
      <c r="G423" s="5" t="str">
        <f>IFERROR(IF(SUMIFS(tblDaily[TransfersOut],tblDaily[EntryDate],DATE(2026,11,27),tblDaily[WardCode],"CW")=0,"",SUMIFS(tblDaily[TransfersOut],tblDaily[EntryDate],DATE(2026,11,27),tblDaily[WardCode],"CW")),"")</f>
        <v/>
      </c>
      <c r="H423" s="5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IFERROR(IF(SUMIFS(tblDaily[Admissions],tblDaily[EntryDate],DATE(2026,11,28),tblDaily[WardCode],"CW")=0,"",SUMIFS(tblDaily[Admissions],tblDaily[EntryDate],DATE(2026,11,28),tblDaily[WardCode],"CW")),"")</f>
        <v/>
      </c>
      <c r="C424" s="5" t="str">
        <f>IFERROR(IF(SUMIFS(tblDaily[Discharges],tblDaily[EntryDate],DATE(2026,11,28),tblDaily[WardCode],"CW")=0,"",SUMIFS(tblDaily[Discharges],tblDaily[EntryDate],DATE(2026,11,28),tblDaily[WardCode],"CW")),"")</f>
        <v/>
      </c>
      <c r="D424" s="5" t="str">
        <f>IFERROR(IF(SUMIFS(tblDaily[Deaths],tblDaily[EntryDate],DATE(2026,11,28),tblDaily[WardCode],"CW")=0,"",SUMIFS(tblDaily[Deaths],tblDaily[EntryDate],DATE(2026,11,28),tblDaily[WardCode],"CW")),"")</f>
        <v/>
      </c>
      <c r="E424" s="5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5" t="str">
        <f>IFERROR(IF(SUMIFS(tblDaily[TransfersIn],tblDaily[EntryDate],DATE(2026,11,28),tblDaily[WardCode],"CW")=0,"",SUMIFS(tblDaily[TransfersIn],tblDaily[EntryDate],DATE(2026,11,28),tblDaily[WardCode],"CW")),"")</f>
        <v/>
      </c>
      <c r="G424" s="5" t="str">
        <f>IFERROR(IF(SUMIFS(tblDaily[TransfersOut],tblDaily[EntryDate],DATE(2026,11,28),tblDaily[WardCode],"CW")=0,"",SUMIFS(tblDaily[TransfersOut],tblDaily[EntryDate],DATE(2026,11,28),tblDaily[WardCode],"CW")),"")</f>
        <v/>
      </c>
      <c r="H424" s="5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IFERROR(IF(SUMIFS(tblDaily[Admissions],tblDaily[EntryDate],DATE(2026,11,29),tblDaily[WardCode],"CW")=0,"",SUMIFS(tblDaily[Admissions],tblDaily[EntryDate],DATE(2026,11,29),tblDaily[WardCode],"CW")),"")</f>
        <v/>
      </c>
      <c r="C425" s="5" t="str">
        <f>IFERROR(IF(SUMIFS(tblDaily[Discharges],tblDaily[EntryDate],DATE(2026,11,29),tblDaily[WardCode],"CW")=0,"",SUMIFS(tblDaily[Discharges],tblDaily[EntryDate],DATE(2026,11,29),tblDaily[WardCode],"CW")),"")</f>
        <v/>
      </c>
      <c r="D425" s="5" t="str">
        <f>IFERROR(IF(SUMIFS(tblDaily[Deaths],tblDaily[EntryDate],DATE(2026,11,29),tblDaily[WardCode],"CW")=0,"",SUMIFS(tblDaily[Deaths],tblDaily[EntryDate],DATE(2026,11,29),tblDaily[WardCode],"CW")),"")</f>
        <v/>
      </c>
      <c r="E425" s="5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5" t="str">
        <f>IFERROR(IF(SUMIFS(tblDaily[TransfersIn],tblDaily[EntryDate],DATE(2026,11,29),tblDaily[WardCode],"CW")=0,"",SUMIFS(tblDaily[TransfersIn],tblDaily[EntryDate],DATE(2026,11,29),tblDaily[WardCode],"CW")),"")</f>
        <v/>
      </c>
      <c r="G425" s="5" t="str">
        <f>IFERROR(IF(SUMIFS(tblDaily[TransfersOut],tblDaily[EntryDate],DATE(2026,11,29),tblDaily[WardCode],"CW")=0,"",SUMIFS(tblDaily[TransfersOut],tblDaily[EntryDate],DATE(2026,11,29),tblDaily[WardCode],"CW")),"")</f>
        <v/>
      </c>
      <c r="H425" s="5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IFERROR(IF(SUMIFS(tblDaily[Admissions],tblDaily[EntryDate],DATE(2026,11,30),tblDaily[WardCode],"CW")=0,"",SUMIFS(tblDaily[Admissions],tblDaily[EntryDate],DATE(2026,11,30),tblDaily[WardCode],"CW")),"")</f>
        <v/>
      </c>
      <c r="C426" s="5" t="str">
        <f>IFERROR(IF(SUMIFS(tblDaily[Discharges],tblDaily[EntryDate],DATE(2026,11,30),tblDaily[WardCode],"CW")=0,"",SUMIFS(tblDaily[Discharges],tblDaily[EntryDate],DATE(2026,11,30),tblDaily[WardCode],"CW")),"")</f>
        <v/>
      </c>
      <c r="D426" s="5" t="str">
        <f>IFERROR(IF(SUMIFS(tblDaily[Deaths],tblDaily[EntryDate],DATE(2026,11,30),tblDaily[WardCode],"CW")=0,"",SUMIFS(tblDaily[Deaths],tblDaily[EntryDate],DATE(2026,11,30),tblDaily[WardCode],"CW")),"")</f>
        <v/>
      </c>
      <c r="E426" s="5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5" t="str">
        <f>IFERROR(IF(SUMIFS(tblDaily[TransfersIn],tblDaily[EntryDate],DATE(2026,11,30),tblDaily[WardCode],"CW")=0,"",SUMIFS(tblDaily[TransfersIn],tblDaily[EntryDate],DATE(2026,11,30),tblDaily[WardCode],"CW")),"")</f>
        <v/>
      </c>
      <c r="G426" s="5" t="str">
        <f>IFERROR(IF(SUMIFS(tblDaily[TransfersOut],tblDaily[EntryDate],DATE(2026,11,30),tblDaily[WardCode],"CW")=0,"",SUMIFS(tblDaily[TransfersOut],tblDaily[EntryDate],DATE(2026,11,30),tblDaily[WardCode],"CW")),"")</f>
        <v/>
      </c>
      <c r="H426" s="5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97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89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IFERROR(IF(SUMIFS(tblDaily[Admissions],tblDaily[EntryDate],DATE(2026,12,1),tblDaily[WardCode],"CW")=0,"",SUMIFS(tblDaily[Admissions],tblDaily[EntryDate],DATE(2026,12,1),tblDaily[WardCode],"CW")),"")</f>
        <v/>
      </c>
      <c r="C436" s="5" t="str">
        <f>IFERROR(IF(SUMIFS(tblDaily[Discharges],tblDaily[EntryDate],DATE(2026,12,1),tblDaily[WardCode],"CW")=0,"",SUMIFS(tblDaily[Discharges],tblDaily[EntryDate],DATE(2026,12,1),tblDaily[WardCode],"CW")),"")</f>
        <v/>
      </c>
      <c r="D436" s="5" t="str">
        <f>IFERROR(IF(SUMIFS(tblDaily[Deaths],tblDaily[EntryDate],DATE(2026,12,1),tblDaily[WardCode],"CW")=0,"",SUMIFS(tblDaily[Deaths],tblDaily[EntryDate],DATE(2026,12,1),tblDaily[WardCode],"CW")),"")</f>
        <v/>
      </c>
      <c r="E436" s="5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5" t="str">
        <f>IFERROR(IF(SUMIFS(tblDaily[TransfersIn],tblDaily[EntryDate],DATE(2026,12,1),tblDaily[WardCode],"CW")=0,"",SUMIFS(tblDaily[TransfersIn],tblDaily[EntryDate],DATE(2026,12,1),tblDaily[WardCode],"CW")),"")</f>
        <v/>
      </c>
      <c r="G436" s="5" t="str">
        <f>IFERROR(IF(SUMIFS(tblDaily[TransfersOut],tblDaily[EntryDate],DATE(2026,12,1),tblDaily[WardCode],"CW")=0,"",SUMIFS(tblDaily[TransfersOut],tblDaily[EntryDate],DATE(2026,12,1),tblDaily[WardCode],"CW")),"")</f>
        <v/>
      </c>
      <c r="H436" s="5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IFERROR(IF(SUMIFS(tblDaily[Admissions],tblDaily[EntryDate],DATE(2026,12,2),tblDaily[WardCode],"CW")=0,"",SUMIFS(tblDaily[Admissions],tblDaily[EntryDate],DATE(2026,12,2),tblDaily[WardCode],"CW")),"")</f>
        <v/>
      </c>
      <c r="C437" s="5" t="str">
        <f>IFERROR(IF(SUMIFS(tblDaily[Discharges],tblDaily[EntryDate],DATE(2026,12,2),tblDaily[WardCode],"CW")=0,"",SUMIFS(tblDaily[Discharges],tblDaily[EntryDate],DATE(2026,12,2),tblDaily[WardCode],"CW")),"")</f>
        <v/>
      </c>
      <c r="D437" s="5" t="str">
        <f>IFERROR(IF(SUMIFS(tblDaily[Deaths],tblDaily[EntryDate],DATE(2026,12,2),tblDaily[WardCode],"CW")=0,"",SUMIFS(tblDaily[Deaths],tblDaily[EntryDate],DATE(2026,12,2),tblDaily[WardCode],"CW")),"")</f>
        <v/>
      </c>
      <c r="E437" s="5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5" t="str">
        <f>IFERROR(IF(SUMIFS(tblDaily[TransfersIn],tblDaily[EntryDate],DATE(2026,12,2),tblDaily[WardCode],"CW")=0,"",SUMIFS(tblDaily[TransfersIn],tblDaily[EntryDate],DATE(2026,12,2),tblDaily[WardCode],"CW")),"")</f>
        <v/>
      </c>
      <c r="G437" s="5" t="str">
        <f>IFERROR(IF(SUMIFS(tblDaily[TransfersOut],tblDaily[EntryDate],DATE(2026,12,2),tblDaily[WardCode],"CW")=0,"",SUMIFS(tblDaily[TransfersOut],tblDaily[EntryDate],DATE(2026,12,2),tblDaily[WardCode],"CW")),"")</f>
        <v/>
      </c>
      <c r="H437" s="5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IFERROR(IF(SUMIFS(tblDaily[Admissions],tblDaily[EntryDate],DATE(2026,12,3),tblDaily[WardCode],"CW")=0,"",SUMIFS(tblDaily[Admissions],tblDaily[EntryDate],DATE(2026,12,3),tblDaily[WardCode],"CW")),"")</f>
        <v/>
      </c>
      <c r="C438" s="5" t="str">
        <f>IFERROR(IF(SUMIFS(tblDaily[Discharges],tblDaily[EntryDate],DATE(2026,12,3),tblDaily[WardCode],"CW")=0,"",SUMIFS(tblDaily[Discharges],tblDaily[EntryDate],DATE(2026,12,3),tblDaily[WardCode],"CW")),"")</f>
        <v/>
      </c>
      <c r="D438" s="5" t="str">
        <f>IFERROR(IF(SUMIFS(tblDaily[Deaths],tblDaily[EntryDate],DATE(2026,12,3),tblDaily[WardCode],"CW")=0,"",SUMIFS(tblDaily[Deaths],tblDaily[EntryDate],DATE(2026,12,3),tblDaily[WardCode],"CW")),"")</f>
        <v/>
      </c>
      <c r="E438" s="5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5" t="str">
        <f>IFERROR(IF(SUMIFS(tblDaily[TransfersIn],tblDaily[EntryDate],DATE(2026,12,3),tblDaily[WardCode],"CW")=0,"",SUMIFS(tblDaily[TransfersIn],tblDaily[EntryDate],DATE(2026,12,3),tblDaily[WardCode],"CW")),"")</f>
        <v/>
      </c>
      <c r="G438" s="5" t="str">
        <f>IFERROR(IF(SUMIFS(tblDaily[TransfersOut],tblDaily[EntryDate],DATE(2026,12,3),tblDaily[WardCode],"CW")=0,"",SUMIFS(tblDaily[TransfersOut],tblDaily[EntryDate],DATE(2026,12,3),tblDaily[WardCode],"CW")),"")</f>
        <v/>
      </c>
      <c r="H438" s="5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IFERROR(IF(SUMIFS(tblDaily[Admissions],tblDaily[EntryDate],DATE(2026,12,4),tblDaily[WardCode],"CW")=0,"",SUMIFS(tblDaily[Admissions],tblDaily[EntryDate],DATE(2026,12,4),tblDaily[WardCode],"CW")),"")</f>
        <v/>
      </c>
      <c r="C439" s="5" t="str">
        <f>IFERROR(IF(SUMIFS(tblDaily[Discharges],tblDaily[EntryDate],DATE(2026,12,4),tblDaily[WardCode],"CW")=0,"",SUMIFS(tblDaily[Discharges],tblDaily[EntryDate],DATE(2026,12,4),tblDaily[WardCode],"CW")),"")</f>
        <v/>
      </c>
      <c r="D439" s="5" t="str">
        <f>IFERROR(IF(SUMIFS(tblDaily[Deaths],tblDaily[EntryDate],DATE(2026,12,4),tblDaily[WardCode],"CW")=0,"",SUMIFS(tblDaily[Deaths],tblDaily[EntryDate],DATE(2026,12,4),tblDaily[WardCode],"CW")),"")</f>
        <v/>
      </c>
      <c r="E439" s="5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5" t="str">
        <f>IFERROR(IF(SUMIFS(tblDaily[TransfersIn],tblDaily[EntryDate],DATE(2026,12,4),tblDaily[WardCode],"CW")=0,"",SUMIFS(tblDaily[TransfersIn],tblDaily[EntryDate],DATE(2026,12,4),tblDaily[WardCode],"CW")),"")</f>
        <v/>
      </c>
      <c r="G439" s="5" t="str">
        <f>IFERROR(IF(SUMIFS(tblDaily[TransfersOut],tblDaily[EntryDate],DATE(2026,12,4),tblDaily[WardCode],"CW")=0,"",SUMIFS(tblDaily[TransfersOut],tblDaily[EntryDate],DATE(2026,12,4),tblDaily[WardCode],"CW")),"")</f>
        <v/>
      </c>
      <c r="H439" s="5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IFERROR(IF(SUMIFS(tblDaily[Admissions],tblDaily[EntryDate],DATE(2026,12,5),tblDaily[WardCode],"CW")=0,"",SUMIFS(tblDaily[Admissions],tblDaily[EntryDate],DATE(2026,12,5),tblDaily[WardCode],"CW")),"")</f>
        <v/>
      </c>
      <c r="C440" s="5" t="str">
        <f>IFERROR(IF(SUMIFS(tblDaily[Discharges],tblDaily[EntryDate],DATE(2026,12,5),tblDaily[WardCode],"CW")=0,"",SUMIFS(tblDaily[Discharges],tblDaily[EntryDate],DATE(2026,12,5),tblDaily[WardCode],"CW")),"")</f>
        <v/>
      </c>
      <c r="D440" s="5" t="str">
        <f>IFERROR(IF(SUMIFS(tblDaily[Deaths],tblDaily[EntryDate],DATE(2026,12,5),tblDaily[WardCode],"CW")=0,"",SUMIFS(tblDaily[Deaths],tblDaily[EntryDate],DATE(2026,12,5),tblDaily[WardCode],"CW")),"")</f>
        <v/>
      </c>
      <c r="E440" s="5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5" t="str">
        <f>IFERROR(IF(SUMIFS(tblDaily[TransfersIn],tblDaily[EntryDate],DATE(2026,12,5),tblDaily[WardCode],"CW")=0,"",SUMIFS(tblDaily[TransfersIn],tblDaily[EntryDate],DATE(2026,12,5),tblDaily[WardCode],"CW")),"")</f>
        <v/>
      </c>
      <c r="G440" s="5" t="str">
        <f>IFERROR(IF(SUMIFS(tblDaily[TransfersOut],tblDaily[EntryDate],DATE(2026,12,5),tblDaily[WardCode],"CW")=0,"",SUMIFS(tblDaily[TransfersOut],tblDaily[EntryDate],DATE(2026,12,5),tblDaily[WardCode],"CW")),"")</f>
        <v/>
      </c>
      <c r="H440" s="5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IFERROR(IF(SUMIFS(tblDaily[Admissions],tblDaily[EntryDate],DATE(2026,12,6),tblDaily[WardCode],"CW")=0,"",SUMIFS(tblDaily[Admissions],tblDaily[EntryDate],DATE(2026,12,6),tblDaily[WardCode],"CW")),"")</f>
        <v/>
      </c>
      <c r="C441" s="5" t="str">
        <f>IFERROR(IF(SUMIFS(tblDaily[Discharges],tblDaily[EntryDate],DATE(2026,12,6),tblDaily[WardCode],"CW")=0,"",SUMIFS(tblDaily[Discharges],tblDaily[EntryDate],DATE(2026,12,6),tblDaily[WardCode],"CW")),"")</f>
        <v/>
      </c>
      <c r="D441" s="5" t="str">
        <f>IFERROR(IF(SUMIFS(tblDaily[Deaths],tblDaily[EntryDate],DATE(2026,12,6),tblDaily[WardCode],"CW")=0,"",SUMIFS(tblDaily[Deaths],tblDaily[EntryDate],DATE(2026,12,6),tblDaily[WardCode],"CW")),"")</f>
        <v/>
      </c>
      <c r="E441" s="5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5" t="str">
        <f>IFERROR(IF(SUMIFS(tblDaily[TransfersIn],tblDaily[EntryDate],DATE(2026,12,6),tblDaily[WardCode],"CW")=0,"",SUMIFS(tblDaily[TransfersIn],tblDaily[EntryDate],DATE(2026,12,6),tblDaily[WardCode],"CW")),"")</f>
        <v/>
      </c>
      <c r="G441" s="5" t="str">
        <f>IFERROR(IF(SUMIFS(tblDaily[TransfersOut],tblDaily[EntryDate],DATE(2026,12,6),tblDaily[WardCode],"CW")=0,"",SUMIFS(tblDaily[TransfersOut],tblDaily[EntryDate],DATE(2026,12,6),tblDaily[WardCode],"CW")),"")</f>
        <v/>
      </c>
      <c r="H441" s="5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IFERROR(IF(SUMIFS(tblDaily[Admissions],tblDaily[EntryDate],DATE(2026,12,7),tblDaily[WardCode],"CW")=0,"",SUMIFS(tblDaily[Admissions],tblDaily[EntryDate],DATE(2026,12,7),tblDaily[WardCode],"CW")),"")</f>
        <v/>
      </c>
      <c r="C442" s="5" t="str">
        <f>IFERROR(IF(SUMIFS(tblDaily[Discharges],tblDaily[EntryDate],DATE(2026,12,7),tblDaily[WardCode],"CW")=0,"",SUMIFS(tblDaily[Discharges],tblDaily[EntryDate],DATE(2026,12,7),tblDaily[WardCode],"CW")),"")</f>
        <v/>
      </c>
      <c r="D442" s="5" t="str">
        <f>IFERROR(IF(SUMIFS(tblDaily[Deaths],tblDaily[EntryDate],DATE(2026,12,7),tblDaily[WardCode],"CW")=0,"",SUMIFS(tblDaily[Deaths],tblDaily[EntryDate],DATE(2026,12,7),tblDaily[WardCode],"CW")),"")</f>
        <v/>
      </c>
      <c r="E442" s="5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5" t="str">
        <f>IFERROR(IF(SUMIFS(tblDaily[TransfersIn],tblDaily[EntryDate],DATE(2026,12,7),tblDaily[WardCode],"CW")=0,"",SUMIFS(tblDaily[TransfersIn],tblDaily[EntryDate],DATE(2026,12,7),tblDaily[WardCode],"CW")),"")</f>
        <v/>
      </c>
      <c r="G442" s="5" t="str">
        <f>IFERROR(IF(SUMIFS(tblDaily[TransfersOut],tblDaily[EntryDate],DATE(2026,12,7),tblDaily[WardCode],"CW")=0,"",SUMIFS(tblDaily[TransfersOut],tblDaily[EntryDate],DATE(2026,12,7),tblDaily[WardCode],"CW")),"")</f>
        <v/>
      </c>
      <c r="H442" s="5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IFERROR(IF(SUMIFS(tblDaily[Admissions],tblDaily[EntryDate],DATE(2026,12,8),tblDaily[WardCode],"CW")=0,"",SUMIFS(tblDaily[Admissions],tblDaily[EntryDate],DATE(2026,12,8),tblDaily[WardCode],"CW")),"")</f>
        <v/>
      </c>
      <c r="C443" s="5" t="str">
        <f>IFERROR(IF(SUMIFS(tblDaily[Discharges],tblDaily[EntryDate],DATE(2026,12,8),tblDaily[WardCode],"CW")=0,"",SUMIFS(tblDaily[Discharges],tblDaily[EntryDate],DATE(2026,12,8),tblDaily[WardCode],"CW")),"")</f>
        <v/>
      </c>
      <c r="D443" s="5" t="str">
        <f>IFERROR(IF(SUMIFS(tblDaily[Deaths],tblDaily[EntryDate],DATE(2026,12,8),tblDaily[WardCode],"CW")=0,"",SUMIFS(tblDaily[Deaths],tblDaily[EntryDate],DATE(2026,12,8),tblDaily[WardCode],"CW")),"")</f>
        <v/>
      </c>
      <c r="E443" s="5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5" t="str">
        <f>IFERROR(IF(SUMIFS(tblDaily[TransfersIn],tblDaily[EntryDate],DATE(2026,12,8),tblDaily[WardCode],"CW")=0,"",SUMIFS(tblDaily[TransfersIn],tblDaily[EntryDate],DATE(2026,12,8),tblDaily[WardCode],"CW")),"")</f>
        <v/>
      </c>
      <c r="G443" s="5" t="str">
        <f>IFERROR(IF(SUMIFS(tblDaily[TransfersOut],tblDaily[EntryDate],DATE(2026,12,8),tblDaily[WardCode],"CW")=0,"",SUMIFS(tblDaily[TransfersOut],tblDaily[EntryDate],DATE(2026,12,8),tblDaily[WardCode],"CW")),"")</f>
        <v/>
      </c>
      <c r="H443" s="5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IFERROR(IF(SUMIFS(tblDaily[Admissions],tblDaily[EntryDate],DATE(2026,12,9),tblDaily[WardCode],"CW")=0,"",SUMIFS(tblDaily[Admissions],tblDaily[EntryDate],DATE(2026,12,9),tblDaily[WardCode],"CW")),"")</f>
        <v/>
      </c>
      <c r="C444" s="5" t="str">
        <f>IFERROR(IF(SUMIFS(tblDaily[Discharges],tblDaily[EntryDate],DATE(2026,12,9),tblDaily[WardCode],"CW")=0,"",SUMIFS(tblDaily[Discharges],tblDaily[EntryDate],DATE(2026,12,9),tblDaily[WardCode],"CW")),"")</f>
        <v/>
      </c>
      <c r="D444" s="5" t="str">
        <f>IFERROR(IF(SUMIFS(tblDaily[Deaths],tblDaily[EntryDate],DATE(2026,12,9),tblDaily[WardCode],"CW")=0,"",SUMIFS(tblDaily[Deaths],tblDaily[EntryDate],DATE(2026,12,9),tblDaily[WardCode],"CW")),"")</f>
        <v/>
      </c>
      <c r="E444" s="5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5" t="str">
        <f>IFERROR(IF(SUMIFS(tblDaily[TransfersIn],tblDaily[EntryDate],DATE(2026,12,9),tblDaily[WardCode],"CW")=0,"",SUMIFS(tblDaily[TransfersIn],tblDaily[EntryDate],DATE(2026,12,9),tblDaily[WardCode],"CW")),"")</f>
        <v/>
      </c>
      <c r="G444" s="5" t="str">
        <f>IFERROR(IF(SUMIFS(tblDaily[TransfersOut],tblDaily[EntryDate],DATE(2026,12,9),tblDaily[WardCode],"CW")=0,"",SUMIFS(tblDaily[TransfersOut],tblDaily[EntryDate],DATE(2026,12,9),tblDaily[WardCode],"CW")),"")</f>
        <v/>
      </c>
      <c r="H444" s="5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IFERROR(IF(SUMIFS(tblDaily[Admissions],tblDaily[EntryDate],DATE(2026,12,10),tblDaily[WardCode],"CW")=0,"",SUMIFS(tblDaily[Admissions],tblDaily[EntryDate],DATE(2026,12,10),tblDaily[WardCode],"CW")),"")</f>
        <v/>
      </c>
      <c r="C445" s="5" t="str">
        <f>IFERROR(IF(SUMIFS(tblDaily[Discharges],tblDaily[EntryDate],DATE(2026,12,10),tblDaily[WardCode],"CW")=0,"",SUMIFS(tblDaily[Discharges],tblDaily[EntryDate],DATE(2026,12,10),tblDaily[WardCode],"CW")),"")</f>
        <v/>
      </c>
      <c r="D445" s="5" t="str">
        <f>IFERROR(IF(SUMIFS(tblDaily[Deaths],tblDaily[EntryDate],DATE(2026,12,10),tblDaily[WardCode],"CW")=0,"",SUMIFS(tblDaily[Deaths],tblDaily[EntryDate],DATE(2026,12,10),tblDaily[WardCode],"CW")),"")</f>
        <v/>
      </c>
      <c r="E445" s="5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5" t="str">
        <f>IFERROR(IF(SUMIFS(tblDaily[TransfersIn],tblDaily[EntryDate],DATE(2026,12,10),tblDaily[WardCode],"CW")=0,"",SUMIFS(tblDaily[TransfersIn],tblDaily[EntryDate],DATE(2026,12,10),tblDaily[WardCode],"CW")),"")</f>
        <v/>
      </c>
      <c r="G445" s="5" t="str">
        <f>IFERROR(IF(SUMIFS(tblDaily[TransfersOut],tblDaily[EntryDate],DATE(2026,12,10),tblDaily[WardCode],"CW")=0,"",SUMIFS(tblDaily[TransfersOut],tblDaily[EntryDate],DATE(2026,12,10),tblDaily[WardCode],"CW")),"")</f>
        <v/>
      </c>
      <c r="H445" s="5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IFERROR(IF(SUMIFS(tblDaily[Admissions],tblDaily[EntryDate],DATE(2026,12,11),tblDaily[WardCode],"CW")=0,"",SUMIFS(tblDaily[Admissions],tblDaily[EntryDate],DATE(2026,12,11),tblDaily[WardCode],"CW")),"")</f>
        <v/>
      </c>
      <c r="C446" s="5" t="str">
        <f>IFERROR(IF(SUMIFS(tblDaily[Discharges],tblDaily[EntryDate],DATE(2026,12,11),tblDaily[WardCode],"CW")=0,"",SUMIFS(tblDaily[Discharges],tblDaily[EntryDate],DATE(2026,12,11),tblDaily[WardCode],"CW")),"")</f>
        <v/>
      </c>
      <c r="D446" s="5" t="str">
        <f>IFERROR(IF(SUMIFS(tblDaily[Deaths],tblDaily[EntryDate],DATE(2026,12,11),tblDaily[WardCode],"CW")=0,"",SUMIFS(tblDaily[Deaths],tblDaily[EntryDate],DATE(2026,12,11),tblDaily[WardCode],"CW")),"")</f>
        <v/>
      </c>
      <c r="E446" s="5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5" t="str">
        <f>IFERROR(IF(SUMIFS(tblDaily[TransfersIn],tblDaily[EntryDate],DATE(2026,12,11),tblDaily[WardCode],"CW")=0,"",SUMIFS(tblDaily[TransfersIn],tblDaily[EntryDate],DATE(2026,12,11),tblDaily[WardCode],"CW")),"")</f>
        <v/>
      </c>
      <c r="G446" s="5" t="str">
        <f>IFERROR(IF(SUMIFS(tblDaily[TransfersOut],tblDaily[EntryDate],DATE(2026,12,11),tblDaily[WardCode],"CW")=0,"",SUMIFS(tblDaily[TransfersOut],tblDaily[EntryDate],DATE(2026,12,11),tblDaily[WardCode],"CW")),"")</f>
        <v/>
      </c>
      <c r="H446" s="5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IFERROR(IF(SUMIFS(tblDaily[Admissions],tblDaily[EntryDate],DATE(2026,12,12),tblDaily[WardCode],"CW")=0,"",SUMIFS(tblDaily[Admissions],tblDaily[EntryDate],DATE(2026,12,12),tblDaily[WardCode],"CW")),"")</f>
        <v/>
      </c>
      <c r="C447" s="5" t="str">
        <f>IFERROR(IF(SUMIFS(tblDaily[Discharges],tblDaily[EntryDate],DATE(2026,12,12),tblDaily[WardCode],"CW")=0,"",SUMIFS(tblDaily[Discharges],tblDaily[EntryDate],DATE(2026,12,12),tblDaily[WardCode],"CW")),"")</f>
        <v/>
      </c>
      <c r="D447" s="5" t="str">
        <f>IFERROR(IF(SUMIFS(tblDaily[Deaths],tblDaily[EntryDate],DATE(2026,12,12),tblDaily[WardCode],"CW")=0,"",SUMIFS(tblDaily[Deaths],tblDaily[EntryDate],DATE(2026,12,12),tblDaily[WardCode],"CW")),"")</f>
        <v/>
      </c>
      <c r="E447" s="5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5" t="str">
        <f>IFERROR(IF(SUMIFS(tblDaily[TransfersIn],tblDaily[EntryDate],DATE(2026,12,12),tblDaily[WardCode],"CW")=0,"",SUMIFS(tblDaily[TransfersIn],tblDaily[EntryDate],DATE(2026,12,12),tblDaily[WardCode],"CW")),"")</f>
        <v/>
      </c>
      <c r="G447" s="5" t="str">
        <f>IFERROR(IF(SUMIFS(tblDaily[TransfersOut],tblDaily[EntryDate],DATE(2026,12,12),tblDaily[WardCode],"CW")=0,"",SUMIFS(tblDaily[TransfersOut],tblDaily[EntryDate],DATE(2026,12,12),tblDaily[WardCode],"CW")),"")</f>
        <v/>
      </c>
      <c r="H447" s="5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IFERROR(IF(SUMIFS(tblDaily[Admissions],tblDaily[EntryDate],DATE(2026,12,13),tblDaily[WardCode],"CW")=0,"",SUMIFS(tblDaily[Admissions],tblDaily[EntryDate],DATE(2026,12,13),tblDaily[WardCode],"CW")),"")</f>
        <v/>
      </c>
      <c r="C448" s="5" t="str">
        <f>IFERROR(IF(SUMIFS(tblDaily[Discharges],tblDaily[EntryDate],DATE(2026,12,13),tblDaily[WardCode],"CW")=0,"",SUMIFS(tblDaily[Discharges],tblDaily[EntryDate],DATE(2026,12,13),tblDaily[WardCode],"CW")),"")</f>
        <v/>
      </c>
      <c r="D448" s="5" t="str">
        <f>IFERROR(IF(SUMIFS(tblDaily[Deaths],tblDaily[EntryDate],DATE(2026,12,13),tblDaily[WardCode],"CW")=0,"",SUMIFS(tblDaily[Deaths],tblDaily[EntryDate],DATE(2026,12,13),tblDaily[WardCode],"CW")),"")</f>
        <v/>
      </c>
      <c r="E448" s="5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5" t="str">
        <f>IFERROR(IF(SUMIFS(tblDaily[TransfersIn],tblDaily[EntryDate],DATE(2026,12,13),tblDaily[WardCode],"CW")=0,"",SUMIFS(tblDaily[TransfersIn],tblDaily[EntryDate],DATE(2026,12,13),tblDaily[WardCode],"CW")),"")</f>
        <v/>
      </c>
      <c r="G448" s="5" t="str">
        <f>IFERROR(IF(SUMIFS(tblDaily[TransfersOut],tblDaily[EntryDate],DATE(2026,12,13),tblDaily[WardCode],"CW")=0,"",SUMIFS(tblDaily[TransfersOut],tblDaily[EntryDate],DATE(2026,12,13),tblDaily[WardCode],"CW")),"")</f>
        <v/>
      </c>
      <c r="H448" s="5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IFERROR(IF(SUMIFS(tblDaily[Admissions],tblDaily[EntryDate],DATE(2026,12,14),tblDaily[WardCode],"CW")=0,"",SUMIFS(tblDaily[Admissions],tblDaily[EntryDate],DATE(2026,12,14),tblDaily[WardCode],"CW")),"")</f>
        <v/>
      </c>
      <c r="C449" s="5" t="str">
        <f>IFERROR(IF(SUMIFS(tblDaily[Discharges],tblDaily[EntryDate],DATE(2026,12,14),tblDaily[WardCode],"CW")=0,"",SUMIFS(tblDaily[Discharges],tblDaily[EntryDate],DATE(2026,12,14),tblDaily[WardCode],"CW")),"")</f>
        <v/>
      </c>
      <c r="D449" s="5" t="str">
        <f>IFERROR(IF(SUMIFS(tblDaily[Deaths],tblDaily[EntryDate],DATE(2026,12,14),tblDaily[WardCode],"CW")=0,"",SUMIFS(tblDaily[Deaths],tblDaily[EntryDate],DATE(2026,12,14),tblDaily[WardCode],"CW")),"")</f>
        <v/>
      </c>
      <c r="E449" s="5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5" t="str">
        <f>IFERROR(IF(SUMIFS(tblDaily[TransfersIn],tblDaily[EntryDate],DATE(2026,12,14),tblDaily[WardCode],"CW")=0,"",SUMIFS(tblDaily[TransfersIn],tblDaily[EntryDate],DATE(2026,12,14),tblDaily[WardCode],"CW")),"")</f>
        <v/>
      </c>
      <c r="G449" s="5" t="str">
        <f>IFERROR(IF(SUMIFS(tblDaily[TransfersOut],tblDaily[EntryDate],DATE(2026,12,14),tblDaily[WardCode],"CW")=0,"",SUMIFS(tblDaily[TransfersOut],tblDaily[EntryDate],DATE(2026,12,14),tblDaily[WardCode],"CW")),"")</f>
        <v/>
      </c>
      <c r="H449" s="5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IFERROR(IF(SUMIFS(tblDaily[Admissions],tblDaily[EntryDate],DATE(2026,12,15),tblDaily[WardCode],"CW")=0,"",SUMIFS(tblDaily[Admissions],tblDaily[EntryDate],DATE(2026,12,15),tblDaily[WardCode],"CW")),"")</f>
        <v/>
      </c>
      <c r="C450" s="5" t="str">
        <f>IFERROR(IF(SUMIFS(tblDaily[Discharges],tblDaily[EntryDate],DATE(2026,12,15),tblDaily[WardCode],"CW")=0,"",SUMIFS(tblDaily[Discharges],tblDaily[EntryDate],DATE(2026,12,15),tblDaily[WardCode],"CW")),"")</f>
        <v/>
      </c>
      <c r="D450" s="5" t="str">
        <f>IFERROR(IF(SUMIFS(tblDaily[Deaths],tblDaily[EntryDate],DATE(2026,12,15),tblDaily[WardCode],"CW")=0,"",SUMIFS(tblDaily[Deaths],tblDaily[EntryDate],DATE(2026,12,15),tblDaily[WardCode],"CW")),"")</f>
        <v/>
      </c>
      <c r="E450" s="5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5" t="str">
        <f>IFERROR(IF(SUMIFS(tblDaily[TransfersIn],tblDaily[EntryDate],DATE(2026,12,15),tblDaily[WardCode],"CW")=0,"",SUMIFS(tblDaily[TransfersIn],tblDaily[EntryDate],DATE(2026,12,15),tblDaily[WardCode],"CW")),"")</f>
        <v/>
      </c>
      <c r="G450" s="5" t="str">
        <f>IFERROR(IF(SUMIFS(tblDaily[TransfersOut],tblDaily[EntryDate],DATE(2026,12,15),tblDaily[WardCode],"CW")=0,"",SUMIFS(tblDaily[TransfersOut],tblDaily[EntryDate],DATE(2026,12,15),tblDaily[WardCode],"CW")),"")</f>
        <v/>
      </c>
      <c r="H450" s="5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IFERROR(IF(SUMIFS(tblDaily[Admissions],tblDaily[EntryDate],DATE(2026,12,16),tblDaily[WardCode],"CW")=0,"",SUMIFS(tblDaily[Admissions],tblDaily[EntryDate],DATE(2026,12,16),tblDaily[WardCode],"CW")),"")</f>
        <v/>
      </c>
      <c r="C451" s="5" t="str">
        <f>IFERROR(IF(SUMIFS(tblDaily[Discharges],tblDaily[EntryDate],DATE(2026,12,16),tblDaily[WardCode],"CW")=0,"",SUMIFS(tblDaily[Discharges],tblDaily[EntryDate],DATE(2026,12,16),tblDaily[WardCode],"CW")),"")</f>
        <v/>
      </c>
      <c r="D451" s="5" t="str">
        <f>IFERROR(IF(SUMIFS(tblDaily[Deaths],tblDaily[EntryDate],DATE(2026,12,16),tblDaily[WardCode],"CW")=0,"",SUMIFS(tblDaily[Deaths],tblDaily[EntryDate],DATE(2026,12,16),tblDaily[WardCode],"CW")),"")</f>
        <v/>
      </c>
      <c r="E451" s="5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5" t="str">
        <f>IFERROR(IF(SUMIFS(tblDaily[TransfersIn],tblDaily[EntryDate],DATE(2026,12,16),tblDaily[WardCode],"CW")=0,"",SUMIFS(tblDaily[TransfersIn],tblDaily[EntryDate],DATE(2026,12,16),tblDaily[WardCode],"CW")),"")</f>
        <v/>
      </c>
      <c r="G451" s="5" t="str">
        <f>IFERROR(IF(SUMIFS(tblDaily[TransfersOut],tblDaily[EntryDate],DATE(2026,12,16),tblDaily[WardCode],"CW")=0,"",SUMIFS(tblDaily[TransfersOut],tblDaily[EntryDate],DATE(2026,12,16),tblDaily[WardCode],"CW")),"")</f>
        <v/>
      </c>
      <c r="H451" s="5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IFERROR(IF(SUMIFS(tblDaily[Admissions],tblDaily[EntryDate],DATE(2026,12,17),tblDaily[WardCode],"CW")=0,"",SUMIFS(tblDaily[Admissions],tblDaily[EntryDate],DATE(2026,12,17),tblDaily[WardCode],"CW")),"")</f>
        <v/>
      </c>
      <c r="C452" s="5" t="str">
        <f>IFERROR(IF(SUMIFS(tblDaily[Discharges],tblDaily[EntryDate],DATE(2026,12,17),tblDaily[WardCode],"CW")=0,"",SUMIFS(tblDaily[Discharges],tblDaily[EntryDate],DATE(2026,12,17),tblDaily[WardCode],"CW")),"")</f>
        <v/>
      </c>
      <c r="D452" s="5" t="str">
        <f>IFERROR(IF(SUMIFS(tblDaily[Deaths],tblDaily[EntryDate],DATE(2026,12,17),tblDaily[WardCode],"CW")=0,"",SUMIFS(tblDaily[Deaths],tblDaily[EntryDate],DATE(2026,12,17),tblDaily[WardCode],"CW")),"")</f>
        <v/>
      </c>
      <c r="E452" s="5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5" t="str">
        <f>IFERROR(IF(SUMIFS(tblDaily[TransfersIn],tblDaily[EntryDate],DATE(2026,12,17),tblDaily[WardCode],"CW")=0,"",SUMIFS(tblDaily[TransfersIn],tblDaily[EntryDate],DATE(2026,12,17),tblDaily[WardCode],"CW")),"")</f>
        <v/>
      </c>
      <c r="G452" s="5" t="str">
        <f>IFERROR(IF(SUMIFS(tblDaily[TransfersOut],tblDaily[EntryDate],DATE(2026,12,17),tblDaily[WardCode],"CW")=0,"",SUMIFS(tblDaily[TransfersOut],tblDaily[EntryDate],DATE(2026,12,17),tblDaily[WardCode],"CW")),"")</f>
        <v/>
      </c>
      <c r="H452" s="5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IFERROR(IF(SUMIFS(tblDaily[Admissions],tblDaily[EntryDate],DATE(2026,12,18),tblDaily[WardCode],"CW")=0,"",SUMIFS(tblDaily[Admissions],tblDaily[EntryDate],DATE(2026,12,18),tblDaily[WardCode],"CW")),"")</f>
        <v/>
      </c>
      <c r="C453" s="5" t="str">
        <f>IFERROR(IF(SUMIFS(tblDaily[Discharges],tblDaily[EntryDate],DATE(2026,12,18),tblDaily[WardCode],"CW")=0,"",SUMIFS(tblDaily[Discharges],tblDaily[EntryDate],DATE(2026,12,18),tblDaily[WardCode],"CW")),"")</f>
        <v/>
      </c>
      <c r="D453" s="5" t="str">
        <f>IFERROR(IF(SUMIFS(tblDaily[Deaths],tblDaily[EntryDate],DATE(2026,12,18),tblDaily[WardCode],"CW")=0,"",SUMIFS(tblDaily[Deaths],tblDaily[EntryDate],DATE(2026,12,18),tblDaily[WardCode],"CW")),"")</f>
        <v/>
      </c>
      <c r="E453" s="5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5" t="str">
        <f>IFERROR(IF(SUMIFS(tblDaily[TransfersIn],tblDaily[EntryDate],DATE(2026,12,18),tblDaily[WardCode],"CW")=0,"",SUMIFS(tblDaily[TransfersIn],tblDaily[EntryDate],DATE(2026,12,18),tblDaily[WardCode],"CW")),"")</f>
        <v/>
      </c>
      <c r="G453" s="5" t="str">
        <f>IFERROR(IF(SUMIFS(tblDaily[TransfersOut],tblDaily[EntryDate],DATE(2026,12,18),tblDaily[WardCode],"CW")=0,"",SUMIFS(tblDaily[TransfersOut],tblDaily[EntryDate],DATE(2026,12,18),tblDaily[WardCode],"CW")),"")</f>
        <v/>
      </c>
      <c r="H453" s="5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IFERROR(IF(SUMIFS(tblDaily[Admissions],tblDaily[EntryDate],DATE(2026,12,19),tblDaily[WardCode],"CW")=0,"",SUMIFS(tblDaily[Admissions],tblDaily[EntryDate],DATE(2026,12,19),tblDaily[WardCode],"CW")),"")</f>
        <v/>
      </c>
      <c r="C454" s="5" t="str">
        <f>IFERROR(IF(SUMIFS(tblDaily[Discharges],tblDaily[EntryDate],DATE(2026,12,19),tblDaily[WardCode],"CW")=0,"",SUMIFS(tblDaily[Discharges],tblDaily[EntryDate],DATE(2026,12,19),tblDaily[WardCode],"CW")),"")</f>
        <v/>
      </c>
      <c r="D454" s="5" t="str">
        <f>IFERROR(IF(SUMIFS(tblDaily[Deaths],tblDaily[EntryDate],DATE(2026,12,19),tblDaily[WardCode],"CW")=0,"",SUMIFS(tblDaily[Deaths],tblDaily[EntryDate],DATE(2026,12,19),tblDaily[WardCode],"CW")),"")</f>
        <v/>
      </c>
      <c r="E454" s="5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5" t="str">
        <f>IFERROR(IF(SUMIFS(tblDaily[TransfersIn],tblDaily[EntryDate],DATE(2026,12,19),tblDaily[WardCode],"CW")=0,"",SUMIFS(tblDaily[TransfersIn],tblDaily[EntryDate],DATE(2026,12,19),tblDaily[WardCode],"CW")),"")</f>
        <v/>
      </c>
      <c r="G454" s="5" t="str">
        <f>IFERROR(IF(SUMIFS(tblDaily[TransfersOut],tblDaily[EntryDate],DATE(2026,12,19),tblDaily[WardCode],"CW")=0,"",SUMIFS(tblDaily[TransfersOut],tblDaily[EntryDate],DATE(2026,12,19),tblDaily[WardCode],"CW")),"")</f>
        <v/>
      </c>
      <c r="H454" s="5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IFERROR(IF(SUMIFS(tblDaily[Admissions],tblDaily[EntryDate],DATE(2026,12,20),tblDaily[WardCode],"CW")=0,"",SUMIFS(tblDaily[Admissions],tblDaily[EntryDate],DATE(2026,12,20),tblDaily[WardCode],"CW")),"")</f>
        <v/>
      </c>
      <c r="C455" s="5" t="str">
        <f>IFERROR(IF(SUMIFS(tblDaily[Discharges],tblDaily[EntryDate],DATE(2026,12,20),tblDaily[WardCode],"CW")=0,"",SUMIFS(tblDaily[Discharges],tblDaily[EntryDate],DATE(2026,12,20),tblDaily[WardCode],"CW")),"")</f>
        <v/>
      </c>
      <c r="D455" s="5" t="str">
        <f>IFERROR(IF(SUMIFS(tblDaily[Deaths],tblDaily[EntryDate],DATE(2026,12,20),tblDaily[WardCode],"CW")=0,"",SUMIFS(tblDaily[Deaths],tblDaily[EntryDate],DATE(2026,12,20),tblDaily[WardCode],"CW")),"")</f>
        <v/>
      </c>
      <c r="E455" s="5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5" t="str">
        <f>IFERROR(IF(SUMIFS(tblDaily[TransfersIn],tblDaily[EntryDate],DATE(2026,12,20),tblDaily[WardCode],"CW")=0,"",SUMIFS(tblDaily[TransfersIn],tblDaily[EntryDate],DATE(2026,12,20),tblDaily[WardCode],"CW")),"")</f>
        <v/>
      </c>
      <c r="G455" s="5" t="str">
        <f>IFERROR(IF(SUMIFS(tblDaily[TransfersOut],tblDaily[EntryDate],DATE(2026,12,20),tblDaily[WardCode],"CW")=0,"",SUMIFS(tblDaily[TransfersOut],tblDaily[EntryDate],DATE(2026,12,20),tblDaily[WardCode],"CW")),"")</f>
        <v/>
      </c>
      <c r="H455" s="5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IFERROR(IF(SUMIFS(tblDaily[Admissions],tblDaily[EntryDate],DATE(2026,12,21),tblDaily[WardCode],"CW")=0,"",SUMIFS(tblDaily[Admissions],tblDaily[EntryDate],DATE(2026,12,21),tblDaily[WardCode],"CW")),"")</f>
        <v/>
      </c>
      <c r="C456" s="5" t="str">
        <f>IFERROR(IF(SUMIFS(tblDaily[Discharges],tblDaily[EntryDate],DATE(2026,12,21),tblDaily[WardCode],"CW")=0,"",SUMIFS(tblDaily[Discharges],tblDaily[EntryDate],DATE(2026,12,21),tblDaily[WardCode],"CW")),"")</f>
        <v/>
      </c>
      <c r="D456" s="5" t="str">
        <f>IFERROR(IF(SUMIFS(tblDaily[Deaths],tblDaily[EntryDate],DATE(2026,12,21),tblDaily[WardCode],"CW")=0,"",SUMIFS(tblDaily[Deaths],tblDaily[EntryDate],DATE(2026,12,21),tblDaily[WardCode],"CW")),"")</f>
        <v/>
      </c>
      <c r="E456" s="5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5" t="str">
        <f>IFERROR(IF(SUMIFS(tblDaily[TransfersIn],tblDaily[EntryDate],DATE(2026,12,21),tblDaily[WardCode],"CW")=0,"",SUMIFS(tblDaily[TransfersIn],tblDaily[EntryDate],DATE(2026,12,21),tblDaily[WardCode],"CW")),"")</f>
        <v/>
      </c>
      <c r="G456" s="5" t="str">
        <f>IFERROR(IF(SUMIFS(tblDaily[TransfersOut],tblDaily[EntryDate],DATE(2026,12,21),tblDaily[WardCode],"CW")=0,"",SUMIFS(tblDaily[TransfersOut],tblDaily[EntryDate],DATE(2026,12,21),tblDaily[WardCode],"CW")),"")</f>
        <v/>
      </c>
      <c r="H456" s="5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IFERROR(IF(SUMIFS(tblDaily[Admissions],tblDaily[EntryDate],DATE(2026,12,22),tblDaily[WardCode],"CW")=0,"",SUMIFS(tblDaily[Admissions],tblDaily[EntryDate],DATE(2026,12,22),tblDaily[WardCode],"CW")),"")</f>
        <v/>
      </c>
      <c r="C457" s="5" t="str">
        <f>IFERROR(IF(SUMIFS(tblDaily[Discharges],tblDaily[EntryDate],DATE(2026,12,22),tblDaily[WardCode],"CW")=0,"",SUMIFS(tblDaily[Discharges],tblDaily[EntryDate],DATE(2026,12,22),tblDaily[WardCode],"CW")),"")</f>
        <v/>
      </c>
      <c r="D457" s="5" t="str">
        <f>IFERROR(IF(SUMIFS(tblDaily[Deaths],tblDaily[EntryDate],DATE(2026,12,22),tblDaily[WardCode],"CW")=0,"",SUMIFS(tblDaily[Deaths],tblDaily[EntryDate],DATE(2026,12,22),tblDaily[WardCode],"CW")),"")</f>
        <v/>
      </c>
      <c r="E457" s="5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5" t="str">
        <f>IFERROR(IF(SUMIFS(tblDaily[TransfersIn],tblDaily[EntryDate],DATE(2026,12,22),tblDaily[WardCode],"CW")=0,"",SUMIFS(tblDaily[TransfersIn],tblDaily[EntryDate],DATE(2026,12,22),tblDaily[WardCode],"CW")),"")</f>
        <v/>
      </c>
      <c r="G457" s="5" t="str">
        <f>IFERROR(IF(SUMIFS(tblDaily[TransfersOut],tblDaily[EntryDate],DATE(2026,12,22),tblDaily[WardCode],"CW")=0,"",SUMIFS(tblDaily[TransfersOut],tblDaily[EntryDate],DATE(2026,12,22),tblDaily[WardCode],"CW")),"")</f>
        <v/>
      </c>
      <c r="H457" s="5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IFERROR(IF(SUMIFS(tblDaily[Admissions],tblDaily[EntryDate],DATE(2026,12,23),tblDaily[WardCode],"CW")=0,"",SUMIFS(tblDaily[Admissions],tblDaily[EntryDate],DATE(2026,12,23),tblDaily[WardCode],"CW")),"")</f>
        <v/>
      </c>
      <c r="C458" s="5" t="str">
        <f>IFERROR(IF(SUMIFS(tblDaily[Discharges],tblDaily[EntryDate],DATE(2026,12,23),tblDaily[WardCode],"CW")=0,"",SUMIFS(tblDaily[Discharges],tblDaily[EntryDate],DATE(2026,12,23),tblDaily[WardCode],"CW")),"")</f>
        <v/>
      </c>
      <c r="D458" s="5" t="str">
        <f>IFERROR(IF(SUMIFS(tblDaily[Deaths],tblDaily[EntryDate],DATE(2026,12,23),tblDaily[WardCode],"CW")=0,"",SUMIFS(tblDaily[Deaths],tblDaily[EntryDate],DATE(2026,12,23),tblDaily[WardCode],"CW")),"")</f>
        <v/>
      </c>
      <c r="E458" s="5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5" t="str">
        <f>IFERROR(IF(SUMIFS(tblDaily[TransfersIn],tblDaily[EntryDate],DATE(2026,12,23),tblDaily[WardCode],"CW")=0,"",SUMIFS(tblDaily[TransfersIn],tblDaily[EntryDate],DATE(2026,12,23),tblDaily[WardCode],"CW")),"")</f>
        <v/>
      </c>
      <c r="G458" s="5" t="str">
        <f>IFERROR(IF(SUMIFS(tblDaily[TransfersOut],tblDaily[EntryDate],DATE(2026,12,23),tblDaily[WardCode],"CW")=0,"",SUMIFS(tblDaily[TransfersOut],tblDaily[EntryDate],DATE(2026,12,23),tblDaily[WardCode],"CW")),"")</f>
        <v/>
      </c>
      <c r="H458" s="5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IFERROR(IF(SUMIFS(tblDaily[Admissions],tblDaily[EntryDate],DATE(2026,12,24),tblDaily[WardCode],"CW")=0,"",SUMIFS(tblDaily[Admissions],tblDaily[EntryDate],DATE(2026,12,24),tblDaily[WardCode],"CW")),"")</f>
        <v/>
      </c>
      <c r="C459" s="5" t="str">
        <f>IFERROR(IF(SUMIFS(tblDaily[Discharges],tblDaily[EntryDate],DATE(2026,12,24),tblDaily[WardCode],"CW")=0,"",SUMIFS(tblDaily[Discharges],tblDaily[EntryDate],DATE(2026,12,24),tblDaily[WardCode],"CW")),"")</f>
        <v/>
      </c>
      <c r="D459" s="5" t="str">
        <f>IFERROR(IF(SUMIFS(tblDaily[Deaths],tblDaily[EntryDate],DATE(2026,12,24),tblDaily[WardCode],"CW")=0,"",SUMIFS(tblDaily[Deaths],tblDaily[EntryDate],DATE(2026,12,24),tblDaily[WardCode],"CW")),"")</f>
        <v/>
      </c>
      <c r="E459" s="5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5" t="str">
        <f>IFERROR(IF(SUMIFS(tblDaily[TransfersIn],tblDaily[EntryDate],DATE(2026,12,24),tblDaily[WardCode],"CW")=0,"",SUMIFS(tblDaily[TransfersIn],tblDaily[EntryDate],DATE(2026,12,24),tblDaily[WardCode],"CW")),"")</f>
        <v/>
      </c>
      <c r="G459" s="5" t="str">
        <f>IFERROR(IF(SUMIFS(tblDaily[TransfersOut],tblDaily[EntryDate],DATE(2026,12,24),tblDaily[WardCode],"CW")=0,"",SUMIFS(tblDaily[TransfersOut],tblDaily[EntryDate],DATE(2026,12,24),tblDaily[WardCode],"CW")),"")</f>
        <v/>
      </c>
      <c r="H459" s="5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IFERROR(IF(SUMIFS(tblDaily[Admissions],tblDaily[EntryDate],DATE(2026,12,25),tblDaily[WardCode],"CW")=0,"",SUMIFS(tblDaily[Admissions],tblDaily[EntryDate],DATE(2026,12,25),tblDaily[WardCode],"CW")),"")</f>
        <v/>
      </c>
      <c r="C460" s="5" t="str">
        <f>IFERROR(IF(SUMIFS(tblDaily[Discharges],tblDaily[EntryDate],DATE(2026,12,25),tblDaily[WardCode],"CW")=0,"",SUMIFS(tblDaily[Discharges],tblDaily[EntryDate],DATE(2026,12,25),tblDaily[WardCode],"CW")),"")</f>
        <v/>
      </c>
      <c r="D460" s="5" t="str">
        <f>IFERROR(IF(SUMIFS(tblDaily[Deaths],tblDaily[EntryDate],DATE(2026,12,25),tblDaily[WardCode],"CW")=0,"",SUMIFS(tblDaily[Deaths],tblDaily[EntryDate],DATE(2026,12,25),tblDaily[WardCode],"CW")),"")</f>
        <v/>
      </c>
      <c r="E460" s="5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5" t="str">
        <f>IFERROR(IF(SUMIFS(tblDaily[TransfersIn],tblDaily[EntryDate],DATE(2026,12,25),tblDaily[WardCode],"CW")=0,"",SUMIFS(tblDaily[TransfersIn],tblDaily[EntryDate],DATE(2026,12,25),tblDaily[WardCode],"CW")),"")</f>
        <v/>
      </c>
      <c r="G460" s="5" t="str">
        <f>IFERROR(IF(SUMIFS(tblDaily[TransfersOut],tblDaily[EntryDate],DATE(2026,12,25),tblDaily[WardCode],"CW")=0,"",SUMIFS(tblDaily[TransfersOut],tblDaily[EntryDate],DATE(2026,12,25),tblDaily[WardCode],"CW")),"")</f>
        <v/>
      </c>
      <c r="H460" s="5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IFERROR(IF(SUMIFS(tblDaily[Admissions],tblDaily[EntryDate],DATE(2026,12,26),tblDaily[WardCode],"CW")=0,"",SUMIFS(tblDaily[Admissions],tblDaily[EntryDate],DATE(2026,12,26),tblDaily[WardCode],"CW")),"")</f>
        <v/>
      </c>
      <c r="C461" s="5" t="str">
        <f>IFERROR(IF(SUMIFS(tblDaily[Discharges],tblDaily[EntryDate],DATE(2026,12,26),tblDaily[WardCode],"CW")=0,"",SUMIFS(tblDaily[Discharges],tblDaily[EntryDate],DATE(2026,12,26),tblDaily[WardCode],"CW")),"")</f>
        <v/>
      </c>
      <c r="D461" s="5" t="str">
        <f>IFERROR(IF(SUMIFS(tblDaily[Deaths],tblDaily[EntryDate],DATE(2026,12,26),tblDaily[WardCode],"CW")=0,"",SUMIFS(tblDaily[Deaths],tblDaily[EntryDate],DATE(2026,12,26),tblDaily[WardCode],"CW")),"")</f>
        <v/>
      </c>
      <c r="E461" s="5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5" t="str">
        <f>IFERROR(IF(SUMIFS(tblDaily[TransfersIn],tblDaily[EntryDate],DATE(2026,12,26),tblDaily[WardCode],"CW")=0,"",SUMIFS(tblDaily[TransfersIn],tblDaily[EntryDate],DATE(2026,12,26),tblDaily[WardCode],"CW")),"")</f>
        <v/>
      </c>
      <c r="G461" s="5" t="str">
        <f>IFERROR(IF(SUMIFS(tblDaily[TransfersOut],tblDaily[EntryDate],DATE(2026,12,26),tblDaily[WardCode],"CW")=0,"",SUMIFS(tblDaily[TransfersOut],tblDaily[EntryDate],DATE(2026,12,26),tblDaily[WardCode],"CW")),"")</f>
        <v/>
      </c>
      <c r="H461" s="5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IFERROR(IF(SUMIFS(tblDaily[Admissions],tblDaily[EntryDate],DATE(2026,12,27),tblDaily[WardCode],"CW")=0,"",SUMIFS(tblDaily[Admissions],tblDaily[EntryDate],DATE(2026,12,27),tblDaily[WardCode],"CW")),"")</f>
        <v/>
      </c>
      <c r="C462" s="5" t="str">
        <f>IFERROR(IF(SUMIFS(tblDaily[Discharges],tblDaily[EntryDate],DATE(2026,12,27),tblDaily[WardCode],"CW")=0,"",SUMIFS(tblDaily[Discharges],tblDaily[EntryDate],DATE(2026,12,27),tblDaily[WardCode],"CW")),"")</f>
        <v/>
      </c>
      <c r="D462" s="5" t="str">
        <f>IFERROR(IF(SUMIFS(tblDaily[Deaths],tblDaily[EntryDate],DATE(2026,12,27),tblDaily[WardCode],"CW")=0,"",SUMIFS(tblDaily[Deaths],tblDaily[EntryDate],DATE(2026,12,27),tblDaily[WardCode],"CW")),"")</f>
        <v/>
      </c>
      <c r="E462" s="5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5" t="str">
        <f>IFERROR(IF(SUMIFS(tblDaily[TransfersIn],tblDaily[EntryDate],DATE(2026,12,27),tblDaily[WardCode],"CW")=0,"",SUMIFS(tblDaily[TransfersIn],tblDaily[EntryDate],DATE(2026,12,27),tblDaily[WardCode],"CW")),"")</f>
        <v/>
      </c>
      <c r="G462" s="5" t="str">
        <f>IFERROR(IF(SUMIFS(tblDaily[TransfersOut],tblDaily[EntryDate],DATE(2026,12,27),tblDaily[WardCode],"CW")=0,"",SUMIFS(tblDaily[TransfersOut],tblDaily[EntryDate],DATE(2026,12,27),tblDaily[WardCode],"CW")),"")</f>
        <v/>
      </c>
      <c r="H462" s="5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IFERROR(IF(SUMIFS(tblDaily[Admissions],tblDaily[EntryDate],DATE(2026,12,28),tblDaily[WardCode],"CW")=0,"",SUMIFS(tblDaily[Admissions],tblDaily[EntryDate],DATE(2026,12,28),tblDaily[WardCode],"CW")),"")</f>
        <v/>
      </c>
      <c r="C463" s="5" t="str">
        <f>IFERROR(IF(SUMIFS(tblDaily[Discharges],tblDaily[EntryDate],DATE(2026,12,28),tblDaily[WardCode],"CW")=0,"",SUMIFS(tblDaily[Discharges],tblDaily[EntryDate],DATE(2026,12,28),tblDaily[WardCode],"CW")),"")</f>
        <v/>
      </c>
      <c r="D463" s="5" t="str">
        <f>IFERROR(IF(SUMIFS(tblDaily[Deaths],tblDaily[EntryDate],DATE(2026,12,28),tblDaily[WardCode],"CW")=0,"",SUMIFS(tblDaily[Deaths],tblDaily[EntryDate],DATE(2026,12,28),tblDaily[WardCode],"CW")),"")</f>
        <v/>
      </c>
      <c r="E463" s="5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5" t="str">
        <f>IFERROR(IF(SUMIFS(tblDaily[TransfersIn],tblDaily[EntryDate],DATE(2026,12,28),tblDaily[WardCode],"CW")=0,"",SUMIFS(tblDaily[TransfersIn],tblDaily[EntryDate],DATE(2026,12,28),tblDaily[WardCode],"CW")),"")</f>
        <v/>
      </c>
      <c r="G463" s="5" t="str">
        <f>IFERROR(IF(SUMIFS(tblDaily[TransfersOut],tblDaily[EntryDate],DATE(2026,12,28),tblDaily[WardCode],"CW")=0,"",SUMIFS(tblDaily[TransfersOut],tblDaily[EntryDate],DATE(2026,12,28),tblDaily[WardCode],"CW")),"")</f>
        <v/>
      </c>
      <c r="H463" s="5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IFERROR(IF(SUMIFS(tblDaily[Admissions],tblDaily[EntryDate],DATE(2026,12,29),tblDaily[WardCode],"CW")=0,"",SUMIFS(tblDaily[Admissions],tblDaily[EntryDate],DATE(2026,12,29),tblDaily[WardCode],"CW")),"")</f>
        <v/>
      </c>
      <c r="C464" s="5" t="str">
        <f>IFERROR(IF(SUMIFS(tblDaily[Discharges],tblDaily[EntryDate],DATE(2026,12,29),tblDaily[WardCode],"CW")=0,"",SUMIFS(tblDaily[Discharges],tblDaily[EntryDate],DATE(2026,12,29),tblDaily[WardCode],"CW")),"")</f>
        <v/>
      </c>
      <c r="D464" s="5" t="str">
        <f>IFERROR(IF(SUMIFS(tblDaily[Deaths],tblDaily[EntryDate],DATE(2026,12,29),tblDaily[WardCode],"CW")=0,"",SUMIFS(tblDaily[Deaths],tblDaily[EntryDate],DATE(2026,12,29),tblDaily[WardCode],"CW")),"")</f>
        <v/>
      </c>
      <c r="E464" s="5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5" t="str">
        <f>IFERROR(IF(SUMIFS(tblDaily[TransfersIn],tblDaily[EntryDate],DATE(2026,12,29),tblDaily[WardCode],"CW")=0,"",SUMIFS(tblDaily[TransfersIn],tblDaily[EntryDate],DATE(2026,12,29),tblDaily[WardCode],"CW")),"")</f>
        <v/>
      </c>
      <c r="G464" s="5" t="str">
        <f>IFERROR(IF(SUMIFS(tblDaily[TransfersOut],tblDaily[EntryDate],DATE(2026,12,29),tblDaily[WardCode],"CW")=0,"",SUMIFS(tblDaily[TransfersOut],tblDaily[EntryDate],DATE(2026,12,29),tblDaily[WardCode],"CW")),"")</f>
        <v/>
      </c>
      <c r="H464" s="5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IFERROR(IF(SUMIFS(tblDaily[Admissions],tblDaily[EntryDate],DATE(2026,12,30),tblDaily[WardCode],"CW")=0,"",SUMIFS(tblDaily[Admissions],tblDaily[EntryDate],DATE(2026,12,30),tblDaily[WardCode],"CW")),"")</f>
        <v/>
      </c>
      <c r="C465" s="5" t="str">
        <f>IFERROR(IF(SUMIFS(tblDaily[Discharges],tblDaily[EntryDate],DATE(2026,12,30),tblDaily[WardCode],"CW")=0,"",SUMIFS(tblDaily[Discharges],tblDaily[EntryDate],DATE(2026,12,30),tblDaily[WardCode],"CW")),"")</f>
        <v/>
      </c>
      <c r="D465" s="5" t="str">
        <f>IFERROR(IF(SUMIFS(tblDaily[Deaths],tblDaily[EntryDate],DATE(2026,12,30),tblDaily[WardCode],"CW")=0,"",SUMIFS(tblDaily[Deaths],tblDaily[EntryDate],DATE(2026,12,30),tblDaily[WardCode],"CW")),"")</f>
        <v/>
      </c>
      <c r="E465" s="5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5" t="str">
        <f>IFERROR(IF(SUMIFS(tblDaily[TransfersIn],tblDaily[EntryDate],DATE(2026,12,30),tblDaily[WardCode],"CW")=0,"",SUMIFS(tblDaily[TransfersIn],tblDaily[EntryDate],DATE(2026,12,30),tblDaily[WardCode],"CW")),"")</f>
        <v/>
      </c>
      <c r="G465" s="5" t="str">
        <f>IFERROR(IF(SUMIFS(tblDaily[TransfersOut],tblDaily[EntryDate],DATE(2026,12,30),tblDaily[WardCode],"CW")=0,"",SUMIFS(tblDaily[TransfersOut],tblDaily[EntryDate],DATE(2026,12,30),tblDaily[WardCode],"CW")),"")</f>
        <v/>
      </c>
      <c r="H465" s="5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IFERROR(IF(SUMIFS(tblDaily[Admissions],tblDaily[EntryDate],DATE(2026,12,31),tblDaily[WardCode],"CW")=0,"",SUMIFS(tblDaily[Admissions],tblDaily[EntryDate],DATE(2026,12,31),tblDaily[WardCode],"CW")),"")</f>
        <v/>
      </c>
      <c r="C466" s="5" t="str">
        <f>IFERROR(IF(SUMIFS(tblDaily[Discharges],tblDaily[EntryDate],DATE(2026,12,31),tblDaily[WardCode],"CW")=0,"",SUMIFS(tblDaily[Discharges],tblDaily[EntryDate],DATE(2026,12,31),tblDaily[WardCode],"CW")),"")</f>
        <v/>
      </c>
      <c r="D466" s="5" t="str">
        <f>IFERROR(IF(SUMIFS(tblDaily[Deaths],tblDaily[EntryDate],DATE(2026,12,31),tblDaily[WardCode],"CW")=0,"",SUMIFS(tblDaily[Deaths],tblDaily[EntryDate],DATE(2026,12,31),tblDaily[WardCode],"CW")),"")</f>
        <v/>
      </c>
      <c r="E466" s="5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5" t="str">
        <f>IFERROR(IF(SUMIFS(tblDaily[TransfersIn],tblDaily[EntryDate],DATE(2026,12,31),tblDaily[WardCode],"CW")=0,"",SUMIFS(tblDaily[TransfersIn],tblDaily[EntryDate],DATE(2026,12,31),tblDaily[WardCode],"CW")),"")</f>
        <v/>
      </c>
      <c r="G466" s="5" t="str">
        <f>IFERROR(IF(SUMIFS(tblDaily[TransfersOut],tblDaily[EntryDate],DATE(2026,12,31),tblDaily[WardCode],"CW")=0,"",SUMIFS(tblDaily[TransfersOut],tblDaily[EntryDate],DATE(2026,12,31),tblDaily[WardCode],"CW")),"")</f>
        <v/>
      </c>
      <c r="H466" s="5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95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98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IFERROR(INDEX(tblWardConfig[PrevYearRemaining],MATCH("BF",tblWardConfig[WardCode],0)),0)</f>
        <v>0</v>
      </c>
    </row>
    <row r="5" spans="1:8" x14ac:dyDescent="0.25">
      <c r="A5" s="1" t="s">
        <v>89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IFERROR(IF(SUMIFS(tblDaily[Admissions],tblDaily[EntryDate],DATE(2026,1,1),tblDaily[WardCode],"BF")=0,"",SUMIFS(tblDaily[Admissions],tblDaily[EntryDate],DATE(2026,1,1),tblDaily[WardCode],"BF")),"")</f>
        <v/>
      </c>
      <c r="C7" s="5" t="str">
        <f>IFERROR(IF(SUMIFS(tblDaily[Discharges],tblDaily[EntryDate],DATE(2026,1,1),tblDaily[WardCode],"BF")=0,"",SUMIFS(tblDaily[Discharges],tblDaily[EntryDate],DATE(2026,1,1),tblDaily[WardCode],"BF")),"")</f>
        <v/>
      </c>
      <c r="D7" s="5" t="str">
        <f>IFERROR(IF(SUMIFS(tblDaily[Deaths],tblDaily[EntryDate],DATE(2026,1,1),tblDaily[WardCode],"BF")=0,"",SUMIFS(tblDaily[Deaths],tblDaily[EntryDate],DATE(2026,1,1),tblDaily[WardCode],"BF")),"")</f>
        <v/>
      </c>
      <c r="E7" s="5" t="str">
        <f>IFERROR(IF(SUMIFS(tblDaily[DeathsUnder24Hrs],tblDaily[EntryDate],DATE(2026,1,1),tblDaily[WardCode],"BF")=0,"",SUMIFS(tblDaily[DeathsUnder24Hrs],tblDaily[EntryDate],DATE(2026,1,1),tblDaily[WardCode],"BF")),"")</f>
        <v/>
      </c>
      <c r="F7" s="5" t="str">
        <f>IFERROR(IF(SUMIFS(tblDaily[TransfersIn],tblDaily[EntryDate],DATE(2026,1,1),tblDaily[WardCode],"BF")=0,"",SUMIFS(tblDaily[TransfersIn],tblDaily[EntryDate],DATE(2026,1,1),tblDaily[WardCode],"BF")),"")</f>
        <v/>
      </c>
      <c r="G7" s="5" t="str">
        <f>IFERROR(IF(SUMIFS(tblDaily[TransfersOut],tblDaily[EntryDate],DATE(2026,1,1),tblDaily[WardCode],"BF")=0,"",SUMIFS(tblDaily[TransfersOut],tblDaily[EntryDate],DATE(2026,1,1),tblDaily[WardCode],"BF")),"")</f>
        <v/>
      </c>
      <c r="H7" s="5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IFERROR(IF(SUMIFS(tblDaily[Admissions],tblDaily[EntryDate],DATE(2026,1,2),tblDaily[WardCode],"BF")=0,"",SUMIFS(tblDaily[Admissions],tblDaily[EntryDate],DATE(2026,1,2),tblDaily[WardCode],"BF")),"")</f>
        <v/>
      </c>
      <c r="C8" s="5" t="str">
        <f>IFERROR(IF(SUMIFS(tblDaily[Discharges],tblDaily[EntryDate],DATE(2026,1,2),tblDaily[WardCode],"BF")=0,"",SUMIFS(tblDaily[Discharges],tblDaily[EntryDate],DATE(2026,1,2),tblDaily[WardCode],"BF")),"")</f>
        <v/>
      </c>
      <c r="D8" s="5" t="str">
        <f>IFERROR(IF(SUMIFS(tblDaily[Deaths],tblDaily[EntryDate],DATE(2026,1,2),tblDaily[WardCode],"BF")=0,"",SUMIFS(tblDaily[Deaths],tblDaily[EntryDate],DATE(2026,1,2),tblDaily[WardCode],"BF")),"")</f>
        <v/>
      </c>
      <c r="E8" s="5" t="str">
        <f>IFERROR(IF(SUMIFS(tblDaily[DeathsUnder24Hrs],tblDaily[EntryDate],DATE(2026,1,2),tblDaily[WardCode],"BF")=0,"",SUMIFS(tblDaily[DeathsUnder24Hrs],tblDaily[EntryDate],DATE(2026,1,2),tblDaily[WardCode],"BF")),"")</f>
        <v/>
      </c>
      <c r="F8" s="5" t="str">
        <f>IFERROR(IF(SUMIFS(tblDaily[TransfersIn],tblDaily[EntryDate],DATE(2026,1,2),tblDaily[WardCode],"BF")=0,"",SUMIFS(tblDaily[TransfersIn],tblDaily[EntryDate],DATE(2026,1,2),tblDaily[WardCode],"BF")),"")</f>
        <v/>
      </c>
      <c r="G8" s="5" t="str">
        <f>IFERROR(IF(SUMIFS(tblDaily[TransfersOut],tblDaily[EntryDate],DATE(2026,1,2),tblDaily[WardCode],"BF")=0,"",SUMIFS(tblDaily[TransfersOut],tblDaily[EntryDate],DATE(2026,1,2),tblDaily[WardCode],"BF")),"")</f>
        <v/>
      </c>
      <c r="H8" s="5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IFERROR(IF(SUMIFS(tblDaily[Admissions],tblDaily[EntryDate],DATE(2026,1,3),tblDaily[WardCode],"BF")=0,"",SUMIFS(tblDaily[Admissions],tblDaily[EntryDate],DATE(2026,1,3),tblDaily[WardCode],"BF")),"")</f>
        <v/>
      </c>
      <c r="C9" s="5" t="str">
        <f>IFERROR(IF(SUMIFS(tblDaily[Discharges],tblDaily[EntryDate],DATE(2026,1,3),tblDaily[WardCode],"BF")=0,"",SUMIFS(tblDaily[Discharges],tblDaily[EntryDate],DATE(2026,1,3),tblDaily[WardCode],"BF")),"")</f>
        <v/>
      </c>
      <c r="D9" s="5" t="str">
        <f>IFERROR(IF(SUMIFS(tblDaily[Deaths],tblDaily[EntryDate],DATE(2026,1,3),tblDaily[WardCode],"BF")=0,"",SUMIFS(tblDaily[Deaths],tblDaily[EntryDate],DATE(2026,1,3),tblDaily[WardCode],"BF")),"")</f>
        <v/>
      </c>
      <c r="E9" s="5" t="str">
        <f>IFERROR(IF(SUMIFS(tblDaily[DeathsUnder24Hrs],tblDaily[EntryDate],DATE(2026,1,3),tblDaily[WardCode],"BF")=0,"",SUMIFS(tblDaily[DeathsUnder24Hrs],tblDaily[EntryDate],DATE(2026,1,3),tblDaily[WardCode],"BF")),"")</f>
        <v/>
      </c>
      <c r="F9" s="5" t="str">
        <f>IFERROR(IF(SUMIFS(tblDaily[TransfersIn],tblDaily[EntryDate],DATE(2026,1,3),tblDaily[WardCode],"BF")=0,"",SUMIFS(tblDaily[TransfersIn],tblDaily[EntryDate],DATE(2026,1,3),tblDaily[WardCode],"BF")),"")</f>
        <v/>
      </c>
      <c r="G9" s="5" t="str">
        <f>IFERROR(IF(SUMIFS(tblDaily[TransfersOut],tblDaily[EntryDate],DATE(2026,1,3),tblDaily[WardCode],"BF")=0,"",SUMIFS(tblDaily[TransfersOut],tblDaily[EntryDate],DATE(2026,1,3),tblDaily[WardCode],"BF")),"")</f>
        <v/>
      </c>
      <c r="H9" s="5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IFERROR(IF(SUMIFS(tblDaily[Admissions],tblDaily[EntryDate],DATE(2026,1,4),tblDaily[WardCode],"BF")=0,"",SUMIFS(tblDaily[Admissions],tblDaily[EntryDate],DATE(2026,1,4),tblDaily[WardCode],"BF")),"")</f>
        <v/>
      </c>
      <c r="C10" s="5" t="str">
        <f>IFERROR(IF(SUMIFS(tblDaily[Discharges],tblDaily[EntryDate],DATE(2026,1,4),tblDaily[WardCode],"BF")=0,"",SUMIFS(tblDaily[Discharges],tblDaily[EntryDate],DATE(2026,1,4),tblDaily[WardCode],"BF")),"")</f>
        <v/>
      </c>
      <c r="D10" s="5" t="str">
        <f>IFERROR(IF(SUMIFS(tblDaily[Deaths],tblDaily[EntryDate],DATE(2026,1,4),tblDaily[WardCode],"BF")=0,"",SUMIFS(tblDaily[Deaths],tblDaily[EntryDate],DATE(2026,1,4),tblDaily[WardCode],"BF")),"")</f>
        <v/>
      </c>
      <c r="E10" s="5" t="str">
        <f>IFERROR(IF(SUMIFS(tblDaily[DeathsUnder24Hrs],tblDaily[EntryDate],DATE(2026,1,4),tblDaily[WardCode],"BF")=0,"",SUMIFS(tblDaily[DeathsUnder24Hrs],tblDaily[EntryDate],DATE(2026,1,4),tblDaily[WardCode],"BF")),"")</f>
        <v/>
      </c>
      <c r="F10" s="5" t="str">
        <f>IFERROR(IF(SUMIFS(tblDaily[TransfersIn],tblDaily[EntryDate],DATE(2026,1,4),tblDaily[WardCode],"BF")=0,"",SUMIFS(tblDaily[TransfersIn],tblDaily[EntryDate],DATE(2026,1,4),tblDaily[WardCode],"BF")),"")</f>
        <v/>
      </c>
      <c r="G10" s="5" t="str">
        <f>IFERROR(IF(SUMIFS(tblDaily[TransfersOut],tblDaily[EntryDate],DATE(2026,1,4),tblDaily[WardCode],"BF")=0,"",SUMIFS(tblDaily[TransfersOut],tblDaily[EntryDate],DATE(2026,1,4),tblDaily[WardCode],"BF")),"")</f>
        <v/>
      </c>
      <c r="H10" s="5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IFERROR(IF(SUMIFS(tblDaily[Admissions],tblDaily[EntryDate],DATE(2026,1,5),tblDaily[WardCode],"BF")=0,"",SUMIFS(tblDaily[Admissions],tblDaily[EntryDate],DATE(2026,1,5),tblDaily[WardCode],"BF")),"")</f>
        <v/>
      </c>
      <c r="C11" s="5" t="str">
        <f>IFERROR(IF(SUMIFS(tblDaily[Discharges],tblDaily[EntryDate],DATE(2026,1,5),tblDaily[WardCode],"BF")=0,"",SUMIFS(tblDaily[Discharges],tblDaily[EntryDate],DATE(2026,1,5),tblDaily[WardCode],"BF")),"")</f>
        <v/>
      </c>
      <c r="D11" s="5" t="str">
        <f>IFERROR(IF(SUMIFS(tblDaily[Deaths],tblDaily[EntryDate],DATE(2026,1,5),tblDaily[WardCode],"BF")=0,"",SUMIFS(tblDaily[Deaths],tblDaily[EntryDate],DATE(2026,1,5),tblDaily[WardCode],"BF")),"")</f>
        <v/>
      </c>
      <c r="E11" s="5" t="str">
        <f>IFERROR(IF(SUMIFS(tblDaily[DeathsUnder24Hrs],tblDaily[EntryDate],DATE(2026,1,5),tblDaily[WardCode],"BF")=0,"",SUMIFS(tblDaily[DeathsUnder24Hrs],tblDaily[EntryDate],DATE(2026,1,5),tblDaily[WardCode],"BF")),"")</f>
        <v/>
      </c>
      <c r="F11" s="5" t="str">
        <f>IFERROR(IF(SUMIFS(tblDaily[TransfersIn],tblDaily[EntryDate],DATE(2026,1,5),tblDaily[WardCode],"BF")=0,"",SUMIFS(tblDaily[TransfersIn],tblDaily[EntryDate],DATE(2026,1,5),tblDaily[WardCode],"BF")),"")</f>
        <v/>
      </c>
      <c r="G11" s="5" t="str">
        <f>IFERROR(IF(SUMIFS(tblDaily[TransfersOut],tblDaily[EntryDate],DATE(2026,1,5),tblDaily[WardCode],"BF")=0,"",SUMIFS(tblDaily[TransfersOut],tblDaily[EntryDate],DATE(2026,1,5),tblDaily[WardCode],"BF")),"")</f>
        <v/>
      </c>
      <c r="H11" s="5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IFERROR(IF(SUMIFS(tblDaily[Admissions],tblDaily[EntryDate],DATE(2026,1,6),tblDaily[WardCode],"BF")=0,"",SUMIFS(tblDaily[Admissions],tblDaily[EntryDate],DATE(2026,1,6),tblDaily[WardCode],"BF")),"")</f>
        <v/>
      </c>
      <c r="C12" s="5" t="str">
        <f>IFERROR(IF(SUMIFS(tblDaily[Discharges],tblDaily[EntryDate],DATE(2026,1,6),tblDaily[WardCode],"BF")=0,"",SUMIFS(tblDaily[Discharges],tblDaily[EntryDate],DATE(2026,1,6),tblDaily[WardCode],"BF")),"")</f>
        <v/>
      </c>
      <c r="D12" s="5" t="str">
        <f>IFERROR(IF(SUMIFS(tblDaily[Deaths],tblDaily[EntryDate],DATE(2026,1,6),tblDaily[WardCode],"BF")=0,"",SUMIFS(tblDaily[Deaths],tblDaily[EntryDate],DATE(2026,1,6),tblDaily[WardCode],"BF")),"")</f>
        <v/>
      </c>
      <c r="E12" s="5" t="str">
        <f>IFERROR(IF(SUMIFS(tblDaily[DeathsUnder24Hrs],tblDaily[EntryDate],DATE(2026,1,6),tblDaily[WardCode],"BF")=0,"",SUMIFS(tblDaily[DeathsUnder24Hrs],tblDaily[EntryDate],DATE(2026,1,6),tblDaily[WardCode],"BF")),"")</f>
        <v/>
      </c>
      <c r="F12" s="5" t="str">
        <f>IFERROR(IF(SUMIFS(tblDaily[TransfersIn],tblDaily[EntryDate],DATE(2026,1,6),tblDaily[WardCode],"BF")=0,"",SUMIFS(tblDaily[TransfersIn],tblDaily[EntryDate],DATE(2026,1,6),tblDaily[WardCode],"BF")),"")</f>
        <v/>
      </c>
      <c r="G12" s="5" t="str">
        <f>IFERROR(IF(SUMIFS(tblDaily[TransfersOut],tblDaily[EntryDate],DATE(2026,1,6),tblDaily[WardCode],"BF")=0,"",SUMIFS(tblDaily[TransfersOut],tblDaily[EntryDate],DATE(2026,1,6),tblDaily[WardCode],"BF")),"")</f>
        <v/>
      </c>
      <c r="H12" s="5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IFERROR(IF(SUMIFS(tblDaily[Admissions],tblDaily[EntryDate],DATE(2026,1,7),tblDaily[WardCode],"BF")=0,"",SUMIFS(tblDaily[Admissions],tblDaily[EntryDate],DATE(2026,1,7),tblDaily[WardCode],"BF")),"")</f>
        <v/>
      </c>
      <c r="C13" s="5" t="str">
        <f>IFERROR(IF(SUMIFS(tblDaily[Discharges],tblDaily[EntryDate],DATE(2026,1,7),tblDaily[WardCode],"BF")=0,"",SUMIFS(tblDaily[Discharges],tblDaily[EntryDate],DATE(2026,1,7),tblDaily[WardCode],"BF")),"")</f>
        <v/>
      </c>
      <c r="D13" s="5" t="str">
        <f>IFERROR(IF(SUMIFS(tblDaily[Deaths],tblDaily[EntryDate],DATE(2026,1,7),tblDaily[WardCode],"BF")=0,"",SUMIFS(tblDaily[Deaths],tblDaily[EntryDate],DATE(2026,1,7),tblDaily[WardCode],"BF")),"")</f>
        <v/>
      </c>
      <c r="E13" s="5" t="str">
        <f>IFERROR(IF(SUMIFS(tblDaily[DeathsUnder24Hrs],tblDaily[EntryDate],DATE(2026,1,7),tblDaily[WardCode],"BF")=0,"",SUMIFS(tblDaily[DeathsUnder24Hrs],tblDaily[EntryDate],DATE(2026,1,7),tblDaily[WardCode],"BF")),"")</f>
        <v/>
      </c>
      <c r="F13" s="5" t="str">
        <f>IFERROR(IF(SUMIFS(tblDaily[TransfersIn],tblDaily[EntryDate],DATE(2026,1,7),tblDaily[WardCode],"BF")=0,"",SUMIFS(tblDaily[TransfersIn],tblDaily[EntryDate],DATE(2026,1,7),tblDaily[WardCode],"BF")),"")</f>
        <v/>
      </c>
      <c r="G13" s="5" t="str">
        <f>IFERROR(IF(SUMIFS(tblDaily[TransfersOut],tblDaily[EntryDate],DATE(2026,1,7),tblDaily[WardCode],"BF")=0,"",SUMIFS(tblDaily[TransfersOut],tblDaily[EntryDate],DATE(2026,1,7),tblDaily[WardCode],"BF")),"")</f>
        <v/>
      </c>
      <c r="H13" s="5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IFERROR(IF(SUMIFS(tblDaily[Admissions],tblDaily[EntryDate],DATE(2026,1,8),tblDaily[WardCode],"BF")=0,"",SUMIFS(tblDaily[Admissions],tblDaily[EntryDate],DATE(2026,1,8),tblDaily[WardCode],"BF")),"")</f>
        <v/>
      </c>
      <c r="C14" s="5" t="str">
        <f>IFERROR(IF(SUMIFS(tblDaily[Discharges],tblDaily[EntryDate],DATE(2026,1,8),tblDaily[WardCode],"BF")=0,"",SUMIFS(tblDaily[Discharges],tblDaily[EntryDate],DATE(2026,1,8),tblDaily[WardCode],"BF")),"")</f>
        <v/>
      </c>
      <c r="D14" s="5" t="str">
        <f>IFERROR(IF(SUMIFS(tblDaily[Deaths],tblDaily[EntryDate],DATE(2026,1,8),tblDaily[WardCode],"BF")=0,"",SUMIFS(tblDaily[Deaths],tblDaily[EntryDate],DATE(2026,1,8),tblDaily[WardCode],"BF")),"")</f>
        <v/>
      </c>
      <c r="E14" s="5" t="str">
        <f>IFERROR(IF(SUMIFS(tblDaily[DeathsUnder24Hrs],tblDaily[EntryDate],DATE(2026,1,8),tblDaily[WardCode],"BF")=0,"",SUMIFS(tblDaily[DeathsUnder24Hrs],tblDaily[EntryDate],DATE(2026,1,8),tblDaily[WardCode],"BF")),"")</f>
        <v/>
      </c>
      <c r="F14" s="5" t="str">
        <f>IFERROR(IF(SUMIFS(tblDaily[TransfersIn],tblDaily[EntryDate],DATE(2026,1,8),tblDaily[WardCode],"BF")=0,"",SUMIFS(tblDaily[TransfersIn],tblDaily[EntryDate],DATE(2026,1,8),tblDaily[WardCode],"BF")),"")</f>
        <v/>
      </c>
      <c r="G14" s="5" t="str">
        <f>IFERROR(IF(SUMIFS(tblDaily[TransfersOut],tblDaily[EntryDate],DATE(2026,1,8),tblDaily[WardCode],"BF")=0,"",SUMIFS(tblDaily[TransfersOut],tblDaily[EntryDate],DATE(2026,1,8),tblDaily[WardCode],"BF")),"")</f>
        <v/>
      </c>
      <c r="H14" s="5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IFERROR(IF(SUMIFS(tblDaily[Admissions],tblDaily[EntryDate],DATE(2026,1,9),tblDaily[WardCode],"BF")=0,"",SUMIFS(tblDaily[Admissions],tblDaily[EntryDate],DATE(2026,1,9),tblDaily[WardCode],"BF")),"")</f>
        <v/>
      </c>
      <c r="C15" s="5" t="str">
        <f>IFERROR(IF(SUMIFS(tblDaily[Discharges],tblDaily[EntryDate],DATE(2026,1,9),tblDaily[WardCode],"BF")=0,"",SUMIFS(tblDaily[Discharges],tblDaily[EntryDate],DATE(2026,1,9),tblDaily[WardCode],"BF")),"")</f>
        <v/>
      </c>
      <c r="D15" s="5" t="str">
        <f>IFERROR(IF(SUMIFS(tblDaily[Deaths],tblDaily[EntryDate],DATE(2026,1,9),tblDaily[WardCode],"BF")=0,"",SUMIFS(tblDaily[Deaths],tblDaily[EntryDate],DATE(2026,1,9),tblDaily[WardCode],"BF")),"")</f>
        <v/>
      </c>
      <c r="E15" s="5" t="str">
        <f>IFERROR(IF(SUMIFS(tblDaily[DeathsUnder24Hrs],tblDaily[EntryDate],DATE(2026,1,9),tblDaily[WardCode],"BF")=0,"",SUMIFS(tblDaily[DeathsUnder24Hrs],tblDaily[EntryDate],DATE(2026,1,9),tblDaily[WardCode],"BF")),"")</f>
        <v/>
      </c>
      <c r="F15" s="5" t="str">
        <f>IFERROR(IF(SUMIFS(tblDaily[TransfersIn],tblDaily[EntryDate],DATE(2026,1,9),tblDaily[WardCode],"BF")=0,"",SUMIFS(tblDaily[TransfersIn],tblDaily[EntryDate],DATE(2026,1,9),tblDaily[WardCode],"BF")),"")</f>
        <v/>
      </c>
      <c r="G15" s="5" t="str">
        <f>IFERROR(IF(SUMIFS(tblDaily[TransfersOut],tblDaily[EntryDate],DATE(2026,1,9),tblDaily[WardCode],"BF")=0,"",SUMIFS(tblDaily[TransfersOut],tblDaily[EntryDate],DATE(2026,1,9),tblDaily[WardCode],"BF")),"")</f>
        <v/>
      </c>
      <c r="H15" s="5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IFERROR(IF(SUMIFS(tblDaily[Admissions],tblDaily[EntryDate],DATE(2026,1,10),tblDaily[WardCode],"BF")=0,"",SUMIFS(tblDaily[Admissions],tblDaily[EntryDate],DATE(2026,1,10),tblDaily[WardCode],"BF")),"")</f>
        <v/>
      </c>
      <c r="C16" s="5" t="str">
        <f>IFERROR(IF(SUMIFS(tblDaily[Discharges],tblDaily[EntryDate],DATE(2026,1,10),tblDaily[WardCode],"BF")=0,"",SUMIFS(tblDaily[Discharges],tblDaily[EntryDate],DATE(2026,1,10),tblDaily[WardCode],"BF")),"")</f>
        <v/>
      </c>
      <c r="D16" s="5" t="str">
        <f>IFERROR(IF(SUMIFS(tblDaily[Deaths],tblDaily[EntryDate],DATE(2026,1,10),tblDaily[WardCode],"BF")=0,"",SUMIFS(tblDaily[Deaths],tblDaily[EntryDate],DATE(2026,1,10),tblDaily[WardCode],"BF")),"")</f>
        <v/>
      </c>
      <c r="E16" s="5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5" t="str">
        <f>IFERROR(IF(SUMIFS(tblDaily[TransfersIn],tblDaily[EntryDate],DATE(2026,1,10),tblDaily[WardCode],"BF")=0,"",SUMIFS(tblDaily[TransfersIn],tblDaily[EntryDate],DATE(2026,1,10),tblDaily[WardCode],"BF")),"")</f>
        <v/>
      </c>
      <c r="G16" s="5" t="str">
        <f>IFERROR(IF(SUMIFS(tblDaily[TransfersOut],tblDaily[EntryDate],DATE(2026,1,10),tblDaily[WardCode],"BF")=0,"",SUMIFS(tblDaily[TransfersOut],tblDaily[EntryDate],DATE(2026,1,10),tblDaily[WardCode],"BF")),"")</f>
        <v/>
      </c>
      <c r="H16" s="5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IFERROR(IF(SUMIFS(tblDaily[Admissions],tblDaily[EntryDate],DATE(2026,1,11),tblDaily[WardCode],"BF")=0,"",SUMIFS(tblDaily[Admissions],tblDaily[EntryDate],DATE(2026,1,11),tblDaily[WardCode],"BF")),"")</f>
        <v/>
      </c>
      <c r="C17" s="5" t="str">
        <f>IFERROR(IF(SUMIFS(tblDaily[Discharges],tblDaily[EntryDate],DATE(2026,1,11),tblDaily[WardCode],"BF")=0,"",SUMIFS(tblDaily[Discharges],tblDaily[EntryDate],DATE(2026,1,11),tblDaily[WardCode],"BF")),"")</f>
        <v/>
      </c>
      <c r="D17" s="5" t="str">
        <f>IFERROR(IF(SUMIFS(tblDaily[Deaths],tblDaily[EntryDate],DATE(2026,1,11),tblDaily[WardCode],"BF")=0,"",SUMIFS(tblDaily[Deaths],tblDaily[EntryDate],DATE(2026,1,11),tblDaily[WardCode],"BF")),"")</f>
        <v/>
      </c>
      <c r="E17" s="5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5" t="str">
        <f>IFERROR(IF(SUMIFS(tblDaily[TransfersIn],tblDaily[EntryDate],DATE(2026,1,11),tblDaily[WardCode],"BF")=0,"",SUMIFS(tblDaily[TransfersIn],tblDaily[EntryDate],DATE(2026,1,11),tblDaily[WardCode],"BF")),"")</f>
        <v/>
      </c>
      <c r="G17" s="5" t="str">
        <f>IFERROR(IF(SUMIFS(tblDaily[TransfersOut],tblDaily[EntryDate],DATE(2026,1,11),tblDaily[WardCode],"BF")=0,"",SUMIFS(tblDaily[TransfersOut],tblDaily[EntryDate],DATE(2026,1,11),tblDaily[WardCode],"BF")),"")</f>
        <v/>
      </c>
      <c r="H17" s="5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IFERROR(IF(SUMIFS(tblDaily[Admissions],tblDaily[EntryDate],DATE(2026,1,12),tblDaily[WardCode],"BF")=0,"",SUMIFS(tblDaily[Admissions],tblDaily[EntryDate],DATE(2026,1,12),tblDaily[WardCode],"BF")),"")</f>
        <v/>
      </c>
      <c r="C18" s="5" t="str">
        <f>IFERROR(IF(SUMIFS(tblDaily[Discharges],tblDaily[EntryDate],DATE(2026,1,12),tblDaily[WardCode],"BF")=0,"",SUMIFS(tblDaily[Discharges],tblDaily[EntryDate],DATE(2026,1,12),tblDaily[WardCode],"BF")),"")</f>
        <v/>
      </c>
      <c r="D18" s="5" t="str">
        <f>IFERROR(IF(SUMIFS(tblDaily[Deaths],tblDaily[EntryDate],DATE(2026,1,12),tblDaily[WardCode],"BF")=0,"",SUMIFS(tblDaily[Deaths],tblDaily[EntryDate],DATE(2026,1,12),tblDaily[WardCode],"BF")),"")</f>
        <v/>
      </c>
      <c r="E18" s="5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5" t="str">
        <f>IFERROR(IF(SUMIFS(tblDaily[TransfersIn],tblDaily[EntryDate],DATE(2026,1,12),tblDaily[WardCode],"BF")=0,"",SUMIFS(tblDaily[TransfersIn],tblDaily[EntryDate],DATE(2026,1,12),tblDaily[WardCode],"BF")),"")</f>
        <v/>
      </c>
      <c r="G18" s="5" t="str">
        <f>IFERROR(IF(SUMIFS(tblDaily[TransfersOut],tblDaily[EntryDate],DATE(2026,1,12),tblDaily[WardCode],"BF")=0,"",SUMIFS(tblDaily[TransfersOut],tblDaily[EntryDate],DATE(2026,1,12),tblDaily[WardCode],"BF")),"")</f>
        <v/>
      </c>
      <c r="H18" s="5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IFERROR(IF(SUMIFS(tblDaily[Admissions],tblDaily[EntryDate],DATE(2026,1,13),tblDaily[WardCode],"BF")=0,"",SUMIFS(tblDaily[Admissions],tblDaily[EntryDate],DATE(2026,1,13),tblDaily[WardCode],"BF")),"")</f>
        <v/>
      </c>
      <c r="C19" s="5" t="str">
        <f>IFERROR(IF(SUMIFS(tblDaily[Discharges],tblDaily[EntryDate],DATE(2026,1,13),tblDaily[WardCode],"BF")=0,"",SUMIFS(tblDaily[Discharges],tblDaily[EntryDate],DATE(2026,1,13),tblDaily[WardCode],"BF")),"")</f>
        <v/>
      </c>
      <c r="D19" s="5" t="str">
        <f>IFERROR(IF(SUMIFS(tblDaily[Deaths],tblDaily[EntryDate],DATE(2026,1,13),tblDaily[WardCode],"BF")=0,"",SUMIFS(tblDaily[Deaths],tblDaily[EntryDate],DATE(2026,1,13),tblDaily[WardCode],"BF")),"")</f>
        <v/>
      </c>
      <c r="E19" s="5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5" t="str">
        <f>IFERROR(IF(SUMIFS(tblDaily[TransfersIn],tblDaily[EntryDate],DATE(2026,1,13),tblDaily[WardCode],"BF")=0,"",SUMIFS(tblDaily[TransfersIn],tblDaily[EntryDate],DATE(2026,1,13),tblDaily[WardCode],"BF")),"")</f>
        <v/>
      </c>
      <c r="G19" s="5" t="str">
        <f>IFERROR(IF(SUMIFS(tblDaily[TransfersOut],tblDaily[EntryDate],DATE(2026,1,13),tblDaily[WardCode],"BF")=0,"",SUMIFS(tblDaily[TransfersOut],tblDaily[EntryDate],DATE(2026,1,13),tblDaily[WardCode],"BF")),"")</f>
        <v/>
      </c>
      <c r="H19" s="5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IFERROR(IF(SUMIFS(tblDaily[Admissions],tblDaily[EntryDate],DATE(2026,1,14),tblDaily[WardCode],"BF")=0,"",SUMIFS(tblDaily[Admissions],tblDaily[EntryDate],DATE(2026,1,14),tblDaily[WardCode],"BF")),"")</f>
        <v/>
      </c>
      <c r="C20" s="5" t="str">
        <f>IFERROR(IF(SUMIFS(tblDaily[Discharges],tblDaily[EntryDate],DATE(2026,1,14),tblDaily[WardCode],"BF")=0,"",SUMIFS(tblDaily[Discharges],tblDaily[EntryDate],DATE(2026,1,14),tblDaily[WardCode],"BF")),"")</f>
        <v/>
      </c>
      <c r="D20" s="5" t="str">
        <f>IFERROR(IF(SUMIFS(tblDaily[Deaths],tblDaily[EntryDate],DATE(2026,1,14),tblDaily[WardCode],"BF")=0,"",SUMIFS(tblDaily[Deaths],tblDaily[EntryDate],DATE(2026,1,14),tblDaily[WardCode],"BF")),"")</f>
        <v/>
      </c>
      <c r="E20" s="5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5" t="str">
        <f>IFERROR(IF(SUMIFS(tblDaily[TransfersIn],tblDaily[EntryDate],DATE(2026,1,14),tblDaily[WardCode],"BF")=0,"",SUMIFS(tblDaily[TransfersIn],tblDaily[EntryDate],DATE(2026,1,14),tblDaily[WardCode],"BF")),"")</f>
        <v/>
      </c>
      <c r="G20" s="5" t="str">
        <f>IFERROR(IF(SUMIFS(tblDaily[TransfersOut],tblDaily[EntryDate],DATE(2026,1,14),tblDaily[WardCode],"BF")=0,"",SUMIFS(tblDaily[TransfersOut],tblDaily[EntryDate],DATE(2026,1,14),tblDaily[WardCode],"BF")),"")</f>
        <v/>
      </c>
      <c r="H20" s="5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IFERROR(IF(SUMIFS(tblDaily[Admissions],tblDaily[EntryDate],DATE(2026,1,15),tblDaily[WardCode],"BF")=0,"",SUMIFS(tblDaily[Admissions],tblDaily[EntryDate],DATE(2026,1,15),tblDaily[WardCode],"BF")),"")</f>
        <v/>
      </c>
      <c r="C21" s="5" t="str">
        <f>IFERROR(IF(SUMIFS(tblDaily[Discharges],tblDaily[EntryDate],DATE(2026,1,15),tblDaily[WardCode],"BF")=0,"",SUMIFS(tblDaily[Discharges],tblDaily[EntryDate],DATE(2026,1,15),tblDaily[WardCode],"BF")),"")</f>
        <v/>
      </c>
      <c r="D21" s="5" t="str">
        <f>IFERROR(IF(SUMIFS(tblDaily[Deaths],tblDaily[EntryDate],DATE(2026,1,15),tblDaily[WardCode],"BF")=0,"",SUMIFS(tblDaily[Deaths],tblDaily[EntryDate],DATE(2026,1,15),tblDaily[WardCode],"BF")),"")</f>
        <v/>
      </c>
      <c r="E21" s="5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5" t="str">
        <f>IFERROR(IF(SUMIFS(tblDaily[TransfersIn],tblDaily[EntryDate],DATE(2026,1,15),tblDaily[WardCode],"BF")=0,"",SUMIFS(tblDaily[TransfersIn],tblDaily[EntryDate],DATE(2026,1,15),tblDaily[WardCode],"BF")),"")</f>
        <v/>
      </c>
      <c r="G21" s="5" t="str">
        <f>IFERROR(IF(SUMIFS(tblDaily[TransfersOut],tblDaily[EntryDate],DATE(2026,1,15),tblDaily[WardCode],"BF")=0,"",SUMIFS(tblDaily[TransfersOut],tblDaily[EntryDate],DATE(2026,1,15),tblDaily[WardCode],"BF")),"")</f>
        <v/>
      </c>
      <c r="H21" s="5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IFERROR(IF(SUMIFS(tblDaily[Admissions],tblDaily[EntryDate],DATE(2026,1,16),tblDaily[WardCode],"BF")=0,"",SUMIFS(tblDaily[Admissions],tblDaily[EntryDate],DATE(2026,1,16),tblDaily[WardCode],"BF")),"")</f>
        <v/>
      </c>
      <c r="C22" s="5" t="str">
        <f>IFERROR(IF(SUMIFS(tblDaily[Discharges],tblDaily[EntryDate],DATE(2026,1,16),tblDaily[WardCode],"BF")=0,"",SUMIFS(tblDaily[Discharges],tblDaily[EntryDate],DATE(2026,1,16),tblDaily[WardCode],"BF")),"")</f>
        <v/>
      </c>
      <c r="D22" s="5" t="str">
        <f>IFERROR(IF(SUMIFS(tblDaily[Deaths],tblDaily[EntryDate],DATE(2026,1,16),tblDaily[WardCode],"BF")=0,"",SUMIFS(tblDaily[Deaths],tblDaily[EntryDate],DATE(2026,1,16),tblDaily[WardCode],"BF")),"")</f>
        <v/>
      </c>
      <c r="E22" s="5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5" t="str">
        <f>IFERROR(IF(SUMIFS(tblDaily[TransfersIn],tblDaily[EntryDate],DATE(2026,1,16),tblDaily[WardCode],"BF")=0,"",SUMIFS(tblDaily[TransfersIn],tblDaily[EntryDate],DATE(2026,1,16),tblDaily[WardCode],"BF")),"")</f>
        <v/>
      </c>
      <c r="G22" s="5" t="str">
        <f>IFERROR(IF(SUMIFS(tblDaily[TransfersOut],tblDaily[EntryDate],DATE(2026,1,16),tblDaily[WardCode],"BF")=0,"",SUMIFS(tblDaily[TransfersOut],tblDaily[EntryDate],DATE(2026,1,16),tblDaily[WardCode],"BF")),"")</f>
        <v/>
      </c>
      <c r="H22" s="5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IFERROR(IF(SUMIFS(tblDaily[Admissions],tblDaily[EntryDate],DATE(2026,1,17),tblDaily[WardCode],"BF")=0,"",SUMIFS(tblDaily[Admissions],tblDaily[EntryDate],DATE(2026,1,17),tblDaily[WardCode],"BF")),"")</f>
        <v/>
      </c>
      <c r="C23" s="5" t="str">
        <f>IFERROR(IF(SUMIFS(tblDaily[Discharges],tblDaily[EntryDate],DATE(2026,1,17),tblDaily[WardCode],"BF")=0,"",SUMIFS(tblDaily[Discharges],tblDaily[EntryDate],DATE(2026,1,17),tblDaily[WardCode],"BF")),"")</f>
        <v/>
      </c>
      <c r="D23" s="5" t="str">
        <f>IFERROR(IF(SUMIFS(tblDaily[Deaths],tblDaily[EntryDate],DATE(2026,1,17),tblDaily[WardCode],"BF")=0,"",SUMIFS(tblDaily[Deaths],tblDaily[EntryDate],DATE(2026,1,17),tblDaily[WardCode],"BF")),"")</f>
        <v/>
      </c>
      <c r="E23" s="5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5" t="str">
        <f>IFERROR(IF(SUMIFS(tblDaily[TransfersIn],tblDaily[EntryDate],DATE(2026,1,17),tblDaily[WardCode],"BF")=0,"",SUMIFS(tblDaily[TransfersIn],tblDaily[EntryDate],DATE(2026,1,17),tblDaily[WardCode],"BF")),"")</f>
        <v/>
      </c>
      <c r="G23" s="5" t="str">
        <f>IFERROR(IF(SUMIFS(tblDaily[TransfersOut],tblDaily[EntryDate],DATE(2026,1,17),tblDaily[WardCode],"BF")=0,"",SUMIFS(tblDaily[TransfersOut],tblDaily[EntryDate],DATE(2026,1,17),tblDaily[WardCode],"BF")),"")</f>
        <v/>
      </c>
      <c r="H23" s="5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IFERROR(IF(SUMIFS(tblDaily[Admissions],tblDaily[EntryDate],DATE(2026,1,18),tblDaily[WardCode],"BF")=0,"",SUMIFS(tblDaily[Admissions],tblDaily[EntryDate],DATE(2026,1,18),tblDaily[WardCode],"BF")),"")</f>
        <v/>
      </c>
      <c r="C24" s="5" t="str">
        <f>IFERROR(IF(SUMIFS(tblDaily[Discharges],tblDaily[EntryDate],DATE(2026,1,18),tblDaily[WardCode],"BF")=0,"",SUMIFS(tblDaily[Discharges],tblDaily[EntryDate],DATE(2026,1,18),tblDaily[WardCode],"BF")),"")</f>
        <v/>
      </c>
      <c r="D24" s="5" t="str">
        <f>IFERROR(IF(SUMIFS(tblDaily[Deaths],tblDaily[EntryDate],DATE(2026,1,18),tblDaily[WardCode],"BF")=0,"",SUMIFS(tblDaily[Deaths],tblDaily[EntryDate],DATE(2026,1,18),tblDaily[WardCode],"BF")),"")</f>
        <v/>
      </c>
      <c r="E24" s="5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5" t="str">
        <f>IFERROR(IF(SUMIFS(tblDaily[TransfersIn],tblDaily[EntryDate],DATE(2026,1,18),tblDaily[WardCode],"BF")=0,"",SUMIFS(tblDaily[TransfersIn],tblDaily[EntryDate],DATE(2026,1,18),tblDaily[WardCode],"BF")),"")</f>
        <v/>
      </c>
      <c r="G24" s="5" t="str">
        <f>IFERROR(IF(SUMIFS(tblDaily[TransfersOut],tblDaily[EntryDate],DATE(2026,1,18),tblDaily[WardCode],"BF")=0,"",SUMIFS(tblDaily[TransfersOut],tblDaily[EntryDate],DATE(2026,1,18),tblDaily[WardCode],"BF")),"")</f>
        <v/>
      </c>
      <c r="H24" s="5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IFERROR(IF(SUMIFS(tblDaily[Admissions],tblDaily[EntryDate],DATE(2026,1,19),tblDaily[WardCode],"BF")=0,"",SUMIFS(tblDaily[Admissions],tblDaily[EntryDate],DATE(2026,1,19),tblDaily[WardCode],"BF")),"")</f>
        <v/>
      </c>
      <c r="C25" s="5" t="str">
        <f>IFERROR(IF(SUMIFS(tblDaily[Discharges],tblDaily[EntryDate],DATE(2026,1,19),tblDaily[WardCode],"BF")=0,"",SUMIFS(tblDaily[Discharges],tblDaily[EntryDate],DATE(2026,1,19),tblDaily[WardCode],"BF")),"")</f>
        <v/>
      </c>
      <c r="D25" s="5" t="str">
        <f>IFERROR(IF(SUMIFS(tblDaily[Deaths],tblDaily[EntryDate],DATE(2026,1,19),tblDaily[WardCode],"BF")=0,"",SUMIFS(tblDaily[Deaths],tblDaily[EntryDate],DATE(2026,1,19),tblDaily[WardCode],"BF")),"")</f>
        <v/>
      </c>
      <c r="E25" s="5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5" t="str">
        <f>IFERROR(IF(SUMIFS(tblDaily[TransfersIn],tblDaily[EntryDate],DATE(2026,1,19),tblDaily[WardCode],"BF")=0,"",SUMIFS(tblDaily[TransfersIn],tblDaily[EntryDate],DATE(2026,1,19),tblDaily[WardCode],"BF")),"")</f>
        <v/>
      </c>
      <c r="G25" s="5" t="str">
        <f>IFERROR(IF(SUMIFS(tblDaily[TransfersOut],tblDaily[EntryDate],DATE(2026,1,19),tblDaily[WardCode],"BF")=0,"",SUMIFS(tblDaily[TransfersOut],tblDaily[EntryDate],DATE(2026,1,19),tblDaily[WardCode],"BF")),"")</f>
        <v/>
      </c>
      <c r="H25" s="5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IFERROR(IF(SUMIFS(tblDaily[Admissions],tblDaily[EntryDate],DATE(2026,1,20),tblDaily[WardCode],"BF")=0,"",SUMIFS(tblDaily[Admissions],tblDaily[EntryDate],DATE(2026,1,20),tblDaily[WardCode],"BF")),"")</f>
        <v/>
      </c>
      <c r="C26" s="5" t="str">
        <f>IFERROR(IF(SUMIFS(tblDaily[Discharges],tblDaily[EntryDate],DATE(2026,1,20),tblDaily[WardCode],"BF")=0,"",SUMIFS(tblDaily[Discharges],tblDaily[EntryDate],DATE(2026,1,20),tblDaily[WardCode],"BF")),"")</f>
        <v/>
      </c>
      <c r="D26" s="5" t="str">
        <f>IFERROR(IF(SUMIFS(tblDaily[Deaths],tblDaily[EntryDate],DATE(2026,1,20),tblDaily[WardCode],"BF")=0,"",SUMIFS(tblDaily[Deaths],tblDaily[EntryDate],DATE(2026,1,20),tblDaily[WardCode],"BF")),"")</f>
        <v/>
      </c>
      <c r="E26" s="5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5" t="str">
        <f>IFERROR(IF(SUMIFS(tblDaily[TransfersIn],tblDaily[EntryDate],DATE(2026,1,20),tblDaily[WardCode],"BF")=0,"",SUMIFS(tblDaily[TransfersIn],tblDaily[EntryDate],DATE(2026,1,20),tblDaily[WardCode],"BF")),"")</f>
        <v/>
      </c>
      <c r="G26" s="5" t="str">
        <f>IFERROR(IF(SUMIFS(tblDaily[TransfersOut],tblDaily[EntryDate],DATE(2026,1,20),tblDaily[WardCode],"BF")=0,"",SUMIFS(tblDaily[TransfersOut],tblDaily[EntryDate],DATE(2026,1,20),tblDaily[WardCode],"BF")),"")</f>
        <v/>
      </c>
      <c r="H26" s="5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IFERROR(IF(SUMIFS(tblDaily[Admissions],tblDaily[EntryDate],DATE(2026,1,21),tblDaily[WardCode],"BF")=0,"",SUMIFS(tblDaily[Admissions],tblDaily[EntryDate],DATE(2026,1,21),tblDaily[WardCode],"BF")),"")</f>
        <v/>
      </c>
      <c r="C27" s="5" t="str">
        <f>IFERROR(IF(SUMIFS(tblDaily[Discharges],tblDaily[EntryDate],DATE(2026,1,21),tblDaily[WardCode],"BF")=0,"",SUMIFS(tblDaily[Discharges],tblDaily[EntryDate],DATE(2026,1,21),tblDaily[WardCode],"BF")),"")</f>
        <v/>
      </c>
      <c r="D27" s="5" t="str">
        <f>IFERROR(IF(SUMIFS(tblDaily[Deaths],tblDaily[EntryDate],DATE(2026,1,21),tblDaily[WardCode],"BF")=0,"",SUMIFS(tblDaily[Deaths],tblDaily[EntryDate],DATE(2026,1,21),tblDaily[WardCode],"BF")),"")</f>
        <v/>
      </c>
      <c r="E27" s="5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5" t="str">
        <f>IFERROR(IF(SUMIFS(tblDaily[TransfersIn],tblDaily[EntryDate],DATE(2026,1,21),tblDaily[WardCode],"BF")=0,"",SUMIFS(tblDaily[TransfersIn],tblDaily[EntryDate],DATE(2026,1,21),tblDaily[WardCode],"BF")),"")</f>
        <v/>
      </c>
      <c r="G27" s="5" t="str">
        <f>IFERROR(IF(SUMIFS(tblDaily[TransfersOut],tblDaily[EntryDate],DATE(2026,1,21),tblDaily[WardCode],"BF")=0,"",SUMIFS(tblDaily[TransfersOut],tblDaily[EntryDate],DATE(2026,1,21),tblDaily[WardCode],"BF")),"")</f>
        <v/>
      </c>
      <c r="H27" s="5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IFERROR(IF(SUMIFS(tblDaily[Admissions],tblDaily[EntryDate],DATE(2026,1,22),tblDaily[WardCode],"BF")=0,"",SUMIFS(tblDaily[Admissions],tblDaily[EntryDate],DATE(2026,1,22),tblDaily[WardCode],"BF")),"")</f>
        <v/>
      </c>
      <c r="C28" s="5" t="str">
        <f>IFERROR(IF(SUMIFS(tblDaily[Discharges],tblDaily[EntryDate],DATE(2026,1,22),tblDaily[WardCode],"BF")=0,"",SUMIFS(tblDaily[Discharges],tblDaily[EntryDate],DATE(2026,1,22),tblDaily[WardCode],"BF")),"")</f>
        <v/>
      </c>
      <c r="D28" s="5" t="str">
        <f>IFERROR(IF(SUMIFS(tblDaily[Deaths],tblDaily[EntryDate],DATE(2026,1,22),tblDaily[WardCode],"BF")=0,"",SUMIFS(tblDaily[Deaths],tblDaily[EntryDate],DATE(2026,1,22),tblDaily[WardCode],"BF")),"")</f>
        <v/>
      </c>
      <c r="E28" s="5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5" t="str">
        <f>IFERROR(IF(SUMIFS(tblDaily[TransfersIn],tblDaily[EntryDate],DATE(2026,1,22),tblDaily[WardCode],"BF")=0,"",SUMIFS(tblDaily[TransfersIn],tblDaily[EntryDate],DATE(2026,1,22),tblDaily[WardCode],"BF")),"")</f>
        <v/>
      </c>
      <c r="G28" s="5" t="str">
        <f>IFERROR(IF(SUMIFS(tblDaily[TransfersOut],tblDaily[EntryDate],DATE(2026,1,22),tblDaily[WardCode],"BF")=0,"",SUMIFS(tblDaily[TransfersOut],tblDaily[EntryDate],DATE(2026,1,22),tblDaily[WardCode],"BF")),"")</f>
        <v/>
      </c>
      <c r="H28" s="5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IFERROR(IF(SUMIFS(tblDaily[Admissions],tblDaily[EntryDate],DATE(2026,1,23),tblDaily[WardCode],"BF")=0,"",SUMIFS(tblDaily[Admissions],tblDaily[EntryDate],DATE(2026,1,23),tblDaily[WardCode],"BF")),"")</f>
        <v/>
      </c>
      <c r="C29" s="5" t="str">
        <f>IFERROR(IF(SUMIFS(tblDaily[Discharges],tblDaily[EntryDate],DATE(2026,1,23),tblDaily[WardCode],"BF")=0,"",SUMIFS(tblDaily[Discharges],tblDaily[EntryDate],DATE(2026,1,23),tblDaily[WardCode],"BF")),"")</f>
        <v/>
      </c>
      <c r="D29" s="5" t="str">
        <f>IFERROR(IF(SUMIFS(tblDaily[Deaths],tblDaily[EntryDate],DATE(2026,1,23),tblDaily[WardCode],"BF")=0,"",SUMIFS(tblDaily[Deaths],tblDaily[EntryDate],DATE(2026,1,23),tblDaily[WardCode],"BF")),"")</f>
        <v/>
      </c>
      <c r="E29" s="5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5" t="str">
        <f>IFERROR(IF(SUMIFS(tblDaily[TransfersIn],tblDaily[EntryDate],DATE(2026,1,23),tblDaily[WardCode],"BF")=0,"",SUMIFS(tblDaily[TransfersIn],tblDaily[EntryDate],DATE(2026,1,23),tblDaily[WardCode],"BF")),"")</f>
        <v/>
      </c>
      <c r="G29" s="5" t="str">
        <f>IFERROR(IF(SUMIFS(tblDaily[TransfersOut],tblDaily[EntryDate],DATE(2026,1,23),tblDaily[WardCode],"BF")=0,"",SUMIFS(tblDaily[TransfersOut],tblDaily[EntryDate],DATE(2026,1,23),tblDaily[WardCode],"BF")),"")</f>
        <v/>
      </c>
      <c r="H29" s="5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IFERROR(IF(SUMIFS(tblDaily[Admissions],tblDaily[EntryDate],DATE(2026,1,24),tblDaily[WardCode],"BF")=0,"",SUMIFS(tblDaily[Admissions],tblDaily[EntryDate],DATE(2026,1,24),tblDaily[WardCode],"BF")),"")</f>
        <v/>
      </c>
      <c r="C30" s="5" t="str">
        <f>IFERROR(IF(SUMIFS(tblDaily[Discharges],tblDaily[EntryDate],DATE(2026,1,24),tblDaily[WardCode],"BF")=0,"",SUMIFS(tblDaily[Discharges],tblDaily[EntryDate],DATE(2026,1,24),tblDaily[WardCode],"BF")),"")</f>
        <v/>
      </c>
      <c r="D30" s="5" t="str">
        <f>IFERROR(IF(SUMIFS(tblDaily[Deaths],tblDaily[EntryDate],DATE(2026,1,24),tblDaily[WardCode],"BF")=0,"",SUMIFS(tblDaily[Deaths],tblDaily[EntryDate],DATE(2026,1,24),tblDaily[WardCode],"BF")),"")</f>
        <v/>
      </c>
      <c r="E30" s="5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5" t="str">
        <f>IFERROR(IF(SUMIFS(tblDaily[TransfersIn],tblDaily[EntryDate],DATE(2026,1,24),tblDaily[WardCode],"BF")=0,"",SUMIFS(tblDaily[TransfersIn],tblDaily[EntryDate],DATE(2026,1,24),tblDaily[WardCode],"BF")),"")</f>
        <v/>
      </c>
      <c r="G30" s="5" t="str">
        <f>IFERROR(IF(SUMIFS(tblDaily[TransfersOut],tblDaily[EntryDate],DATE(2026,1,24),tblDaily[WardCode],"BF")=0,"",SUMIFS(tblDaily[TransfersOut],tblDaily[EntryDate],DATE(2026,1,24),tblDaily[WardCode],"BF")),"")</f>
        <v/>
      </c>
      <c r="H30" s="5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IFERROR(IF(SUMIFS(tblDaily[Admissions],tblDaily[EntryDate],DATE(2026,1,25),tblDaily[WardCode],"BF")=0,"",SUMIFS(tblDaily[Admissions],tblDaily[EntryDate],DATE(2026,1,25),tblDaily[WardCode],"BF")),"")</f>
        <v/>
      </c>
      <c r="C31" s="5" t="str">
        <f>IFERROR(IF(SUMIFS(tblDaily[Discharges],tblDaily[EntryDate],DATE(2026,1,25),tblDaily[WardCode],"BF")=0,"",SUMIFS(tblDaily[Discharges],tblDaily[EntryDate],DATE(2026,1,25),tblDaily[WardCode],"BF")),"")</f>
        <v/>
      </c>
      <c r="D31" s="5" t="str">
        <f>IFERROR(IF(SUMIFS(tblDaily[Deaths],tblDaily[EntryDate],DATE(2026,1,25),tblDaily[WardCode],"BF")=0,"",SUMIFS(tblDaily[Deaths],tblDaily[EntryDate],DATE(2026,1,25),tblDaily[WardCode],"BF")),"")</f>
        <v/>
      </c>
      <c r="E31" s="5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5" t="str">
        <f>IFERROR(IF(SUMIFS(tblDaily[TransfersIn],tblDaily[EntryDate],DATE(2026,1,25),tblDaily[WardCode],"BF")=0,"",SUMIFS(tblDaily[TransfersIn],tblDaily[EntryDate],DATE(2026,1,25),tblDaily[WardCode],"BF")),"")</f>
        <v/>
      </c>
      <c r="G31" s="5" t="str">
        <f>IFERROR(IF(SUMIFS(tblDaily[TransfersOut],tblDaily[EntryDate],DATE(2026,1,25),tblDaily[WardCode],"BF")=0,"",SUMIFS(tblDaily[TransfersOut],tblDaily[EntryDate],DATE(2026,1,25),tblDaily[WardCode],"BF")),"")</f>
        <v/>
      </c>
      <c r="H31" s="5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IFERROR(IF(SUMIFS(tblDaily[Admissions],tblDaily[EntryDate],DATE(2026,1,26),tblDaily[WardCode],"BF")=0,"",SUMIFS(tblDaily[Admissions],tblDaily[EntryDate],DATE(2026,1,26),tblDaily[WardCode],"BF")),"")</f>
        <v/>
      </c>
      <c r="C32" s="5" t="str">
        <f>IFERROR(IF(SUMIFS(tblDaily[Discharges],tblDaily[EntryDate],DATE(2026,1,26),tblDaily[WardCode],"BF")=0,"",SUMIFS(tblDaily[Discharges],tblDaily[EntryDate],DATE(2026,1,26),tblDaily[WardCode],"BF")),"")</f>
        <v/>
      </c>
      <c r="D32" s="5" t="str">
        <f>IFERROR(IF(SUMIFS(tblDaily[Deaths],tblDaily[EntryDate],DATE(2026,1,26),tblDaily[WardCode],"BF")=0,"",SUMIFS(tblDaily[Deaths],tblDaily[EntryDate],DATE(2026,1,26),tblDaily[WardCode],"BF")),"")</f>
        <v/>
      </c>
      <c r="E32" s="5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5" t="str">
        <f>IFERROR(IF(SUMIFS(tblDaily[TransfersIn],tblDaily[EntryDate],DATE(2026,1,26),tblDaily[WardCode],"BF")=0,"",SUMIFS(tblDaily[TransfersIn],tblDaily[EntryDate],DATE(2026,1,26),tblDaily[WardCode],"BF")),"")</f>
        <v/>
      </c>
      <c r="G32" s="5" t="str">
        <f>IFERROR(IF(SUMIFS(tblDaily[TransfersOut],tblDaily[EntryDate],DATE(2026,1,26),tblDaily[WardCode],"BF")=0,"",SUMIFS(tblDaily[TransfersOut],tblDaily[EntryDate],DATE(2026,1,26),tblDaily[WardCode],"BF")),"")</f>
        <v/>
      </c>
      <c r="H32" s="5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IFERROR(IF(SUMIFS(tblDaily[Admissions],tblDaily[EntryDate],DATE(2026,1,27),tblDaily[WardCode],"BF")=0,"",SUMIFS(tblDaily[Admissions],tblDaily[EntryDate],DATE(2026,1,27),tblDaily[WardCode],"BF")),"")</f>
        <v/>
      </c>
      <c r="C33" s="5" t="str">
        <f>IFERROR(IF(SUMIFS(tblDaily[Discharges],tblDaily[EntryDate],DATE(2026,1,27),tblDaily[WardCode],"BF")=0,"",SUMIFS(tblDaily[Discharges],tblDaily[EntryDate],DATE(2026,1,27),tblDaily[WardCode],"BF")),"")</f>
        <v/>
      </c>
      <c r="D33" s="5" t="str">
        <f>IFERROR(IF(SUMIFS(tblDaily[Deaths],tblDaily[EntryDate],DATE(2026,1,27),tblDaily[WardCode],"BF")=0,"",SUMIFS(tblDaily[Deaths],tblDaily[EntryDate],DATE(2026,1,27),tblDaily[WardCode],"BF")),"")</f>
        <v/>
      </c>
      <c r="E33" s="5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5" t="str">
        <f>IFERROR(IF(SUMIFS(tblDaily[TransfersIn],tblDaily[EntryDate],DATE(2026,1,27),tblDaily[WardCode],"BF")=0,"",SUMIFS(tblDaily[TransfersIn],tblDaily[EntryDate],DATE(2026,1,27),tblDaily[WardCode],"BF")),"")</f>
        <v/>
      </c>
      <c r="G33" s="5" t="str">
        <f>IFERROR(IF(SUMIFS(tblDaily[TransfersOut],tblDaily[EntryDate],DATE(2026,1,27),tblDaily[WardCode],"BF")=0,"",SUMIFS(tblDaily[TransfersOut],tblDaily[EntryDate],DATE(2026,1,27),tblDaily[WardCode],"BF")),"")</f>
        <v/>
      </c>
      <c r="H33" s="5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IFERROR(IF(SUMIFS(tblDaily[Admissions],tblDaily[EntryDate],DATE(2026,1,28),tblDaily[WardCode],"BF")=0,"",SUMIFS(tblDaily[Admissions],tblDaily[EntryDate],DATE(2026,1,28),tblDaily[WardCode],"BF")),"")</f>
        <v/>
      </c>
      <c r="C34" s="5" t="str">
        <f>IFERROR(IF(SUMIFS(tblDaily[Discharges],tblDaily[EntryDate],DATE(2026,1,28),tblDaily[WardCode],"BF")=0,"",SUMIFS(tblDaily[Discharges],tblDaily[EntryDate],DATE(2026,1,28),tblDaily[WardCode],"BF")),"")</f>
        <v/>
      </c>
      <c r="D34" s="5" t="str">
        <f>IFERROR(IF(SUMIFS(tblDaily[Deaths],tblDaily[EntryDate],DATE(2026,1,28),tblDaily[WardCode],"BF")=0,"",SUMIFS(tblDaily[Deaths],tblDaily[EntryDate],DATE(2026,1,28),tblDaily[WardCode],"BF")),"")</f>
        <v/>
      </c>
      <c r="E34" s="5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5" t="str">
        <f>IFERROR(IF(SUMIFS(tblDaily[TransfersIn],tblDaily[EntryDate],DATE(2026,1,28),tblDaily[WardCode],"BF")=0,"",SUMIFS(tblDaily[TransfersIn],tblDaily[EntryDate],DATE(2026,1,28),tblDaily[WardCode],"BF")),"")</f>
        <v/>
      </c>
      <c r="G34" s="5" t="str">
        <f>IFERROR(IF(SUMIFS(tblDaily[TransfersOut],tblDaily[EntryDate],DATE(2026,1,28),tblDaily[WardCode],"BF")=0,"",SUMIFS(tblDaily[TransfersOut],tblDaily[EntryDate],DATE(2026,1,28),tblDaily[WardCode],"BF")),"")</f>
        <v/>
      </c>
      <c r="H34" s="5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IFERROR(IF(SUMIFS(tblDaily[Admissions],tblDaily[EntryDate],DATE(2026,1,29),tblDaily[WardCode],"BF")=0,"",SUMIFS(tblDaily[Admissions],tblDaily[EntryDate],DATE(2026,1,29),tblDaily[WardCode],"BF")),"")</f>
        <v/>
      </c>
      <c r="C35" s="5" t="str">
        <f>IFERROR(IF(SUMIFS(tblDaily[Discharges],tblDaily[EntryDate],DATE(2026,1,29),tblDaily[WardCode],"BF")=0,"",SUMIFS(tblDaily[Discharges],tblDaily[EntryDate],DATE(2026,1,29),tblDaily[WardCode],"BF")),"")</f>
        <v/>
      </c>
      <c r="D35" s="5" t="str">
        <f>IFERROR(IF(SUMIFS(tblDaily[Deaths],tblDaily[EntryDate],DATE(2026,1,29),tblDaily[WardCode],"BF")=0,"",SUMIFS(tblDaily[Deaths],tblDaily[EntryDate],DATE(2026,1,29),tblDaily[WardCode],"BF")),"")</f>
        <v/>
      </c>
      <c r="E35" s="5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5" t="str">
        <f>IFERROR(IF(SUMIFS(tblDaily[TransfersIn],tblDaily[EntryDate],DATE(2026,1,29),tblDaily[WardCode],"BF")=0,"",SUMIFS(tblDaily[TransfersIn],tblDaily[EntryDate],DATE(2026,1,29),tblDaily[WardCode],"BF")),"")</f>
        <v/>
      </c>
      <c r="G35" s="5" t="str">
        <f>IFERROR(IF(SUMIFS(tblDaily[TransfersOut],tblDaily[EntryDate],DATE(2026,1,29),tblDaily[WardCode],"BF")=0,"",SUMIFS(tblDaily[TransfersOut],tblDaily[EntryDate],DATE(2026,1,29),tblDaily[WardCode],"BF")),"")</f>
        <v/>
      </c>
      <c r="H35" s="5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IFERROR(IF(SUMIFS(tblDaily[Admissions],tblDaily[EntryDate],DATE(2026,1,30),tblDaily[WardCode],"BF")=0,"",SUMIFS(tblDaily[Admissions],tblDaily[EntryDate],DATE(2026,1,30),tblDaily[WardCode],"BF")),"")</f>
        <v/>
      </c>
      <c r="C36" s="5" t="str">
        <f>IFERROR(IF(SUMIFS(tblDaily[Discharges],tblDaily[EntryDate],DATE(2026,1,30),tblDaily[WardCode],"BF")=0,"",SUMIFS(tblDaily[Discharges],tblDaily[EntryDate],DATE(2026,1,30),tblDaily[WardCode],"BF")),"")</f>
        <v/>
      </c>
      <c r="D36" s="5" t="str">
        <f>IFERROR(IF(SUMIFS(tblDaily[Deaths],tblDaily[EntryDate],DATE(2026,1,30),tblDaily[WardCode],"BF")=0,"",SUMIFS(tblDaily[Deaths],tblDaily[EntryDate],DATE(2026,1,30),tblDaily[WardCode],"BF")),"")</f>
        <v/>
      </c>
      <c r="E36" s="5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5" t="str">
        <f>IFERROR(IF(SUMIFS(tblDaily[TransfersIn],tblDaily[EntryDate],DATE(2026,1,30),tblDaily[WardCode],"BF")=0,"",SUMIFS(tblDaily[TransfersIn],tblDaily[EntryDate],DATE(2026,1,30),tblDaily[WardCode],"BF")),"")</f>
        <v/>
      </c>
      <c r="G36" s="5" t="str">
        <f>IFERROR(IF(SUMIFS(tblDaily[TransfersOut],tblDaily[EntryDate],DATE(2026,1,30),tblDaily[WardCode],"BF")=0,"",SUMIFS(tblDaily[TransfersOut],tblDaily[EntryDate],DATE(2026,1,30),tblDaily[WardCode],"BF")),"")</f>
        <v/>
      </c>
      <c r="H36" s="5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IFERROR(IF(SUMIFS(tblDaily[Admissions],tblDaily[EntryDate],DATE(2026,1,31),tblDaily[WardCode],"BF")=0,"",SUMIFS(tblDaily[Admissions],tblDaily[EntryDate],DATE(2026,1,31),tblDaily[WardCode],"BF")),"")</f>
        <v/>
      </c>
      <c r="C37" s="5" t="str">
        <f>IFERROR(IF(SUMIFS(tblDaily[Discharges],tblDaily[EntryDate],DATE(2026,1,31),tblDaily[WardCode],"BF")=0,"",SUMIFS(tblDaily[Discharges],tblDaily[EntryDate],DATE(2026,1,31),tblDaily[WardCode],"BF")),"")</f>
        <v/>
      </c>
      <c r="D37" s="5" t="str">
        <f>IFERROR(IF(SUMIFS(tblDaily[Deaths],tblDaily[EntryDate],DATE(2026,1,31),tblDaily[WardCode],"BF")=0,"",SUMIFS(tblDaily[Deaths],tblDaily[EntryDate],DATE(2026,1,31),tblDaily[WardCode],"BF")),"")</f>
        <v/>
      </c>
      <c r="E37" s="5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5" t="str">
        <f>IFERROR(IF(SUMIFS(tblDaily[TransfersIn],tblDaily[EntryDate],DATE(2026,1,31),tblDaily[WardCode],"BF")=0,"",SUMIFS(tblDaily[TransfersIn],tblDaily[EntryDate],DATE(2026,1,31),tblDaily[WardCode],"BF")),"")</f>
        <v/>
      </c>
      <c r="G37" s="5" t="str">
        <f>IFERROR(IF(SUMIFS(tblDaily[TransfersOut],tblDaily[EntryDate],DATE(2026,1,31),tblDaily[WardCode],"BF")=0,"",SUMIFS(tblDaily[TransfersOut],tblDaily[EntryDate],DATE(2026,1,31),tblDaily[WardCode],"BF")),"")</f>
        <v/>
      </c>
      <c r="H37" s="5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9" t="s">
        <v>95</v>
      </c>
      <c r="B38" s="9">
        <f>SUMIFS(tblDaily[Admissions],tblDaily[Month],1,tblDaily[WardCode],"BF")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98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IFERROR(SUMIFS(tblDaily[Remaining],tblDaily[EntryDate],DATE(2026,1,31),tblDaily[WardCode],"BF"),0)</f>
        <v>0</v>
      </c>
    </row>
    <row r="44" spans="1:8" x14ac:dyDescent="0.25">
      <c r="A44" s="1" t="s">
        <v>89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IFERROR(IF(SUMIFS(tblDaily[Admissions],tblDaily[EntryDate],DATE(2026,2,1),tblDaily[WardCode],"BF")=0,"",SUMIFS(tblDaily[Admissions],tblDaily[EntryDate],DATE(2026,2,1),tblDaily[WardCode],"BF")),"")</f>
        <v/>
      </c>
      <c r="C46" s="5" t="str">
        <f>IFERROR(IF(SUMIFS(tblDaily[Discharges],tblDaily[EntryDate],DATE(2026,2,1),tblDaily[WardCode],"BF")=0,"",SUMIFS(tblDaily[Discharges],tblDaily[EntryDate],DATE(2026,2,1),tblDaily[WardCode],"BF")),"")</f>
        <v/>
      </c>
      <c r="D46" s="5" t="str">
        <f>IFERROR(IF(SUMIFS(tblDaily[Deaths],tblDaily[EntryDate],DATE(2026,2,1),tblDaily[WardCode],"BF")=0,"",SUMIFS(tblDaily[Deaths],tblDaily[EntryDate],DATE(2026,2,1),tblDaily[WardCode],"BF")),"")</f>
        <v/>
      </c>
      <c r="E46" s="5" t="str">
        <f>IFERROR(IF(SUMIFS(tblDaily[DeathsUnder24Hrs],tblDaily[EntryDate],DATE(2026,2,1),tblDaily[WardCode],"BF")=0,"",SUMIFS(tblDaily[DeathsUnder24Hrs],tblDaily[EntryDate],DATE(2026,2,1),tblDaily[WardCode],"BF")),"")</f>
        <v/>
      </c>
      <c r="F46" s="5" t="str">
        <f>IFERROR(IF(SUMIFS(tblDaily[TransfersIn],tblDaily[EntryDate],DATE(2026,2,1),tblDaily[WardCode],"BF")=0,"",SUMIFS(tblDaily[TransfersIn],tblDaily[EntryDate],DATE(2026,2,1),tblDaily[WardCode],"BF")),"")</f>
        <v/>
      </c>
      <c r="G46" s="5" t="str">
        <f>IFERROR(IF(SUMIFS(tblDaily[TransfersOut],tblDaily[EntryDate],DATE(2026,2,1),tblDaily[WardCode],"BF")=0,"",SUMIFS(tblDaily[TransfersOut],tblDaily[EntryDate],DATE(2026,2,1),tblDaily[WardCode],"BF")),"")</f>
        <v/>
      </c>
      <c r="H46" s="5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IFERROR(IF(SUMIFS(tblDaily[Admissions],tblDaily[EntryDate],DATE(2026,2,2),tblDaily[WardCode],"BF")=0,"",SUMIFS(tblDaily[Admissions],tblDaily[EntryDate],DATE(2026,2,2),tblDaily[WardCode],"BF")),"")</f>
        <v/>
      </c>
      <c r="C47" s="5" t="str">
        <f>IFERROR(IF(SUMIFS(tblDaily[Discharges],tblDaily[EntryDate],DATE(2026,2,2),tblDaily[WardCode],"BF")=0,"",SUMIFS(tblDaily[Discharges],tblDaily[EntryDate],DATE(2026,2,2),tblDaily[WardCode],"BF")),"")</f>
        <v/>
      </c>
      <c r="D47" s="5" t="str">
        <f>IFERROR(IF(SUMIFS(tblDaily[Deaths],tblDaily[EntryDate],DATE(2026,2,2),tblDaily[WardCode],"BF")=0,"",SUMIFS(tblDaily[Deaths],tblDaily[EntryDate],DATE(2026,2,2),tblDaily[WardCode],"BF")),"")</f>
        <v/>
      </c>
      <c r="E47" s="5" t="str">
        <f>IFERROR(IF(SUMIFS(tblDaily[DeathsUnder24Hrs],tblDaily[EntryDate],DATE(2026,2,2),tblDaily[WardCode],"BF")=0,"",SUMIFS(tblDaily[DeathsUnder24Hrs],tblDaily[EntryDate],DATE(2026,2,2),tblDaily[WardCode],"BF")),"")</f>
        <v/>
      </c>
      <c r="F47" s="5" t="str">
        <f>IFERROR(IF(SUMIFS(tblDaily[TransfersIn],tblDaily[EntryDate],DATE(2026,2,2),tblDaily[WardCode],"BF")=0,"",SUMIFS(tblDaily[TransfersIn],tblDaily[EntryDate],DATE(2026,2,2),tblDaily[WardCode],"BF")),"")</f>
        <v/>
      </c>
      <c r="G47" s="5" t="str">
        <f>IFERROR(IF(SUMIFS(tblDaily[TransfersOut],tblDaily[EntryDate],DATE(2026,2,2),tblDaily[WardCode],"BF")=0,"",SUMIFS(tblDaily[TransfersOut],tblDaily[EntryDate],DATE(2026,2,2),tblDaily[WardCode],"BF")),"")</f>
        <v/>
      </c>
      <c r="H47" s="5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IFERROR(IF(SUMIFS(tblDaily[Admissions],tblDaily[EntryDate],DATE(2026,2,3),tblDaily[WardCode],"BF")=0,"",SUMIFS(tblDaily[Admissions],tblDaily[EntryDate],DATE(2026,2,3),tblDaily[WardCode],"BF")),"")</f>
        <v/>
      </c>
      <c r="C48" s="5" t="str">
        <f>IFERROR(IF(SUMIFS(tblDaily[Discharges],tblDaily[EntryDate],DATE(2026,2,3),tblDaily[WardCode],"BF")=0,"",SUMIFS(tblDaily[Discharges],tblDaily[EntryDate],DATE(2026,2,3),tblDaily[WardCode],"BF")),"")</f>
        <v/>
      </c>
      <c r="D48" s="5" t="str">
        <f>IFERROR(IF(SUMIFS(tblDaily[Deaths],tblDaily[EntryDate],DATE(2026,2,3),tblDaily[WardCode],"BF")=0,"",SUMIFS(tblDaily[Deaths],tblDaily[EntryDate],DATE(2026,2,3),tblDaily[WardCode],"BF")),"")</f>
        <v/>
      </c>
      <c r="E48" s="5" t="str">
        <f>IFERROR(IF(SUMIFS(tblDaily[DeathsUnder24Hrs],tblDaily[EntryDate],DATE(2026,2,3),tblDaily[WardCode],"BF")=0,"",SUMIFS(tblDaily[DeathsUnder24Hrs],tblDaily[EntryDate],DATE(2026,2,3),tblDaily[WardCode],"BF")),"")</f>
        <v/>
      </c>
      <c r="F48" s="5" t="str">
        <f>IFERROR(IF(SUMIFS(tblDaily[TransfersIn],tblDaily[EntryDate],DATE(2026,2,3),tblDaily[WardCode],"BF")=0,"",SUMIFS(tblDaily[TransfersIn],tblDaily[EntryDate],DATE(2026,2,3),tblDaily[WardCode],"BF")),"")</f>
        <v/>
      </c>
      <c r="G48" s="5" t="str">
        <f>IFERROR(IF(SUMIFS(tblDaily[TransfersOut],tblDaily[EntryDate],DATE(2026,2,3),tblDaily[WardCode],"BF")=0,"",SUMIFS(tblDaily[TransfersOut],tblDaily[EntryDate],DATE(2026,2,3),tblDaily[WardCode],"BF")),"")</f>
        <v/>
      </c>
      <c r="H48" s="5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IFERROR(IF(SUMIFS(tblDaily[Admissions],tblDaily[EntryDate],DATE(2026,2,4),tblDaily[WardCode],"BF")=0,"",SUMIFS(tblDaily[Admissions],tblDaily[EntryDate],DATE(2026,2,4),tblDaily[WardCode],"BF")),"")</f>
        <v/>
      </c>
      <c r="C49" s="5" t="str">
        <f>IFERROR(IF(SUMIFS(tblDaily[Discharges],tblDaily[EntryDate],DATE(2026,2,4),tblDaily[WardCode],"BF")=0,"",SUMIFS(tblDaily[Discharges],tblDaily[EntryDate],DATE(2026,2,4),tblDaily[WardCode],"BF")),"")</f>
        <v/>
      </c>
      <c r="D49" s="5" t="str">
        <f>IFERROR(IF(SUMIFS(tblDaily[Deaths],tblDaily[EntryDate],DATE(2026,2,4),tblDaily[WardCode],"BF")=0,"",SUMIFS(tblDaily[Deaths],tblDaily[EntryDate],DATE(2026,2,4),tblDaily[WardCode],"BF")),"")</f>
        <v/>
      </c>
      <c r="E49" s="5" t="str">
        <f>IFERROR(IF(SUMIFS(tblDaily[DeathsUnder24Hrs],tblDaily[EntryDate],DATE(2026,2,4),tblDaily[WardCode],"BF")=0,"",SUMIFS(tblDaily[DeathsUnder24Hrs],tblDaily[EntryDate],DATE(2026,2,4),tblDaily[WardCode],"BF")),"")</f>
        <v/>
      </c>
      <c r="F49" s="5" t="str">
        <f>IFERROR(IF(SUMIFS(tblDaily[TransfersIn],tblDaily[EntryDate],DATE(2026,2,4),tblDaily[WardCode],"BF")=0,"",SUMIFS(tblDaily[TransfersIn],tblDaily[EntryDate],DATE(2026,2,4),tblDaily[WardCode],"BF")),"")</f>
        <v/>
      </c>
      <c r="G49" s="5" t="str">
        <f>IFERROR(IF(SUMIFS(tblDaily[TransfersOut],tblDaily[EntryDate],DATE(2026,2,4),tblDaily[WardCode],"BF")=0,"",SUMIFS(tblDaily[TransfersOut],tblDaily[EntryDate],DATE(2026,2,4),tblDaily[WardCode],"BF")),"")</f>
        <v/>
      </c>
      <c r="H49" s="5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IFERROR(IF(SUMIFS(tblDaily[Admissions],tblDaily[EntryDate],DATE(2026,2,5),tblDaily[WardCode],"BF")=0,"",SUMIFS(tblDaily[Admissions],tblDaily[EntryDate],DATE(2026,2,5),tblDaily[WardCode],"BF")),"")</f>
        <v/>
      </c>
      <c r="C50" s="5" t="str">
        <f>IFERROR(IF(SUMIFS(tblDaily[Discharges],tblDaily[EntryDate],DATE(2026,2,5),tblDaily[WardCode],"BF")=0,"",SUMIFS(tblDaily[Discharges],tblDaily[EntryDate],DATE(2026,2,5),tblDaily[WardCode],"BF")),"")</f>
        <v/>
      </c>
      <c r="D50" s="5" t="str">
        <f>IFERROR(IF(SUMIFS(tblDaily[Deaths],tblDaily[EntryDate],DATE(2026,2,5),tblDaily[WardCode],"BF")=0,"",SUMIFS(tblDaily[Deaths],tblDaily[EntryDate],DATE(2026,2,5),tblDaily[WardCode],"BF")),"")</f>
        <v/>
      </c>
      <c r="E50" s="5" t="str">
        <f>IFERROR(IF(SUMIFS(tblDaily[DeathsUnder24Hrs],tblDaily[EntryDate],DATE(2026,2,5),tblDaily[WardCode],"BF")=0,"",SUMIFS(tblDaily[DeathsUnder24Hrs],tblDaily[EntryDate],DATE(2026,2,5),tblDaily[WardCode],"BF")),"")</f>
        <v/>
      </c>
      <c r="F50" s="5" t="str">
        <f>IFERROR(IF(SUMIFS(tblDaily[TransfersIn],tblDaily[EntryDate],DATE(2026,2,5),tblDaily[WardCode],"BF")=0,"",SUMIFS(tblDaily[TransfersIn],tblDaily[EntryDate],DATE(2026,2,5),tblDaily[WardCode],"BF")),"")</f>
        <v/>
      </c>
      <c r="G50" s="5" t="str">
        <f>IFERROR(IF(SUMIFS(tblDaily[TransfersOut],tblDaily[EntryDate],DATE(2026,2,5),tblDaily[WardCode],"BF")=0,"",SUMIFS(tblDaily[TransfersOut],tblDaily[EntryDate],DATE(2026,2,5),tblDaily[WardCode],"BF")),"")</f>
        <v/>
      </c>
      <c r="H50" s="5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IFERROR(IF(SUMIFS(tblDaily[Admissions],tblDaily[EntryDate],DATE(2026,2,6),tblDaily[WardCode],"BF")=0,"",SUMIFS(tblDaily[Admissions],tblDaily[EntryDate],DATE(2026,2,6),tblDaily[WardCode],"BF")),"")</f>
        <v/>
      </c>
      <c r="C51" s="5" t="str">
        <f>IFERROR(IF(SUMIFS(tblDaily[Discharges],tblDaily[EntryDate],DATE(2026,2,6),tblDaily[WardCode],"BF")=0,"",SUMIFS(tblDaily[Discharges],tblDaily[EntryDate],DATE(2026,2,6),tblDaily[WardCode],"BF")),"")</f>
        <v/>
      </c>
      <c r="D51" s="5" t="str">
        <f>IFERROR(IF(SUMIFS(tblDaily[Deaths],tblDaily[EntryDate],DATE(2026,2,6),tblDaily[WardCode],"BF")=0,"",SUMIFS(tblDaily[Deaths],tblDaily[EntryDate],DATE(2026,2,6),tblDaily[WardCode],"BF")),"")</f>
        <v/>
      </c>
      <c r="E51" s="5" t="str">
        <f>IFERROR(IF(SUMIFS(tblDaily[DeathsUnder24Hrs],tblDaily[EntryDate],DATE(2026,2,6),tblDaily[WardCode],"BF")=0,"",SUMIFS(tblDaily[DeathsUnder24Hrs],tblDaily[EntryDate],DATE(2026,2,6),tblDaily[WardCode],"BF")),"")</f>
        <v/>
      </c>
      <c r="F51" s="5" t="str">
        <f>IFERROR(IF(SUMIFS(tblDaily[TransfersIn],tblDaily[EntryDate],DATE(2026,2,6),tblDaily[WardCode],"BF")=0,"",SUMIFS(tblDaily[TransfersIn],tblDaily[EntryDate],DATE(2026,2,6),tblDaily[WardCode],"BF")),"")</f>
        <v/>
      </c>
      <c r="G51" s="5" t="str">
        <f>IFERROR(IF(SUMIFS(tblDaily[TransfersOut],tblDaily[EntryDate],DATE(2026,2,6),tblDaily[WardCode],"BF")=0,"",SUMIFS(tblDaily[TransfersOut],tblDaily[EntryDate],DATE(2026,2,6),tblDaily[WardCode],"BF")),"")</f>
        <v/>
      </c>
      <c r="H51" s="5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IFERROR(IF(SUMIFS(tblDaily[Admissions],tblDaily[EntryDate],DATE(2026,2,7),tblDaily[WardCode],"BF")=0,"",SUMIFS(tblDaily[Admissions],tblDaily[EntryDate],DATE(2026,2,7),tblDaily[WardCode],"BF")),"")</f>
        <v/>
      </c>
      <c r="C52" s="5" t="str">
        <f>IFERROR(IF(SUMIFS(tblDaily[Discharges],tblDaily[EntryDate],DATE(2026,2,7),tblDaily[WardCode],"BF")=0,"",SUMIFS(tblDaily[Discharges],tblDaily[EntryDate],DATE(2026,2,7),tblDaily[WardCode],"BF")),"")</f>
        <v/>
      </c>
      <c r="D52" s="5" t="str">
        <f>IFERROR(IF(SUMIFS(tblDaily[Deaths],tblDaily[EntryDate],DATE(2026,2,7),tblDaily[WardCode],"BF")=0,"",SUMIFS(tblDaily[Deaths],tblDaily[EntryDate],DATE(2026,2,7),tblDaily[WardCode],"BF")),"")</f>
        <v/>
      </c>
      <c r="E52" s="5" t="str">
        <f>IFERROR(IF(SUMIFS(tblDaily[DeathsUnder24Hrs],tblDaily[EntryDate],DATE(2026,2,7),tblDaily[WardCode],"BF")=0,"",SUMIFS(tblDaily[DeathsUnder24Hrs],tblDaily[EntryDate],DATE(2026,2,7),tblDaily[WardCode],"BF")),"")</f>
        <v/>
      </c>
      <c r="F52" s="5" t="str">
        <f>IFERROR(IF(SUMIFS(tblDaily[TransfersIn],tblDaily[EntryDate],DATE(2026,2,7),tblDaily[WardCode],"BF")=0,"",SUMIFS(tblDaily[TransfersIn],tblDaily[EntryDate],DATE(2026,2,7),tblDaily[WardCode],"BF")),"")</f>
        <v/>
      </c>
      <c r="G52" s="5" t="str">
        <f>IFERROR(IF(SUMIFS(tblDaily[TransfersOut],tblDaily[EntryDate],DATE(2026,2,7),tblDaily[WardCode],"BF")=0,"",SUMIFS(tblDaily[TransfersOut],tblDaily[EntryDate],DATE(2026,2,7),tblDaily[WardCode],"BF")),"")</f>
        <v/>
      </c>
      <c r="H52" s="5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IFERROR(IF(SUMIFS(tblDaily[Admissions],tblDaily[EntryDate],DATE(2026,2,8),tblDaily[WardCode],"BF")=0,"",SUMIFS(tblDaily[Admissions],tblDaily[EntryDate],DATE(2026,2,8),tblDaily[WardCode],"BF")),"")</f>
        <v/>
      </c>
      <c r="C53" s="5" t="str">
        <f>IFERROR(IF(SUMIFS(tblDaily[Discharges],tblDaily[EntryDate],DATE(2026,2,8),tblDaily[WardCode],"BF")=0,"",SUMIFS(tblDaily[Discharges],tblDaily[EntryDate],DATE(2026,2,8),tblDaily[WardCode],"BF")),"")</f>
        <v/>
      </c>
      <c r="D53" s="5" t="str">
        <f>IFERROR(IF(SUMIFS(tblDaily[Deaths],tblDaily[EntryDate],DATE(2026,2,8),tblDaily[WardCode],"BF")=0,"",SUMIFS(tblDaily[Deaths],tblDaily[EntryDate],DATE(2026,2,8),tblDaily[WardCode],"BF")),"")</f>
        <v/>
      </c>
      <c r="E53" s="5" t="str">
        <f>IFERROR(IF(SUMIFS(tblDaily[DeathsUnder24Hrs],tblDaily[EntryDate],DATE(2026,2,8),tblDaily[WardCode],"BF")=0,"",SUMIFS(tblDaily[DeathsUnder24Hrs],tblDaily[EntryDate],DATE(2026,2,8),tblDaily[WardCode],"BF")),"")</f>
        <v/>
      </c>
      <c r="F53" s="5" t="str">
        <f>IFERROR(IF(SUMIFS(tblDaily[TransfersIn],tblDaily[EntryDate],DATE(2026,2,8),tblDaily[WardCode],"BF")=0,"",SUMIFS(tblDaily[TransfersIn],tblDaily[EntryDate],DATE(2026,2,8),tblDaily[WardCode],"BF")),"")</f>
        <v/>
      </c>
      <c r="G53" s="5" t="str">
        <f>IFERROR(IF(SUMIFS(tblDaily[TransfersOut],tblDaily[EntryDate],DATE(2026,2,8),tblDaily[WardCode],"BF")=0,"",SUMIFS(tblDaily[TransfersOut],tblDaily[EntryDate],DATE(2026,2,8),tblDaily[WardCode],"BF")),"")</f>
        <v/>
      </c>
      <c r="H53" s="5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IFERROR(IF(SUMIFS(tblDaily[Admissions],tblDaily[EntryDate],DATE(2026,2,9),tblDaily[WardCode],"BF")=0,"",SUMIFS(tblDaily[Admissions],tblDaily[EntryDate],DATE(2026,2,9),tblDaily[WardCode],"BF")),"")</f>
        <v/>
      </c>
      <c r="C54" s="5" t="str">
        <f>IFERROR(IF(SUMIFS(tblDaily[Discharges],tblDaily[EntryDate],DATE(2026,2,9),tblDaily[WardCode],"BF")=0,"",SUMIFS(tblDaily[Discharges],tblDaily[EntryDate],DATE(2026,2,9),tblDaily[WardCode],"BF")),"")</f>
        <v/>
      </c>
      <c r="D54" s="5" t="str">
        <f>IFERROR(IF(SUMIFS(tblDaily[Deaths],tblDaily[EntryDate],DATE(2026,2,9),tblDaily[WardCode],"BF")=0,"",SUMIFS(tblDaily[Deaths],tblDaily[EntryDate],DATE(2026,2,9),tblDaily[WardCode],"BF")),"")</f>
        <v/>
      </c>
      <c r="E54" s="5" t="str">
        <f>IFERROR(IF(SUMIFS(tblDaily[DeathsUnder24Hrs],tblDaily[EntryDate],DATE(2026,2,9),tblDaily[WardCode],"BF")=0,"",SUMIFS(tblDaily[DeathsUnder24Hrs],tblDaily[EntryDate],DATE(2026,2,9),tblDaily[WardCode],"BF")),"")</f>
        <v/>
      </c>
      <c r="F54" s="5" t="str">
        <f>IFERROR(IF(SUMIFS(tblDaily[TransfersIn],tblDaily[EntryDate],DATE(2026,2,9),tblDaily[WardCode],"BF")=0,"",SUMIFS(tblDaily[TransfersIn],tblDaily[EntryDate],DATE(2026,2,9),tblDaily[WardCode],"BF")),"")</f>
        <v/>
      </c>
      <c r="G54" s="5" t="str">
        <f>IFERROR(IF(SUMIFS(tblDaily[TransfersOut],tblDaily[EntryDate],DATE(2026,2,9),tblDaily[WardCode],"BF")=0,"",SUMIFS(tblDaily[TransfersOut],tblDaily[EntryDate],DATE(2026,2,9),tblDaily[WardCode],"BF")),"")</f>
        <v/>
      </c>
      <c r="H54" s="5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IFERROR(IF(SUMIFS(tblDaily[Admissions],tblDaily[EntryDate],DATE(2026,2,10),tblDaily[WardCode],"BF")=0,"",SUMIFS(tblDaily[Admissions],tblDaily[EntryDate],DATE(2026,2,10),tblDaily[WardCode],"BF")),"")</f>
        <v/>
      </c>
      <c r="C55" s="5" t="str">
        <f>IFERROR(IF(SUMIFS(tblDaily[Discharges],tblDaily[EntryDate],DATE(2026,2,10),tblDaily[WardCode],"BF")=0,"",SUMIFS(tblDaily[Discharges],tblDaily[EntryDate],DATE(2026,2,10),tblDaily[WardCode],"BF")),"")</f>
        <v/>
      </c>
      <c r="D55" s="5" t="str">
        <f>IFERROR(IF(SUMIFS(tblDaily[Deaths],tblDaily[EntryDate],DATE(2026,2,10),tblDaily[WardCode],"BF")=0,"",SUMIFS(tblDaily[Deaths],tblDaily[EntryDate],DATE(2026,2,10),tblDaily[WardCode],"BF")),"")</f>
        <v/>
      </c>
      <c r="E55" s="5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5" t="str">
        <f>IFERROR(IF(SUMIFS(tblDaily[TransfersIn],tblDaily[EntryDate],DATE(2026,2,10),tblDaily[WardCode],"BF")=0,"",SUMIFS(tblDaily[TransfersIn],tblDaily[EntryDate],DATE(2026,2,10),tblDaily[WardCode],"BF")),"")</f>
        <v/>
      </c>
      <c r="G55" s="5" t="str">
        <f>IFERROR(IF(SUMIFS(tblDaily[TransfersOut],tblDaily[EntryDate],DATE(2026,2,10),tblDaily[WardCode],"BF")=0,"",SUMIFS(tblDaily[TransfersOut],tblDaily[EntryDate],DATE(2026,2,10),tblDaily[WardCode],"BF")),"")</f>
        <v/>
      </c>
      <c r="H55" s="5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IFERROR(IF(SUMIFS(tblDaily[Admissions],tblDaily[EntryDate],DATE(2026,2,11),tblDaily[WardCode],"BF")=0,"",SUMIFS(tblDaily[Admissions],tblDaily[EntryDate],DATE(2026,2,11),tblDaily[WardCode],"BF")),"")</f>
        <v/>
      </c>
      <c r="C56" s="5" t="str">
        <f>IFERROR(IF(SUMIFS(tblDaily[Discharges],tblDaily[EntryDate],DATE(2026,2,11),tblDaily[WardCode],"BF")=0,"",SUMIFS(tblDaily[Discharges],tblDaily[EntryDate],DATE(2026,2,11),tblDaily[WardCode],"BF")),"")</f>
        <v/>
      </c>
      <c r="D56" s="5" t="str">
        <f>IFERROR(IF(SUMIFS(tblDaily[Deaths],tblDaily[EntryDate],DATE(2026,2,11),tblDaily[WardCode],"BF")=0,"",SUMIFS(tblDaily[Deaths],tblDaily[EntryDate],DATE(2026,2,11),tblDaily[WardCode],"BF")),"")</f>
        <v/>
      </c>
      <c r="E56" s="5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5" t="str">
        <f>IFERROR(IF(SUMIFS(tblDaily[TransfersIn],tblDaily[EntryDate],DATE(2026,2,11),tblDaily[WardCode],"BF")=0,"",SUMIFS(tblDaily[TransfersIn],tblDaily[EntryDate],DATE(2026,2,11),tblDaily[WardCode],"BF")),"")</f>
        <v/>
      </c>
      <c r="G56" s="5" t="str">
        <f>IFERROR(IF(SUMIFS(tblDaily[TransfersOut],tblDaily[EntryDate],DATE(2026,2,11),tblDaily[WardCode],"BF")=0,"",SUMIFS(tblDaily[TransfersOut],tblDaily[EntryDate],DATE(2026,2,11),tblDaily[WardCode],"BF")),"")</f>
        <v/>
      </c>
      <c r="H56" s="5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IFERROR(IF(SUMIFS(tblDaily[Admissions],tblDaily[EntryDate],DATE(2026,2,12),tblDaily[WardCode],"BF")=0,"",SUMIFS(tblDaily[Admissions],tblDaily[EntryDate],DATE(2026,2,12),tblDaily[WardCode],"BF")),"")</f>
        <v/>
      </c>
      <c r="C57" s="5" t="str">
        <f>IFERROR(IF(SUMIFS(tblDaily[Discharges],tblDaily[EntryDate],DATE(2026,2,12),tblDaily[WardCode],"BF")=0,"",SUMIFS(tblDaily[Discharges],tblDaily[EntryDate],DATE(2026,2,12),tblDaily[WardCode],"BF")),"")</f>
        <v/>
      </c>
      <c r="D57" s="5" t="str">
        <f>IFERROR(IF(SUMIFS(tblDaily[Deaths],tblDaily[EntryDate],DATE(2026,2,12),tblDaily[WardCode],"BF")=0,"",SUMIFS(tblDaily[Deaths],tblDaily[EntryDate],DATE(2026,2,12),tblDaily[WardCode],"BF")),"")</f>
        <v/>
      </c>
      <c r="E57" s="5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5" t="str">
        <f>IFERROR(IF(SUMIFS(tblDaily[TransfersIn],tblDaily[EntryDate],DATE(2026,2,12),tblDaily[WardCode],"BF")=0,"",SUMIFS(tblDaily[TransfersIn],tblDaily[EntryDate],DATE(2026,2,12),tblDaily[WardCode],"BF")),"")</f>
        <v/>
      </c>
      <c r="G57" s="5" t="str">
        <f>IFERROR(IF(SUMIFS(tblDaily[TransfersOut],tblDaily[EntryDate],DATE(2026,2,12),tblDaily[WardCode],"BF")=0,"",SUMIFS(tblDaily[TransfersOut],tblDaily[EntryDate],DATE(2026,2,12),tblDaily[WardCode],"BF")),"")</f>
        <v/>
      </c>
      <c r="H57" s="5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IFERROR(IF(SUMIFS(tblDaily[Admissions],tblDaily[EntryDate],DATE(2026,2,13),tblDaily[WardCode],"BF")=0,"",SUMIFS(tblDaily[Admissions],tblDaily[EntryDate],DATE(2026,2,13),tblDaily[WardCode],"BF")),"")</f>
        <v/>
      </c>
      <c r="C58" s="5" t="str">
        <f>IFERROR(IF(SUMIFS(tblDaily[Discharges],tblDaily[EntryDate],DATE(2026,2,13),tblDaily[WardCode],"BF")=0,"",SUMIFS(tblDaily[Discharges],tblDaily[EntryDate],DATE(2026,2,13),tblDaily[WardCode],"BF")),"")</f>
        <v/>
      </c>
      <c r="D58" s="5" t="str">
        <f>IFERROR(IF(SUMIFS(tblDaily[Deaths],tblDaily[EntryDate],DATE(2026,2,13),tblDaily[WardCode],"BF")=0,"",SUMIFS(tblDaily[Deaths],tblDaily[EntryDate],DATE(2026,2,13),tblDaily[WardCode],"BF")),"")</f>
        <v/>
      </c>
      <c r="E58" s="5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5" t="str">
        <f>IFERROR(IF(SUMIFS(tblDaily[TransfersIn],tblDaily[EntryDate],DATE(2026,2,13),tblDaily[WardCode],"BF")=0,"",SUMIFS(tblDaily[TransfersIn],tblDaily[EntryDate],DATE(2026,2,13),tblDaily[WardCode],"BF")),"")</f>
        <v/>
      </c>
      <c r="G58" s="5" t="str">
        <f>IFERROR(IF(SUMIFS(tblDaily[TransfersOut],tblDaily[EntryDate],DATE(2026,2,13),tblDaily[WardCode],"BF")=0,"",SUMIFS(tblDaily[TransfersOut],tblDaily[EntryDate],DATE(2026,2,13),tblDaily[WardCode],"BF")),"")</f>
        <v/>
      </c>
      <c r="H58" s="5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IFERROR(IF(SUMIFS(tblDaily[Admissions],tblDaily[EntryDate],DATE(2026,2,14),tblDaily[WardCode],"BF")=0,"",SUMIFS(tblDaily[Admissions],tblDaily[EntryDate],DATE(2026,2,14),tblDaily[WardCode],"BF")),"")</f>
        <v/>
      </c>
      <c r="C59" s="5" t="str">
        <f>IFERROR(IF(SUMIFS(tblDaily[Discharges],tblDaily[EntryDate],DATE(2026,2,14),tblDaily[WardCode],"BF")=0,"",SUMIFS(tblDaily[Discharges],tblDaily[EntryDate],DATE(2026,2,14),tblDaily[WardCode],"BF")),"")</f>
        <v/>
      </c>
      <c r="D59" s="5" t="str">
        <f>IFERROR(IF(SUMIFS(tblDaily[Deaths],tblDaily[EntryDate],DATE(2026,2,14),tblDaily[WardCode],"BF")=0,"",SUMIFS(tblDaily[Deaths],tblDaily[EntryDate],DATE(2026,2,14),tblDaily[WardCode],"BF")),"")</f>
        <v/>
      </c>
      <c r="E59" s="5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5" t="str">
        <f>IFERROR(IF(SUMIFS(tblDaily[TransfersIn],tblDaily[EntryDate],DATE(2026,2,14),tblDaily[WardCode],"BF")=0,"",SUMIFS(tblDaily[TransfersIn],tblDaily[EntryDate],DATE(2026,2,14),tblDaily[WardCode],"BF")),"")</f>
        <v/>
      </c>
      <c r="G59" s="5" t="str">
        <f>IFERROR(IF(SUMIFS(tblDaily[TransfersOut],tblDaily[EntryDate],DATE(2026,2,14),tblDaily[WardCode],"BF")=0,"",SUMIFS(tblDaily[TransfersOut],tblDaily[EntryDate],DATE(2026,2,14),tblDaily[WardCode],"BF")),"")</f>
        <v/>
      </c>
      <c r="H59" s="5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IFERROR(IF(SUMIFS(tblDaily[Admissions],tblDaily[EntryDate],DATE(2026,2,15),tblDaily[WardCode],"BF")=0,"",SUMIFS(tblDaily[Admissions],tblDaily[EntryDate],DATE(2026,2,15),tblDaily[WardCode],"BF")),"")</f>
        <v/>
      </c>
      <c r="C60" s="5" t="str">
        <f>IFERROR(IF(SUMIFS(tblDaily[Discharges],tblDaily[EntryDate],DATE(2026,2,15),tblDaily[WardCode],"BF")=0,"",SUMIFS(tblDaily[Discharges],tblDaily[EntryDate],DATE(2026,2,15),tblDaily[WardCode],"BF")),"")</f>
        <v/>
      </c>
      <c r="D60" s="5" t="str">
        <f>IFERROR(IF(SUMIFS(tblDaily[Deaths],tblDaily[EntryDate],DATE(2026,2,15),tblDaily[WardCode],"BF")=0,"",SUMIFS(tblDaily[Deaths],tblDaily[EntryDate],DATE(2026,2,15),tblDaily[WardCode],"BF")),"")</f>
        <v/>
      </c>
      <c r="E60" s="5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5" t="str">
        <f>IFERROR(IF(SUMIFS(tblDaily[TransfersIn],tblDaily[EntryDate],DATE(2026,2,15),tblDaily[WardCode],"BF")=0,"",SUMIFS(tblDaily[TransfersIn],tblDaily[EntryDate],DATE(2026,2,15),tblDaily[WardCode],"BF")),"")</f>
        <v/>
      </c>
      <c r="G60" s="5" t="str">
        <f>IFERROR(IF(SUMIFS(tblDaily[TransfersOut],tblDaily[EntryDate],DATE(2026,2,15),tblDaily[WardCode],"BF")=0,"",SUMIFS(tblDaily[TransfersOut],tblDaily[EntryDate],DATE(2026,2,15),tblDaily[WardCode],"BF")),"")</f>
        <v/>
      </c>
      <c r="H60" s="5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IFERROR(IF(SUMIFS(tblDaily[Admissions],tblDaily[EntryDate],DATE(2026,2,16),tblDaily[WardCode],"BF")=0,"",SUMIFS(tblDaily[Admissions],tblDaily[EntryDate],DATE(2026,2,16),tblDaily[WardCode],"BF")),"")</f>
        <v/>
      </c>
      <c r="C61" s="5" t="str">
        <f>IFERROR(IF(SUMIFS(tblDaily[Discharges],tblDaily[EntryDate],DATE(2026,2,16),tblDaily[WardCode],"BF")=0,"",SUMIFS(tblDaily[Discharges],tblDaily[EntryDate],DATE(2026,2,16),tblDaily[WardCode],"BF")),"")</f>
        <v/>
      </c>
      <c r="D61" s="5" t="str">
        <f>IFERROR(IF(SUMIFS(tblDaily[Deaths],tblDaily[EntryDate],DATE(2026,2,16),tblDaily[WardCode],"BF")=0,"",SUMIFS(tblDaily[Deaths],tblDaily[EntryDate],DATE(2026,2,16),tblDaily[WardCode],"BF")),"")</f>
        <v/>
      </c>
      <c r="E61" s="5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5" t="str">
        <f>IFERROR(IF(SUMIFS(tblDaily[TransfersIn],tblDaily[EntryDate],DATE(2026,2,16),tblDaily[WardCode],"BF")=0,"",SUMIFS(tblDaily[TransfersIn],tblDaily[EntryDate],DATE(2026,2,16),tblDaily[WardCode],"BF")),"")</f>
        <v/>
      </c>
      <c r="G61" s="5" t="str">
        <f>IFERROR(IF(SUMIFS(tblDaily[TransfersOut],tblDaily[EntryDate],DATE(2026,2,16),tblDaily[WardCode],"BF")=0,"",SUMIFS(tblDaily[TransfersOut],tblDaily[EntryDate],DATE(2026,2,16),tblDaily[WardCode],"BF")),"")</f>
        <v/>
      </c>
      <c r="H61" s="5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IFERROR(IF(SUMIFS(tblDaily[Admissions],tblDaily[EntryDate],DATE(2026,2,17),tblDaily[WardCode],"BF")=0,"",SUMIFS(tblDaily[Admissions],tblDaily[EntryDate],DATE(2026,2,17),tblDaily[WardCode],"BF")),"")</f>
        <v/>
      </c>
      <c r="C62" s="5" t="str">
        <f>IFERROR(IF(SUMIFS(tblDaily[Discharges],tblDaily[EntryDate],DATE(2026,2,17),tblDaily[WardCode],"BF")=0,"",SUMIFS(tblDaily[Discharges],tblDaily[EntryDate],DATE(2026,2,17),tblDaily[WardCode],"BF")),"")</f>
        <v/>
      </c>
      <c r="D62" s="5" t="str">
        <f>IFERROR(IF(SUMIFS(tblDaily[Deaths],tblDaily[EntryDate],DATE(2026,2,17),tblDaily[WardCode],"BF")=0,"",SUMIFS(tblDaily[Deaths],tblDaily[EntryDate],DATE(2026,2,17),tblDaily[WardCode],"BF")),"")</f>
        <v/>
      </c>
      <c r="E62" s="5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5" t="str">
        <f>IFERROR(IF(SUMIFS(tblDaily[TransfersIn],tblDaily[EntryDate],DATE(2026,2,17),tblDaily[WardCode],"BF")=0,"",SUMIFS(tblDaily[TransfersIn],tblDaily[EntryDate],DATE(2026,2,17),tblDaily[WardCode],"BF")),"")</f>
        <v/>
      </c>
      <c r="G62" s="5" t="str">
        <f>IFERROR(IF(SUMIFS(tblDaily[TransfersOut],tblDaily[EntryDate],DATE(2026,2,17),tblDaily[WardCode],"BF")=0,"",SUMIFS(tblDaily[TransfersOut],tblDaily[EntryDate],DATE(2026,2,17),tblDaily[WardCode],"BF")),"")</f>
        <v/>
      </c>
      <c r="H62" s="5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IFERROR(IF(SUMIFS(tblDaily[Admissions],tblDaily[EntryDate],DATE(2026,2,18),tblDaily[WardCode],"BF")=0,"",SUMIFS(tblDaily[Admissions],tblDaily[EntryDate],DATE(2026,2,18),tblDaily[WardCode],"BF")),"")</f>
        <v/>
      </c>
      <c r="C63" s="5" t="str">
        <f>IFERROR(IF(SUMIFS(tblDaily[Discharges],tblDaily[EntryDate],DATE(2026,2,18),tblDaily[WardCode],"BF")=0,"",SUMIFS(tblDaily[Discharges],tblDaily[EntryDate],DATE(2026,2,18),tblDaily[WardCode],"BF")),"")</f>
        <v/>
      </c>
      <c r="D63" s="5" t="str">
        <f>IFERROR(IF(SUMIFS(tblDaily[Deaths],tblDaily[EntryDate],DATE(2026,2,18),tblDaily[WardCode],"BF")=0,"",SUMIFS(tblDaily[Deaths],tblDaily[EntryDate],DATE(2026,2,18),tblDaily[WardCode],"BF")),"")</f>
        <v/>
      </c>
      <c r="E63" s="5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5" t="str">
        <f>IFERROR(IF(SUMIFS(tblDaily[TransfersIn],tblDaily[EntryDate],DATE(2026,2,18),tblDaily[WardCode],"BF")=0,"",SUMIFS(tblDaily[TransfersIn],tblDaily[EntryDate],DATE(2026,2,18),tblDaily[WardCode],"BF")),"")</f>
        <v/>
      </c>
      <c r="G63" s="5" t="str">
        <f>IFERROR(IF(SUMIFS(tblDaily[TransfersOut],tblDaily[EntryDate],DATE(2026,2,18),tblDaily[WardCode],"BF")=0,"",SUMIFS(tblDaily[TransfersOut],tblDaily[EntryDate],DATE(2026,2,18),tblDaily[WardCode],"BF")),"")</f>
        <v/>
      </c>
      <c r="H63" s="5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IFERROR(IF(SUMIFS(tblDaily[Admissions],tblDaily[EntryDate],DATE(2026,2,19),tblDaily[WardCode],"BF")=0,"",SUMIFS(tblDaily[Admissions],tblDaily[EntryDate],DATE(2026,2,19),tblDaily[WardCode],"BF")),"")</f>
        <v/>
      </c>
      <c r="C64" s="5" t="str">
        <f>IFERROR(IF(SUMIFS(tblDaily[Discharges],tblDaily[EntryDate],DATE(2026,2,19),tblDaily[WardCode],"BF")=0,"",SUMIFS(tblDaily[Discharges],tblDaily[EntryDate],DATE(2026,2,19),tblDaily[WardCode],"BF")),"")</f>
        <v/>
      </c>
      <c r="D64" s="5" t="str">
        <f>IFERROR(IF(SUMIFS(tblDaily[Deaths],tblDaily[EntryDate],DATE(2026,2,19),tblDaily[WardCode],"BF")=0,"",SUMIFS(tblDaily[Deaths],tblDaily[EntryDate],DATE(2026,2,19),tblDaily[WardCode],"BF")),"")</f>
        <v/>
      </c>
      <c r="E64" s="5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5" t="str">
        <f>IFERROR(IF(SUMIFS(tblDaily[TransfersIn],tblDaily[EntryDate],DATE(2026,2,19),tblDaily[WardCode],"BF")=0,"",SUMIFS(tblDaily[TransfersIn],tblDaily[EntryDate],DATE(2026,2,19),tblDaily[WardCode],"BF")),"")</f>
        <v/>
      </c>
      <c r="G64" s="5" t="str">
        <f>IFERROR(IF(SUMIFS(tblDaily[TransfersOut],tblDaily[EntryDate],DATE(2026,2,19),tblDaily[WardCode],"BF")=0,"",SUMIFS(tblDaily[TransfersOut],tblDaily[EntryDate],DATE(2026,2,19),tblDaily[WardCode],"BF")),"")</f>
        <v/>
      </c>
      <c r="H64" s="5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IFERROR(IF(SUMIFS(tblDaily[Admissions],tblDaily[EntryDate],DATE(2026,2,20),tblDaily[WardCode],"BF")=0,"",SUMIFS(tblDaily[Admissions],tblDaily[EntryDate],DATE(2026,2,20),tblDaily[WardCode],"BF")),"")</f>
        <v/>
      </c>
      <c r="C65" s="5" t="str">
        <f>IFERROR(IF(SUMIFS(tblDaily[Discharges],tblDaily[EntryDate],DATE(2026,2,20),tblDaily[WardCode],"BF")=0,"",SUMIFS(tblDaily[Discharges],tblDaily[EntryDate],DATE(2026,2,20),tblDaily[WardCode],"BF")),"")</f>
        <v/>
      </c>
      <c r="D65" s="5" t="str">
        <f>IFERROR(IF(SUMIFS(tblDaily[Deaths],tblDaily[EntryDate],DATE(2026,2,20),tblDaily[WardCode],"BF")=0,"",SUMIFS(tblDaily[Deaths],tblDaily[EntryDate],DATE(2026,2,20),tblDaily[WardCode],"BF")),"")</f>
        <v/>
      </c>
      <c r="E65" s="5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5" t="str">
        <f>IFERROR(IF(SUMIFS(tblDaily[TransfersIn],tblDaily[EntryDate],DATE(2026,2,20),tblDaily[WardCode],"BF")=0,"",SUMIFS(tblDaily[TransfersIn],tblDaily[EntryDate],DATE(2026,2,20),tblDaily[WardCode],"BF")),"")</f>
        <v/>
      </c>
      <c r="G65" s="5" t="str">
        <f>IFERROR(IF(SUMIFS(tblDaily[TransfersOut],tblDaily[EntryDate],DATE(2026,2,20),tblDaily[WardCode],"BF")=0,"",SUMIFS(tblDaily[TransfersOut],tblDaily[EntryDate],DATE(2026,2,20),tblDaily[WardCode],"BF")),"")</f>
        <v/>
      </c>
      <c r="H65" s="5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IFERROR(IF(SUMIFS(tblDaily[Admissions],tblDaily[EntryDate],DATE(2026,2,21),tblDaily[WardCode],"BF")=0,"",SUMIFS(tblDaily[Admissions],tblDaily[EntryDate],DATE(2026,2,21),tblDaily[WardCode],"BF")),"")</f>
        <v/>
      </c>
      <c r="C66" s="5" t="str">
        <f>IFERROR(IF(SUMIFS(tblDaily[Discharges],tblDaily[EntryDate],DATE(2026,2,21),tblDaily[WardCode],"BF")=0,"",SUMIFS(tblDaily[Discharges],tblDaily[EntryDate],DATE(2026,2,21),tblDaily[WardCode],"BF")),"")</f>
        <v/>
      </c>
      <c r="D66" s="5" t="str">
        <f>IFERROR(IF(SUMIFS(tblDaily[Deaths],tblDaily[EntryDate],DATE(2026,2,21),tblDaily[WardCode],"BF")=0,"",SUMIFS(tblDaily[Deaths],tblDaily[EntryDate],DATE(2026,2,21),tblDaily[WardCode],"BF")),"")</f>
        <v/>
      </c>
      <c r="E66" s="5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5" t="str">
        <f>IFERROR(IF(SUMIFS(tblDaily[TransfersIn],tblDaily[EntryDate],DATE(2026,2,21),tblDaily[WardCode],"BF")=0,"",SUMIFS(tblDaily[TransfersIn],tblDaily[EntryDate],DATE(2026,2,21),tblDaily[WardCode],"BF")),"")</f>
        <v/>
      </c>
      <c r="G66" s="5" t="str">
        <f>IFERROR(IF(SUMIFS(tblDaily[TransfersOut],tblDaily[EntryDate],DATE(2026,2,21),tblDaily[WardCode],"BF")=0,"",SUMIFS(tblDaily[TransfersOut],tblDaily[EntryDate],DATE(2026,2,21),tblDaily[WardCode],"BF")),"")</f>
        <v/>
      </c>
      <c r="H66" s="5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IFERROR(IF(SUMIFS(tblDaily[Admissions],tblDaily[EntryDate],DATE(2026,2,22),tblDaily[WardCode],"BF")=0,"",SUMIFS(tblDaily[Admissions],tblDaily[EntryDate],DATE(2026,2,22),tblDaily[WardCode],"BF")),"")</f>
        <v/>
      </c>
      <c r="C67" s="5" t="str">
        <f>IFERROR(IF(SUMIFS(tblDaily[Discharges],tblDaily[EntryDate],DATE(2026,2,22),tblDaily[WardCode],"BF")=0,"",SUMIFS(tblDaily[Discharges],tblDaily[EntryDate],DATE(2026,2,22),tblDaily[WardCode],"BF")),"")</f>
        <v/>
      </c>
      <c r="D67" s="5" t="str">
        <f>IFERROR(IF(SUMIFS(tblDaily[Deaths],tblDaily[EntryDate],DATE(2026,2,22),tblDaily[WardCode],"BF")=0,"",SUMIFS(tblDaily[Deaths],tblDaily[EntryDate],DATE(2026,2,22),tblDaily[WardCode],"BF")),"")</f>
        <v/>
      </c>
      <c r="E67" s="5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5" t="str">
        <f>IFERROR(IF(SUMIFS(tblDaily[TransfersIn],tblDaily[EntryDate],DATE(2026,2,22),tblDaily[WardCode],"BF")=0,"",SUMIFS(tblDaily[TransfersIn],tblDaily[EntryDate],DATE(2026,2,22),tblDaily[WardCode],"BF")),"")</f>
        <v/>
      </c>
      <c r="G67" s="5" t="str">
        <f>IFERROR(IF(SUMIFS(tblDaily[TransfersOut],tblDaily[EntryDate],DATE(2026,2,22),tblDaily[WardCode],"BF")=0,"",SUMIFS(tblDaily[TransfersOut],tblDaily[EntryDate],DATE(2026,2,22),tblDaily[WardCode],"BF")),"")</f>
        <v/>
      </c>
      <c r="H67" s="5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IFERROR(IF(SUMIFS(tblDaily[Admissions],tblDaily[EntryDate],DATE(2026,2,23),tblDaily[WardCode],"BF")=0,"",SUMIFS(tblDaily[Admissions],tblDaily[EntryDate],DATE(2026,2,23),tblDaily[WardCode],"BF")),"")</f>
        <v/>
      </c>
      <c r="C68" s="5" t="str">
        <f>IFERROR(IF(SUMIFS(tblDaily[Discharges],tblDaily[EntryDate],DATE(2026,2,23),tblDaily[WardCode],"BF")=0,"",SUMIFS(tblDaily[Discharges],tblDaily[EntryDate],DATE(2026,2,23),tblDaily[WardCode],"BF")),"")</f>
        <v/>
      </c>
      <c r="D68" s="5" t="str">
        <f>IFERROR(IF(SUMIFS(tblDaily[Deaths],tblDaily[EntryDate],DATE(2026,2,23),tblDaily[WardCode],"BF")=0,"",SUMIFS(tblDaily[Deaths],tblDaily[EntryDate],DATE(2026,2,23),tblDaily[WardCode],"BF")),"")</f>
        <v/>
      </c>
      <c r="E68" s="5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5" t="str">
        <f>IFERROR(IF(SUMIFS(tblDaily[TransfersIn],tblDaily[EntryDate],DATE(2026,2,23),tblDaily[WardCode],"BF")=0,"",SUMIFS(tblDaily[TransfersIn],tblDaily[EntryDate],DATE(2026,2,23),tblDaily[WardCode],"BF")),"")</f>
        <v/>
      </c>
      <c r="G68" s="5" t="str">
        <f>IFERROR(IF(SUMIFS(tblDaily[TransfersOut],tblDaily[EntryDate],DATE(2026,2,23),tblDaily[WardCode],"BF")=0,"",SUMIFS(tblDaily[TransfersOut],tblDaily[EntryDate],DATE(2026,2,23),tblDaily[WardCode],"BF")),"")</f>
        <v/>
      </c>
      <c r="H68" s="5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IFERROR(IF(SUMIFS(tblDaily[Admissions],tblDaily[EntryDate],DATE(2026,2,24),tblDaily[WardCode],"BF")=0,"",SUMIFS(tblDaily[Admissions],tblDaily[EntryDate],DATE(2026,2,24),tblDaily[WardCode],"BF")),"")</f>
        <v/>
      </c>
      <c r="C69" s="5" t="str">
        <f>IFERROR(IF(SUMIFS(tblDaily[Discharges],tblDaily[EntryDate],DATE(2026,2,24),tblDaily[WardCode],"BF")=0,"",SUMIFS(tblDaily[Discharges],tblDaily[EntryDate],DATE(2026,2,24),tblDaily[WardCode],"BF")),"")</f>
        <v/>
      </c>
      <c r="D69" s="5" t="str">
        <f>IFERROR(IF(SUMIFS(tblDaily[Deaths],tblDaily[EntryDate],DATE(2026,2,24),tblDaily[WardCode],"BF")=0,"",SUMIFS(tblDaily[Deaths],tblDaily[EntryDate],DATE(2026,2,24),tblDaily[WardCode],"BF")),"")</f>
        <v/>
      </c>
      <c r="E69" s="5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5" t="str">
        <f>IFERROR(IF(SUMIFS(tblDaily[TransfersIn],tblDaily[EntryDate],DATE(2026,2,24),tblDaily[WardCode],"BF")=0,"",SUMIFS(tblDaily[TransfersIn],tblDaily[EntryDate],DATE(2026,2,24),tblDaily[WardCode],"BF")),"")</f>
        <v/>
      </c>
      <c r="G69" s="5" t="str">
        <f>IFERROR(IF(SUMIFS(tblDaily[TransfersOut],tblDaily[EntryDate],DATE(2026,2,24),tblDaily[WardCode],"BF")=0,"",SUMIFS(tblDaily[TransfersOut],tblDaily[EntryDate],DATE(2026,2,24),tblDaily[WardCode],"BF")),"")</f>
        <v/>
      </c>
      <c r="H69" s="5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IFERROR(IF(SUMIFS(tblDaily[Admissions],tblDaily[EntryDate],DATE(2026,2,25),tblDaily[WardCode],"BF")=0,"",SUMIFS(tblDaily[Admissions],tblDaily[EntryDate],DATE(2026,2,25),tblDaily[WardCode],"BF")),"")</f>
        <v/>
      </c>
      <c r="C70" s="5" t="str">
        <f>IFERROR(IF(SUMIFS(tblDaily[Discharges],tblDaily[EntryDate],DATE(2026,2,25),tblDaily[WardCode],"BF")=0,"",SUMIFS(tblDaily[Discharges],tblDaily[EntryDate],DATE(2026,2,25),tblDaily[WardCode],"BF")),"")</f>
        <v/>
      </c>
      <c r="D70" s="5" t="str">
        <f>IFERROR(IF(SUMIFS(tblDaily[Deaths],tblDaily[EntryDate],DATE(2026,2,25),tblDaily[WardCode],"BF")=0,"",SUMIFS(tblDaily[Deaths],tblDaily[EntryDate],DATE(2026,2,25),tblDaily[WardCode],"BF")),"")</f>
        <v/>
      </c>
      <c r="E70" s="5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5" t="str">
        <f>IFERROR(IF(SUMIFS(tblDaily[TransfersIn],tblDaily[EntryDate],DATE(2026,2,25),tblDaily[WardCode],"BF")=0,"",SUMIFS(tblDaily[TransfersIn],tblDaily[EntryDate],DATE(2026,2,25),tblDaily[WardCode],"BF")),"")</f>
        <v/>
      </c>
      <c r="G70" s="5" t="str">
        <f>IFERROR(IF(SUMIFS(tblDaily[TransfersOut],tblDaily[EntryDate],DATE(2026,2,25),tblDaily[WardCode],"BF")=0,"",SUMIFS(tblDaily[TransfersOut],tblDaily[EntryDate],DATE(2026,2,25),tblDaily[WardCode],"BF")),"")</f>
        <v/>
      </c>
      <c r="H70" s="5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IFERROR(IF(SUMIFS(tblDaily[Admissions],tblDaily[EntryDate],DATE(2026,2,26),tblDaily[WardCode],"BF")=0,"",SUMIFS(tblDaily[Admissions],tblDaily[EntryDate],DATE(2026,2,26),tblDaily[WardCode],"BF")),"")</f>
        <v/>
      </c>
      <c r="C71" s="5" t="str">
        <f>IFERROR(IF(SUMIFS(tblDaily[Discharges],tblDaily[EntryDate],DATE(2026,2,26),tblDaily[WardCode],"BF")=0,"",SUMIFS(tblDaily[Discharges],tblDaily[EntryDate],DATE(2026,2,26),tblDaily[WardCode],"BF")),"")</f>
        <v/>
      </c>
      <c r="D71" s="5" t="str">
        <f>IFERROR(IF(SUMIFS(tblDaily[Deaths],tblDaily[EntryDate],DATE(2026,2,26),tblDaily[WardCode],"BF")=0,"",SUMIFS(tblDaily[Deaths],tblDaily[EntryDate],DATE(2026,2,26),tblDaily[WardCode],"BF")),"")</f>
        <v/>
      </c>
      <c r="E71" s="5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5" t="str">
        <f>IFERROR(IF(SUMIFS(tblDaily[TransfersIn],tblDaily[EntryDate],DATE(2026,2,26),tblDaily[WardCode],"BF")=0,"",SUMIFS(tblDaily[TransfersIn],tblDaily[EntryDate],DATE(2026,2,26),tblDaily[WardCode],"BF")),"")</f>
        <v/>
      </c>
      <c r="G71" s="5" t="str">
        <f>IFERROR(IF(SUMIFS(tblDaily[TransfersOut],tblDaily[EntryDate],DATE(2026,2,26),tblDaily[WardCode],"BF")=0,"",SUMIFS(tblDaily[TransfersOut],tblDaily[EntryDate],DATE(2026,2,26),tblDaily[WardCode],"BF")),"")</f>
        <v/>
      </c>
      <c r="H71" s="5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IFERROR(IF(SUMIFS(tblDaily[Admissions],tblDaily[EntryDate],DATE(2026,2,27),tblDaily[WardCode],"BF")=0,"",SUMIFS(tblDaily[Admissions],tblDaily[EntryDate],DATE(2026,2,27),tblDaily[WardCode],"BF")),"")</f>
        <v/>
      </c>
      <c r="C72" s="5" t="str">
        <f>IFERROR(IF(SUMIFS(tblDaily[Discharges],tblDaily[EntryDate],DATE(2026,2,27),tblDaily[WardCode],"BF")=0,"",SUMIFS(tblDaily[Discharges],tblDaily[EntryDate],DATE(2026,2,27),tblDaily[WardCode],"BF")),"")</f>
        <v/>
      </c>
      <c r="D72" s="5" t="str">
        <f>IFERROR(IF(SUMIFS(tblDaily[Deaths],tblDaily[EntryDate],DATE(2026,2,27),tblDaily[WardCode],"BF")=0,"",SUMIFS(tblDaily[Deaths],tblDaily[EntryDate],DATE(2026,2,27),tblDaily[WardCode],"BF")),"")</f>
        <v/>
      </c>
      <c r="E72" s="5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5" t="str">
        <f>IFERROR(IF(SUMIFS(tblDaily[TransfersIn],tblDaily[EntryDate],DATE(2026,2,27),tblDaily[WardCode],"BF")=0,"",SUMIFS(tblDaily[TransfersIn],tblDaily[EntryDate],DATE(2026,2,27),tblDaily[WardCode],"BF")),"")</f>
        <v/>
      </c>
      <c r="G72" s="5" t="str">
        <f>IFERROR(IF(SUMIFS(tblDaily[TransfersOut],tblDaily[EntryDate],DATE(2026,2,27),tblDaily[WardCode],"BF")=0,"",SUMIFS(tblDaily[TransfersOut],tblDaily[EntryDate],DATE(2026,2,27),tblDaily[WardCode],"BF")),"")</f>
        <v/>
      </c>
      <c r="H72" s="5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IFERROR(IF(SUMIFS(tblDaily[Admissions],tblDaily[EntryDate],DATE(2026,2,28),tblDaily[WardCode],"BF")=0,"",SUMIFS(tblDaily[Admissions],tblDaily[EntryDate],DATE(2026,2,28),tblDaily[WardCode],"BF")),"")</f>
        <v/>
      </c>
      <c r="C73" s="5" t="str">
        <f>IFERROR(IF(SUMIFS(tblDaily[Discharges],tblDaily[EntryDate],DATE(2026,2,28),tblDaily[WardCode],"BF")=0,"",SUMIFS(tblDaily[Discharges],tblDaily[EntryDate],DATE(2026,2,28),tblDaily[WardCode],"BF")),"")</f>
        <v/>
      </c>
      <c r="D73" s="5" t="str">
        <f>IFERROR(IF(SUMIFS(tblDaily[Deaths],tblDaily[EntryDate],DATE(2026,2,28),tblDaily[WardCode],"BF")=0,"",SUMIFS(tblDaily[Deaths],tblDaily[EntryDate],DATE(2026,2,28),tblDaily[WardCode],"BF")),"")</f>
        <v/>
      </c>
      <c r="E73" s="5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5" t="str">
        <f>IFERROR(IF(SUMIFS(tblDaily[TransfersIn],tblDaily[EntryDate],DATE(2026,2,28),tblDaily[WardCode],"BF")=0,"",SUMIFS(tblDaily[TransfersIn],tblDaily[EntryDate],DATE(2026,2,28),tblDaily[WardCode],"BF")),"")</f>
        <v/>
      </c>
      <c r="G73" s="5" t="str">
        <f>IFERROR(IF(SUMIFS(tblDaily[TransfersOut],tblDaily[EntryDate],DATE(2026,2,28),tblDaily[WardCode],"BF")=0,"",SUMIFS(tblDaily[TransfersOut],tblDaily[EntryDate],DATE(2026,2,28),tblDaily[WardCode],"BF")),"")</f>
        <v/>
      </c>
      <c r="H73" s="5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98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89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IFERROR(IF(SUMIFS(tblDaily[Admissions],tblDaily[EntryDate],DATE(2026,3,1),tblDaily[WardCode],"BF")=0,"",SUMIFS(tblDaily[Admissions],tblDaily[EntryDate],DATE(2026,3,1),tblDaily[WardCode],"BF")),"")</f>
        <v/>
      </c>
      <c r="C85" s="5" t="str">
        <f>IFERROR(IF(SUMIFS(tblDaily[Discharges],tblDaily[EntryDate],DATE(2026,3,1),tblDaily[WardCode],"BF")=0,"",SUMIFS(tblDaily[Discharges],tblDaily[EntryDate],DATE(2026,3,1),tblDaily[WardCode],"BF")),"")</f>
        <v/>
      </c>
      <c r="D85" s="5" t="str">
        <f>IFERROR(IF(SUMIFS(tblDaily[Deaths],tblDaily[EntryDate],DATE(2026,3,1),tblDaily[WardCode],"BF")=0,"",SUMIFS(tblDaily[Deaths],tblDaily[EntryDate],DATE(2026,3,1),tblDaily[WardCode],"BF")),"")</f>
        <v/>
      </c>
      <c r="E85" s="5" t="str">
        <f>IFERROR(IF(SUMIFS(tblDaily[DeathsUnder24Hrs],tblDaily[EntryDate],DATE(2026,3,1),tblDaily[WardCode],"BF")=0,"",SUMIFS(tblDaily[DeathsUnder24Hrs],tblDaily[EntryDate],DATE(2026,3,1),tblDaily[WardCode],"BF")),"")</f>
        <v/>
      </c>
      <c r="F85" s="5" t="str">
        <f>IFERROR(IF(SUMIFS(tblDaily[TransfersIn],tblDaily[EntryDate],DATE(2026,3,1),tblDaily[WardCode],"BF")=0,"",SUMIFS(tblDaily[TransfersIn],tblDaily[EntryDate],DATE(2026,3,1),tblDaily[WardCode],"BF")),"")</f>
        <v/>
      </c>
      <c r="G85" s="5" t="str">
        <f>IFERROR(IF(SUMIFS(tblDaily[TransfersOut],tblDaily[EntryDate],DATE(2026,3,1),tblDaily[WardCode],"BF")=0,"",SUMIFS(tblDaily[TransfersOut],tblDaily[EntryDate],DATE(2026,3,1),tblDaily[WardCode],"BF")),"")</f>
        <v/>
      </c>
      <c r="H85" s="5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IFERROR(IF(SUMIFS(tblDaily[Admissions],tblDaily[EntryDate],DATE(2026,3,2),tblDaily[WardCode],"BF")=0,"",SUMIFS(tblDaily[Admissions],tblDaily[EntryDate],DATE(2026,3,2),tblDaily[WardCode],"BF")),"")</f>
        <v/>
      </c>
      <c r="C86" s="5" t="str">
        <f>IFERROR(IF(SUMIFS(tblDaily[Discharges],tblDaily[EntryDate],DATE(2026,3,2),tblDaily[WardCode],"BF")=0,"",SUMIFS(tblDaily[Discharges],tblDaily[EntryDate],DATE(2026,3,2),tblDaily[WardCode],"BF")),"")</f>
        <v/>
      </c>
      <c r="D86" s="5" t="str">
        <f>IFERROR(IF(SUMIFS(tblDaily[Deaths],tblDaily[EntryDate],DATE(2026,3,2),tblDaily[WardCode],"BF")=0,"",SUMIFS(tblDaily[Deaths],tblDaily[EntryDate],DATE(2026,3,2),tblDaily[WardCode],"BF")),"")</f>
        <v/>
      </c>
      <c r="E86" s="5" t="str">
        <f>IFERROR(IF(SUMIFS(tblDaily[DeathsUnder24Hrs],tblDaily[EntryDate],DATE(2026,3,2),tblDaily[WardCode],"BF")=0,"",SUMIFS(tblDaily[DeathsUnder24Hrs],tblDaily[EntryDate],DATE(2026,3,2),tblDaily[WardCode],"BF")),"")</f>
        <v/>
      </c>
      <c r="F86" s="5" t="str">
        <f>IFERROR(IF(SUMIFS(tblDaily[TransfersIn],tblDaily[EntryDate],DATE(2026,3,2),tblDaily[WardCode],"BF")=0,"",SUMIFS(tblDaily[TransfersIn],tblDaily[EntryDate],DATE(2026,3,2),tblDaily[WardCode],"BF")),"")</f>
        <v/>
      </c>
      <c r="G86" s="5" t="str">
        <f>IFERROR(IF(SUMIFS(tblDaily[TransfersOut],tblDaily[EntryDate],DATE(2026,3,2),tblDaily[WardCode],"BF")=0,"",SUMIFS(tblDaily[TransfersOut],tblDaily[EntryDate],DATE(2026,3,2),tblDaily[WardCode],"BF")),"")</f>
        <v/>
      </c>
      <c r="H86" s="5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IFERROR(IF(SUMIFS(tblDaily[Admissions],tblDaily[EntryDate],DATE(2026,3,3),tblDaily[WardCode],"BF")=0,"",SUMIFS(tblDaily[Admissions],tblDaily[EntryDate],DATE(2026,3,3),tblDaily[WardCode],"BF")),"")</f>
        <v/>
      </c>
      <c r="C87" s="5" t="str">
        <f>IFERROR(IF(SUMIFS(tblDaily[Discharges],tblDaily[EntryDate],DATE(2026,3,3),tblDaily[WardCode],"BF")=0,"",SUMIFS(tblDaily[Discharges],tblDaily[EntryDate],DATE(2026,3,3),tblDaily[WardCode],"BF")),"")</f>
        <v/>
      </c>
      <c r="D87" s="5" t="str">
        <f>IFERROR(IF(SUMIFS(tblDaily[Deaths],tblDaily[EntryDate],DATE(2026,3,3),tblDaily[WardCode],"BF")=0,"",SUMIFS(tblDaily[Deaths],tblDaily[EntryDate],DATE(2026,3,3),tblDaily[WardCode],"BF")),"")</f>
        <v/>
      </c>
      <c r="E87" s="5" t="str">
        <f>IFERROR(IF(SUMIFS(tblDaily[DeathsUnder24Hrs],tblDaily[EntryDate],DATE(2026,3,3),tblDaily[WardCode],"BF")=0,"",SUMIFS(tblDaily[DeathsUnder24Hrs],tblDaily[EntryDate],DATE(2026,3,3),tblDaily[WardCode],"BF")),"")</f>
        <v/>
      </c>
      <c r="F87" s="5" t="str">
        <f>IFERROR(IF(SUMIFS(tblDaily[TransfersIn],tblDaily[EntryDate],DATE(2026,3,3),tblDaily[WardCode],"BF")=0,"",SUMIFS(tblDaily[TransfersIn],tblDaily[EntryDate],DATE(2026,3,3),tblDaily[WardCode],"BF")),"")</f>
        <v/>
      </c>
      <c r="G87" s="5" t="str">
        <f>IFERROR(IF(SUMIFS(tblDaily[TransfersOut],tblDaily[EntryDate],DATE(2026,3,3),tblDaily[WardCode],"BF")=0,"",SUMIFS(tblDaily[TransfersOut],tblDaily[EntryDate],DATE(2026,3,3),tblDaily[WardCode],"BF")),"")</f>
        <v/>
      </c>
      <c r="H87" s="5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IFERROR(IF(SUMIFS(tblDaily[Admissions],tblDaily[EntryDate],DATE(2026,3,4),tblDaily[WardCode],"BF")=0,"",SUMIFS(tblDaily[Admissions],tblDaily[EntryDate],DATE(2026,3,4),tblDaily[WardCode],"BF")),"")</f>
        <v/>
      </c>
      <c r="C88" s="5" t="str">
        <f>IFERROR(IF(SUMIFS(tblDaily[Discharges],tblDaily[EntryDate],DATE(2026,3,4),tblDaily[WardCode],"BF")=0,"",SUMIFS(tblDaily[Discharges],tblDaily[EntryDate],DATE(2026,3,4),tblDaily[WardCode],"BF")),"")</f>
        <v/>
      </c>
      <c r="D88" s="5" t="str">
        <f>IFERROR(IF(SUMIFS(tblDaily[Deaths],tblDaily[EntryDate],DATE(2026,3,4),tblDaily[WardCode],"BF")=0,"",SUMIFS(tblDaily[Deaths],tblDaily[EntryDate],DATE(2026,3,4),tblDaily[WardCode],"BF")),"")</f>
        <v/>
      </c>
      <c r="E88" s="5" t="str">
        <f>IFERROR(IF(SUMIFS(tblDaily[DeathsUnder24Hrs],tblDaily[EntryDate],DATE(2026,3,4),tblDaily[WardCode],"BF")=0,"",SUMIFS(tblDaily[DeathsUnder24Hrs],tblDaily[EntryDate],DATE(2026,3,4),tblDaily[WardCode],"BF")),"")</f>
        <v/>
      </c>
      <c r="F88" s="5" t="str">
        <f>IFERROR(IF(SUMIFS(tblDaily[TransfersIn],tblDaily[EntryDate],DATE(2026,3,4),tblDaily[WardCode],"BF")=0,"",SUMIFS(tblDaily[TransfersIn],tblDaily[EntryDate],DATE(2026,3,4),tblDaily[WardCode],"BF")),"")</f>
        <v/>
      </c>
      <c r="G88" s="5" t="str">
        <f>IFERROR(IF(SUMIFS(tblDaily[TransfersOut],tblDaily[EntryDate],DATE(2026,3,4),tblDaily[WardCode],"BF")=0,"",SUMIFS(tblDaily[TransfersOut],tblDaily[EntryDate],DATE(2026,3,4),tblDaily[WardCode],"BF")),"")</f>
        <v/>
      </c>
      <c r="H88" s="5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IFERROR(IF(SUMIFS(tblDaily[Admissions],tblDaily[EntryDate],DATE(2026,3,5),tblDaily[WardCode],"BF")=0,"",SUMIFS(tblDaily[Admissions],tblDaily[EntryDate],DATE(2026,3,5),tblDaily[WardCode],"BF")),"")</f>
        <v/>
      </c>
      <c r="C89" s="5" t="str">
        <f>IFERROR(IF(SUMIFS(tblDaily[Discharges],tblDaily[EntryDate],DATE(2026,3,5),tblDaily[WardCode],"BF")=0,"",SUMIFS(tblDaily[Discharges],tblDaily[EntryDate],DATE(2026,3,5),tblDaily[WardCode],"BF")),"")</f>
        <v/>
      </c>
      <c r="D89" s="5" t="str">
        <f>IFERROR(IF(SUMIFS(tblDaily[Deaths],tblDaily[EntryDate],DATE(2026,3,5),tblDaily[WardCode],"BF")=0,"",SUMIFS(tblDaily[Deaths],tblDaily[EntryDate],DATE(2026,3,5),tblDaily[WardCode],"BF")),"")</f>
        <v/>
      </c>
      <c r="E89" s="5" t="str">
        <f>IFERROR(IF(SUMIFS(tblDaily[DeathsUnder24Hrs],tblDaily[EntryDate],DATE(2026,3,5),tblDaily[WardCode],"BF")=0,"",SUMIFS(tblDaily[DeathsUnder24Hrs],tblDaily[EntryDate],DATE(2026,3,5),tblDaily[WardCode],"BF")),"")</f>
        <v/>
      </c>
      <c r="F89" s="5" t="str">
        <f>IFERROR(IF(SUMIFS(tblDaily[TransfersIn],tblDaily[EntryDate],DATE(2026,3,5),tblDaily[WardCode],"BF")=0,"",SUMIFS(tblDaily[TransfersIn],tblDaily[EntryDate],DATE(2026,3,5),tblDaily[WardCode],"BF")),"")</f>
        <v/>
      </c>
      <c r="G89" s="5" t="str">
        <f>IFERROR(IF(SUMIFS(tblDaily[TransfersOut],tblDaily[EntryDate],DATE(2026,3,5),tblDaily[WardCode],"BF")=0,"",SUMIFS(tblDaily[TransfersOut],tblDaily[EntryDate],DATE(2026,3,5),tblDaily[WardCode],"BF")),"")</f>
        <v/>
      </c>
      <c r="H89" s="5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IFERROR(IF(SUMIFS(tblDaily[Admissions],tblDaily[EntryDate],DATE(2026,3,6),tblDaily[WardCode],"BF")=0,"",SUMIFS(tblDaily[Admissions],tblDaily[EntryDate],DATE(2026,3,6),tblDaily[WardCode],"BF")),"")</f>
        <v/>
      </c>
      <c r="C90" s="5" t="str">
        <f>IFERROR(IF(SUMIFS(tblDaily[Discharges],tblDaily[EntryDate],DATE(2026,3,6),tblDaily[WardCode],"BF")=0,"",SUMIFS(tblDaily[Discharges],tblDaily[EntryDate],DATE(2026,3,6),tblDaily[WardCode],"BF")),"")</f>
        <v/>
      </c>
      <c r="D90" s="5" t="str">
        <f>IFERROR(IF(SUMIFS(tblDaily[Deaths],tblDaily[EntryDate],DATE(2026,3,6),tblDaily[WardCode],"BF")=0,"",SUMIFS(tblDaily[Deaths],tblDaily[EntryDate],DATE(2026,3,6),tblDaily[WardCode],"BF")),"")</f>
        <v/>
      </c>
      <c r="E90" s="5" t="str">
        <f>IFERROR(IF(SUMIFS(tblDaily[DeathsUnder24Hrs],tblDaily[EntryDate],DATE(2026,3,6),tblDaily[WardCode],"BF")=0,"",SUMIFS(tblDaily[DeathsUnder24Hrs],tblDaily[EntryDate],DATE(2026,3,6),tblDaily[WardCode],"BF")),"")</f>
        <v/>
      </c>
      <c r="F90" s="5" t="str">
        <f>IFERROR(IF(SUMIFS(tblDaily[TransfersIn],tblDaily[EntryDate],DATE(2026,3,6),tblDaily[WardCode],"BF")=0,"",SUMIFS(tblDaily[TransfersIn],tblDaily[EntryDate],DATE(2026,3,6),tblDaily[WardCode],"BF")),"")</f>
        <v/>
      </c>
      <c r="G90" s="5" t="str">
        <f>IFERROR(IF(SUMIFS(tblDaily[TransfersOut],tblDaily[EntryDate],DATE(2026,3,6),tblDaily[WardCode],"BF")=0,"",SUMIFS(tblDaily[TransfersOut],tblDaily[EntryDate],DATE(2026,3,6),tblDaily[WardCode],"BF")),"")</f>
        <v/>
      </c>
      <c r="H90" s="5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IFERROR(IF(SUMIFS(tblDaily[Admissions],tblDaily[EntryDate],DATE(2026,3,7),tblDaily[WardCode],"BF")=0,"",SUMIFS(tblDaily[Admissions],tblDaily[EntryDate],DATE(2026,3,7),tblDaily[WardCode],"BF")),"")</f>
        <v/>
      </c>
      <c r="C91" s="5" t="str">
        <f>IFERROR(IF(SUMIFS(tblDaily[Discharges],tblDaily[EntryDate],DATE(2026,3,7),tblDaily[WardCode],"BF")=0,"",SUMIFS(tblDaily[Discharges],tblDaily[EntryDate],DATE(2026,3,7),tblDaily[WardCode],"BF")),"")</f>
        <v/>
      </c>
      <c r="D91" s="5" t="str">
        <f>IFERROR(IF(SUMIFS(tblDaily[Deaths],tblDaily[EntryDate],DATE(2026,3,7),tblDaily[WardCode],"BF")=0,"",SUMIFS(tblDaily[Deaths],tblDaily[EntryDate],DATE(2026,3,7),tblDaily[WardCode],"BF")),"")</f>
        <v/>
      </c>
      <c r="E91" s="5" t="str">
        <f>IFERROR(IF(SUMIFS(tblDaily[DeathsUnder24Hrs],tblDaily[EntryDate],DATE(2026,3,7),tblDaily[WardCode],"BF")=0,"",SUMIFS(tblDaily[DeathsUnder24Hrs],tblDaily[EntryDate],DATE(2026,3,7),tblDaily[WardCode],"BF")),"")</f>
        <v/>
      </c>
      <c r="F91" s="5" t="str">
        <f>IFERROR(IF(SUMIFS(tblDaily[TransfersIn],tblDaily[EntryDate],DATE(2026,3,7),tblDaily[WardCode],"BF")=0,"",SUMIFS(tblDaily[TransfersIn],tblDaily[EntryDate],DATE(2026,3,7),tblDaily[WardCode],"BF")),"")</f>
        <v/>
      </c>
      <c r="G91" s="5" t="str">
        <f>IFERROR(IF(SUMIFS(tblDaily[TransfersOut],tblDaily[EntryDate],DATE(2026,3,7),tblDaily[WardCode],"BF")=0,"",SUMIFS(tblDaily[TransfersOut],tblDaily[EntryDate],DATE(2026,3,7),tblDaily[WardCode],"BF")),"")</f>
        <v/>
      </c>
      <c r="H91" s="5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IFERROR(IF(SUMIFS(tblDaily[Admissions],tblDaily[EntryDate],DATE(2026,3,8),tblDaily[WardCode],"BF")=0,"",SUMIFS(tblDaily[Admissions],tblDaily[EntryDate],DATE(2026,3,8),tblDaily[WardCode],"BF")),"")</f>
        <v/>
      </c>
      <c r="C92" s="5" t="str">
        <f>IFERROR(IF(SUMIFS(tblDaily[Discharges],tblDaily[EntryDate],DATE(2026,3,8),tblDaily[WardCode],"BF")=0,"",SUMIFS(tblDaily[Discharges],tblDaily[EntryDate],DATE(2026,3,8),tblDaily[WardCode],"BF")),"")</f>
        <v/>
      </c>
      <c r="D92" s="5" t="str">
        <f>IFERROR(IF(SUMIFS(tblDaily[Deaths],tblDaily[EntryDate],DATE(2026,3,8),tblDaily[WardCode],"BF")=0,"",SUMIFS(tblDaily[Deaths],tblDaily[EntryDate],DATE(2026,3,8),tblDaily[WardCode],"BF")),"")</f>
        <v/>
      </c>
      <c r="E92" s="5" t="str">
        <f>IFERROR(IF(SUMIFS(tblDaily[DeathsUnder24Hrs],tblDaily[EntryDate],DATE(2026,3,8),tblDaily[WardCode],"BF")=0,"",SUMIFS(tblDaily[DeathsUnder24Hrs],tblDaily[EntryDate],DATE(2026,3,8),tblDaily[WardCode],"BF")),"")</f>
        <v/>
      </c>
      <c r="F92" s="5" t="str">
        <f>IFERROR(IF(SUMIFS(tblDaily[TransfersIn],tblDaily[EntryDate],DATE(2026,3,8),tblDaily[WardCode],"BF")=0,"",SUMIFS(tblDaily[TransfersIn],tblDaily[EntryDate],DATE(2026,3,8),tblDaily[WardCode],"BF")),"")</f>
        <v/>
      </c>
      <c r="G92" s="5" t="str">
        <f>IFERROR(IF(SUMIFS(tblDaily[TransfersOut],tblDaily[EntryDate],DATE(2026,3,8),tblDaily[WardCode],"BF")=0,"",SUMIFS(tblDaily[TransfersOut],tblDaily[EntryDate],DATE(2026,3,8),tblDaily[WardCode],"BF")),"")</f>
        <v/>
      </c>
      <c r="H92" s="5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IFERROR(IF(SUMIFS(tblDaily[Admissions],tblDaily[EntryDate],DATE(2026,3,9),tblDaily[WardCode],"BF")=0,"",SUMIFS(tblDaily[Admissions],tblDaily[EntryDate],DATE(2026,3,9),tblDaily[WardCode],"BF")),"")</f>
        <v/>
      </c>
      <c r="C93" s="5" t="str">
        <f>IFERROR(IF(SUMIFS(tblDaily[Discharges],tblDaily[EntryDate],DATE(2026,3,9),tblDaily[WardCode],"BF")=0,"",SUMIFS(tblDaily[Discharges],tblDaily[EntryDate],DATE(2026,3,9),tblDaily[WardCode],"BF")),"")</f>
        <v/>
      </c>
      <c r="D93" s="5" t="str">
        <f>IFERROR(IF(SUMIFS(tblDaily[Deaths],tblDaily[EntryDate],DATE(2026,3,9),tblDaily[WardCode],"BF")=0,"",SUMIFS(tblDaily[Deaths],tblDaily[EntryDate],DATE(2026,3,9),tblDaily[WardCode],"BF")),"")</f>
        <v/>
      </c>
      <c r="E93" s="5" t="str">
        <f>IFERROR(IF(SUMIFS(tblDaily[DeathsUnder24Hrs],tblDaily[EntryDate],DATE(2026,3,9),tblDaily[WardCode],"BF")=0,"",SUMIFS(tblDaily[DeathsUnder24Hrs],tblDaily[EntryDate],DATE(2026,3,9),tblDaily[WardCode],"BF")),"")</f>
        <v/>
      </c>
      <c r="F93" s="5" t="str">
        <f>IFERROR(IF(SUMIFS(tblDaily[TransfersIn],tblDaily[EntryDate],DATE(2026,3,9),tblDaily[WardCode],"BF")=0,"",SUMIFS(tblDaily[TransfersIn],tblDaily[EntryDate],DATE(2026,3,9),tblDaily[WardCode],"BF")),"")</f>
        <v/>
      </c>
      <c r="G93" s="5" t="str">
        <f>IFERROR(IF(SUMIFS(tblDaily[TransfersOut],tblDaily[EntryDate],DATE(2026,3,9),tblDaily[WardCode],"BF")=0,"",SUMIFS(tblDaily[TransfersOut],tblDaily[EntryDate],DATE(2026,3,9),tblDaily[WardCode],"BF")),"")</f>
        <v/>
      </c>
      <c r="H93" s="5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IFERROR(IF(SUMIFS(tblDaily[Admissions],tblDaily[EntryDate],DATE(2026,3,10),tblDaily[WardCode],"BF")=0,"",SUMIFS(tblDaily[Admissions],tblDaily[EntryDate],DATE(2026,3,10),tblDaily[WardCode],"BF")),"")</f>
        <v/>
      </c>
      <c r="C94" s="5" t="str">
        <f>IFERROR(IF(SUMIFS(tblDaily[Discharges],tblDaily[EntryDate],DATE(2026,3,10),tblDaily[WardCode],"BF")=0,"",SUMIFS(tblDaily[Discharges],tblDaily[EntryDate],DATE(2026,3,10),tblDaily[WardCode],"BF")),"")</f>
        <v/>
      </c>
      <c r="D94" s="5" t="str">
        <f>IFERROR(IF(SUMIFS(tblDaily[Deaths],tblDaily[EntryDate],DATE(2026,3,10),tblDaily[WardCode],"BF")=0,"",SUMIFS(tblDaily[Deaths],tblDaily[EntryDate],DATE(2026,3,10),tblDaily[WardCode],"BF")),"")</f>
        <v/>
      </c>
      <c r="E94" s="5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5" t="str">
        <f>IFERROR(IF(SUMIFS(tblDaily[TransfersIn],tblDaily[EntryDate],DATE(2026,3,10),tblDaily[WardCode],"BF")=0,"",SUMIFS(tblDaily[TransfersIn],tblDaily[EntryDate],DATE(2026,3,10),tblDaily[WardCode],"BF")),"")</f>
        <v/>
      </c>
      <c r="G94" s="5" t="str">
        <f>IFERROR(IF(SUMIFS(tblDaily[TransfersOut],tblDaily[EntryDate],DATE(2026,3,10),tblDaily[WardCode],"BF")=0,"",SUMIFS(tblDaily[TransfersOut],tblDaily[EntryDate],DATE(2026,3,10),tblDaily[WardCode],"BF")),"")</f>
        <v/>
      </c>
      <c r="H94" s="5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IFERROR(IF(SUMIFS(tblDaily[Admissions],tblDaily[EntryDate],DATE(2026,3,11),tblDaily[WardCode],"BF")=0,"",SUMIFS(tblDaily[Admissions],tblDaily[EntryDate],DATE(2026,3,11),tblDaily[WardCode],"BF")),"")</f>
        <v/>
      </c>
      <c r="C95" s="5" t="str">
        <f>IFERROR(IF(SUMIFS(tblDaily[Discharges],tblDaily[EntryDate],DATE(2026,3,11),tblDaily[WardCode],"BF")=0,"",SUMIFS(tblDaily[Discharges],tblDaily[EntryDate],DATE(2026,3,11),tblDaily[WardCode],"BF")),"")</f>
        <v/>
      </c>
      <c r="D95" s="5" t="str">
        <f>IFERROR(IF(SUMIFS(tblDaily[Deaths],tblDaily[EntryDate],DATE(2026,3,11),tblDaily[WardCode],"BF")=0,"",SUMIFS(tblDaily[Deaths],tblDaily[EntryDate],DATE(2026,3,11),tblDaily[WardCode],"BF")),"")</f>
        <v/>
      </c>
      <c r="E95" s="5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5" t="str">
        <f>IFERROR(IF(SUMIFS(tblDaily[TransfersIn],tblDaily[EntryDate],DATE(2026,3,11),tblDaily[WardCode],"BF")=0,"",SUMIFS(tblDaily[TransfersIn],tblDaily[EntryDate],DATE(2026,3,11),tblDaily[WardCode],"BF")),"")</f>
        <v/>
      </c>
      <c r="G95" s="5" t="str">
        <f>IFERROR(IF(SUMIFS(tblDaily[TransfersOut],tblDaily[EntryDate],DATE(2026,3,11),tblDaily[WardCode],"BF")=0,"",SUMIFS(tblDaily[TransfersOut],tblDaily[EntryDate],DATE(2026,3,11),tblDaily[WardCode],"BF")),"")</f>
        <v/>
      </c>
      <c r="H95" s="5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IFERROR(IF(SUMIFS(tblDaily[Admissions],tblDaily[EntryDate],DATE(2026,3,12),tblDaily[WardCode],"BF")=0,"",SUMIFS(tblDaily[Admissions],tblDaily[EntryDate],DATE(2026,3,12),tblDaily[WardCode],"BF")),"")</f>
        <v/>
      </c>
      <c r="C96" s="5" t="str">
        <f>IFERROR(IF(SUMIFS(tblDaily[Discharges],tblDaily[EntryDate],DATE(2026,3,12),tblDaily[WardCode],"BF")=0,"",SUMIFS(tblDaily[Discharges],tblDaily[EntryDate],DATE(2026,3,12),tblDaily[WardCode],"BF")),"")</f>
        <v/>
      </c>
      <c r="D96" s="5" t="str">
        <f>IFERROR(IF(SUMIFS(tblDaily[Deaths],tblDaily[EntryDate],DATE(2026,3,12),tblDaily[WardCode],"BF")=0,"",SUMIFS(tblDaily[Deaths],tblDaily[EntryDate],DATE(2026,3,12),tblDaily[WardCode],"BF")),"")</f>
        <v/>
      </c>
      <c r="E96" s="5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5" t="str">
        <f>IFERROR(IF(SUMIFS(tblDaily[TransfersIn],tblDaily[EntryDate],DATE(2026,3,12),tblDaily[WardCode],"BF")=0,"",SUMIFS(tblDaily[TransfersIn],tblDaily[EntryDate],DATE(2026,3,12),tblDaily[WardCode],"BF")),"")</f>
        <v/>
      </c>
      <c r="G96" s="5" t="str">
        <f>IFERROR(IF(SUMIFS(tblDaily[TransfersOut],tblDaily[EntryDate],DATE(2026,3,12),tblDaily[WardCode],"BF")=0,"",SUMIFS(tblDaily[TransfersOut],tblDaily[EntryDate],DATE(2026,3,12),tblDaily[WardCode],"BF")),"")</f>
        <v/>
      </c>
      <c r="H96" s="5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IFERROR(IF(SUMIFS(tblDaily[Admissions],tblDaily[EntryDate],DATE(2026,3,13),tblDaily[WardCode],"BF")=0,"",SUMIFS(tblDaily[Admissions],tblDaily[EntryDate],DATE(2026,3,13),tblDaily[WardCode],"BF")),"")</f>
        <v/>
      </c>
      <c r="C97" s="5" t="str">
        <f>IFERROR(IF(SUMIFS(tblDaily[Discharges],tblDaily[EntryDate],DATE(2026,3,13),tblDaily[WardCode],"BF")=0,"",SUMIFS(tblDaily[Discharges],tblDaily[EntryDate],DATE(2026,3,13),tblDaily[WardCode],"BF")),"")</f>
        <v/>
      </c>
      <c r="D97" s="5" t="str">
        <f>IFERROR(IF(SUMIFS(tblDaily[Deaths],tblDaily[EntryDate],DATE(2026,3,13),tblDaily[WardCode],"BF")=0,"",SUMIFS(tblDaily[Deaths],tblDaily[EntryDate],DATE(2026,3,13),tblDaily[WardCode],"BF")),"")</f>
        <v/>
      </c>
      <c r="E97" s="5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5" t="str">
        <f>IFERROR(IF(SUMIFS(tblDaily[TransfersIn],tblDaily[EntryDate],DATE(2026,3,13),tblDaily[WardCode],"BF")=0,"",SUMIFS(tblDaily[TransfersIn],tblDaily[EntryDate],DATE(2026,3,13),tblDaily[WardCode],"BF")),"")</f>
        <v/>
      </c>
      <c r="G97" s="5" t="str">
        <f>IFERROR(IF(SUMIFS(tblDaily[TransfersOut],tblDaily[EntryDate],DATE(2026,3,13),tblDaily[WardCode],"BF")=0,"",SUMIFS(tblDaily[TransfersOut],tblDaily[EntryDate],DATE(2026,3,13),tblDaily[WardCode],"BF")),"")</f>
        <v/>
      </c>
      <c r="H97" s="5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IFERROR(IF(SUMIFS(tblDaily[Admissions],tblDaily[EntryDate],DATE(2026,3,14),tblDaily[WardCode],"BF")=0,"",SUMIFS(tblDaily[Admissions],tblDaily[EntryDate],DATE(2026,3,14),tblDaily[WardCode],"BF")),"")</f>
        <v/>
      </c>
      <c r="C98" s="5" t="str">
        <f>IFERROR(IF(SUMIFS(tblDaily[Discharges],tblDaily[EntryDate],DATE(2026,3,14),tblDaily[WardCode],"BF")=0,"",SUMIFS(tblDaily[Discharges],tblDaily[EntryDate],DATE(2026,3,14),tblDaily[WardCode],"BF")),"")</f>
        <v/>
      </c>
      <c r="D98" s="5" t="str">
        <f>IFERROR(IF(SUMIFS(tblDaily[Deaths],tblDaily[EntryDate],DATE(2026,3,14),tblDaily[WardCode],"BF")=0,"",SUMIFS(tblDaily[Deaths],tblDaily[EntryDate],DATE(2026,3,14),tblDaily[WardCode],"BF")),"")</f>
        <v/>
      </c>
      <c r="E98" s="5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5" t="str">
        <f>IFERROR(IF(SUMIFS(tblDaily[TransfersIn],tblDaily[EntryDate],DATE(2026,3,14),tblDaily[WardCode],"BF")=0,"",SUMIFS(tblDaily[TransfersIn],tblDaily[EntryDate],DATE(2026,3,14),tblDaily[WardCode],"BF")),"")</f>
        <v/>
      </c>
      <c r="G98" s="5" t="str">
        <f>IFERROR(IF(SUMIFS(tblDaily[TransfersOut],tblDaily[EntryDate],DATE(2026,3,14),tblDaily[WardCode],"BF")=0,"",SUMIFS(tblDaily[TransfersOut],tblDaily[EntryDate],DATE(2026,3,14),tblDaily[WardCode],"BF")),"")</f>
        <v/>
      </c>
      <c r="H98" s="5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IFERROR(IF(SUMIFS(tblDaily[Admissions],tblDaily[EntryDate],DATE(2026,3,15),tblDaily[WardCode],"BF")=0,"",SUMIFS(tblDaily[Admissions],tblDaily[EntryDate],DATE(2026,3,15),tblDaily[WardCode],"BF")),"")</f>
        <v/>
      </c>
      <c r="C99" s="5" t="str">
        <f>IFERROR(IF(SUMIFS(tblDaily[Discharges],tblDaily[EntryDate],DATE(2026,3,15),tblDaily[WardCode],"BF")=0,"",SUMIFS(tblDaily[Discharges],tblDaily[EntryDate],DATE(2026,3,15),tblDaily[WardCode],"BF")),"")</f>
        <v/>
      </c>
      <c r="D99" s="5" t="str">
        <f>IFERROR(IF(SUMIFS(tblDaily[Deaths],tblDaily[EntryDate],DATE(2026,3,15),tblDaily[WardCode],"BF")=0,"",SUMIFS(tblDaily[Deaths],tblDaily[EntryDate],DATE(2026,3,15),tblDaily[WardCode],"BF")),"")</f>
        <v/>
      </c>
      <c r="E99" s="5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5" t="str">
        <f>IFERROR(IF(SUMIFS(tblDaily[TransfersIn],tblDaily[EntryDate],DATE(2026,3,15),tblDaily[WardCode],"BF")=0,"",SUMIFS(tblDaily[TransfersIn],tblDaily[EntryDate],DATE(2026,3,15),tblDaily[WardCode],"BF")),"")</f>
        <v/>
      </c>
      <c r="G99" s="5" t="str">
        <f>IFERROR(IF(SUMIFS(tblDaily[TransfersOut],tblDaily[EntryDate],DATE(2026,3,15),tblDaily[WardCode],"BF")=0,"",SUMIFS(tblDaily[TransfersOut],tblDaily[EntryDate],DATE(2026,3,15),tblDaily[WardCode],"BF")),"")</f>
        <v/>
      </c>
      <c r="H99" s="5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IFERROR(IF(SUMIFS(tblDaily[Admissions],tblDaily[EntryDate],DATE(2026,3,16),tblDaily[WardCode],"BF")=0,"",SUMIFS(tblDaily[Admissions],tblDaily[EntryDate],DATE(2026,3,16),tblDaily[WardCode],"BF")),"")</f>
        <v/>
      </c>
      <c r="C100" s="5" t="str">
        <f>IFERROR(IF(SUMIFS(tblDaily[Discharges],tblDaily[EntryDate],DATE(2026,3,16),tblDaily[WardCode],"BF")=0,"",SUMIFS(tblDaily[Discharges],tblDaily[EntryDate],DATE(2026,3,16),tblDaily[WardCode],"BF")),"")</f>
        <v/>
      </c>
      <c r="D100" s="5" t="str">
        <f>IFERROR(IF(SUMIFS(tblDaily[Deaths],tblDaily[EntryDate],DATE(2026,3,16),tblDaily[WardCode],"BF")=0,"",SUMIFS(tblDaily[Deaths],tblDaily[EntryDate],DATE(2026,3,16),tblDaily[WardCode],"BF")),"")</f>
        <v/>
      </c>
      <c r="E100" s="5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5" t="str">
        <f>IFERROR(IF(SUMIFS(tblDaily[TransfersIn],tblDaily[EntryDate],DATE(2026,3,16),tblDaily[WardCode],"BF")=0,"",SUMIFS(tblDaily[TransfersIn],tblDaily[EntryDate],DATE(2026,3,16),tblDaily[WardCode],"BF")),"")</f>
        <v/>
      </c>
      <c r="G100" s="5" t="str">
        <f>IFERROR(IF(SUMIFS(tblDaily[TransfersOut],tblDaily[EntryDate],DATE(2026,3,16),tblDaily[WardCode],"BF")=0,"",SUMIFS(tblDaily[TransfersOut],tblDaily[EntryDate],DATE(2026,3,16),tblDaily[WardCode],"BF")),"")</f>
        <v/>
      </c>
      <c r="H100" s="5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IFERROR(IF(SUMIFS(tblDaily[Admissions],tblDaily[EntryDate],DATE(2026,3,17),tblDaily[WardCode],"BF")=0,"",SUMIFS(tblDaily[Admissions],tblDaily[EntryDate],DATE(2026,3,17),tblDaily[WardCode],"BF")),"")</f>
        <v/>
      </c>
      <c r="C101" s="5" t="str">
        <f>IFERROR(IF(SUMIFS(tblDaily[Discharges],tblDaily[EntryDate],DATE(2026,3,17),tblDaily[WardCode],"BF")=0,"",SUMIFS(tblDaily[Discharges],tblDaily[EntryDate],DATE(2026,3,17),tblDaily[WardCode],"BF")),"")</f>
        <v/>
      </c>
      <c r="D101" s="5" t="str">
        <f>IFERROR(IF(SUMIFS(tblDaily[Deaths],tblDaily[EntryDate],DATE(2026,3,17),tblDaily[WardCode],"BF")=0,"",SUMIFS(tblDaily[Deaths],tblDaily[EntryDate],DATE(2026,3,17),tblDaily[WardCode],"BF")),"")</f>
        <v/>
      </c>
      <c r="E101" s="5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5" t="str">
        <f>IFERROR(IF(SUMIFS(tblDaily[TransfersIn],tblDaily[EntryDate],DATE(2026,3,17),tblDaily[WardCode],"BF")=0,"",SUMIFS(tblDaily[TransfersIn],tblDaily[EntryDate],DATE(2026,3,17),tblDaily[WardCode],"BF")),"")</f>
        <v/>
      </c>
      <c r="G101" s="5" t="str">
        <f>IFERROR(IF(SUMIFS(tblDaily[TransfersOut],tblDaily[EntryDate],DATE(2026,3,17),tblDaily[WardCode],"BF")=0,"",SUMIFS(tblDaily[TransfersOut],tblDaily[EntryDate],DATE(2026,3,17),tblDaily[WardCode],"BF")),"")</f>
        <v/>
      </c>
      <c r="H101" s="5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IFERROR(IF(SUMIFS(tblDaily[Admissions],tblDaily[EntryDate],DATE(2026,3,18),tblDaily[WardCode],"BF")=0,"",SUMIFS(tblDaily[Admissions],tblDaily[EntryDate],DATE(2026,3,18),tblDaily[WardCode],"BF")),"")</f>
        <v/>
      </c>
      <c r="C102" s="5" t="str">
        <f>IFERROR(IF(SUMIFS(tblDaily[Discharges],tblDaily[EntryDate],DATE(2026,3,18),tblDaily[WardCode],"BF")=0,"",SUMIFS(tblDaily[Discharges],tblDaily[EntryDate],DATE(2026,3,18),tblDaily[WardCode],"BF")),"")</f>
        <v/>
      </c>
      <c r="D102" s="5" t="str">
        <f>IFERROR(IF(SUMIFS(tblDaily[Deaths],tblDaily[EntryDate],DATE(2026,3,18),tblDaily[WardCode],"BF")=0,"",SUMIFS(tblDaily[Deaths],tblDaily[EntryDate],DATE(2026,3,18),tblDaily[WardCode],"BF")),"")</f>
        <v/>
      </c>
      <c r="E102" s="5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5" t="str">
        <f>IFERROR(IF(SUMIFS(tblDaily[TransfersIn],tblDaily[EntryDate],DATE(2026,3,18),tblDaily[WardCode],"BF")=0,"",SUMIFS(tblDaily[TransfersIn],tblDaily[EntryDate],DATE(2026,3,18),tblDaily[WardCode],"BF")),"")</f>
        <v/>
      </c>
      <c r="G102" s="5" t="str">
        <f>IFERROR(IF(SUMIFS(tblDaily[TransfersOut],tblDaily[EntryDate],DATE(2026,3,18),tblDaily[WardCode],"BF")=0,"",SUMIFS(tblDaily[TransfersOut],tblDaily[EntryDate],DATE(2026,3,18),tblDaily[WardCode],"BF")),"")</f>
        <v/>
      </c>
      <c r="H102" s="5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IFERROR(IF(SUMIFS(tblDaily[Admissions],tblDaily[EntryDate],DATE(2026,3,19),tblDaily[WardCode],"BF")=0,"",SUMIFS(tblDaily[Admissions],tblDaily[EntryDate],DATE(2026,3,19),tblDaily[WardCode],"BF")),"")</f>
        <v/>
      </c>
      <c r="C103" s="5" t="str">
        <f>IFERROR(IF(SUMIFS(tblDaily[Discharges],tblDaily[EntryDate],DATE(2026,3,19),tblDaily[WardCode],"BF")=0,"",SUMIFS(tblDaily[Discharges],tblDaily[EntryDate],DATE(2026,3,19),tblDaily[WardCode],"BF")),"")</f>
        <v/>
      </c>
      <c r="D103" s="5" t="str">
        <f>IFERROR(IF(SUMIFS(tblDaily[Deaths],tblDaily[EntryDate],DATE(2026,3,19),tblDaily[WardCode],"BF")=0,"",SUMIFS(tblDaily[Deaths],tblDaily[EntryDate],DATE(2026,3,19),tblDaily[WardCode],"BF")),"")</f>
        <v/>
      </c>
      <c r="E103" s="5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5" t="str">
        <f>IFERROR(IF(SUMIFS(tblDaily[TransfersIn],tblDaily[EntryDate],DATE(2026,3,19),tblDaily[WardCode],"BF")=0,"",SUMIFS(tblDaily[TransfersIn],tblDaily[EntryDate],DATE(2026,3,19),tblDaily[WardCode],"BF")),"")</f>
        <v/>
      </c>
      <c r="G103" s="5" t="str">
        <f>IFERROR(IF(SUMIFS(tblDaily[TransfersOut],tblDaily[EntryDate],DATE(2026,3,19),tblDaily[WardCode],"BF")=0,"",SUMIFS(tblDaily[TransfersOut],tblDaily[EntryDate],DATE(2026,3,19),tblDaily[WardCode],"BF")),"")</f>
        <v/>
      </c>
      <c r="H103" s="5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IFERROR(IF(SUMIFS(tblDaily[Admissions],tblDaily[EntryDate],DATE(2026,3,20),tblDaily[WardCode],"BF")=0,"",SUMIFS(tblDaily[Admissions],tblDaily[EntryDate],DATE(2026,3,20),tblDaily[WardCode],"BF")),"")</f>
        <v/>
      </c>
      <c r="C104" s="5" t="str">
        <f>IFERROR(IF(SUMIFS(tblDaily[Discharges],tblDaily[EntryDate],DATE(2026,3,20),tblDaily[WardCode],"BF")=0,"",SUMIFS(tblDaily[Discharges],tblDaily[EntryDate],DATE(2026,3,20),tblDaily[WardCode],"BF")),"")</f>
        <v/>
      </c>
      <c r="D104" s="5" t="str">
        <f>IFERROR(IF(SUMIFS(tblDaily[Deaths],tblDaily[EntryDate],DATE(2026,3,20),tblDaily[WardCode],"BF")=0,"",SUMIFS(tblDaily[Deaths],tblDaily[EntryDate],DATE(2026,3,20),tblDaily[WardCode],"BF")),"")</f>
        <v/>
      </c>
      <c r="E104" s="5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5" t="str">
        <f>IFERROR(IF(SUMIFS(tblDaily[TransfersIn],tblDaily[EntryDate],DATE(2026,3,20),tblDaily[WardCode],"BF")=0,"",SUMIFS(tblDaily[TransfersIn],tblDaily[EntryDate],DATE(2026,3,20),tblDaily[WardCode],"BF")),"")</f>
        <v/>
      </c>
      <c r="G104" s="5" t="str">
        <f>IFERROR(IF(SUMIFS(tblDaily[TransfersOut],tblDaily[EntryDate],DATE(2026,3,20),tblDaily[WardCode],"BF")=0,"",SUMIFS(tblDaily[TransfersOut],tblDaily[EntryDate],DATE(2026,3,20),tblDaily[WardCode],"BF")),"")</f>
        <v/>
      </c>
      <c r="H104" s="5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IFERROR(IF(SUMIFS(tblDaily[Admissions],tblDaily[EntryDate],DATE(2026,3,21),tblDaily[WardCode],"BF")=0,"",SUMIFS(tblDaily[Admissions],tblDaily[EntryDate],DATE(2026,3,21),tblDaily[WardCode],"BF")),"")</f>
        <v/>
      </c>
      <c r="C105" s="5" t="str">
        <f>IFERROR(IF(SUMIFS(tblDaily[Discharges],tblDaily[EntryDate],DATE(2026,3,21),tblDaily[WardCode],"BF")=0,"",SUMIFS(tblDaily[Discharges],tblDaily[EntryDate],DATE(2026,3,21),tblDaily[WardCode],"BF")),"")</f>
        <v/>
      </c>
      <c r="D105" s="5" t="str">
        <f>IFERROR(IF(SUMIFS(tblDaily[Deaths],tblDaily[EntryDate],DATE(2026,3,21),tblDaily[WardCode],"BF")=0,"",SUMIFS(tblDaily[Deaths],tblDaily[EntryDate],DATE(2026,3,21),tblDaily[WardCode],"BF")),"")</f>
        <v/>
      </c>
      <c r="E105" s="5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5" t="str">
        <f>IFERROR(IF(SUMIFS(tblDaily[TransfersIn],tblDaily[EntryDate],DATE(2026,3,21),tblDaily[WardCode],"BF")=0,"",SUMIFS(tblDaily[TransfersIn],tblDaily[EntryDate],DATE(2026,3,21),tblDaily[WardCode],"BF")),"")</f>
        <v/>
      </c>
      <c r="G105" s="5" t="str">
        <f>IFERROR(IF(SUMIFS(tblDaily[TransfersOut],tblDaily[EntryDate],DATE(2026,3,21),tblDaily[WardCode],"BF")=0,"",SUMIFS(tblDaily[TransfersOut],tblDaily[EntryDate],DATE(2026,3,21),tblDaily[WardCode],"BF")),"")</f>
        <v/>
      </c>
      <c r="H105" s="5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IFERROR(IF(SUMIFS(tblDaily[Admissions],tblDaily[EntryDate],DATE(2026,3,22),tblDaily[WardCode],"BF")=0,"",SUMIFS(tblDaily[Admissions],tblDaily[EntryDate],DATE(2026,3,22),tblDaily[WardCode],"BF")),"")</f>
        <v/>
      </c>
      <c r="C106" s="5" t="str">
        <f>IFERROR(IF(SUMIFS(tblDaily[Discharges],tblDaily[EntryDate],DATE(2026,3,22),tblDaily[WardCode],"BF")=0,"",SUMIFS(tblDaily[Discharges],tblDaily[EntryDate],DATE(2026,3,22),tblDaily[WardCode],"BF")),"")</f>
        <v/>
      </c>
      <c r="D106" s="5" t="str">
        <f>IFERROR(IF(SUMIFS(tblDaily[Deaths],tblDaily[EntryDate],DATE(2026,3,22),tblDaily[WardCode],"BF")=0,"",SUMIFS(tblDaily[Deaths],tblDaily[EntryDate],DATE(2026,3,22),tblDaily[WardCode],"BF")),"")</f>
        <v/>
      </c>
      <c r="E106" s="5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5" t="str">
        <f>IFERROR(IF(SUMIFS(tblDaily[TransfersIn],tblDaily[EntryDate],DATE(2026,3,22),tblDaily[WardCode],"BF")=0,"",SUMIFS(tblDaily[TransfersIn],tblDaily[EntryDate],DATE(2026,3,22),tblDaily[WardCode],"BF")),"")</f>
        <v/>
      </c>
      <c r="G106" s="5" t="str">
        <f>IFERROR(IF(SUMIFS(tblDaily[TransfersOut],tblDaily[EntryDate],DATE(2026,3,22),tblDaily[WardCode],"BF")=0,"",SUMIFS(tblDaily[TransfersOut],tblDaily[EntryDate],DATE(2026,3,22),tblDaily[WardCode],"BF")),"")</f>
        <v/>
      </c>
      <c r="H106" s="5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IFERROR(IF(SUMIFS(tblDaily[Admissions],tblDaily[EntryDate],DATE(2026,3,23),tblDaily[WardCode],"BF")=0,"",SUMIFS(tblDaily[Admissions],tblDaily[EntryDate],DATE(2026,3,23),tblDaily[WardCode],"BF")),"")</f>
        <v/>
      </c>
      <c r="C107" s="5" t="str">
        <f>IFERROR(IF(SUMIFS(tblDaily[Discharges],tblDaily[EntryDate],DATE(2026,3,23),tblDaily[WardCode],"BF")=0,"",SUMIFS(tblDaily[Discharges],tblDaily[EntryDate],DATE(2026,3,23),tblDaily[WardCode],"BF")),"")</f>
        <v/>
      </c>
      <c r="D107" s="5" t="str">
        <f>IFERROR(IF(SUMIFS(tblDaily[Deaths],tblDaily[EntryDate],DATE(2026,3,23),tblDaily[WardCode],"BF")=0,"",SUMIFS(tblDaily[Deaths],tblDaily[EntryDate],DATE(2026,3,23),tblDaily[WardCode],"BF")),"")</f>
        <v/>
      </c>
      <c r="E107" s="5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5" t="str">
        <f>IFERROR(IF(SUMIFS(tblDaily[TransfersIn],tblDaily[EntryDate],DATE(2026,3,23),tblDaily[WardCode],"BF")=0,"",SUMIFS(tblDaily[TransfersIn],tblDaily[EntryDate],DATE(2026,3,23),tblDaily[WardCode],"BF")),"")</f>
        <v/>
      </c>
      <c r="G107" s="5" t="str">
        <f>IFERROR(IF(SUMIFS(tblDaily[TransfersOut],tblDaily[EntryDate],DATE(2026,3,23),tblDaily[WardCode],"BF")=0,"",SUMIFS(tblDaily[TransfersOut],tblDaily[EntryDate],DATE(2026,3,23),tblDaily[WardCode],"BF")),"")</f>
        <v/>
      </c>
      <c r="H107" s="5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IFERROR(IF(SUMIFS(tblDaily[Admissions],tblDaily[EntryDate],DATE(2026,3,24),tblDaily[WardCode],"BF")=0,"",SUMIFS(tblDaily[Admissions],tblDaily[EntryDate],DATE(2026,3,24),tblDaily[WardCode],"BF")),"")</f>
        <v/>
      </c>
      <c r="C108" s="5" t="str">
        <f>IFERROR(IF(SUMIFS(tblDaily[Discharges],tblDaily[EntryDate],DATE(2026,3,24),tblDaily[WardCode],"BF")=0,"",SUMIFS(tblDaily[Discharges],tblDaily[EntryDate],DATE(2026,3,24),tblDaily[WardCode],"BF")),"")</f>
        <v/>
      </c>
      <c r="D108" s="5" t="str">
        <f>IFERROR(IF(SUMIFS(tblDaily[Deaths],tblDaily[EntryDate],DATE(2026,3,24),tblDaily[WardCode],"BF")=0,"",SUMIFS(tblDaily[Deaths],tblDaily[EntryDate],DATE(2026,3,24),tblDaily[WardCode],"BF")),"")</f>
        <v/>
      </c>
      <c r="E108" s="5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5" t="str">
        <f>IFERROR(IF(SUMIFS(tblDaily[TransfersIn],tblDaily[EntryDate],DATE(2026,3,24),tblDaily[WardCode],"BF")=0,"",SUMIFS(tblDaily[TransfersIn],tblDaily[EntryDate],DATE(2026,3,24),tblDaily[WardCode],"BF")),"")</f>
        <v/>
      </c>
      <c r="G108" s="5" t="str">
        <f>IFERROR(IF(SUMIFS(tblDaily[TransfersOut],tblDaily[EntryDate],DATE(2026,3,24),tblDaily[WardCode],"BF")=0,"",SUMIFS(tblDaily[TransfersOut],tblDaily[EntryDate],DATE(2026,3,24),tblDaily[WardCode],"BF")),"")</f>
        <v/>
      </c>
      <c r="H108" s="5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IFERROR(IF(SUMIFS(tblDaily[Admissions],tblDaily[EntryDate],DATE(2026,3,25),tblDaily[WardCode],"BF")=0,"",SUMIFS(tblDaily[Admissions],tblDaily[EntryDate],DATE(2026,3,25),tblDaily[WardCode],"BF")),"")</f>
        <v/>
      </c>
      <c r="C109" s="5" t="str">
        <f>IFERROR(IF(SUMIFS(tblDaily[Discharges],tblDaily[EntryDate],DATE(2026,3,25),tblDaily[WardCode],"BF")=0,"",SUMIFS(tblDaily[Discharges],tblDaily[EntryDate],DATE(2026,3,25),tblDaily[WardCode],"BF")),"")</f>
        <v/>
      </c>
      <c r="D109" s="5" t="str">
        <f>IFERROR(IF(SUMIFS(tblDaily[Deaths],tblDaily[EntryDate],DATE(2026,3,25),tblDaily[WardCode],"BF")=0,"",SUMIFS(tblDaily[Deaths],tblDaily[EntryDate],DATE(2026,3,25),tblDaily[WardCode],"BF")),"")</f>
        <v/>
      </c>
      <c r="E109" s="5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5" t="str">
        <f>IFERROR(IF(SUMIFS(tblDaily[TransfersIn],tblDaily[EntryDate],DATE(2026,3,25),tblDaily[WardCode],"BF")=0,"",SUMIFS(tblDaily[TransfersIn],tblDaily[EntryDate],DATE(2026,3,25),tblDaily[WardCode],"BF")),"")</f>
        <v/>
      </c>
      <c r="G109" s="5" t="str">
        <f>IFERROR(IF(SUMIFS(tblDaily[TransfersOut],tblDaily[EntryDate],DATE(2026,3,25),tblDaily[WardCode],"BF")=0,"",SUMIFS(tblDaily[TransfersOut],tblDaily[EntryDate],DATE(2026,3,25),tblDaily[WardCode],"BF")),"")</f>
        <v/>
      </c>
      <c r="H109" s="5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IFERROR(IF(SUMIFS(tblDaily[Admissions],tblDaily[EntryDate],DATE(2026,3,26),tblDaily[WardCode],"BF")=0,"",SUMIFS(tblDaily[Admissions],tblDaily[EntryDate],DATE(2026,3,26),tblDaily[WardCode],"BF")),"")</f>
        <v/>
      </c>
      <c r="C110" s="5" t="str">
        <f>IFERROR(IF(SUMIFS(tblDaily[Discharges],tblDaily[EntryDate],DATE(2026,3,26),tblDaily[WardCode],"BF")=0,"",SUMIFS(tblDaily[Discharges],tblDaily[EntryDate],DATE(2026,3,26),tblDaily[WardCode],"BF")),"")</f>
        <v/>
      </c>
      <c r="D110" s="5" t="str">
        <f>IFERROR(IF(SUMIFS(tblDaily[Deaths],tblDaily[EntryDate],DATE(2026,3,26),tblDaily[WardCode],"BF")=0,"",SUMIFS(tblDaily[Deaths],tblDaily[EntryDate],DATE(2026,3,26),tblDaily[WardCode],"BF")),"")</f>
        <v/>
      </c>
      <c r="E110" s="5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5" t="str">
        <f>IFERROR(IF(SUMIFS(tblDaily[TransfersIn],tblDaily[EntryDate],DATE(2026,3,26),tblDaily[WardCode],"BF")=0,"",SUMIFS(tblDaily[TransfersIn],tblDaily[EntryDate],DATE(2026,3,26),tblDaily[WardCode],"BF")),"")</f>
        <v/>
      </c>
      <c r="G110" s="5" t="str">
        <f>IFERROR(IF(SUMIFS(tblDaily[TransfersOut],tblDaily[EntryDate],DATE(2026,3,26),tblDaily[WardCode],"BF")=0,"",SUMIFS(tblDaily[TransfersOut],tblDaily[EntryDate],DATE(2026,3,26),tblDaily[WardCode],"BF")),"")</f>
        <v/>
      </c>
      <c r="H110" s="5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IFERROR(IF(SUMIFS(tblDaily[Admissions],tblDaily[EntryDate],DATE(2026,3,27),tblDaily[WardCode],"BF")=0,"",SUMIFS(tblDaily[Admissions],tblDaily[EntryDate],DATE(2026,3,27),tblDaily[WardCode],"BF")),"")</f>
        <v/>
      </c>
      <c r="C111" s="5" t="str">
        <f>IFERROR(IF(SUMIFS(tblDaily[Discharges],tblDaily[EntryDate],DATE(2026,3,27),tblDaily[WardCode],"BF")=0,"",SUMIFS(tblDaily[Discharges],tblDaily[EntryDate],DATE(2026,3,27),tblDaily[WardCode],"BF")),"")</f>
        <v/>
      </c>
      <c r="D111" s="5" t="str">
        <f>IFERROR(IF(SUMIFS(tblDaily[Deaths],tblDaily[EntryDate],DATE(2026,3,27),tblDaily[WardCode],"BF")=0,"",SUMIFS(tblDaily[Deaths],tblDaily[EntryDate],DATE(2026,3,27),tblDaily[WardCode],"BF")),"")</f>
        <v/>
      </c>
      <c r="E111" s="5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5" t="str">
        <f>IFERROR(IF(SUMIFS(tblDaily[TransfersIn],tblDaily[EntryDate],DATE(2026,3,27),tblDaily[WardCode],"BF")=0,"",SUMIFS(tblDaily[TransfersIn],tblDaily[EntryDate],DATE(2026,3,27),tblDaily[WardCode],"BF")),"")</f>
        <v/>
      </c>
      <c r="G111" s="5" t="str">
        <f>IFERROR(IF(SUMIFS(tblDaily[TransfersOut],tblDaily[EntryDate],DATE(2026,3,27),tblDaily[WardCode],"BF")=0,"",SUMIFS(tblDaily[TransfersOut],tblDaily[EntryDate],DATE(2026,3,27),tblDaily[WardCode],"BF")),"")</f>
        <v/>
      </c>
      <c r="H111" s="5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IFERROR(IF(SUMIFS(tblDaily[Admissions],tblDaily[EntryDate],DATE(2026,3,28),tblDaily[WardCode],"BF")=0,"",SUMIFS(tblDaily[Admissions],tblDaily[EntryDate],DATE(2026,3,28),tblDaily[WardCode],"BF")),"")</f>
        <v/>
      </c>
      <c r="C112" s="5" t="str">
        <f>IFERROR(IF(SUMIFS(tblDaily[Discharges],tblDaily[EntryDate],DATE(2026,3,28),tblDaily[WardCode],"BF")=0,"",SUMIFS(tblDaily[Discharges],tblDaily[EntryDate],DATE(2026,3,28),tblDaily[WardCode],"BF")),"")</f>
        <v/>
      </c>
      <c r="D112" s="5" t="str">
        <f>IFERROR(IF(SUMIFS(tblDaily[Deaths],tblDaily[EntryDate],DATE(2026,3,28),tblDaily[WardCode],"BF")=0,"",SUMIFS(tblDaily[Deaths],tblDaily[EntryDate],DATE(2026,3,28),tblDaily[WardCode],"BF")),"")</f>
        <v/>
      </c>
      <c r="E112" s="5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5" t="str">
        <f>IFERROR(IF(SUMIFS(tblDaily[TransfersIn],tblDaily[EntryDate],DATE(2026,3,28),tblDaily[WardCode],"BF")=0,"",SUMIFS(tblDaily[TransfersIn],tblDaily[EntryDate],DATE(2026,3,28),tblDaily[WardCode],"BF")),"")</f>
        <v/>
      </c>
      <c r="G112" s="5" t="str">
        <f>IFERROR(IF(SUMIFS(tblDaily[TransfersOut],tblDaily[EntryDate],DATE(2026,3,28),tblDaily[WardCode],"BF")=0,"",SUMIFS(tblDaily[TransfersOut],tblDaily[EntryDate],DATE(2026,3,28),tblDaily[WardCode],"BF")),"")</f>
        <v/>
      </c>
      <c r="H112" s="5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IFERROR(IF(SUMIFS(tblDaily[Admissions],tblDaily[EntryDate],DATE(2026,3,29),tblDaily[WardCode],"BF")=0,"",SUMIFS(tblDaily[Admissions],tblDaily[EntryDate],DATE(2026,3,29),tblDaily[WardCode],"BF")),"")</f>
        <v/>
      </c>
      <c r="C113" s="5" t="str">
        <f>IFERROR(IF(SUMIFS(tblDaily[Discharges],tblDaily[EntryDate],DATE(2026,3,29),tblDaily[WardCode],"BF")=0,"",SUMIFS(tblDaily[Discharges],tblDaily[EntryDate],DATE(2026,3,29),tblDaily[WardCode],"BF")),"")</f>
        <v/>
      </c>
      <c r="D113" s="5" t="str">
        <f>IFERROR(IF(SUMIFS(tblDaily[Deaths],tblDaily[EntryDate],DATE(2026,3,29),tblDaily[WardCode],"BF")=0,"",SUMIFS(tblDaily[Deaths],tblDaily[EntryDate],DATE(2026,3,29),tblDaily[WardCode],"BF")),"")</f>
        <v/>
      </c>
      <c r="E113" s="5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5" t="str">
        <f>IFERROR(IF(SUMIFS(tblDaily[TransfersIn],tblDaily[EntryDate],DATE(2026,3,29),tblDaily[WardCode],"BF")=0,"",SUMIFS(tblDaily[TransfersIn],tblDaily[EntryDate],DATE(2026,3,29),tblDaily[WardCode],"BF")),"")</f>
        <v/>
      </c>
      <c r="G113" s="5" t="str">
        <f>IFERROR(IF(SUMIFS(tblDaily[TransfersOut],tblDaily[EntryDate],DATE(2026,3,29),tblDaily[WardCode],"BF")=0,"",SUMIFS(tblDaily[TransfersOut],tblDaily[EntryDate],DATE(2026,3,29),tblDaily[WardCode],"BF")),"")</f>
        <v/>
      </c>
      <c r="H113" s="5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IFERROR(IF(SUMIFS(tblDaily[Admissions],tblDaily[EntryDate],DATE(2026,3,30),tblDaily[WardCode],"BF")=0,"",SUMIFS(tblDaily[Admissions],tblDaily[EntryDate],DATE(2026,3,30),tblDaily[WardCode],"BF")),"")</f>
        <v/>
      </c>
      <c r="C114" s="5" t="str">
        <f>IFERROR(IF(SUMIFS(tblDaily[Discharges],tblDaily[EntryDate],DATE(2026,3,30),tblDaily[WardCode],"BF")=0,"",SUMIFS(tblDaily[Discharges],tblDaily[EntryDate],DATE(2026,3,30),tblDaily[WardCode],"BF")),"")</f>
        <v/>
      </c>
      <c r="D114" s="5" t="str">
        <f>IFERROR(IF(SUMIFS(tblDaily[Deaths],tblDaily[EntryDate],DATE(2026,3,30),tblDaily[WardCode],"BF")=0,"",SUMIFS(tblDaily[Deaths],tblDaily[EntryDate],DATE(2026,3,30),tblDaily[WardCode],"BF")),"")</f>
        <v/>
      </c>
      <c r="E114" s="5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5" t="str">
        <f>IFERROR(IF(SUMIFS(tblDaily[TransfersIn],tblDaily[EntryDate],DATE(2026,3,30),tblDaily[WardCode],"BF")=0,"",SUMIFS(tblDaily[TransfersIn],tblDaily[EntryDate],DATE(2026,3,30),tblDaily[WardCode],"BF")),"")</f>
        <v/>
      </c>
      <c r="G114" s="5" t="str">
        <f>IFERROR(IF(SUMIFS(tblDaily[TransfersOut],tblDaily[EntryDate],DATE(2026,3,30),tblDaily[WardCode],"BF")=0,"",SUMIFS(tblDaily[TransfersOut],tblDaily[EntryDate],DATE(2026,3,30),tblDaily[WardCode],"BF")),"")</f>
        <v/>
      </c>
      <c r="H114" s="5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IFERROR(IF(SUMIFS(tblDaily[Admissions],tblDaily[EntryDate],DATE(2026,3,31),tblDaily[WardCode],"BF")=0,"",SUMIFS(tblDaily[Admissions],tblDaily[EntryDate],DATE(2026,3,31),tblDaily[WardCode],"BF")),"")</f>
        <v/>
      </c>
      <c r="C115" s="5" t="str">
        <f>IFERROR(IF(SUMIFS(tblDaily[Discharges],tblDaily[EntryDate],DATE(2026,3,31),tblDaily[WardCode],"BF")=0,"",SUMIFS(tblDaily[Discharges],tblDaily[EntryDate],DATE(2026,3,31),tblDaily[WardCode],"BF")),"")</f>
        <v/>
      </c>
      <c r="D115" s="5" t="str">
        <f>IFERROR(IF(SUMIFS(tblDaily[Deaths],tblDaily[EntryDate],DATE(2026,3,31),tblDaily[WardCode],"BF")=0,"",SUMIFS(tblDaily[Deaths],tblDaily[EntryDate],DATE(2026,3,31),tblDaily[WardCode],"BF")),"")</f>
        <v/>
      </c>
      <c r="E115" s="5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5" t="str">
        <f>IFERROR(IF(SUMIFS(tblDaily[TransfersIn],tblDaily[EntryDate],DATE(2026,3,31),tblDaily[WardCode],"BF")=0,"",SUMIFS(tblDaily[TransfersIn],tblDaily[EntryDate],DATE(2026,3,31),tblDaily[WardCode],"BF")),"")</f>
        <v/>
      </c>
      <c r="G115" s="5" t="str">
        <f>IFERROR(IF(SUMIFS(tblDaily[TransfersOut],tblDaily[EntryDate],DATE(2026,3,31),tblDaily[WardCode],"BF")=0,"",SUMIFS(tblDaily[TransfersOut],tblDaily[EntryDate],DATE(2026,3,31),tblDaily[WardCode],"BF")),"")</f>
        <v/>
      </c>
      <c r="H115" s="5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95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98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89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IFERROR(IF(SUMIFS(tblDaily[Admissions],tblDaily[EntryDate],DATE(2026,4,1),tblDaily[WardCode],"BF")=0,"",SUMIFS(tblDaily[Admissions],tblDaily[EntryDate],DATE(2026,4,1),tblDaily[WardCode],"BF")),"")</f>
        <v/>
      </c>
      <c r="C124" s="5" t="str">
        <f>IFERROR(IF(SUMIFS(tblDaily[Discharges],tblDaily[EntryDate],DATE(2026,4,1),tblDaily[WardCode],"BF")=0,"",SUMIFS(tblDaily[Discharges],tblDaily[EntryDate],DATE(2026,4,1),tblDaily[WardCode],"BF")),"")</f>
        <v/>
      </c>
      <c r="D124" s="5" t="str">
        <f>IFERROR(IF(SUMIFS(tblDaily[Deaths],tblDaily[EntryDate],DATE(2026,4,1),tblDaily[WardCode],"BF")=0,"",SUMIFS(tblDaily[Deaths],tblDaily[EntryDate],DATE(2026,4,1),tblDaily[WardCode],"BF")),"")</f>
        <v/>
      </c>
      <c r="E124" s="5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5" t="str">
        <f>IFERROR(IF(SUMIFS(tblDaily[TransfersIn],tblDaily[EntryDate],DATE(2026,4,1),tblDaily[WardCode],"BF")=0,"",SUMIFS(tblDaily[TransfersIn],tblDaily[EntryDate],DATE(2026,4,1),tblDaily[WardCode],"BF")),"")</f>
        <v/>
      </c>
      <c r="G124" s="5" t="str">
        <f>IFERROR(IF(SUMIFS(tblDaily[TransfersOut],tblDaily[EntryDate],DATE(2026,4,1),tblDaily[WardCode],"BF")=0,"",SUMIFS(tblDaily[TransfersOut],tblDaily[EntryDate],DATE(2026,4,1),tblDaily[WardCode],"BF")),"")</f>
        <v/>
      </c>
      <c r="H124" s="5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IFERROR(IF(SUMIFS(tblDaily[Admissions],tblDaily[EntryDate],DATE(2026,4,2),tblDaily[WardCode],"BF")=0,"",SUMIFS(tblDaily[Admissions],tblDaily[EntryDate],DATE(2026,4,2),tblDaily[WardCode],"BF")),"")</f>
        <v/>
      </c>
      <c r="C125" s="5" t="str">
        <f>IFERROR(IF(SUMIFS(tblDaily[Discharges],tblDaily[EntryDate],DATE(2026,4,2),tblDaily[WardCode],"BF")=0,"",SUMIFS(tblDaily[Discharges],tblDaily[EntryDate],DATE(2026,4,2),tblDaily[WardCode],"BF")),"")</f>
        <v/>
      </c>
      <c r="D125" s="5" t="str">
        <f>IFERROR(IF(SUMIFS(tblDaily[Deaths],tblDaily[EntryDate],DATE(2026,4,2),tblDaily[WardCode],"BF")=0,"",SUMIFS(tblDaily[Deaths],tblDaily[EntryDate],DATE(2026,4,2),tblDaily[WardCode],"BF")),"")</f>
        <v/>
      </c>
      <c r="E125" s="5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5" t="str">
        <f>IFERROR(IF(SUMIFS(tblDaily[TransfersIn],tblDaily[EntryDate],DATE(2026,4,2),tblDaily[WardCode],"BF")=0,"",SUMIFS(tblDaily[TransfersIn],tblDaily[EntryDate],DATE(2026,4,2),tblDaily[WardCode],"BF")),"")</f>
        <v/>
      </c>
      <c r="G125" s="5" t="str">
        <f>IFERROR(IF(SUMIFS(tblDaily[TransfersOut],tblDaily[EntryDate],DATE(2026,4,2),tblDaily[WardCode],"BF")=0,"",SUMIFS(tblDaily[TransfersOut],tblDaily[EntryDate],DATE(2026,4,2),tblDaily[WardCode],"BF")),"")</f>
        <v/>
      </c>
      <c r="H125" s="5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IFERROR(IF(SUMIFS(tblDaily[Admissions],tblDaily[EntryDate],DATE(2026,4,3),tblDaily[WardCode],"BF")=0,"",SUMIFS(tblDaily[Admissions],tblDaily[EntryDate],DATE(2026,4,3),tblDaily[WardCode],"BF")),"")</f>
        <v/>
      </c>
      <c r="C126" s="5" t="str">
        <f>IFERROR(IF(SUMIFS(tblDaily[Discharges],tblDaily[EntryDate],DATE(2026,4,3),tblDaily[WardCode],"BF")=0,"",SUMIFS(tblDaily[Discharges],tblDaily[EntryDate],DATE(2026,4,3),tblDaily[WardCode],"BF")),"")</f>
        <v/>
      </c>
      <c r="D126" s="5" t="str">
        <f>IFERROR(IF(SUMIFS(tblDaily[Deaths],tblDaily[EntryDate],DATE(2026,4,3),tblDaily[WardCode],"BF")=0,"",SUMIFS(tblDaily[Deaths],tblDaily[EntryDate],DATE(2026,4,3),tblDaily[WardCode],"BF")),"")</f>
        <v/>
      </c>
      <c r="E126" s="5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5" t="str">
        <f>IFERROR(IF(SUMIFS(tblDaily[TransfersIn],tblDaily[EntryDate],DATE(2026,4,3),tblDaily[WardCode],"BF")=0,"",SUMIFS(tblDaily[TransfersIn],tblDaily[EntryDate],DATE(2026,4,3),tblDaily[WardCode],"BF")),"")</f>
        <v/>
      </c>
      <c r="G126" s="5" t="str">
        <f>IFERROR(IF(SUMIFS(tblDaily[TransfersOut],tblDaily[EntryDate],DATE(2026,4,3),tblDaily[WardCode],"BF")=0,"",SUMIFS(tblDaily[TransfersOut],tblDaily[EntryDate],DATE(2026,4,3),tblDaily[WardCode],"BF")),"")</f>
        <v/>
      </c>
      <c r="H126" s="5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IFERROR(IF(SUMIFS(tblDaily[Admissions],tblDaily[EntryDate],DATE(2026,4,4),tblDaily[WardCode],"BF")=0,"",SUMIFS(tblDaily[Admissions],tblDaily[EntryDate],DATE(2026,4,4),tblDaily[WardCode],"BF")),"")</f>
        <v/>
      </c>
      <c r="C127" s="5" t="str">
        <f>IFERROR(IF(SUMIFS(tblDaily[Discharges],tblDaily[EntryDate],DATE(2026,4,4),tblDaily[WardCode],"BF")=0,"",SUMIFS(tblDaily[Discharges],tblDaily[EntryDate],DATE(2026,4,4),tblDaily[WardCode],"BF")),"")</f>
        <v/>
      </c>
      <c r="D127" s="5" t="str">
        <f>IFERROR(IF(SUMIFS(tblDaily[Deaths],tblDaily[EntryDate],DATE(2026,4,4),tblDaily[WardCode],"BF")=0,"",SUMIFS(tblDaily[Deaths],tblDaily[EntryDate],DATE(2026,4,4),tblDaily[WardCode],"BF")),"")</f>
        <v/>
      </c>
      <c r="E127" s="5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5" t="str">
        <f>IFERROR(IF(SUMIFS(tblDaily[TransfersIn],tblDaily[EntryDate],DATE(2026,4,4),tblDaily[WardCode],"BF")=0,"",SUMIFS(tblDaily[TransfersIn],tblDaily[EntryDate],DATE(2026,4,4),tblDaily[WardCode],"BF")),"")</f>
        <v/>
      </c>
      <c r="G127" s="5" t="str">
        <f>IFERROR(IF(SUMIFS(tblDaily[TransfersOut],tblDaily[EntryDate],DATE(2026,4,4),tblDaily[WardCode],"BF")=0,"",SUMIFS(tblDaily[TransfersOut],tblDaily[EntryDate],DATE(2026,4,4),tblDaily[WardCode],"BF")),"")</f>
        <v/>
      </c>
      <c r="H127" s="5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IFERROR(IF(SUMIFS(tblDaily[Admissions],tblDaily[EntryDate],DATE(2026,4,5),tblDaily[WardCode],"BF")=0,"",SUMIFS(tblDaily[Admissions],tblDaily[EntryDate],DATE(2026,4,5),tblDaily[WardCode],"BF")),"")</f>
        <v/>
      </c>
      <c r="C128" s="5" t="str">
        <f>IFERROR(IF(SUMIFS(tblDaily[Discharges],tblDaily[EntryDate],DATE(2026,4,5),tblDaily[WardCode],"BF")=0,"",SUMIFS(tblDaily[Discharges],tblDaily[EntryDate],DATE(2026,4,5),tblDaily[WardCode],"BF")),"")</f>
        <v/>
      </c>
      <c r="D128" s="5" t="str">
        <f>IFERROR(IF(SUMIFS(tblDaily[Deaths],tblDaily[EntryDate],DATE(2026,4,5),tblDaily[WardCode],"BF")=0,"",SUMIFS(tblDaily[Deaths],tblDaily[EntryDate],DATE(2026,4,5),tblDaily[WardCode],"BF")),"")</f>
        <v/>
      </c>
      <c r="E128" s="5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5" t="str">
        <f>IFERROR(IF(SUMIFS(tblDaily[TransfersIn],tblDaily[EntryDate],DATE(2026,4,5),tblDaily[WardCode],"BF")=0,"",SUMIFS(tblDaily[TransfersIn],tblDaily[EntryDate],DATE(2026,4,5),tblDaily[WardCode],"BF")),"")</f>
        <v/>
      </c>
      <c r="G128" s="5" t="str">
        <f>IFERROR(IF(SUMIFS(tblDaily[TransfersOut],tblDaily[EntryDate],DATE(2026,4,5),tblDaily[WardCode],"BF")=0,"",SUMIFS(tblDaily[TransfersOut],tblDaily[EntryDate],DATE(2026,4,5),tblDaily[WardCode],"BF")),"")</f>
        <v/>
      </c>
      <c r="H128" s="5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IFERROR(IF(SUMIFS(tblDaily[Admissions],tblDaily[EntryDate],DATE(2026,4,6),tblDaily[WardCode],"BF")=0,"",SUMIFS(tblDaily[Admissions],tblDaily[EntryDate],DATE(2026,4,6),tblDaily[WardCode],"BF")),"")</f>
        <v/>
      </c>
      <c r="C129" s="5" t="str">
        <f>IFERROR(IF(SUMIFS(tblDaily[Discharges],tblDaily[EntryDate],DATE(2026,4,6),tblDaily[WardCode],"BF")=0,"",SUMIFS(tblDaily[Discharges],tblDaily[EntryDate],DATE(2026,4,6),tblDaily[WardCode],"BF")),"")</f>
        <v/>
      </c>
      <c r="D129" s="5" t="str">
        <f>IFERROR(IF(SUMIFS(tblDaily[Deaths],tblDaily[EntryDate],DATE(2026,4,6),tblDaily[WardCode],"BF")=0,"",SUMIFS(tblDaily[Deaths],tblDaily[EntryDate],DATE(2026,4,6),tblDaily[WardCode],"BF")),"")</f>
        <v/>
      </c>
      <c r="E129" s="5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5" t="str">
        <f>IFERROR(IF(SUMIFS(tblDaily[TransfersIn],tblDaily[EntryDate],DATE(2026,4,6),tblDaily[WardCode],"BF")=0,"",SUMIFS(tblDaily[TransfersIn],tblDaily[EntryDate],DATE(2026,4,6),tblDaily[WardCode],"BF")),"")</f>
        <v/>
      </c>
      <c r="G129" s="5" t="str">
        <f>IFERROR(IF(SUMIFS(tblDaily[TransfersOut],tblDaily[EntryDate],DATE(2026,4,6),tblDaily[WardCode],"BF")=0,"",SUMIFS(tblDaily[TransfersOut],tblDaily[EntryDate],DATE(2026,4,6),tblDaily[WardCode],"BF")),"")</f>
        <v/>
      </c>
      <c r="H129" s="5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IFERROR(IF(SUMIFS(tblDaily[Admissions],tblDaily[EntryDate],DATE(2026,4,7),tblDaily[WardCode],"BF")=0,"",SUMIFS(tblDaily[Admissions],tblDaily[EntryDate],DATE(2026,4,7),tblDaily[WardCode],"BF")),"")</f>
        <v/>
      </c>
      <c r="C130" s="5" t="str">
        <f>IFERROR(IF(SUMIFS(tblDaily[Discharges],tblDaily[EntryDate],DATE(2026,4,7),tblDaily[WardCode],"BF")=0,"",SUMIFS(tblDaily[Discharges],tblDaily[EntryDate],DATE(2026,4,7),tblDaily[WardCode],"BF")),"")</f>
        <v/>
      </c>
      <c r="D130" s="5" t="str">
        <f>IFERROR(IF(SUMIFS(tblDaily[Deaths],tblDaily[EntryDate],DATE(2026,4,7),tblDaily[WardCode],"BF")=0,"",SUMIFS(tblDaily[Deaths],tblDaily[EntryDate],DATE(2026,4,7),tblDaily[WardCode],"BF")),"")</f>
        <v/>
      </c>
      <c r="E130" s="5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5" t="str">
        <f>IFERROR(IF(SUMIFS(tblDaily[TransfersIn],tblDaily[EntryDate],DATE(2026,4,7),tblDaily[WardCode],"BF")=0,"",SUMIFS(tblDaily[TransfersIn],tblDaily[EntryDate],DATE(2026,4,7),tblDaily[WardCode],"BF")),"")</f>
        <v/>
      </c>
      <c r="G130" s="5" t="str">
        <f>IFERROR(IF(SUMIFS(tblDaily[TransfersOut],tblDaily[EntryDate],DATE(2026,4,7),tblDaily[WardCode],"BF")=0,"",SUMIFS(tblDaily[TransfersOut],tblDaily[EntryDate],DATE(2026,4,7),tblDaily[WardCode],"BF")),"")</f>
        <v/>
      </c>
      <c r="H130" s="5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IFERROR(IF(SUMIFS(tblDaily[Admissions],tblDaily[EntryDate],DATE(2026,4,8),tblDaily[WardCode],"BF")=0,"",SUMIFS(tblDaily[Admissions],tblDaily[EntryDate],DATE(2026,4,8),tblDaily[WardCode],"BF")),"")</f>
        <v/>
      </c>
      <c r="C131" s="5" t="str">
        <f>IFERROR(IF(SUMIFS(tblDaily[Discharges],tblDaily[EntryDate],DATE(2026,4,8),tblDaily[WardCode],"BF")=0,"",SUMIFS(tblDaily[Discharges],tblDaily[EntryDate],DATE(2026,4,8),tblDaily[WardCode],"BF")),"")</f>
        <v/>
      </c>
      <c r="D131" s="5" t="str">
        <f>IFERROR(IF(SUMIFS(tblDaily[Deaths],tblDaily[EntryDate],DATE(2026,4,8),tblDaily[WardCode],"BF")=0,"",SUMIFS(tblDaily[Deaths],tblDaily[EntryDate],DATE(2026,4,8),tblDaily[WardCode],"BF")),"")</f>
        <v/>
      </c>
      <c r="E131" s="5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5" t="str">
        <f>IFERROR(IF(SUMIFS(tblDaily[TransfersIn],tblDaily[EntryDate],DATE(2026,4,8),tblDaily[WardCode],"BF")=0,"",SUMIFS(tblDaily[TransfersIn],tblDaily[EntryDate],DATE(2026,4,8),tblDaily[WardCode],"BF")),"")</f>
        <v/>
      </c>
      <c r="G131" s="5" t="str">
        <f>IFERROR(IF(SUMIFS(tblDaily[TransfersOut],tblDaily[EntryDate],DATE(2026,4,8),tblDaily[WardCode],"BF")=0,"",SUMIFS(tblDaily[TransfersOut],tblDaily[EntryDate],DATE(2026,4,8),tblDaily[WardCode],"BF")),"")</f>
        <v/>
      </c>
      <c r="H131" s="5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IFERROR(IF(SUMIFS(tblDaily[Admissions],tblDaily[EntryDate],DATE(2026,4,9),tblDaily[WardCode],"BF")=0,"",SUMIFS(tblDaily[Admissions],tblDaily[EntryDate],DATE(2026,4,9),tblDaily[WardCode],"BF")),"")</f>
        <v/>
      </c>
      <c r="C132" s="5" t="str">
        <f>IFERROR(IF(SUMIFS(tblDaily[Discharges],tblDaily[EntryDate],DATE(2026,4,9),tblDaily[WardCode],"BF")=0,"",SUMIFS(tblDaily[Discharges],tblDaily[EntryDate],DATE(2026,4,9),tblDaily[WardCode],"BF")),"")</f>
        <v/>
      </c>
      <c r="D132" s="5" t="str">
        <f>IFERROR(IF(SUMIFS(tblDaily[Deaths],tblDaily[EntryDate],DATE(2026,4,9),tblDaily[WardCode],"BF")=0,"",SUMIFS(tblDaily[Deaths],tblDaily[EntryDate],DATE(2026,4,9),tblDaily[WardCode],"BF")),"")</f>
        <v/>
      </c>
      <c r="E132" s="5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5" t="str">
        <f>IFERROR(IF(SUMIFS(tblDaily[TransfersIn],tblDaily[EntryDate],DATE(2026,4,9),tblDaily[WardCode],"BF")=0,"",SUMIFS(tblDaily[TransfersIn],tblDaily[EntryDate],DATE(2026,4,9),tblDaily[WardCode],"BF")),"")</f>
        <v/>
      </c>
      <c r="G132" s="5" t="str">
        <f>IFERROR(IF(SUMIFS(tblDaily[TransfersOut],tblDaily[EntryDate],DATE(2026,4,9),tblDaily[WardCode],"BF")=0,"",SUMIFS(tblDaily[TransfersOut],tblDaily[EntryDate],DATE(2026,4,9),tblDaily[WardCode],"BF")),"")</f>
        <v/>
      </c>
      <c r="H132" s="5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IFERROR(IF(SUMIFS(tblDaily[Admissions],tblDaily[EntryDate],DATE(2026,4,10),tblDaily[WardCode],"BF")=0,"",SUMIFS(tblDaily[Admissions],tblDaily[EntryDate],DATE(2026,4,10),tblDaily[WardCode],"BF")),"")</f>
        <v/>
      </c>
      <c r="C133" s="5" t="str">
        <f>IFERROR(IF(SUMIFS(tblDaily[Discharges],tblDaily[EntryDate],DATE(2026,4,10),tblDaily[WardCode],"BF")=0,"",SUMIFS(tblDaily[Discharges],tblDaily[EntryDate],DATE(2026,4,10),tblDaily[WardCode],"BF")),"")</f>
        <v/>
      </c>
      <c r="D133" s="5" t="str">
        <f>IFERROR(IF(SUMIFS(tblDaily[Deaths],tblDaily[EntryDate],DATE(2026,4,10),tblDaily[WardCode],"BF")=0,"",SUMIFS(tblDaily[Deaths],tblDaily[EntryDate],DATE(2026,4,10),tblDaily[WardCode],"BF")),"")</f>
        <v/>
      </c>
      <c r="E133" s="5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5" t="str">
        <f>IFERROR(IF(SUMIFS(tblDaily[TransfersIn],tblDaily[EntryDate],DATE(2026,4,10),tblDaily[WardCode],"BF")=0,"",SUMIFS(tblDaily[TransfersIn],tblDaily[EntryDate],DATE(2026,4,10),tblDaily[WardCode],"BF")),"")</f>
        <v/>
      </c>
      <c r="G133" s="5" t="str">
        <f>IFERROR(IF(SUMIFS(tblDaily[TransfersOut],tblDaily[EntryDate],DATE(2026,4,10),tblDaily[WardCode],"BF")=0,"",SUMIFS(tblDaily[TransfersOut],tblDaily[EntryDate],DATE(2026,4,10),tblDaily[WardCode],"BF")),"")</f>
        <v/>
      </c>
      <c r="H133" s="5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IFERROR(IF(SUMIFS(tblDaily[Admissions],tblDaily[EntryDate],DATE(2026,4,11),tblDaily[WardCode],"BF")=0,"",SUMIFS(tblDaily[Admissions],tblDaily[EntryDate],DATE(2026,4,11),tblDaily[WardCode],"BF")),"")</f>
        <v/>
      </c>
      <c r="C134" s="5" t="str">
        <f>IFERROR(IF(SUMIFS(tblDaily[Discharges],tblDaily[EntryDate],DATE(2026,4,11),tblDaily[WardCode],"BF")=0,"",SUMIFS(tblDaily[Discharges],tblDaily[EntryDate],DATE(2026,4,11),tblDaily[WardCode],"BF")),"")</f>
        <v/>
      </c>
      <c r="D134" s="5" t="str">
        <f>IFERROR(IF(SUMIFS(tblDaily[Deaths],tblDaily[EntryDate],DATE(2026,4,11),tblDaily[WardCode],"BF")=0,"",SUMIFS(tblDaily[Deaths],tblDaily[EntryDate],DATE(2026,4,11),tblDaily[WardCode],"BF")),"")</f>
        <v/>
      </c>
      <c r="E134" s="5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5" t="str">
        <f>IFERROR(IF(SUMIFS(tblDaily[TransfersIn],tblDaily[EntryDate],DATE(2026,4,11),tblDaily[WardCode],"BF")=0,"",SUMIFS(tblDaily[TransfersIn],tblDaily[EntryDate],DATE(2026,4,11),tblDaily[WardCode],"BF")),"")</f>
        <v/>
      </c>
      <c r="G134" s="5" t="str">
        <f>IFERROR(IF(SUMIFS(tblDaily[TransfersOut],tblDaily[EntryDate],DATE(2026,4,11),tblDaily[WardCode],"BF")=0,"",SUMIFS(tblDaily[TransfersOut],tblDaily[EntryDate],DATE(2026,4,11),tblDaily[WardCode],"BF")),"")</f>
        <v/>
      </c>
      <c r="H134" s="5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IFERROR(IF(SUMIFS(tblDaily[Admissions],tblDaily[EntryDate],DATE(2026,4,12),tblDaily[WardCode],"BF")=0,"",SUMIFS(tblDaily[Admissions],tblDaily[EntryDate],DATE(2026,4,12),tblDaily[WardCode],"BF")),"")</f>
        <v/>
      </c>
      <c r="C135" s="5" t="str">
        <f>IFERROR(IF(SUMIFS(tblDaily[Discharges],tblDaily[EntryDate],DATE(2026,4,12),tblDaily[WardCode],"BF")=0,"",SUMIFS(tblDaily[Discharges],tblDaily[EntryDate],DATE(2026,4,12),tblDaily[WardCode],"BF")),"")</f>
        <v/>
      </c>
      <c r="D135" s="5" t="str">
        <f>IFERROR(IF(SUMIFS(tblDaily[Deaths],tblDaily[EntryDate],DATE(2026,4,12),tblDaily[WardCode],"BF")=0,"",SUMIFS(tblDaily[Deaths],tblDaily[EntryDate],DATE(2026,4,12),tblDaily[WardCode],"BF")),"")</f>
        <v/>
      </c>
      <c r="E135" s="5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5" t="str">
        <f>IFERROR(IF(SUMIFS(tblDaily[TransfersIn],tblDaily[EntryDate],DATE(2026,4,12),tblDaily[WardCode],"BF")=0,"",SUMIFS(tblDaily[TransfersIn],tblDaily[EntryDate],DATE(2026,4,12),tblDaily[WardCode],"BF")),"")</f>
        <v/>
      </c>
      <c r="G135" s="5" t="str">
        <f>IFERROR(IF(SUMIFS(tblDaily[TransfersOut],tblDaily[EntryDate],DATE(2026,4,12),tblDaily[WardCode],"BF")=0,"",SUMIFS(tblDaily[TransfersOut],tblDaily[EntryDate],DATE(2026,4,12),tblDaily[WardCode],"BF")),"")</f>
        <v/>
      </c>
      <c r="H135" s="5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IFERROR(IF(SUMIFS(tblDaily[Admissions],tblDaily[EntryDate],DATE(2026,4,13),tblDaily[WardCode],"BF")=0,"",SUMIFS(tblDaily[Admissions],tblDaily[EntryDate],DATE(2026,4,13),tblDaily[WardCode],"BF")),"")</f>
        <v/>
      </c>
      <c r="C136" s="5" t="str">
        <f>IFERROR(IF(SUMIFS(tblDaily[Discharges],tblDaily[EntryDate],DATE(2026,4,13),tblDaily[WardCode],"BF")=0,"",SUMIFS(tblDaily[Discharges],tblDaily[EntryDate],DATE(2026,4,13),tblDaily[WardCode],"BF")),"")</f>
        <v/>
      </c>
      <c r="D136" s="5" t="str">
        <f>IFERROR(IF(SUMIFS(tblDaily[Deaths],tblDaily[EntryDate],DATE(2026,4,13),tblDaily[WardCode],"BF")=0,"",SUMIFS(tblDaily[Deaths],tblDaily[EntryDate],DATE(2026,4,13),tblDaily[WardCode],"BF")),"")</f>
        <v/>
      </c>
      <c r="E136" s="5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5" t="str">
        <f>IFERROR(IF(SUMIFS(tblDaily[TransfersIn],tblDaily[EntryDate],DATE(2026,4,13),tblDaily[WardCode],"BF")=0,"",SUMIFS(tblDaily[TransfersIn],tblDaily[EntryDate],DATE(2026,4,13),tblDaily[WardCode],"BF")),"")</f>
        <v/>
      </c>
      <c r="G136" s="5" t="str">
        <f>IFERROR(IF(SUMIFS(tblDaily[TransfersOut],tblDaily[EntryDate],DATE(2026,4,13),tblDaily[WardCode],"BF")=0,"",SUMIFS(tblDaily[TransfersOut],tblDaily[EntryDate],DATE(2026,4,13),tblDaily[WardCode],"BF")),"")</f>
        <v/>
      </c>
      <c r="H136" s="5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IFERROR(IF(SUMIFS(tblDaily[Admissions],tblDaily[EntryDate],DATE(2026,4,14),tblDaily[WardCode],"BF")=0,"",SUMIFS(tblDaily[Admissions],tblDaily[EntryDate],DATE(2026,4,14),tblDaily[WardCode],"BF")),"")</f>
        <v/>
      </c>
      <c r="C137" s="5" t="str">
        <f>IFERROR(IF(SUMIFS(tblDaily[Discharges],tblDaily[EntryDate],DATE(2026,4,14),tblDaily[WardCode],"BF")=0,"",SUMIFS(tblDaily[Discharges],tblDaily[EntryDate],DATE(2026,4,14),tblDaily[WardCode],"BF")),"")</f>
        <v/>
      </c>
      <c r="D137" s="5" t="str">
        <f>IFERROR(IF(SUMIFS(tblDaily[Deaths],tblDaily[EntryDate],DATE(2026,4,14),tblDaily[WardCode],"BF")=0,"",SUMIFS(tblDaily[Deaths],tblDaily[EntryDate],DATE(2026,4,14),tblDaily[WardCode],"BF")),"")</f>
        <v/>
      </c>
      <c r="E137" s="5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5" t="str">
        <f>IFERROR(IF(SUMIFS(tblDaily[TransfersIn],tblDaily[EntryDate],DATE(2026,4,14),tblDaily[WardCode],"BF")=0,"",SUMIFS(tblDaily[TransfersIn],tblDaily[EntryDate],DATE(2026,4,14),tblDaily[WardCode],"BF")),"")</f>
        <v/>
      </c>
      <c r="G137" s="5" t="str">
        <f>IFERROR(IF(SUMIFS(tblDaily[TransfersOut],tblDaily[EntryDate],DATE(2026,4,14),tblDaily[WardCode],"BF")=0,"",SUMIFS(tblDaily[TransfersOut],tblDaily[EntryDate],DATE(2026,4,14),tblDaily[WardCode],"BF")),"")</f>
        <v/>
      </c>
      <c r="H137" s="5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IFERROR(IF(SUMIFS(tblDaily[Admissions],tblDaily[EntryDate],DATE(2026,4,15),tblDaily[WardCode],"BF")=0,"",SUMIFS(tblDaily[Admissions],tblDaily[EntryDate],DATE(2026,4,15),tblDaily[WardCode],"BF")),"")</f>
        <v/>
      </c>
      <c r="C138" s="5" t="str">
        <f>IFERROR(IF(SUMIFS(tblDaily[Discharges],tblDaily[EntryDate],DATE(2026,4,15),tblDaily[WardCode],"BF")=0,"",SUMIFS(tblDaily[Discharges],tblDaily[EntryDate],DATE(2026,4,15),tblDaily[WardCode],"BF")),"")</f>
        <v/>
      </c>
      <c r="D138" s="5" t="str">
        <f>IFERROR(IF(SUMIFS(tblDaily[Deaths],tblDaily[EntryDate],DATE(2026,4,15),tblDaily[WardCode],"BF")=0,"",SUMIFS(tblDaily[Deaths],tblDaily[EntryDate],DATE(2026,4,15),tblDaily[WardCode],"BF")),"")</f>
        <v/>
      </c>
      <c r="E138" s="5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5" t="str">
        <f>IFERROR(IF(SUMIFS(tblDaily[TransfersIn],tblDaily[EntryDate],DATE(2026,4,15),tblDaily[WardCode],"BF")=0,"",SUMIFS(tblDaily[TransfersIn],tblDaily[EntryDate],DATE(2026,4,15),tblDaily[WardCode],"BF")),"")</f>
        <v/>
      </c>
      <c r="G138" s="5" t="str">
        <f>IFERROR(IF(SUMIFS(tblDaily[TransfersOut],tblDaily[EntryDate],DATE(2026,4,15),tblDaily[WardCode],"BF")=0,"",SUMIFS(tblDaily[TransfersOut],tblDaily[EntryDate],DATE(2026,4,15),tblDaily[WardCode],"BF")),"")</f>
        <v/>
      </c>
      <c r="H138" s="5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IFERROR(IF(SUMIFS(tblDaily[Admissions],tblDaily[EntryDate],DATE(2026,4,16),tblDaily[WardCode],"BF")=0,"",SUMIFS(tblDaily[Admissions],tblDaily[EntryDate],DATE(2026,4,16),tblDaily[WardCode],"BF")),"")</f>
        <v/>
      </c>
      <c r="C139" s="5" t="str">
        <f>IFERROR(IF(SUMIFS(tblDaily[Discharges],tblDaily[EntryDate],DATE(2026,4,16),tblDaily[WardCode],"BF")=0,"",SUMIFS(tblDaily[Discharges],tblDaily[EntryDate],DATE(2026,4,16),tblDaily[WardCode],"BF")),"")</f>
        <v/>
      </c>
      <c r="D139" s="5" t="str">
        <f>IFERROR(IF(SUMIFS(tblDaily[Deaths],tblDaily[EntryDate],DATE(2026,4,16),tblDaily[WardCode],"BF")=0,"",SUMIFS(tblDaily[Deaths],tblDaily[EntryDate],DATE(2026,4,16),tblDaily[WardCode],"BF")),"")</f>
        <v/>
      </c>
      <c r="E139" s="5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5" t="str">
        <f>IFERROR(IF(SUMIFS(tblDaily[TransfersIn],tblDaily[EntryDate],DATE(2026,4,16),tblDaily[WardCode],"BF")=0,"",SUMIFS(tblDaily[TransfersIn],tblDaily[EntryDate],DATE(2026,4,16),tblDaily[WardCode],"BF")),"")</f>
        <v/>
      </c>
      <c r="G139" s="5" t="str">
        <f>IFERROR(IF(SUMIFS(tblDaily[TransfersOut],tblDaily[EntryDate],DATE(2026,4,16),tblDaily[WardCode],"BF")=0,"",SUMIFS(tblDaily[TransfersOut],tblDaily[EntryDate],DATE(2026,4,16),tblDaily[WardCode],"BF")),"")</f>
        <v/>
      </c>
      <c r="H139" s="5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IFERROR(IF(SUMIFS(tblDaily[Admissions],tblDaily[EntryDate],DATE(2026,4,17),tblDaily[WardCode],"BF")=0,"",SUMIFS(tblDaily[Admissions],tblDaily[EntryDate],DATE(2026,4,17),tblDaily[WardCode],"BF")),"")</f>
        <v/>
      </c>
      <c r="C140" s="5" t="str">
        <f>IFERROR(IF(SUMIFS(tblDaily[Discharges],tblDaily[EntryDate],DATE(2026,4,17),tblDaily[WardCode],"BF")=0,"",SUMIFS(tblDaily[Discharges],tblDaily[EntryDate],DATE(2026,4,17),tblDaily[WardCode],"BF")),"")</f>
        <v/>
      </c>
      <c r="D140" s="5" t="str">
        <f>IFERROR(IF(SUMIFS(tblDaily[Deaths],tblDaily[EntryDate],DATE(2026,4,17),tblDaily[WardCode],"BF")=0,"",SUMIFS(tblDaily[Deaths],tblDaily[EntryDate],DATE(2026,4,17),tblDaily[WardCode],"BF")),"")</f>
        <v/>
      </c>
      <c r="E140" s="5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5" t="str">
        <f>IFERROR(IF(SUMIFS(tblDaily[TransfersIn],tblDaily[EntryDate],DATE(2026,4,17),tblDaily[WardCode],"BF")=0,"",SUMIFS(tblDaily[TransfersIn],tblDaily[EntryDate],DATE(2026,4,17),tblDaily[WardCode],"BF")),"")</f>
        <v/>
      </c>
      <c r="G140" s="5" t="str">
        <f>IFERROR(IF(SUMIFS(tblDaily[TransfersOut],tblDaily[EntryDate],DATE(2026,4,17),tblDaily[WardCode],"BF")=0,"",SUMIFS(tblDaily[TransfersOut],tblDaily[EntryDate],DATE(2026,4,17),tblDaily[WardCode],"BF")),"")</f>
        <v/>
      </c>
      <c r="H140" s="5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IFERROR(IF(SUMIFS(tblDaily[Admissions],tblDaily[EntryDate],DATE(2026,4,18),tblDaily[WardCode],"BF")=0,"",SUMIFS(tblDaily[Admissions],tblDaily[EntryDate],DATE(2026,4,18),tblDaily[WardCode],"BF")),"")</f>
        <v/>
      </c>
      <c r="C141" s="5" t="str">
        <f>IFERROR(IF(SUMIFS(tblDaily[Discharges],tblDaily[EntryDate],DATE(2026,4,18),tblDaily[WardCode],"BF")=0,"",SUMIFS(tblDaily[Discharges],tblDaily[EntryDate],DATE(2026,4,18),tblDaily[WardCode],"BF")),"")</f>
        <v/>
      </c>
      <c r="D141" s="5" t="str">
        <f>IFERROR(IF(SUMIFS(tblDaily[Deaths],tblDaily[EntryDate],DATE(2026,4,18),tblDaily[WardCode],"BF")=0,"",SUMIFS(tblDaily[Deaths],tblDaily[EntryDate],DATE(2026,4,18),tblDaily[WardCode],"BF")),"")</f>
        <v/>
      </c>
      <c r="E141" s="5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5" t="str">
        <f>IFERROR(IF(SUMIFS(tblDaily[TransfersIn],tblDaily[EntryDate],DATE(2026,4,18),tblDaily[WardCode],"BF")=0,"",SUMIFS(tblDaily[TransfersIn],tblDaily[EntryDate],DATE(2026,4,18),tblDaily[WardCode],"BF")),"")</f>
        <v/>
      </c>
      <c r="G141" s="5" t="str">
        <f>IFERROR(IF(SUMIFS(tblDaily[TransfersOut],tblDaily[EntryDate],DATE(2026,4,18),tblDaily[WardCode],"BF")=0,"",SUMIFS(tblDaily[TransfersOut],tblDaily[EntryDate],DATE(2026,4,18),tblDaily[WardCode],"BF")),"")</f>
        <v/>
      </c>
      <c r="H141" s="5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IFERROR(IF(SUMIFS(tblDaily[Admissions],tblDaily[EntryDate],DATE(2026,4,19),tblDaily[WardCode],"BF")=0,"",SUMIFS(tblDaily[Admissions],tblDaily[EntryDate],DATE(2026,4,19),tblDaily[WardCode],"BF")),"")</f>
        <v/>
      </c>
      <c r="C142" s="5" t="str">
        <f>IFERROR(IF(SUMIFS(tblDaily[Discharges],tblDaily[EntryDate],DATE(2026,4,19),tblDaily[WardCode],"BF")=0,"",SUMIFS(tblDaily[Discharges],tblDaily[EntryDate],DATE(2026,4,19),tblDaily[WardCode],"BF")),"")</f>
        <v/>
      </c>
      <c r="D142" s="5" t="str">
        <f>IFERROR(IF(SUMIFS(tblDaily[Deaths],tblDaily[EntryDate],DATE(2026,4,19),tblDaily[WardCode],"BF")=0,"",SUMIFS(tblDaily[Deaths],tblDaily[EntryDate],DATE(2026,4,19),tblDaily[WardCode],"BF")),"")</f>
        <v/>
      </c>
      <c r="E142" s="5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5" t="str">
        <f>IFERROR(IF(SUMIFS(tblDaily[TransfersIn],tblDaily[EntryDate],DATE(2026,4,19),tblDaily[WardCode],"BF")=0,"",SUMIFS(tblDaily[TransfersIn],tblDaily[EntryDate],DATE(2026,4,19),tblDaily[WardCode],"BF")),"")</f>
        <v/>
      </c>
      <c r="G142" s="5" t="str">
        <f>IFERROR(IF(SUMIFS(tblDaily[TransfersOut],tblDaily[EntryDate],DATE(2026,4,19),tblDaily[WardCode],"BF")=0,"",SUMIFS(tblDaily[TransfersOut],tblDaily[EntryDate],DATE(2026,4,19),tblDaily[WardCode],"BF")),"")</f>
        <v/>
      </c>
      <c r="H142" s="5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IFERROR(IF(SUMIFS(tblDaily[Admissions],tblDaily[EntryDate],DATE(2026,4,20),tblDaily[WardCode],"BF")=0,"",SUMIFS(tblDaily[Admissions],tblDaily[EntryDate],DATE(2026,4,20),tblDaily[WardCode],"BF")),"")</f>
        <v/>
      </c>
      <c r="C143" s="5" t="str">
        <f>IFERROR(IF(SUMIFS(tblDaily[Discharges],tblDaily[EntryDate],DATE(2026,4,20),tblDaily[WardCode],"BF")=0,"",SUMIFS(tblDaily[Discharges],tblDaily[EntryDate],DATE(2026,4,20),tblDaily[WardCode],"BF")),"")</f>
        <v/>
      </c>
      <c r="D143" s="5" t="str">
        <f>IFERROR(IF(SUMIFS(tblDaily[Deaths],tblDaily[EntryDate],DATE(2026,4,20),tblDaily[WardCode],"BF")=0,"",SUMIFS(tblDaily[Deaths],tblDaily[EntryDate],DATE(2026,4,20),tblDaily[WardCode],"BF")),"")</f>
        <v/>
      </c>
      <c r="E143" s="5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5" t="str">
        <f>IFERROR(IF(SUMIFS(tblDaily[TransfersIn],tblDaily[EntryDate],DATE(2026,4,20),tblDaily[WardCode],"BF")=0,"",SUMIFS(tblDaily[TransfersIn],tblDaily[EntryDate],DATE(2026,4,20),tblDaily[WardCode],"BF")),"")</f>
        <v/>
      </c>
      <c r="G143" s="5" t="str">
        <f>IFERROR(IF(SUMIFS(tblDaily[TransfersOut],tblDaily[EntryDate],DATE(2026,4,20),tblDaily[WardCode],"BF")=0,"",SUMIFS(tblDaily[TransfersOut],tblDaily[EntryDate],DATE(2026,4,20),tblDaily[WardCode],"BF")),"")</f>
        <v/>
      </c>
      <c r="H143" s="5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IFERROR(IF(SUMIFS(tblDaily[Admissions],tblDaily[EntryDate],DATE(2026,4,21),tblDaily[WardCode],"BF")=0,"",SUMIFS(tblDaily[Admissions],tblDaily[EntryDate],DATE(2026,4,21),tblDaily[WardCode],"BF")),"")</f>
        <v/>
      </c>
      <c r="C144" s="5" t="str">
        <f>IFERROR(IF(SUMIFS(tblDaily[Discharges],tblDaily[EntryDate],DATE(2026,4,21),tblDaily[WardCode],"BF")=0,"",SUMIFS(tblDaily[Discharges],tblDaily[EntryDate],DATE(2026,4,21),tblDaily[WardCode],"BF")),"")</f>
        <v/>
      </c>
      <c r="D144" s="5" t="str">
        <f>IFERROR(IF(SUMIFS(tblDaily[Deaths],tblDaily[EntryDate],DATE(2026,4,21),tblDaily[WardCode],"BF")=0,"",SUMIFS(tblDaily[Deaths],tblDaily[EntryDate],DATE(2026,4,21),tblDaily[WardCode],"BF")),"")</f>
        <v/>
      </c>
      <c r="E144" s="5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5" t="str">
        <f>IFERROR(IF(SUMIFS(tblDaily[TransfersIn],tblDaily[EntryDate],DATE(2026,4,21),tblDaily[WardCode],"BF")=0,"",SUMIFS(tblDaily[TransfersIn],tblDaily[EntryDate],DATE(2026,4,21),tblDaily[WardCode],"BF")),"")</f>
        <v/>
      </c>
      <c r="G144" s="5" t="str">
        <f>IFERROR(IF(SUMIFS(tblDaily[TransfersOut],tblDaily[EntryDate],DATE(2026,4,21),tblDaily[WardCode],"BF")=0,"",SUMIFS(tblDaily[TransfersOut],tblDaily[EntryDate],DATE(2026,4,21),tblDaily[WardCode],"BF")),"")</f>
        <v/>
      </c>
      <c r="H144" s="5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IFERROR(IF(SUMIFS(tblDaily[Admissions],tblDaily[EntryDate],DATE(2026,4,22),tblDaily[WardCode],"BF")=0,"",SUMIFS(tblDaily[Admissions],tblDaily[EntryDate],DATE(2026,4,22),tblDaily[WardCode],"BF")),"")</f>
        <v/>
      </c>
      <c r="C145" s="5" t="str">
        <f>IFERROR(IF(SUMIFS(tblDaily[Discharges],tblDaily[EntryDate],DATE(2026,4,22),tblDaily[WardCode],"BF")=0,"",SUMIFS(tblDaily[Discharges],tblDaily[EntryDate],DATE(2026,4,22),tblDaily[WardCode],"BF")),"")</f>
        <v/>
      </c>
      <c r="D145" s="5" t="str">
        <f>IFERROR(IF(SUMIFS(tblDaily[Deaths],tblDaily[EntryDate],DATE(2026,4,22),tblDaily[WardCode],"BF")=0,"",SUMIFS(tblDaily[Deaths],tblDaily[EntryDate],DATE(2026,4,22),tblDaily[WardCode],"BF")),"")</f>
        <v/>
      </c>
      <c r="E145" s="5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5" t="str">
        <f>IFERROR(IF(SUMIFS(tblDaily[TransfersIn],tblDaily[EntryDate],DATE(2026,4,22),tblDaily[WardCode],"BF")=0,"",SUMIFS(tblDaily[TransfersIn],tblDaily[EntryDate],DATE(2026,4,22),tblDaily[WardCode],"BF")),"")</f>
        <v/>
      </c>
      <c r="G145" s="5" t="str">
        <f>IFERROR(IF(SUMIFS(tblDaily[TransfersOut],tblDaily[EntryDate],DATE(2026,4,22),tblDaily[WardCode],"BF")=0,"",SUMIFS(tblDaily[TransfersOut],tblDaily[EntryDate],DATE(2026,4,22),tblDaily[WardCode],"BF")),"")</f>
        <v/>
      </c>
      <c r="H145" s="5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IFERROR(IF(SUMIFS(tblDaily[Admissions],tblDaily[EntryDate],DATE(2026,4,23),tblDaily[WardCode],"BF")=0,"",SUMIFS(tblDaily[Admissions],tblDaily[EntryDate],DATE(2026,4,23),tblDaily[WardCode],"BF")),"")</f>
        <v/>
      </c>
      <c r="C146" s="5" t="str">
        <f>IFERROR(IF(SUMIFS(tblDaily[Discharges],tblDaily[EntryDate],DATE(2026,4,23),tblDaily[WardCode],"BF")=0,"",SUMIFS(tblDaily[Discharges],tblDaily[EntryDate],DATE(2026,4,23),tblDaily[WardCode],"BF")),"")</f>
        <v/>
      </c>
      <c r="D146" s="5" t="str">
        <f>IFERROR(IF(SUMIFS(tblDaily[Deaths],tblDaily[EntryDate],DATE(2026,4,23),tblDaily[WardCode],"BF")=0,"",SUMIFS(tblDaily[Deaths],tblDaily[EntryDate],DATE(2026,4,23),tblDaily[WardCode],"BF")),"")</f>
        <v/>
      </c>
      <c r="E146" s="5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5" t="str">
        <f>IFERROR(IF(SUMIFS(tblDaily[TransfersIn],tblDaily[EntryDate],DATE(2026,4,23),tblDaily[WardCode],"BF")=0,"",SUMIFS(tblDaily[TransfersIn],tblDaily[EntryDate],DATE(2026,4,23),tblDaily[WardCode],"BF")),"")</f>
        <v/>
      </c>
      <c r="G146" s="5" t="str">
        <f>IFERROR(IF(SUMIFS(tblDaily[TransfersOut],tblDaily[EntryDate],DATE(2026,4,23),tblDaily[WardCode],"BF")=0,"",SUMIFS(tblDaily[TransfersOut],tblDaily[EntryDate],DATE(2026,4,23),tblDaily[WardCode],"BF")),"")</f>
        <v/>
      </c>
      <c r="H146" s="5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IFERROR(IF(SUMIFS(tblDaily[Admissions],tblDaily[EntryDate],DATE(2026,4,24),tblDaily[WardCode],"BF")=0,"",SUMIFS(tblDaily[Admissions],tblDaily[EntryDate],DATE(2026,4,24),tblDaily[WardCode],"BF")),"")</f>
        <v/>
      </c>
      <c r="C147" s="5" t="str">
        <f>IFERROR(IF(SUMIFS(tblDaily[Discharges],tblDaily[EntryDate],DATE(2026,4,24),tblDaily[WardCode],"BF")=0,"",SUMIFS(tblDaily[Discharges],tblDaily[EntryDate],DATE(2026,4,24),tblDaily[WardCode],"BF")),"")</f>
        <v/>
      </c>
      <c r="D147" s="5" t="str">
        <f>IFERROR(IF(SUMIFS(tblDaily[Deaths],tblDaily[EntryDate],DATE(2026,4,24),tblDaily[WardCode],"BF")=0,"",SUMIFS(tblDaily[Deaths],tblDaily[EntryDate],DATE(2026,4,24),tblDaily[WardCode],"BF")),"")</f>
        <v/>
      </c>
      <c r="E147" s="5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5" t="str">
        <f>IFERROR(IF(SUMIFS(tblDaily[TransfersIn],tblDaily[EntryDate],DATE(2026,4,24),tblDaily[WardCode],"BF")=0,"",SUMIFS(tblDaily[TransfersIn],tblDaily[EntryDate],DATE(2026,4,24),tblDaily[WardCode],"BF")),"")</f>
        <v/>
      </c>
      <c r="G147" s="5" t="str">
        <f>IFERROR(IF(SUMIFS(tblDaily[TransfersOut],tblDaily[EntryDate],DATE(2026,4,24),tblDaily[WardCode],"BF")=0,"",SUMIFS(tblDaily[TransfersOut],tblDaily[EntryDate],DATE(2026,4,24),tblDaily[WardCode],"BF")),"")</f>
        <v/>
      </c>
      <c r="H147" s="5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IFERROR(IF(SUMIFS(tblDaily[Admissions],tblDaily[EntryDate],DATE(2026,4,25),tblDaily[WardCode],"BF")=0,"",SUMIFS(tblDaily[Admissions],tblDaily[EntryDate],DATE(2026,4,25),tblDaily[WardCode],"BF")),"")</f>
        <v/>
      </c>
      <c r="C148" s="5" t="str">
        <f>IFERROR(IF(SUMIFS(tblDaily[Discharges],tblDaily[EntryDate],DATE(2026,4,25),tblDaily[WardCode],"BF")=0,"",SUMIFS(tblDaily[Discharges],tblDaily[EntryDate],DATE(2026,4,25),tblDaily[WardCode],"BF")),"")</f>
        <v/>
      </c>
      <c r="D148" s="5" t="str">
        <f>IFERROR(IF(SUMIFS(tblDaily[Deaths],tblDaily[EntryDate],DATE(2026,4,25),tblDaily[WardCode],"BF")=0,"",SUMIFS(tblDaily[Deaths],tblDaily[EntryDate],DATE(2026,4,25),tblDaily[WardCode],"BF")),"")</f>
        <v/>
      </c>
      <c r="E148" s="5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5" t="str">
        <f>IFERROR(IF(SUMIFS(tblDaily[TransfersIn],tblDaily[EntryDate],DATE(2026,4,25),tblDaily[WardCode],"BF")=0,"",SUMIFS(tblDaily[TransfersIn],tblDaily[EntryDate],DATE(2026,4,25),tblDaily[WardCode],"BF")),"")</f>
        <v/>
      </c>
      <c r="G148" s="5" t="str">
        <f>IFERROR(IF(SUMIFS(tblDaily[TransfersOut],tblDaily[EntryDate],DATE(2026,4,25),tblDaily[WardCode],"BF")=0,"",SUMIFS(tblDaily[TransfersOut],tblDaily[EntryDate],DATE(2026,4,25),tblDaily[WardCode],"BF")),"")</f>
        <v/>
      </c>
      <c r="H148" s="5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IFERROR(IF(SUMIFS(tblDaily[Admissions],tblDaily[EntryDate],DATE(2026,4,26),tblDaily[WardCode],"BF")=0,"",SUMIFS(tblDaily[Admissions],tblDaily[EntryDate],DATE(2026,4,26),tblDaily[WardCode],"BF")),"")</f>
        <v/>
      </c>
      <c r="C149" s="5" t="str">
        <f>IFERROR(IF(SUMIFS(tblDaily[Discharges],tblDaily[EntryDate],DATE(2026,4,26),tblDaily[WardCode],"BF")=0,"",SUMIFS(tblDaily[Discharges],tblDaily[EntryDate],DATE(2026,4,26),tblDaily[WardCode],"BF")),"")</f>
        <v/>
      </c>
      <c r="D149" s="5" t="str">
        <f>IFERROR(IF(SUMIFS(tblDaily[Deaths],tblDaily[EntryDate],DATE(2026,4,26),tblDaily[WardCode],"BF")=0,"",SUMIFS(tblDaily[Deaths],tblDaily[EntryDate],DATE(2026,4,26),tblDaily[WardCode],"BF")),"")</f>
        <v/>
      </c>
      <c r="E149" s="5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5" t="str">
        <f>IFERROR(IF(SUMIFS(tblDaily[TransfersIn],tblDaily[EntryDate],DATE(2026,4,26),tblDaily[WardCode],"BF")=0,"",SUMIFS(tblDaily[TransfersIn],tblDaily[EntryDate],DATE(2026,4,26),tblDaily[WardCode],"BF")),"")</f>
        <v/>
      </c>
      <c r="G149" s="5" t="str">
        <f>IFERROR(IF(SUMIFS(tblDaily[TransfersOut],tblDaily[EntryDate],DATE(2026,4,26),tblDaily[WardCode],"BF")=0,"",SUMIFS(tblDaily[TransfersOut],tblDaily[EntryDate],DATE(2026,4,26),tblDaily[WardCode],"BF")),"")</f>
        <v/>
      </c>
      <c r="H149" s="5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IFERROR(IF(SUMIFS(tblDaily[Admissions],tblDaily[EntryDate],DATE(2026,4,27),tblDaily[WardCode],"BF")=0,"",SUMIFS(tblDaily[Admissions],tblDaily[EntryDate],DATE(2026,4,27),tblDaily[WardCode],"BF")),"")</f>
        <v/>
      </c>
      <c r="C150" s="5" t="str">
        <f>IFERROR(IF(SUMIFS(tblDaily[Discharges],tblDaily[EntryDate],DATE(2026,4,27),tblDaily[WardCode],"BF")=0,"",SUMIFS(tblDaily[Discharges],tblDaily[EntryDate],DATE(2026,4,27),tblDaily[WardCode],"BF")),"")</f>
        <v/>
      </c>
      <c r="D150" s="5" t="str">
        <f>IFERROR(IF(SUMIFS(tblDaily[Deaths],tblDaily[EntryDate],DATE(2026,4,27),tblDaily[WardCode],"BF")=0,"",SUMIFS(tblDaily[Deaths],tblDaily[EntryDate],DATE(2026,4,27),tblDaily[WardCode],"BF")),"")</f>
        <v/>
      </c>
      <c r="E150" s="5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5" t="str">
        <f>IFERROR(IF(SUMIFS(tblDaily[TransfersIn],tblDaily[EntryDate],DATE(2026,4,27),tblDaily[WardCode],"BF")=0,"",SUMIFS(tblDaily[TransfersIn],tblDaily[EntryDate],DATE(2026,4,27),tblDaily[WardCode],"BF")),"")</f>
        <v/>
      </c>
      <c r="G150" s="5" t="str">
        <f>IFERROR(IF(SUMIFS(tblDaily[TransfersOut],tblDaily[EntryDate],DATE(2026,4,27),tblDaily[WardCode],"BF")=0,"",SUMIFS(tblDaily[TransfersOut],tblDaily[EntryDate],DATE(2026,4,27),tblDaily[WardCode],"BF")),"")</f>
        <v/>
      </c>
      <c r="H150" s="5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IFERROR(IF(SUMIFS(tblDaily[Admissions],tblDaily[EntryDate],DATE(2026,4,28),tblDaily[WardCode],"BF")=0,"",SUMIFS(tblDaily[Admissions],tblDaily[EntryDate],DATE(2026,4,28),tblDaily[WardCode],"BF")),"")</f>
        <v/>
      </c>
      <c r="C151" s="5" t="str">
        <f>IFERROR(IF(SUMIFS(tblDaily[Discharges],tblDaily[EntryDate],DATE(2026,4,28),tblDaily[WardCode],"BF")=0,"",SUMIFS(tblDaily[Discharges],tblDaily[EntryDate],DATE(2026,4,28),tblDaily[WardCode],"BF")),"")</f>
        <v/>
      </c>
      <c r="D151" s="5" t="str">
        <f>IFERROR(IF(SUMIFS(tblDaily[Deaths],tblDaily[EntryDate],DATE(2026,4,28),tblDaily[WardCode],"BF")=0,"",SUMIFS(tblDaily[Deaths],tblDaily[EntryDate],DATE(2026,4,28),tblDaily[WardCode],"BF")),"")</f>
        <v/>
      </c>
      <c r="E151" s="5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5" t="str">
        <f>IFERROR(IF(SUMIFS(tblDaily[TransfersIn],tblDaily[EntryDate],DATE(2026,4,28),tblDaily[WardCode],"BF")=0,"",SUMIFS(tblDaily[TransfersIn],tblDaily[EntryDate],DATE(2026,4,28),tblDaily[WardCode],"BF")),"")</f>
        <v/>
      </c>
      <c r="G151" s="5" t="str">
        <f>IFERROR(IF(SUMIFS(tblDaily[TransfersOut],tblDaily[EntryDate],DATE(2026,4,28),tblDaily[WardCode],"BF")=0,"",SUMIFS(tblDaily[TransfersOut],tblDaily[EntryDate],DATE(2026,4,28),tblDaily[WardCode],"BF")),"")</f>
        <v/>
      </c>
      <c r="H151" s="5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IFERROR(IF(SUMIFS(tblDaily[Admissions],tblDaily[EntryDate],DATE(2026,4,29),tblDaily[WardCode],"BF")=0,"",SUMIFS(tblDaily[Admissions],tblDaily[EntryDate],DATE(2026,4,29),tblDaily[WardCode],"BF")),"")</f>
        <v/>
      </c>
      <c r="C152" s="5" t="str">
        <f>IFERROR(IF(SUMIFS(tblDaily[Discharges],tblDaily[EntryDate],DATE(2026,4,29),tblDaily[WardCode],"BF")=0,"",SUMIFS(tblDaily[Discharges],tblDaily[EntryDate],DATE(2026,4,29),tblDaily[WardCode],"BF")),"")</f>
        <v/>
      </c>
      <c r="D152" s="5" t="str">
        <f>IFERROR(IF(SUMIFS(tblDaily[Deaths],tblDaily[EntryDate],DATE(2026,4,29),tblDaily[WardCode],"BF")=0,"",SUMIFS(tblDaily[Deaths],tblDaily[EntryDate],DATE(2026,4,29),tblDaily[WardCode],"BF")),"")</f>
        <v/>
      </c>
      <c r="E152" s="5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5" t="str">
        <f>IFERROR(IF(SUMIFS(tblDaily[TransfersIn],tblDaily[EntryDate],DATE(2026,4,29),tblDaily[WardCode],"BF")=0,"",SUMIFS(tblDaily[TransfersIn],tblDaily[EntryDate],DATE(2026,4,29),tblDaily[WardCode],"BF")),"")</f>
        <v/>
      </c>
      <c r="G152" s="5" t="str">
        <f>IFERROR(IF(SUMIFS(tblDaily[TransfersOut],tblDaily[EntryDate],DATE(2026,4,29),tblDaily[WardCode],"BF")=0,"",SUMIFS(tblDaily[TransfersOut],tblDaily[EntryDate],DATE(2026,4,29),tblDaily[WardCode],"BF")),"")</f>
        <v/>
      </c>
      <c r="H152" s="5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IFERROR(IF(SUMIFS(tblDaily[Admissions],tblDaily[EntryDate],DATE(2026,4,30),tblDaily[WardCode],"BF")=0,"",SUMIFS(tblDaily[Admissions],tblDaily[EntryDate],DATE(2026,4,30),tblDaily[WardCode],"BF")),"")</f>
        <v/>
      </c>
      <c r="C153" s="5" t="str">
        <f>IFERROR(IF(SUMIFS(tblDaily[Discharges],tblDaily[EntryDate],DATE(2026,4,30),tblDaily[WardCode],"BF")=0,"",SUMIFS(tblDaily[Discharges],tblDaily[EntryDate],DATE(2026,4,30),tblDaily[WardCode],"BF")),"")</f>
        <v/>
      </c>
      <c r="D153" s="5" t="str">
        <f>IFERROR(IF(SUMIFS(tblDaily[Deaths],tblDaily[EntryDate],DATE(2026,4,30),tblDaily[WardCode],"BF")=0,"",SUMIFS(tblDaily[Deaths],tblDaily[EntryDate],DATE(2026,4,30),tblDaily[WardCode],"BF")),"")</f>
        <v/>
      </c>
      <c r="E153" s="5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5" t="str">
        <f>IFERROR(IF(SUMIFS(tblDaily[TransfersIn],tblDaily[EntryDate],DATE(2026,4,30),tblDaily[WardCode],"BF")=0,"",SUMIFS(tblDaily[TransfersIn],tblDaily[EntryDate],DATE(2026,4,30),tblDaily[WardCode],"BF")),"")</f>
        <v/>
      </c>
      <c r="G153" s="5" t="str">
        <f>IFERROR(IF(SUMIFS(tblDaily[TransfersOut],tblDaily[EntryDate],DATE(2026,4,30),tblDaily[WardCode],"BF")=0,"",SUMIFS(tblDaily[TransfersOut],tblDaily[EntryDate],DATE(2026,4,30),tblDaily[WardCode],"BF")),"")</f>
        <v/>
      </c>
      <c r="H153" s="5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98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89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IFERROR(IF(SUMIFS(tblDaily[Admissions],tblDaily[EntryDate],DATE(2026,5,1),tblDaily[WardCode],"BF")=0,"",SUMIFS(tblDaily[Admissions],tblDaily[EntryDate],DATE(2026,5,1),tblDaily[WardCode],"BF")),"")</f>
        <v/>
      </c>
      <c r="C163" s="5" t="str">
        <f>IFERROR(IF(SUMIFS(tblDaily[Discharges],tblDaily[EntryDate],DATE(2026,5,1),tblDaily[WardCode],"BF")=0,"",SUMIFS(tblDaily[Discharges],tblDaily[EntryDate],DATE(2026,5,1),tblDaily[WardCode],"BF")),"")</f>
        <v/>
      </c>
      <c r="D163" s="5" t="str">
        <f>IFERROR(IF(SUMIFS(tblDaily[Deaths],tblDaily[EntryDate],DATE(2026,5,1),tblDaily[WardCode],"BF")=0,"",SUMIFS(tblDaily[Deaths],tblDaily[EntryDate],DATE(2026,5,1),tblDaily[WardCode],"BF")),"")</f>
        <v/>
      </c>
      <c r="E163" s="5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5" t="str">
        <f>IFERROR(IF(SUMIFS(tblDaily[TransfersIn],tblDaily[EntryDate],DATE(2026,5,1),tblDaily[WardCode],"BF")=0,"",SUMIFS(tblDaily[TransfersIn],tblDaily[EntryDate],DATE(2026,5,1),tblDaily[WardCode],"BF")),"")</f>
        <v/>
      </c>
      <c r="G163" s="5" t="str">
        <f>IFERROR(IF(SUMIFS(tblDaily[TransfersOut],tblDaily[EntryDate],DATE(2026,5,1),tblDaily[WardCode],"BF")=0,"",SUMIFS(tblDaily[TransfersOut],tblDaily[EntryDate],DATE(2026,5,1),tblDaily[WardCode],"BF")),"")</f>
        <v/>
      </c>
      <c r="H163" s="5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IFERROR(IF(SUMIFS(tblDaily[Admissions],tblDaily[EntryDate],DATE(2026,5,2),tblDaily[WardCode],"BF")=0,"",SUMIFS(tblDaily[Admissions],tblDaily[EntryDate],DATE(2026,5,2),tblDaily[WardCode],"BF")),"")</f>
        <v/>
      </c>
      <c r="C164" s="5" t="str">
        <f>IFERROR(IF(SUMIFS(tblDaily[Discharges],tblDaily[EntryDate],DATE(2026,5,2),tblDaily[WardCode],"BF")=0,"",SUMIFS(tblDaily[Discharges],tblDaily[EntryDate],DATE(2026,5,2),tblDaily[WardCode],"BF")),"")</f>
        <v/>
      </c>
      <c r="D164" s="5" t="str">
        <f>IFERROR(IF(SUMIFS(tblDaily[Deaths],tblDaily[EntryDate],DATE(2026,5,2),tblDaily[WardCode],"BF")=0,"",SUMIFS(tblDaily[Deaths],tblDaily[EntryDate],DATE(2026,5,2),tblDaily[WardCode],"BF")),"")</f>
        <v/>
      </c>
      <c r="E164" s="5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5" t="str">
        <f>IFERROR(IF(SUMIFS(tblDaily[TransfersIn],tblDaily[EntryDate],DATE(2026,5,2),tblDaily[WardCode],"BF")=0,"",SUMIFS(tblDaily[TransfersIn],tblDaily[EntryDate],DATE(2026,5,2),tblDaily[WardCode],"BF")),"")</f>
        <v/>
      </c>
      <c r="G164" s="5" t="str">
        <f>IFERROR(IF(SUMIFS(tblDaily[TransfersOut],tblDaily[EntryDate],DATE(2026,5,2),tblDaily[WardCode],"BF")=0,"",SUMIFS(tblDaily[TransfersOut],tblDaily[EntryDate],DATE(2026,5,2),tblDaily[WardCode],"BF")),"")</f>
        <v/>
      </c>
      <c r="H164" s="5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IFERROR(IF(SUMIFS(tblDaily[Admissions],tblDaily[EntryDate],DATE(2026,5,3),tblDaily[WardCode],"BF")=0,"",SUMIFS(tblDaily[Admissions],tblDaily[EntryDate],DATE(2026,5,3),tblDaily[WardCode],"BF")),"")</f>
        <v/>
      </c>
      <c r="C165" s="5" t="str">
        <f>IFERROR(IF(SUMIFS(tblDaily[Discharges],tblDaily[EntryDate],DATE(2026,5,3),tblDaily[WardCode],"BF")=0,"",SUMIFS(tblDaily[Discharges],tblDaily[EntryDate],DATE(2026,5,3),tblDaily[WardCode],"BF")),"")</f>
        <v/>
      </c>
      <c r="D165" s="5" t="str">
        <f>IFERROR(IF(SUMIFS(tblDaily[Deaths],tblDaily[EntryDate],DATE(2026,5,3),tblDaily[WardCode],"BF")=0,"",SUMIFS(tblDaily[Deaths],tblDaily[EntryDate],DATE(2026,5,3),tblDaily[WardCode],"BF")),"")</f>
        <v/>
      </c>
      <c r="E165" s="5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5" t="str">
        <f>IFERROR(IF(SUMIFS(tblDaily[TransfersIn],tblDaily[EntryDate],DATE(2026,5,3),tblDaily[WardCode],"BF")=0,"",SUMIFS(tblDaily[TransfersIn],tblDaily[EntryDate],DATE(2026,5,3),tblDaily[WardCode],"BF")),"")</f>
        <v/>
      </c>
      <c r="G165" s="5" t="str">
        <f>IFERROR(IF(SUMIFS(tblDaily[TransfersOut],tblDaily[EntryDate],DATE(2026,5,3),tblDaily[WardCode],"BF")=0,"",SUMIFS(tblDaily[TransfersOut],tblDaily[EntryDate],DATE(2026,5,3),tblDaily[WardCode],"BF")),"")</f>
        <v/>
      </c>
      <c r="H165" s="5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IFERROR(IF(SUMIFS(tblDaily[Admissions],tblDaily[EntryDate],DATE(2026,5,4),tblDaily[WardCode],"BF")=0,"",SUMIFS(tblDaily[Admissions],tblDaily[EntryDate],DATE(2026,5,4),tblDaily[WardCode],"BF")),"")</f>
        <v/>
      </c>
      <c r="C166" s="5" t="str">
        <f>IFERROR(IF(SUMIFS(tblDaily[Discharges],tblDaily[EntryDate],DATE(2026,5,4),tblDaily[WardCode],"BF")=0,"",SUMIFS(tblDaily[Discharges],tblDaily[EntryDate],DATE(2026,5,4),tblDaily[WardCode],"BF")),"")</f>
        <v/>
      </c>
      <c r="D166" s="5" t="str">
        <f>IFERROR(IF(SUMIFS(tblDaily[Deaths],tblDaily[EntryDate],DATE(2026,5,4),tblDaily[WardCode],"BF")=0,"",SUMIFS(tblDaily[Deaths],tblDaily[EntryDate],DATE(2026,5,4),tblDaily[WardCode],"BF")),"")</f>
        <v/>
      </c>
      <c r="E166" s="5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5" t="str">
        <f>IFERROR(IF(SUMIFS(tblDaily[TransfersIn],tblDaily[EntryDate],DATE(2026,5,4),tblDaily[WardCode],"BF")=0,"",SUMIFS(tblDaily[TransfersIn],tblDaily[EntryDate],DATE(2026,5,4),tblDaily[WardCode],"BF")),"")</f>
        <v/>
      </c>
      <c r="G166" s="5" t="str">
        <f>IFERROR(IF(SUMIFS(tblDaily[TransfersOut],tblDaily[EntryDate],DATE(2026,5,4),tblDaily[WardCode],"BF")=0,"",SUMIFS(tblDaily[TransfersOut],tblDaily[EntryDate],DATE(2026,5,4),tblDaily[WardCode],"BF")),"")</f>
        <v/>
      </c>
      <c r="H166" s="5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IFERROR(IF(SUMIFS(tblDaily[Admissions],tblDaily[EntryDate],DATE(2026,5,5),tblDaily[WardCode],"BF")=0,"",SUMIFS(tblDaily[Admissions],tblDaily[EntryDate],DATE(2026,5,5),tblDaily[WardCode],"BF")),"")</f>
        <v/>
      </c>
      <c r="C167" s="5" t="str">
        <f>IFERROR(IF(SUMIFS(tblDaily[Discharges],tblDaily[EntryDate],DATE(2026,5,5),tblDaily[WardCode],"BF")=0,"",SUMIFS(tblDaily[Discharges],tblDaily[EntryDate],DATE(2026,5,5),tblDaily[WardCode],"BF")),"")</f>
        <v/>
      </c>
      <c r="D167" s="5" t="str">
        <f>IFERROR(IF(SUMIFS(tblDaily[Deaths],tblDaily[EntryDate],DATE(2026,5,5),tblDaily[WardCode],"BF")=0,"",SUMIFS(tblDaily[Deaths],tblDaily[EntryDate],DATE(2026,5,5),tblDaily[WardCode],"BF")),"")</f>
        <v/>
      </c>
      <c r="E167" s="5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5" t="str">
        <f>IFERROR(IF(SUMIFS(tblDaily[TransfersIn],tblDaily[EntryDate],DATE(2026,5,5),tblDaily[WardCode],"BF")=0,"",SUMIFS(tblDaily[TransfersIn],tblDaily[EntryDate],DATE(2026,5,5),tblDaily[WardCode],"BF")),"")</f>
        <v/>
      </c>
      <c r="G167" s="5" t="str">
        <f>IFERROR(IF(SUMIFS(tblDaily[TransfersOut],tblDaily[EntryDate],DATE(2026,5,5),tblDaily[WardCode],"BF")=0,"",SUMIFS(tblDaily[TransfersOut],tblDaily[EntryDate],DATE(2026,5,5),tblDaily[WardCode],"BF")),"")</f>
        <v/>
      </c>
      <c r="H167" s="5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IFERROR(IF(SUMIFS(tblDaily[Admissions],tblDaily[EntryDate],DATE(2026,5,6),tblDaily[WardCode],"BF")=0,"",SUMIFS(tblDaily[Admissions],tblDaily[EntryDate],DATE(2026,5,6),tblDaily[WardCode],"BF")),"")</f>
        <v/>
      </c>
      <c r="C168" s="5" t="str">
        <f>IFERROR(IF(SUMIFS(tblDaily[Discharges],tblDaily[EntryDate],DATE(2026,5,6),tblDaily[WardCode],"BF")=0,"",SUMIFS(tblDaily[Discharges],tblDaily[EntryDate],DATE(2026,5,6),tblDaily[WardCode],"BF")),"")</f>
        <v/>
      </c>
      <c r="D168" s="5" t="str">
        <f>IFERROR(IF(SUMIFS(tblDaily[Deaths],tblDaily[EntryDate],DATE(2026,5,6),tblDaily[WardCode],"BF")=0,"",SUMIFS(tblDaily[Deaths],tblDaily[EntryDate],DATE(2026,5,6),tblDaily[WardCode],"BF")),"")</f>
        <v/>
      </c>
      <c r="E168" s="5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5" t="str">
        <f>IFERROR(IF(SUMIFS(tblDaily[TransfersIn],tblDaily[EntryDate],DATE(2026,5,6),tblDaily[WardCode],"BF")=0,"",SUMIFS(tblDaily[TransfersIn],tblDaily[EntryDate],DATE(2026,5,6),tblDaily[WardCode],"BF")),"")</f>
        <v/>
      </c>
      <c r="G168" s="5" t="str">
        <f>IFERROR(IF(SUMIFS(tblDaily[TransfersOut],tblDaily[EntryDate],DATE(2026,5,6),tblDaily[WardCode],"BF")=0,"",SUMIFS(tblDaily[TransfersOut],tblDaily[EntryDate],DATE(2026,5,6),tblDaily[WardCode],"BF")),"")</f>
        <v/>
      </c>
      <c r="H168" s="5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IFERROR(IF(SUMIFS(tblDaily[Admissions],tblDaily[EntryDate],DATE(2026,5,7),tblDaily[WardCode],"BF")=0,"",SUMIFS(tblDaily[Admissions],tblDaily[EntryDate],DATE(2026,5,7),tblDaily[WardCode],"BF")),"")</f>
        <v/>
      </c>
      <c r="C169" s="5" t="str">
        <f>IFERROR(IF(SUMIFS(tblDaily[Discharges],tblDaily[EntryDate],DATE(2026,5,7),tblDaily[WardCode],"BF")=0,"",SUMIFS(tblDaily[Discharges],tblDaily[EntryDate],DATE(2026,5,7),tblDaily[WardCode],"BF")),"")</f>
        <v/>
      </c>
      <c r="D169" s="5" t="str">
        <f>IFERROR(IF(SUMIFS(tblDaily[Deaths],tblDaily[EntryDate],DATE(2026,5,7),tblDaily[WardCode],"BF")=0,"",SUMIFS(tblDaily[Deaths],tblDaily[EntryDate],DATE(2026,5,7),tblDaily[WardCode],"BF")),"")</f>
        <v/>
      </c>
      <c r="E169" s="5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5" t="str">
        <f>IFERROR(IF(SUMIFS(tblDaily[TransfersIn],tblDaily[EntryDate],DATE(2026,5,7),tblDaily[WardCode],"BF")=0,"",SUMIFS(tblDaily[TransfersIn],tblDaily[EntryDate],DATE(2026,5,7),tblDaily[WardCode],"BF")),"")</f>
        <v/>
      </c>
      <c r="G169" s="5" t="str">
        <f>IFERROR(IF(SUMIFS(tblDaily[TransfersOut],tblDaily[EntryDate],DATE(2026,5,7),tblDaily[WardCode],"BF")=0,"",SUMIFS(tblDaily[TransfersOut],tblDaily[EntryDate],DATE(2026,5,7),tblDaily[WardCode],"BF")),"")</f>
        <v/>
      </c>
      <c r="H169" s="5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IFERROR(IF(SUMIFS(tblDaily[Admissions],tblDaily[EntryDate],DATE(2026,5,8),tblDaily[WardCode],"BF")=0,"",SUMIFS(tblDaily[Admissions],tblDaily[EntryDate],DATE(2026,5,8),tblDaily[WardCode],"BF")),"")</f>
        <v/>
      </c>
      <c r="C170" s="5" t="str">
        <f>IFERROR(IF(SUMIFS(tblDaily[Discharges],tblDaily[EntryDate],DATE(2026,5,8),tblDaily[WardCode],"BF")=0,"",SUMIFS(tblDaily[Discharges],tblDaily[EntryDate],DATE(2026,5,8),tblDaily[WardCode],"BF")),"")</f>
        <v/>
      </c>
      <c r="D170" s="5" t="str">
        <f>IFERROR(IF(SUMIFS(tblDaily[Deaths],tblDaily[EntryDate],DATE(2026,5,8),tblDaily[WardCode],"BF")=0,"",SUMIFS(tblDaily[Deaths],tblDaily[EntryDate],DATE(2026,5,8),tblDaily[WardCode],"BF")),"")</f>
        <v/>
      </c>
      <c r="E170" s="5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5" t="str">
        <f>IFERROR(IF(SUMIFS(tblDaily[TransfersIn],tblDaily[EntryDate],DATE(2026,5,8),tblDaily[WardCode],"BF")=0,"",SUMIFS(tblDaily[TransfersIn],tblDaily[EntryDate],DATE(2026,5,8),tblDaily[WardCode],"BF")),"")</f>
        <v/>
      </c>
      <c r="G170" s="5" t="str">
        <f>IFERROR(IF(SUMIFS(tblDaily[TransfersOut],tblDaily[EntryDate],DATE(2026,5,8),tblDaily[WardCode],"BF")=0,"",SUMIFS(tblDaily[TransfersOut],tblDaily[EntryDate],DATE(2026,5,8),tblDaily[WardCode],"BF")),"")</f>
        <v/>
      </c>
      <c r="H170" s="5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IFERROR(IF(SUMIFS(tblDaily[Admissions],tblDaily[EntryDate],DATE(2026,5,9),tblDaily[WardCode],"BF")=0,"",SUMIFS(tblDaily[Admissions],tblDaily[EntryDate],DATE(2026,5,9),tblDaily[WardCode],"BF")),"")</f>
        <v/>
      </c>
      <c r="C171" s="5" t="str">
        <f>IFERROR(IF(SUMIFS(tblDaily[Discharges],tblDaily[EntryDate],DATE(2026,5,9),tblDaily[WardCode],"BF")=0,"",SUMIFS(tblDaily[Discharges],tblDaily[EntryDate],DATE(2026,5,9),tblDaily[WardCode],"BF")),"")</f>
        <v/>
      </c>
      <c r="D171" s="5" t="str">
        <f>IFERROR(IF(SUMIFS(tblDaily[Deaths],tblDaily[EntryDate],DATE(2026,5,9),tblDaily[WardCode],"BF")=0,"",SUMIFS(tblDaily[Deaths],tblDaily[EntryDate],DATE(2026,5,9),tblDaily[WardCode],"BF")),"")</f>
        <v/>
      </c>
      <c r="E171" s="5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5" t="str">
        <f>IFERROR(IF(SUMIFS(tblDaily[TransfersIn],tblDaily[EntryDate],DATE(2026,5,9),tblDaily[WardCode],"BF")=0,"",SUMIFS(tblDaily[TransfersIn],tblDaily[EntryDate],DATE(2026,5,9),tblDaily[WardCode],"BF")),"")</f>
        <v/>
      </c>
      <c r="G171" s="5" t="str">
        <f>IFERROR(IF(SUMIFS(tblDaily[TransfersOut],tblDaily[EntryDate],DATE(2026,5,9),tblDaily[WardCode],"BF")=0,"",SUMIFS(tblDaily[TransfersOut],tblDaily[EntryDate],DATE(2026,5,9),tblDaily[WardCode],"BF")),"")</f>
        <v/>
      </c>
      <c r="H171" s="5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IFERROR(IF(SUMIFS(tblDaily[Admissions],tblDaily[EntryDate],DATE(2026,5,10),tblDaily[WardCode],"BF")=0,"",SUMIFS(tblDaily[Admissions],tblDaily[EntryDate],DATE(2026,5,10),tblDaily[WardCode],"BF")),"")</f>
        <v/>
      </c>
      <c r="C172" s="5" t="str">
        <f>IFERROR(IF(SUMIFS(tblDaily[Discharges],tblDaily[EntryDate],DATE(2026,5,10),tblDaily[WardCode],"BF")=0,"",SUMIFS(tblDaily[Discharges],tblDaily[EntryDate],DATE(2026,5,10),tblDaily[WardCode],"BF")),"")</f>
        <v/>
      </c>
      <c r="D172" s="5" t="str">
        <f>IFERROR(IF(SUMIFS(tblDaily[Deaths],tblDaily[EntryDate],DATE(2026,5,10),tblDaily[WardCode],"BF")=0,"",SUMIFS(tblDaily[Deaths],tblDaily[EntryDate],DATE(2026,5,10),tblDaily[WardCode],"BF")),"")</f>
        <v/>
      </c>
      <c r="E172" s="5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5" t="str">
        <f>IFERROR(IF(SUMIFS(tblDaily[TransfersIn],tblDaily[EntryDate],DATE(2026,5,10),tblDaily[WardCode],"BF")=0,"",SUMIFS(tblDaily[TransfersIn],tblDaily[EntryDate],DATE(2026,5,10),tblDaily[WardCode],"BF")),"")</f>
        <v/>
      </c>
      <c r="G172" s="5" t="str">
        <f>IFERROR(IF(SUMIFS(tblDaily[TransfersOut],tblDaily[EntryDate],DATE(2026,5,10),tblDaily[WardCode],"BF")=0,"",SUMIFS(tblDaily[TransfersOut],tblDaily[EntryDate],DATE(2026,5,10),tblDaily[WardCode],"BF")),"")</f>
        <v/>
      </c>
      <c r="H172" s="5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IFERROR(IF(SUMIFS(tblDaily[Admissions],tblDaily[EntryDate],DATE(2026,5,11),tblDaily[WardCode],"BF")=0,"",SUMIFS(tblDaily[Admissions],tblDaily[EntryDate],DATE(2026,5,11),tblDaily[WardCode],"BF")),"")</f>
        <v/>
      </c>
      <c r="C173" s="5" t="str">
        <f>IFERROR(IF(SUMIFS(tblDaily[Discharges],tblDaily[EntryDate],DATE(2026,5,11),tblDaily[WardCode],"BF")=0,"",SUMIFS(tblDaily[Discharges],tblDaily[EntryDate],DATE(2026,5,11),tblDaily[WardCode],"BF")),"")</f>
        <v/>
      </c>
      <c r="D173" s="5" t="str">
        <f>IFERROR(IF(SUMIFS(tblDaily[Deaths],tblDaily[EntryDate],DATE(2026,5,11),tblDaily[WardCode],"BF")=0,"",SUMIFS(tblDaily[Deaths],tblDaily[EntryDate],DATE(2026,5,11),tblDaily[WardCode],"BF")),"")</f>
        <v/>
      </c>
      <c r="E173" s="5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5" t="str">
        <f>IFERROR(IF(SUMIFS(tblDaily[TransfersIn],tblDaily[EntryDate],DATE(2026,5,11),tblDaily[WardCode],"BF")=0,"",SUMIFS(tblDaily[TransfersIn],tblDaily[EntryDate],DATE(2026,5,11),tblDaily[WardCode],"BF")),"")</f>
        <v/>
      </c>
      <c r="G173" s="5" t="str">
        <f>IFERROR(IF(SUMIFS(tblDaily[TransfersOut],tblDaily[EntryDate],DATE(2026,5,11),tblDaily[WardCode],"BF")=0,"",SUMIFS(tblDaily[TransfersOut],tblDaily[EntryDate],DATE(2026,5,11),tblDaily[WardCode],"BF")),"")</f>
        <v/>
      </c>
      <c r="H173" s="5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IFERROR(IF(SUMIFS(tblDaily[Admissions],tblDaily[EntryDate],DATE(2026,5,12),tblDaily[WardCode],"BF")=0,"",SUMIFS(tblDaily[Admissions],tblDaily[EntryDate],DATE(2026,5,12),tblDaily[WardCode],"BF")),"")</f>
        <v/>
      </c>
      <c r="C174" s="5" t="str">
        <f>IFERROR(IF(SUMIFS(tblDaily[Discharges],tblDaily[EntryDate],DATE(2026,5,12),tblDaily[WardCode],"BF")=0,"",SUMIFS(tblDaily[Discharges],tblDaily[EntryDate],DATE(2026,5,12),tblDaily[WardCode],"BF")),"")</f>
        <v/>
      </c>
      <c r="D174" s="5" t="str">
        <f>IFERROR(IF(SUMIFS(tblDaily[Deaths],tblDaily[EntryDate],DATE(2026,5,12),tblDaily[WardCode],"BF")=0,"",SUMIFS(tblDaily[Deaths],tblDaily[EntryDate],DATE(2026,5,12),tblDaily[WardCode],"BF")),"")</f>
        <v/>
      </c>
      <c r="E174" s="5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5" t="str">
        <f>IFERROR(IF(SUMIFS(tblDaily[TransfersIn],tblDaily[EntryDate],DATE(2026,5,12),tblDaily[WardCode],"BF")=0,"",SUMIFS(tblDaily[TransfersIn],tblDaily[EntryDate],DATE(2026,5,12),tblDaily[WardCode],"BF")),"")</f>
        <v/>
      </c>
      <c r="G174" s="5" t="str">
        <f>IFERROR(IF(SUMIFS(tblDaily[TransfersOut],tblDaily[EntryDate],DATE(2026,5,12),tblDaily[WardCode],"BF")=0,"",SUMIFS(tblDaily[TransfersOut],tblDaily[EntryDate],DATE(2026,5,12),tblDaily[WardCode],"BF")),"")</f>
        <v/>
      </c>
      <c r="H174" s="5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IFERROR(IF(SUMIFS(tblDaily[Admissions],tblDaily[EntryDate],DATE(2026,5,13),tblDaily[WardCode],"BF")=0,"",SUMIFS(tblDaily[Admissions],tblDaily[EntryDate],DATE(2026,5,13),tblDaily[WardCode],"BF")),"")</f>
        <v/>
      </c>
      <c r="C175" s="5" t="str">
        <f>IFERROR(IF(SUMIFS(tblDaily[Discharges],tblDaily[EntryDate],DATE(2026,5,13),tblDaily[WardCode],"BF")=0,"",SUMIFS(tblDaily[Discharges],tblDaily[EntryDate],DATE(2026,5,13),tblDaily[WardCode],"BF")),"")</f>
        <v/>
      </c>
      <c r="D175" s="5" t="str">
        <f>IFERROR(IF(SUMIFS(tblDaily[Deaths],tblDaily[EntryDate],DATE(2026,5,13),tblDaily[WardCode],"BF")=0,"",SUMIFS(tblDaily[Deaths],tblDaily[EntryDate],DATE(2026,5,13),tblDaily[WardCode],"BF")),"")</f>
        <v/>
      </c>
      <c r="E175" s="5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5" t="str">
        <f>IFERROR(IF(SUMIFS(tblDaily[TransfersIn],tblDaily[EntryDate],DATE(2026,5,13),tblDaily[WardCode],"BF")=0,"",SUMIFS(tblDaily[TransfersIn],tblDaily[EntryDate],DATE(2026,5,13),tblDaily[WardCode],"BF")),"")</f>
        <v/>
      </c>
      <c r="G175" s="5" t="str">
        <f>IFERROR(IF(SUMIFS(tblDaily[TransfersOut],tblDaily[EntryDate],DATE(2026,5,13),tblDaily[WardCode],"BF")=0,"",SUMIFS(tblDaily[TransfersOut],tblDaily[EntryDate],DATE(2026,5,13),tblDaily[WardCode],"BF")),"")</f>
        <v/>
      </c>
      <c r="H175" s="5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IFERROR(IF(SUMIFS(tblDaily[Admissions],tblDaily[EntryDate],DATE(2026,5,14),tblDaily[WardCode],"BF")=0,"",SUMIFS(tblDaily[Admissions],tblDaily[EntryDate],DATE(2026,5,14),tblDaily[WardCode],"BF")),"")</f>
        <v/>
      </c>
      <c r="C176" s="5" t="str">
        <f>IFERROR(IF(SUMIFS(tblDaily[Discharges],tblDaily[EntryDate],DATE(2026,5,14),tblDaily[WardCode],"BF")=0,"",SUMIFS(tblDaily[Discharges],tblDaily[EntryDate],DATE(2026,5,14),tblDaily[WardCode],"BF")),"")</f>
        <v/>
      </c>
      <c r="D176" s="5" t="str">
        <f>IFERROR(IF(SUMIFS(tblDaily[Deaths],tblDaily[EntryDate],DATE(2026,5,14),tblDaily[WardCode],"BF")=0,"",SUMIFS(tblDaily[Deaths],tblDaily[EntryDate],DATE(2026,5,14),tblDaily[WardCode],"BF")),"")</f>
        <v/>
      </c>
      <c r="E176" s="5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5" t="str">
        <f>IFERROR(IF(SUMIFS(tblDaily[TransfersIn],tblDaily[EntryDate],DATE(2026,5,14),tblDaily[WardCode],"BF")=0,"",SUMIFS(tblDaily[TransfersIn],tblDaily[EntryDate],DATE(2026,5,14),tblDaily[WardCode],"BF")),"")</f>
        <v/>
      </c>
      <c r="G176" s="5" t="str">
        <f>IFERROR(IF(SUMIFS(tblDaily[TransfersOut],tblDaily[EntryDate],DATE(2026,5,14),tblDaily[WardCode],"BF")=0,"",SUMIFS(tblDaily[TransfersOut],tblDaily[EntryDate],DATE(2026,5,14),tblDaily[WardCode],"BF")),"")</f>
        <v/>
      </c>
      <c r="H176" s="5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IFERROR(IF(SUMIFS(tblDaily[Admissions],tblDaily[EntryDate],DATE(2026,5,15),tblDaily[WardCode],"BF")=0,"",SUMIFS(tblDaily[Admissions],tblDaily[EntryDate],DATE(2026,5,15),tblDaily[WardCode],"BF")),"")</f>
        <v/>
      </c>
      <c r="C177" s="5" t="str">
        <f>IFERROR(IF(SUMIFS(tblDaily[Discharges],tblDaily[EntryDate],DATE(2026,5,15),tblDaily[WardCode],"BF")=0,"",SUMIFS(tblDaily[Discharges],tblDaily[EntryDate],DATE(2026,5,15),tblDaily[WardCode],"BF")),"")</f>
        <v/>
      </c>
      <c r="D177" s="5" t="str">
        <f>IFERROR(IF(SUMIFS(tblDaily[Deaths],tblDaily[EntryDate],DATE(2026,5,15),tblDaily[WardCode],"BF")=0,"",SUMIFS(tblDaily[Deaths],tblDaily[EntryDate],DATE(2026,5,15),tblDaily[WardCode],"BF")),"")</f>
        <v/>
      </c>
      <c r="E177" s="5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5" t="str">
        <f>IFERROR(IF(SUMIFS(tblDaily[TransfersIn],tblDaily[EntryDate],DATE(2026,5,15),tblDaily[WardCode],"BF")=0,"",SUMIFS(tblDaily[TransfersIn],tblDaily[EntryDate],DATE(2026,5,15),tblDaily[WardCode],"BF")),"")</f>
        <v/>
      </c>
      <c r="G177" s="5" t="str">
        <f>IFERROR(IF(SUMIFS(tblDaily[TransfersOut],tblDaily[EntryDate],DATE(2026,5,15),tblDaily[WardCode],"BF")=0,"",SUMIFS(tblDaily[TransfersOut],tblDaily[EntryDate],DATE(2026,5,15),tblDaily[WardCode],"BF")),"")</f>
        <v/>
      </c>
      <c r="H177" s="5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IFERROR(IF(SUMIFS(tblDaily[Admissions],tblDaily[EntryDate],DATE(2026,5,16),tblDaily[WardCode],"BF")=0,"",SUMIFS(tblDaily[Admissions],tblDaily[EntryDate],DATE(2026,5,16),tblDaily[WardCode],"BF")),"")</f>
        <v/>
      </c>
      <c r="C178" s="5" t="str">
        <f>IFERROR(IF(SUMIFS(tblDaily[Discharges],tblDaily[EntryDate],DATE(2026,5,16),tblDaily[WardCode],"BF")=0,"",SUMIFS(tblDaily[Discharges],tblDaily[EntryDate],DATE(2026,5,16),tblDaily[WardCode],"BF")),"")</f>
        <v/>
      </c>
      <c r="D178" s="5" t="str">
        <f>IFERROR(IF(SUMIFS(tblDaily[Deaths],tblDaily[EntryDate],DATE(2026,5,16),tblDaily[WardCode],"BF")=0,"",SUMIFS(tblDaily[Deaths],tblDaily[EntryDate],DATE(2026,5,16),tblDaily[WardCode],"BF")),"")</f>
        <v/>
      </c>
      <c r="E178" s="5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5" t="str">
        <f>IFERROR(IF(SUMIFS(tblDaily[TransfersIn],tblDaily[EntryDate],DATE(2026,5,16),tblDaily[WardCode],"BF")=0,"",SUMIFS(tblDaily[TransfersIn],tblDaily[EntryDate],DATE(2026,5,16),tblDaily[WardCode],"BF")),"")</f>
        <v/>
      </c>
      <c r="G178" s="5" t="str">
        <f>IFERROR(IF(SUMIFS(tblDaily[TransfersOut],tblDaily[EntryDate],DATE(2026,5,16),tblDaily[WardCode],"BF")=0,"",SUMIFS(tblDaily[TransfersOut],tblDaily[EntryDate],DATE(2026,5,16),tblDaily[WardCode],"BF")),"")</f>
        <v/>
      </c>
      <c r="H178" s="5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IFERROR(IF(SUMIFS(tblDaily[Admissions],tblDaily[EntryDate],DATE(2026,5,17),tblDaily[WardCode],"BF")=0,"",SUMIFS(tblDaily[Admissions],tblDaily[EntryDate],DATE(2026,5,17),tblDaily[WardCode],"BF")),"")</f>
        <v/>
      </c>
      <c r="C179" s="5" t="str">
        <f>IFERROR(IF(SUMIFS(tblDaily[Discharges],tblDaily[EntryDate],DATE(2026,5,17),tblDaily[WardCode],"BF")=0,"",SUMIFS(tblDaily[Discharges],tblDaily[EntryDate],DATE(2026,5,17),tblDaily[WardCode],"BF")),"")</f>
        <v/>
      </c>
      <c r="D179" s="5" t="str">
        <f>IFERROR(IF(SUMIFS(tblDaily[Deaths],tblDaily[EntryDate],DATE(2026,5,17),tblDaily[WardCode],"BF")=0,"",SUMIFS(tblDaily[Deaths],tblDaily[EntryDate],DATE(2026,5,17),tblDaily[WardCode],"BF")),"")</f>
        <v/>
      </c>
      <c r="E179" s="5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5" t="str">
        <f>IFERROR(IF(SUMIFS(tblDaily[TransfersIn],tblDaily[EntryDate],DATE(2026,5,17),tblDaily[WardCode],"BF")=0,"",SUMIFS(tblDaily[TransfersIn],tblDaily[EntryDate],DATE(2026,5,17),tblDaily[WardCode],"BF")),"")</f>
        <v/>
      </c>
      <c r="G179" s="5" t="str">
        <f>IFERROR(IF(SUMIFS(tblDaily[TransfersOut],tblDaily[EntryDate],DATE(2026,5,17),tblDaily[WardCode],"BF")=0,"",SUMIFS(tblDaily[TransfersOut],tblDaily[EntryDate],DATE(2026,5,17),tblDaily[WardCode],"BF")),"")</f>
        <v/>
      </c>
      <c r="H179" s="5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IFERROR(IF(SUMIFS(tblDaily[Admissions],tblDaily[EntryDate],DATE(2026,5,18),tblDaily[WardCode],"BF")=0,"",SUMIFS(tblDaily[Admissions],tblDaily[EntryDate],DATE(2026,5,18),tblDaily[WardCode],"BF")),"")</f>
        <v/>
      </c>
      <c r="C180" s="5" t="str">
        <f>IFERROR(IF(SUMIFS(tblDaily[Discharges],tblDaily[EntryDate],DATE(2026,5,18),tblDaily[WardCode],"BF")=0,"",SUMIFS(tblDaily[Discharges],tblDaily[EntryDate],DATE(2026,5,18),tblDaily[WardCode],"BF")),"")</f>
        <v/>
      </c>
      <c r="D180" s="5" t="str">
        <f>IFERROR(IF(SUMIFS(tblDaily[Deaths],tblDaily[EntryDate],DATE(2026,5,18),tblDaily[WardCode],"BF")=0,"",SUMIFS(tblDaily[Deaths],tblDaily[EntryDate],DATE(2026,5,18),tblDaily[WardCode],"BF")),"")</f>
        <v/>
      </c>
      <c r="E180" s="5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5" t="str">
        <f>IFERROR(IF(SUMIFS(tblDaily[TransfersIn],tblDaily[EntryDate],DATE(2026,5,18),tblDaily[WardCode],"BF")=0,"",SUMIFS(tblDaily[TransfersIn],tblDaily[EntryDate],DATE(2026,5,18),tblDaily[WardCode],"BF")),"")</f>
        <v/>
      </c>
      <c r="G180" s="5" t="str">
        <f>IFERROR(IF(SUMIFS(tblDaily[TransfersOut],tblDaily[EntryDate],DATE(2026,5,18),tblDaily[WardCode],"BF")=0,"",SUMIFS(tblDaily[TransfersOut],tblDaily[EntryDate],DATE(2026,5,18),tblDaily[WardCode],"BF")),"")</f>
        <v/>
      </c>
      <c r="H180" s="5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IFERROR(IF(SUMIFS(tblDaily[Admissions],tblDaily[EntryDate],DATE(2026,5,19),tblDaily[WardCode],"BF")=0,"",SUMIFS(tblDaily[Admissions],tblDaily[EntryDate],DATE(2026,5,19),tblDaily[WardCode],"BF")),"")</f>
        <v/>
      </c>
      <c r="C181" s="5" t="str">
        <f>IFERROR(IF(SUMIFS(tblDaily[Discharges],tblDaily[EntryDate],DATE(2026,5,19),tblDaily[WardCode],"BF")=0,"",SUMIFS(tblDaily[Discharges],tblDaily[EntryDate],DATE(2026,5,19),tblDaily[WardCode],"BF")),"")</f>
        <v/>
      </c>
      <c r="D181" s="5" t="str">
        <f>IFERROR(IF(SUMIFS(tblDaily[Deaths],tblDaily[EntryDate],DATE(2026,5,19),tblDaily[WardCode],"BF")=0,"",SUMIFS(tblDaily[Deaths],tblDaily[EntryDate],DATE(2026,5,19),tblDaily[WardCode],"BF")),"")</f>
        <v/>
      </c>
      <c r="E181" s="5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5" t="str">
        <f>IFERROR(IF(SUMIFS(tblDaily[TransfersIn],tblDaily[EntryDate],DATE(2026,5,19),tblDaily[WardCode],"BF")=0,"",SUMIFS(tblDaily[TransfersIn],tblDaily[EntryDate],DATE(2026,5,19),tblDaily[WardCode],"BF")),"")</f>
        <v/>
      </c>
      <c r="G181" s="5" t="str">
        <f>IFERROR(IF(SUMIFS(tblDaily[TransfersOut],tblDaily[EntryDate],DATE(2026,5,19),tblDaily[WardCode],"BF")=0,"",SUMIFS(tblDaily[TransfersOut],tblDaily[EntryDate],DATE(2026,5,19),tblDaily[WardCode],"BF")),"")</f>
        <v/>
      </c>
      <c r="H181" s="5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IFERROR(IF(SUMIFS(tblDaily[Admissions],tblDaily[EntryDate],DATE(2026,5,20),tblDaily[WardCode],"BF")=0,"",SUMIFS(tblDaily[Admissions],tblDaily[EntryDate],DATE(2026,5,20),tblDaily[WardCode],"BF")),"")</f>
        <v/>
      </c>
      <c r="C182" s="5" t="str">
        <f>IFERROR(IF(SUMIFS(tblDaily[Discharges],tblDaily[EntryDate],DATE(2026,5,20),tblDaily[WardCode],"BF")=0,"",SUMIFS(tblDaily[Discharges],tblDaily[EntryDate],DATE(2026,5,20),tblDaily[WardCode],"BF")),"")</f>
        <v/>
      </c>
      <c r="D182" s="5" t="str">
        <f>IFERROR(IF(SUMIFS(tblDaily[Deaths],tblDaily[EntryDate],DATE(2026,5,20),tblDaily[WardCode],"BF")=0,"",SUMIFS(tblDaily[Deaths],tblDaily[EntryDate],DATE(2026,5,20),tblDaily[WardCode],"BF")),"")</f>
        <v/>
      </c>
      <c r="E182" s="5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5" t="str">
        <f>IFERROR(IF(SUMIFS(tblDaily[TransfersIn],tblDaily[EntryDate],DATE(2026,5,20),tblDaily[WardCode],"BF")=0,"",SUMIFS(tblDaily[TransfersIn],tblDaily[EntryDate],DATE(2026,5,20),tblDaily[WardCode],"BF")),"")</f>
        <v/>
      </c>
      <c r="G182" s="5" t="str">
        <f>IFERROR(IF(SUMIFS(tblDaily[TransfersOut],tblDaily[EntryDate],DATE(2026,5,20),tblDaily[WardCode],"BF")=0,"",SUMIFS(tblDaily[TransfersOut],tblDaily[EntryDate],DATE(2026,5,20),tblDaily[WardCode],"BF")),"")</f>
        <v/>
      </c>
      <c r="H182" s="5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IFERROR(IF(SUMIFS(tblDaily[Admissions],tblDaily[EntryDate],DATE(2026,5,21),tblDaily[WardCode],"BF")=0,"",SUMIFS(tblDaily[Admissions],tblDaily[EntryDate],DATE(2026,5,21),tblDaily[WardCode],"BF")),"")</f>
        <v/>
      </c>
      <c r="C183" s="5" t="str">
        <f>IFERROR(IF(SUMIFS(tblDaily[Discharges],tblDaily[EntryDate],DATE(2026,5,21),tblDaily[WardCode],"BF")=0,"",SUMIFS(tblDaily[Discharges],tblDaily[EntryDate],DATE(2026,5,21),tblDaily[WardCode],"BF")),"")</f>
        <v/>
      </c>
      <c r="D183" s="5" t="str">
        <f>IFERROR(IF(SUMIFS(tblDaily[Deaths],tblDaily[EntryDate],DATE(2026,5,21),tblDaily[WardCode],"BF")=0,"",SUMIFS(tblDaily[Deaths],tblDaily[EntryDate],DATE(2026,5,21),tblDaily[WardCode],"BF")),"")</f>
        <v/>
      </c>
      <c r="E183" s="5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5" t="str">
        <f>IFERROR(IF(SUMIFS(tblDaily[TransfersIn],tblDaily[EntryDate],DATE(2026,5,21),tblDaily[WardCode],"BF")=0,"",SUMIFS(tblDaily[TransfersIn],tblDaily[EntryDate],DATE(2026,5,21),tblDaily[WardCode],"BF")),"")</f>
        <v/>
      </c>
      <c r="G183" s="5" t="str">
        <f>IFERROR(IF(SUMIFS(tblDaily[TransfersOut],tblDaily[EntryDate],DATE(2026,5,21),tblDaily[WardCode],"BF")=0,"",SUMIFS(tblDaily[TransfersOut],tblDaily[EntryDate],DATE(2026,5,21),tblDaily[WardCode],"BF")),"")</f>
        <v/>
      </c>
      <c r="H183" s="5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IFERROR(IF(SUMIFS(tblDaily[Admissions],tblDaily[EntryDate],DATE(2026,5,22),tblDaily[WardCode],"BF")=0,"",SUMIFS(tblDaily[Admissions],tblDaily[EntryDate],DATE(2026,5,22),tblDaily[WardCode],"BF")),"")</f>
        <v/>
      </c>
      <c r="C184" s="5" t="str">
        <f>IFERROR(IF(SUMIFS(tblDaily[Discharges],tblDaily[EntryDate],DATE(2026,5,22),tblDaily[WardCode],"BF")=0,"",SUMIFS(tblDaily[Discharges],tblDaily[EntryDate],DATE(2026,5,22),tblDaily[WardCode],"BF")),"")</f>
        <v/>
      </c>
      <c r="D184" s="5" t="str">
        <f>IFERROR(IF(SUMIFS(tblDaily[Deaths],tblDaily[EntryDate],DATE(2026,5,22),tblDaily[WardCode],"BF")=0,"",SUMIFS(tblDaily[Deaths],tblDaily[EntryDate],DATE(2026,5,22),tblDaily[WardCode],"BF")),"")</f>
        <v/>
      </c>
      <c r="E184" s="5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5" t="str">
        <f>IFERROR(IF(SUMIFS(tblDaily[TransfersIn],tblDaily[EntryDate],DATE(2026,5,22),tblDaily[WardCode],"BF")=0,"",SUMIFS(tblDaily[TransfersIn],tblDaily[EntryDate],DATE(2026,5,22),tblDaily[WardCode],"BF")),"")</f>
        <v/>
      </c>
      <c r="G184" s="5" t="str">
        <f>IFERROR(IF(SUMIFS(tblDaily[TransfersOut],tblDaily[EntryDate],DATE(2026,5,22),tblDaily[WardCode],"BF")=0,"",SUMIFS(tblDaily[TransfersOut],tblDaily[EntryDate],DATE(2026,5,22),tblDaily[WardCode],"BF")),"")</f>
        <v/>
      </c>
      <c r="H184" s="5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IFERROR(IF(SUMIFS(tblDaily[Admissions],tblDaily[EntryDate],DATE(2026,5,23),tblDaily[WardCode],"BF")=0,"",SUMIFS(tblDaily[Admissions],tblDaily[EntryDate],DATE(2026,5,23),tblDaily[WardCode],"BF")),"")</f>
        <v/>
      </c>
      <c r="C185" s="5" t="str">
        <f>IFERROR(IF(SUMIFS(tblDaily[Discharges],tblDaily[EntryDate],DATE(2026,5,23),tblDaily[WardCode],"BF")=0,"",SUMIFS(tblDaily[Discharges],tblDaily[EntryDate],DATE(2026,5,23),tblDaily[WardCode],"BF")),"")</f>
        <v/>
      </c>
      <c r="D185" s="5" t="str">
        <f>IFERROR(IF(SUMIFS(tblDaily[Deaths],tblDaily[EntryDate],DATE(2026,5,23),tblDaily[WardCode],"BF")=0,"",SUMIFS(tblDaily[Deaths],tblDaily[EntryDate],DATE(2026,5,23),tblDaily[WardCode],"BF")),"")</f>
        <v/>
      </c>
      <c r="E185" s="5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5" t="str">
        <f>IFERROR(IF(SUMIFS(tblDaily[TransfersIn],tblDaily[EntryDate],DATE(2026,5,23),tblDaily[WardCode],"BF")=0,"",SUMIFS(tblDaily[TransfersIn],tblDaily[EntryDate],DATE(2026,5,23),tblDaily[WardCode],"BF")),"")</f>
        <v/>
      </c>
      <c r="G185" s="5" t="str">
        <f>IFERROR(IF(SUMIFS(tblDaily[TransfersOut],tblDaily[EntryDate],DATE(2026,5,23),tblDaily[WardCode],"BF")=0,"",SUMIFS(tblDaily[TransfersOut],tblDaily[EntryDate],DATE(2026,5,23),tblDaily[WardCode],"BF")),"")</f>
        <v/>
      </c>
      <c r="H185" s="5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IFERROR(IF(SUMIFS(tblDaily[Admissions],tblDaily[EntryDate],DATE(2026,5,24),tblDaily[WardCode],"BF")=0,"",SUMIFS(tblDaily[Admissions],tblDaily[EntryDate],DATE(2026,5,24),tblDaily[WardCode],"BF")),"")</f>
        <v/>
      </c>
      <c r="C186" s="5" t="str">
        <f>IFERROR(IF(SUMIFS(tblDaily[Discharges],tblDaily[EntryDate],DATE(2026,5,24),tblDaily[WardCode],"BF")=0,"",SUMIFS(tblDaily[Discharges],tblDaily[EntryDate],DATE(2026,5,24),tblDaily[WardCode],"BF")),"")</f>
        <v/>
      </c>
      <c r="D186" s="5" t="str">
        <f>IFERROR(IF(SUMIFS(tblDaily[Deaths],tblDaily[EntryDate],DATE(2026,5,24),tblDaily[WardCode],"BF")=0,"",SUMIFS(tblDaily[Deaths],tblDaily[EntryDate],DATE(2026,5,24),tblDaily[WardCode],"BF")),"")</f>
        <v/>
      </c>
      <c r="E186" s="5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5" t="str">
        <f>IFERROR(IF(SUMIFS(tblDaily[TransfersIn],tblDaily[EntryDate],DATE(2026,5,24),tblDaily[WardCode],"BF")=0,"",SUMIFS(tblDaily[TransfersIn],tblDaily[EntryDate],DATE(2026,5,24),tblDaily[WardCode],"BF")),"")</f>
        <v/>
      </c>
      <c r="G186" s="5" t="str">
        <f>IFERROR(IF(SUMIFS(tblDaily[TransfersOut],tblDaily[EntryDate],DATE(2026,5,24),tblDaily[WardCode],"BF")=0,"",SUMIFS(tblDaily[TransfersOut],tblDaily[EntryDate],DATE(2026,5,24),tblDaily[WardCode],"BF")),"")</f>
        <v/>
      </c>
      <c r="H186" s="5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IFERROR(IF(SUMIFS(tblDaily[Admissions],tblDaily[EntryDate],DATE(2026,5,25),tblDaily[WardCode],"BF")=0,"",SUMIFS(tblDaily[Admissions],tblDaily[EntryDate],DATE(2026,5,25),tblDaily[WardCode],"BF")),"")</f>
        <v/>
      </c>
      <c r="C187" s="5" t="str">
        <f>IFERROR(IF(SUMIFS(tblDaily[Discharges],tblDaily[EntryDate],DATE(2026,5,25),tblDaily[WardCode],"BF")=0,"",SUMIFS(tblDaily[Discharges],tblDaily[EntryDate],DATE(2026,5,25),tblDaily[WardCode],"BF")),"")</f>
        <v/>
      </c>
      <c r="D187" s="5" t="str">
        <f>IFERROR(IF(SUMIFS(tblDaily[Deaths],tblDaily[EntryDate],DATE(2026,5,25),tblDaily[WardCode],"BF")=0,"",SUMIFS(tblDaily[Deaths],tblDaily[EntryDate],DATE(2026,5,25),tblDaily[WardCode],"BF")),"")</f>
        <v/>
      </c>
      <c r="E187" s="5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5" t="str">
        <f>IFERROR(IF(SUMIFS(tblDaily[TransfersIn],tblDaily[EntryDate],DATE(2026,5,25),tblDaily[WardCode],"BF")=0,"",SUMIFS(tblDaily[TransfersIn],tblDaily[EntryDate],DATE(2026,5,25),tblDaily[WardCode],"BF")),"")</f>
        <v/>
      </c>
      <c r="G187" s="5" t="str">
        <f>IFERROR(IF(SUMIFS(tblDaily[TransfersOut],tblDaily[EntryDate],DATE(2026,5,25),tblDaily[WardCode],"BF")=0,"",SUMIFS(tblDaily[TransfersOut],tblDaily[EntryDate],DATE(2026,5,25),tblDaily[WardCode],"BF")),"")</f>
        <v/>
      </c>
      <c r="H187" s="5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IFERROR(IF(SUMIFS(tblDaily[Admissions],tblDaily[EntryDate],DATE(2026,5,26),tblDaily[WardCode],"BF")=0,"",SUMIFS(tblDaily[Admissions],tblDaily[EntryDate],DATE(2026,5,26),tblDaily[WardCode],"BF")),"")</f>
        <v/>
      </c>
      <c r="C188" s="5" t="str">
        <f>IFERROR(IF(SUMIFS(tblDaily[Discharges],tblDaily[EntryDate],DATE(2026,5,26),tblDaily[WardCode],"BF")=0,"",SUMIFS(tblDaily[Discharges],tblDaily[EntryDate],DATE(2026,5,26),tblDaily[WardCode],"BF")),"")</f>
        <v/>
      </c>
      <c r="D188" s="5" t="str">
        <f>IFERROR(IF(SUMIFS(tblDaily[Deaths],tblDaily[EntryDate],DATE(2026,5,26),tblDaily[WardCode],"BF")=0,"",SUMIFS(tblDaily[Deaths],tblDaily[EntryDate],DATE(2026,5,26),tblDaily[WardCode],"BF")),"")</f>
        <v/>
      </c>
      <c r="E188" s="5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5" t="str">
        <f>IFERROR(IF(SUMIFS(tblDaily[TransfersIn],tblDaily[EntryDate],DATE(2026,5,26),tblDaily[WardCode],"BF")=0,"",SUMIFS(tblDaily[TransfersIn],tblDaily[EntryDate],DATE(2026,5,26),tblDaily[WardCode],"BF")),"")</f>
        <v/>
      </c>
      <c r="G188" s="5" t="str">
        <f>IFERROR(IF(SUMIFS(tblDaily[TransfersOut],tblDaily[EntryDate],DATE(2026,5,26),tblDaily[WardCode],"BF")=0,"",SUMIFS(tblDaily[TransfersOut],tblDaily[EntryDate],DATE(2026,5,26),tblDaily[WardCode],"BF")),"")</f>
        <v/>
      </c>
      <c r="H188" s="5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IFERROR(IF(SUMIFS(tblDaily[Admissions],tblDaily[EntryDate],DATE(2026,5,27),tblDaily[WardCode],"BF")=0,"",SUMIFS(tblDaily[Admissions],tblDaily[EntryDate],DATE(2026,5,27),tblDaily[WardCode],"BF")),"")</f>
        <v/>
      </c>
      <c r="C189" s="5" t="str">
        <f>IFERROR(IF(SUMIFS(tblDaily[Discharges],tblDaily[EntryDate],DATE(2026,5,27),tblDaily[WardCode],"BF")=0,"",SUMIFS(tblDaily[Discharges],tblDaily[EntryDate],DATE(2026,5,27),tblDaily[WardCode],"BF")),"")</f>
        <v/>
      </c>
      <c r="D189" s="5" t="str">
        <f>IFERROR(IF(SUMIFS(tblDaily[Deaths],tblDaily[EntryDate],DATE(2026,5,27),tblDaily[WardCode],"BF")=0,"",SUMIFS(tblDaily[Deaths],tblDaily[EntryDate],DATE(2026,5,27),tblDaily[WardCode],"BF")),"")</f>
        <v/>
      </c>
      <c r="E189" s="5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5" t="str">
        <f>IFERROR(IF(SUMIFS(tblDaily[TransfersIn],tblDaily[EntryDate],DATE(2026,5,27),tblDaily[WardCode],"BF")=0,"",SUMIFS(tblDaily[TransfersIn],tblDaily[EntryDate],DATE(2026,5,27),tblDaily[WardCode],"BF")),"")</f>
        <v/>
      </c>
      <c r="G189" s="5" t="str">
        <f>IFERROR(IF(SUMIFS(tblDaily[TransfersOut],tblDaily[EntryDate],DATE(2026,5,27),tblDaily[WardCode],"BF")=0,"",SUMIFS(tblDaily[TransfersOut],tblDaily[EntryDate],DATE(2026,5,27),tblDaily[WardCode],"BF")),"")</f>
        <v/>
      </c>
      <c r="H189" s="5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IFERROR(IF(SUMIFS(tblDaily[Admissions],tblDaily[EntryDate],DATE(2026,5,28),tblDaily[WardCode],"BF")=0,"",SUMIFS(tblDaily[Admissions],tblDaily[EntryDate],DATE(2026,5,28),tblDaily[WardCode],"BF")),"")</f>
        <v/>
      </c>
      <c r="C190" s="5" t="str">
        <f>IFERROR(IF(SUMIFS(tblDaily[Discharges],tblDaily[EntryDate],DATE(2026,5,28),tblDaily[WardCode],"BF")=0,"",SUMIFS(tblDaily[Discharges],tblDaily[EntryDate],DATE(2026,5,28),tblDaily[WardCode],"BF")),"")</f>
        <v/>
      </c>
      <c r="D190" s="5" t="str">
        <f>IFERROR(IF(SUMIFS(tblDaily[Deaths],tblDaily[EntryDate],DATE(2026,5,28),tblDaily[WardCode],"BF")=0,"",SUMIFS(tblDaily[Deaths],tblDaily[EntryDate],DATE(2026,5,28),tblDaily[WardCode],"BF")),"")</f>
        <v/>
      </c>
      <c r="E190" s="5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5" t="str">
        <f>IFERROR(IF(SUMIFS(tblDaily[TransfersIn],tblDaily[EntryDate],DATE(2026,5,28),tblDaily[WardCode],"BF")=0,"",SUMIFS(tblDaily[TransfersIn],tblDaily[EntryDate],DATE(2026,5,28),tblDaily[WardCode],"BF")),"")</f>
        <v/>
      </c>
      <c r="G190" s="5" t="str">
        <f>IFERROR(IF(SUMIFS(tblDaily[TransfersOut],tblDaily[EntryDate],DATE(2026,5,28),tblDaily[WardCode],"BF")=0,"",SUMIFS(tblDaily[TransfersOut],tblDaily[EntryDate],DATE(2026,5,28),tblDaily[WardCode],"BF")),"")</f>
        <v/>
      </c>
      <c r="H190" s="5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IFERROR(IF(SUMIFS(tblDaily[Admissions],tblDaily[EntryDate],DATE(2026,5,29),tblDaily[WardCode],"BF")=0,"",SUMIFS(tblDaily[Admissions],tblDaily[EntryDate],DATE(2026,5,29),tblDaily[WardCode],"BF")),"")</f>
        <v/>
      </c>
      <c r="C191" s="5" t="str">
        <f>IFERROR(IF(SUMIFS(tblDaily[Discharges],tblDaily[EntryDate],DATE(2026,5,29),tblDaily[WardCode],"BF")=0,"",SUMIFS(tblDaily[Discharges],tblDaily[EntryDate],DATE(2026,5,29),tblDaily[WardCode],"BF")),"")</f>
        <v/>
      </c>
      <c r="D191" s="5" t="str">
        <f>IFERROR(IF(SUMIFS(tblDaily[Deaths],tblDaily[EntryDate],DATE(2026,5,29),tblDaily[WardCode],"BF")=0,"",SUMIFS(tblDaily[Deaths],tblDaily[EntryDate],DATE(2026,5,29),tblDaily[WardCode],"BF")),"")</f>
        <v/>
      </c>
      <c r="E191" s="5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5" t="str">
        <f>IFERROR(IF(SUMIFS(tblDaily[TransfersIn],tblDaily[EntryDate],DATE(2026,5,29),tblDaily[WardCode],"BF")=0,"",SUMIFS(tblDaily[TransfersIn],tblDaily[EntryDate],DATE(2026,5,29),tblDaily[WardCode],"BF")),"")</f>
        <v/>
      </c>
      <c r="G191" s="5" t="str">
        <f>IFERROR(IF(SUMIFS(tblDaily[TransfersOut],tblDaily[EntryDate],DATE(2026,5,29),tblDaily[WardCode],"BF")=0,"",SUMIFS(tblDaily[TransfersOut],tblDaily[EntryDate],DATE(2026,5,29),tblDaily[WardCode],"BF")),"")</f>
        <v/>
      </c>
      <c r="H191" s="5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IFERROR(IF(SUMIFS(tblDaily[Admissions],tblDaily[EntryDate],DATE(2026,5,30),tblDaily[WardCode],"BF")=0,"",SUMIFS(tblDaily[Admissions],tblDaily[EntryDate],DATE(2026,5,30),tblDaily[WardCode],"BF")),"")</f>
        <v/>
      </c>
      <c r="C192" s="5" t="str">
        <f>IFERROR(IF(SUMIFS(tblDaily[Discharges],tblDaily[EntryDate],DATE(2026,5,30),tblDaily[WardCode],"BF")=0,"",SUMIFS(tblDaily[Discharges],tblDaily[EntryDate],DATE(2026,5,30),tblDaily[WardCode],"BF")),"")</f>
        <v/>
      </c>
      <c r="D192" s="5" t="str">
        <f>IFERROR(IF(SUMIFS(tblDaily[Deaths],tblDaily[EntryDate],DATE(2026,5,30),tblDaily[WardCode],"BF")=0,"",SUMIFS(tblDaily[Deaths],tblDaily[EntryDate],DATE(2026,5,30),tblDaily[WardCode],"BF")),"")</f>
        <v/>
      </c>
      <c r="E192" s="5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5" t="str">
        <f>IFERROR(IF(SUMIFS(tblDaily[TransfersIn],tblDaily[EntryDate],DATE(2026,5,30),tblDaily[WardCode],"BF")=0,"",SUMIFS(tblDaily[TransfersIn],tblDaily[EntryDate],DATE(2026,5,30),tblDaily[WardCode],"BF")),"")</f>
        <v/>
      </c>
      <c r="G192" s="5" t="str">
        <f>IFERROR(IF(SUMIFS(tblDaily[TransfersOut],tblDaily[EntryDate],DATE(2026,5,30),tblDaily[WardCode],"BF")=0,"",SUMIFS(tblDaily[TransfersOut],tblDaily[EntryDate],DATE(2026,5,30),tblDaily[WardCode],"BF")),"")</f>
        <v/>
      </c>
      <c r="H192" s="5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IFERROR(IF(SUMIFS(tblDaily[Admissions],tblDaily[EntryDate],DATE(2026,5,31),tblDaily[WardCode],"BF")=0,"",SUMIFS(tblDaily[Admissions],tblDaily[EntryDate],DATE(2026,5,31),tblDaily[WardCode],"BF")),"")</f>
        <v/>
      </c>
      <c r="C193" s="5" t="str">
        <f>IFERROR(IF(SUMIFS(tblDaily[Discharges],tblDaily[EntryDate],DATE(2026,5,31),tblDaily[WardCode],"BF")=0,"",SUMIFS(tblDaily[Discharges],tblDaily[EntryDate],DATE(2026,5,31),tblDaily[WardCode],"BF")),"")</f>
        <v/>
      </c>
      <c r="D193" s="5" t="str">
        <f>IFERROR(IF(SUMIFS(tblDaily[Deaths],tblDaily[EntryDate],DATE(2026,5,31),tblDaily[WardCode],"BF")=0,"",SUMIFS(tblDaily[Deaths],tblDaily[EntryDate],DATE(2026,5,31),tblDaily[WardCode],"BF")),"")</f>
        <v/>
      </c>
      <c r="E193" s="5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5" t="str">
        <f>IFERROR(IF(SUMIFS(tblDaily[TransfersIn],tblDaily[EntryDate],DATE(2026,5,31),tblDaily[WardCode],"BF")=0,"",SUMIFS(tblDaily[TransfersIn],tblDaily[EntryDate],DATE(2026,5,31),tblDaily[WardCode],"BF")),"")</f>
        <v/>
      </c>
      <c r="G193" s="5" t="str">
        <f>IFERROR(IF(SUMIFS(tblDaily[TransfersOut],tblDaily[EntryDate],DATE(2026,5,31),tblDaily[WardCode],"BF")=0,"",SUMIFS(tblDaily[TransfersOut],tblDaily[EntryDate],DATE(2026,5,31),tblDaily[WardCode],"BF")),"")</f>
        <v/>
      </c>
      <c r="H193" s="5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95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98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89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IFERROR(IF(SUMIFS(tblDaily[Admissions],tblDaily[EntryDate],DATE(2026,6,1),tblDaily[WardCode],"BF")=0,"",SUMIFS(tblDaily[Admissions],tblDaily[EntryDate],DATE(2026,6,1),tblDaily[WardCode],"BF")),"")</f>
        <v/>
      </c>
      <c r="C202" s="5" t="str">
        <f>IFERROR(IF(SUMIFS(tblDaily[Discharges],tblDaily[EntryDate],DATE(2026,6,1),tblDaily[WardCode],"BF")=0,"",SUMIFS(tblDaily[Discharges],tblDaily[EntryDate],DATE(2026,6,1),tblDaily[WardCode],"BF")),"")</f>
        <v/>
      </c>
      <c r="D202" s="5" t="str">
        <f>IFERROR(IF(SUMIFS(tblDaily[Deaths],tblDaily[EntryDate],DATE(2026,6,1),tblDaily[WardCode],"BF")=0,"",SUMIFS(tblDaily[Deaths],tblDaily[EntryDate],DATE(2026,6,1),tblDaily[WardCode],"BF")),"")</f>
        <v/>
      </c>
      <c r="E202" s="5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5" t="str">
        <f>IFERROR(IF(SUMIFS(tblDaily[TransfersIn],tblDaily[EntryDate],DATE(2026,6,1),tblDaily[WardCode],"BF")=0,"",SUMIFS(tblDaily[TransfersIn],tblDaily[EntryDate],DATE(2026,6,1),tblDaily[WardCode],"BF")),"")</f>
        <v/>
      </c>
      <c r="G202" s="5" t="str">
        <f>IFERROR(IF(SUMIFS(tblDaily[TransfersOut],tblDaily[EntryDate],DATE(2026,6,1),tblDaily[WardCode],"BF")=0,"",SUMIFS(tblDaily[TransfersOut],tblDaily[EntryDate],DATE(2026,6,1),tblDaily[WardCode],"BF")),"")</f>
        <v/>
      </c>
      <c r="H202" s="5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IFERROR(IF(SUMIFS(tblDaily[Admissions],tblDaily[EntryDate],DATE(2026,6,2),tblDaily[WardCode],"BF")=0,"",SUMIFS(tblDaily[Admissions],tblDaily[EntryDate],DATE(2026,6,2),tblDaily[WardCode],"BF")),"")</f>
        <v/>
      </c>
      <c r="C203" s="5" t="str">
        <f>IFERROR(IF(SUMIFS(tblDaily[Discharges],tblDaily[EntryDate],DATE(2026,6,2),tblDaily[WardCode],"BF")=0,"",SUMIFS(tblDaily[Discharges],tblDaily[EntryDate],DATE(2026,6,2),tblDaily[WardCode],"BF")),"")</f>
        <v/>
      </c>
      <c r="D203" s="5" t="str">
        <f>IFERROR(IF(SUMIFS(tblDaily[Deaths],tblDaily[EntryDate],DATE(2026,6,2),tblDaily[WardCode],"BF")=0,"",SUMIFS(tblDaily[Deaths],tblDaily[EntryDate],DATE(2026,6,2),tblDaily[WardCode],"BF")),"")</f>
        <v/>
      </c>
      <c r="E203" s="5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5" t="str">
        <f>IFERROR(IF(SUMIFS(tblDaily[TransfersIn],tblDaily[EntryDate],DATE(2026,6,2),tblDaily[WardCode],"BF")=0,"",SUMIFS(tblDaily[TransfersIn],tblDaily[EntryDate],DATE(2026,6,2),tblDaily[WardCode],"BF")),"")</f>
        <v/>
      </c>
      <c r="G203" s="5" t="str">
        <f>IFERROR(IF(SUMIFS(tblDaily[TransfersOut],tblDaily[EntryDate],DATE(2026,6,2),tblDaily[WardCode],"BF")=0,"",SUMIFS(tblDaily[TransfersOut],tblDaily[EntryDate],DATE(2026,6,2),tblDaily[WardCode],"BF")),"")</f>
        <v/>
      </c>
      <c r="H203" s="5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IFERROR(IF(SUMIFS(tblDaily[Admissions],tblDaily[EntryDate],DATE(2026,6,3),tblDaily[WardCode],"BF")=0,"",SUMIFS(tblDaily[Admissions],tblDaily[EntryDate],DATE(2026,6,3),tblDaily[WardCode],"BF")),"")</f>
        <v/>
      </c>
      <c r="C204" s="5" t="str">
        <f>IFERROR(IF(SUMIFS(tblDaily[Discharges],tblDaily[EntryDate],DATE(2026,6,3),tblDaily[WardCode],"BF")=0,"",SUMIFS(tblDaily[Discharges],tblDaily[EntryDate],DATE(2026,6,3),tblDaily[WardCode],"BF")),"")</f>
        <v/>
      </c>
      <c r="D204" s="5" t="str">
        <f>IFERROR(IF(SUMIFS(tblDaily[Deaths],tblDaily[EntryDate],DATE(2026,6,3),tblDaily[WardCode],"BF")=0,"",SUMIFS(tblDaily[Deaths],tblDaily[EntryDate],DATE(2026,6,3),tblDaily[WardCode],"BF")),"")</f>
        <v/>
      </c>
      <c r="E204" s="5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5" t="str">
        <f>IFERROR(IF(SUMIFS(tblDaily[TransfersIn],tblDaily[EntryDate],DATE(2026,6,3),tblDaily[WardCode],"BF")=0,"",SUMIFS(tblDaily[TransfersIn],tblDaily[EntryDate],DATE(2026,6,3),tblDaily[WardCode],"BF")),"")</f>
        <v/>
      </c>
      <c r="G204" s="5" t="str">
        <f>IFERROR(IF(SUMIFS(tblDaily[TransfersOut],tblDaily[EntryDate],DATE(2026,6,3),tblDaily[WardCode],"BF")=0,"",SUMIFS(tblDaily[TransfersOut],tblDaily[EntryDate],DATE(2026,6,3),tblDaily[WardCode],"BF")),"")</f>
        <v/>
      </c>
      <c r="H204" s="5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IFERROR(IF(SUMIFS(tblDaily[Admissions],tblDaily[EntryDate],DATE(2026,6,4),tblDaily[WardCode],"BF")=0,"",SUMIFS(tblDaily[Admissions],tblDaily[EntryDate],DATE(2026,6,4),tblDaily[WardCode],"BF")),"")</f>
        <v/>
      </c>
      <c r="C205" s="5" t="str">
        <f>IFERROR(IF(SUMIFS(tblDaily[Discharges],tblDaily[EntryDate],DATE(2026,6,4),tblDaily[WardCode],"BF")=0,"",SUMIFS(tblDaily[Discharges],tblDaily[EntryDate],DATE(2026,6,4),tblDaily[WardCode],"BF")),"")</f>
        <v/>
      </c>
      <c r="D205" s="5" t="str">
        <f>IFERROR(IF(SUMIFS(tblDaily[Deaths],tblDaily[EntryDate],DATE(2026,6,4),tblDaily[WardCode],"BF")=0,"",SUMIFS(tblDaily[Deaths],tblDaily[EntryDate],DATE(2026,6,4),tblDaily[WardCode],"BF")),"")</f>
        <v/>
      </c>
      <c r="E205" s="5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5" t="str">
        <f>IFERROR(IF(SUMIFS(tblDaily[TransfersIn],tblDaily[EntryDate],DATE(2026,6,4),tblDaily[WardCode],"BF")=0,"",SUMIFS(tblDaily[TransfersIn],tblDaily[EntryDate],DATE(2026,6,4),tblDaily[WardCode],"BF")),"")</f>
        <v/>
      </c>
      <c r="G205" s="5" t="str">
        <f>IFERROR(IF(SUMIFS(tblDaily[TransfersOut],tblDaily[EntryDate],DATE(2026,6,4),tblDaily[WardCode],"BF")=0,"",SUMIFS(tblDaily[TransfersOut],tblDaily[EntryDate],DATE(2026,6,4),tblDaily[WardCode],"BF")),"")</f>
        <v/>
      </c>
      <c r="H205" s="5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IFERROR(IF(SUMIFS(tblDaily[Admissions],tblDaily[EntryDate],DATE(2026,6,5),tblDaily[WardCode],"BF")=0,"",SUMIFS(tblDaily[Admissions],tblDaily[EntryDate],DATE(2026,6,5),tblDaily[WardCode],"BF")),"")</f>
        <v/>
      </c>
      <c r="C206" s="5" t="str">
        <f>IFERROR(IF(SUMIFS(tblDaily[Discharges],tblDaily[EntryDate],DATE(2026,6,5),tblDaily[WardCode],"BF")=0,"",SUMIFS(tblDaily[Discharges],tblDaily[EntryDate],DATE(2026,6,5),tblDaily[WardCode],"BF")),"")</f>
        <v/>
      </c>
      <c r="D206" s="5" t="str">
        <f>IFERROR(IF(SUMIFS(tblDaily[Deaths],tblDaily[EntryDate],DATE(2026,6,5),tblDaily[WardCode],"BF")=0,"",SUMIFS(tblDaily[Deaths],tblDaily[EntryDate],DATE(2026,6,5),tblDaily[WardCode],"BF")),"")</f>
        <v/>
      </c>
      <c r="E206" s="5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5" t="str">
        <f>IFERROR(IF(SUMIFS(tblDaily[TransfersIn],tblDaily[EntryDate],DATE(2026,6,5),tblDaily[WardCode],"BF")=0,"",SUMIFS(tblDaily[TransfersIn],tblDaily[EntryDate],DATE(2026,6,5),tblDaily[WardCode],"BF")),"")</f>
        <v/>
      </c>
      <c r="G206" s="5" t="str">
        <f>IFERROR(IF(SUMIFS(tblDaily[TransfersOut],tblDaily[EntryDate],DATE(2026,6,5),tblDaily[WardCode],"BF")=0,"",SUMIFS(tblDaily[TransfersOut],tblDaily[EntryDate],DATE(2026,6,5),tblDaily[WardCode],"BF")),"")</f>
        <v/>
      </c>
      <c r="H206" s="5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IFERROR(IF(SUMIFS(tblDaily[Admissions],tblDaily[EntryDate],DATE(2026,6,6),tblDaily[WardCode],"BF")=0,"",SUMIFS(tblDaily[Admissions],tblDaily[EntryDate],DATE(2026,6,6),tblDaily[WardCode],"BF")),"")</f>
        <v/>
      </c>
      <c r="C207" s="5" t="str">
        <f>IFERROR(IF(SUMIFS(tblDaily[Discharges],tblDaily[EntryDate],DATE(2026,6,6),tblDaily[WardCode],"BF")=0,"",SUMIFS(tblDaily[Discharges],tblDaily[EntryDate],DATE(2026,6,6),tblDaily[WardCode],"BF")),"")</f>
        <v/>
      </c>
      <c r="D207" s="5" t="str">
        <f>IFERROR(IF(SUMIFS(tblDaily[Deaths],tblDaily[EntryDate],DATE(2026,6,6),tblDaily[WardCode],"BF")=0,"",SUMIFS(tblDaily[Deaths],tblDaily[EntryDate],DATE(2026,6,6),tblDaily[WardCode],"BF")),"")</f>
        <v/>
      </c>
      <c r="E207" s="5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5" t="str">
        <f>IFERROR(IF(SUMIFS(tblDaily[TransfersIn],tblDaily[EntryDate],DATE(2026,6,6),tblDaily[WardCode],"BF")=0,"",SUMIFS(tblDaily[TransfersIn],tblDaily[EntryDate],DATE(2026,6,6),tblDaily[WardCode],"BF")),"")</f>
        <v/>
      </c>
      <c r="G207" s="5" t="str">
        <f>IFERROR(IF(SUMIFS(tblDaily[TransfersOut],tblDaily[EntryDate],DATE(2026,6,6),tblDaily[WardCode],"BF")=0,"",SUMIFS(tblDaily[TransfersOut],tblDaily[EntryDate],DATE(2026,6,6),tblDaily[WardCode],"BF")),"")</f>
        <v/>
      </c>
      <c r="H207" s="5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IFERROR(IF(SUMIFS(tblDaily[Admissions],tblDaily[EntryDate],DATE(2026,6,7),tblDaily[WardCode],"BF")=0,"",SUMIFS(tblDaily[Admissions],tblDaily[EntryDate],DATE(2026,6,7),tblDaily[WardCode],"BF")),"")</f>
        <v/>
      </c>
      <c r="C208" s="5" t="str">
        <f>IFERROR(IF(SUMIFS(tblDaily[Discharges],tblDaily[EntryDate],DATE(2026,6,7),tblDaily[WardCode],"BF")=0,"",SUMIFS(tblDaily[Discharges],tblDaily[EntryDate],DATE(2026,6,7),tblDaily[WardCode],"BF")),"")</f>
        <v/>
      </c>
      <c r="D208" s="5" t="str">
        <f>IFERROR(IF(SUMIFS(tblDaily[Deaths],tblDaily[EntryDate],DATE(2026,6,7),tblDaily[WardCode],"BF")=0,"",SUMIFS(tblDaily[Deaths],tblDaily[EntryDate],DATE(2026,6,7),tblDaily[WardCode],"BF")),"")</f>
        <v/>
      </c>
      <c r="E208" s="5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5" t="str">
        <f>IFERROR(IF(SUMIFS(tblDaily[TransfersIn],tblDaily[EntryDate],DATE(2026,6,7),tblDaily[WardCode],"BF")=0,"",SUMIFS(tblDaily[TransfersIn],tblDaily[EntryDate],DATE(2026,6,7),tblDaily[WardCode],"BF")),"")</f>
        <v/>
      </c>
      <c r="G208" s="5" t="str">
        <f>IFERROR(IF(SUMIFS(tblDaily[TransfersOut],tblDaily[EntryDate],DATE(2026,6,7),tblDaily[WardCode],"BF")=0,"",SUMIFS(tblDaily[TransfersOut],tblDaily[EntryDate],DATE(2026,6,7),tblDaily[WardCode],"BF")),"")</f>
        <v/>
      </c>
      <c r="H208" s="5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IFERROR(IF(SUMIFS(tblDaily[Admissions],tblDaily[EntryDate],DATE(2026,6,8),tblDaily[WardCode],"BF")=0,"",SUMIFS(tblDaily[Admissions],tblDaily[EntryDate],DATE(2026,6,8),tblDaily[WardCode],"BF")),"")</f>
        <v/>
      </c>
      <c r="C209" s="5" t="str">
        <f>IFERROR(IF(SUMIFS(tblDaily[Discharges],tblDaily[EntryDate],DATE(2026,6,8),tblDaily[WardCode],"BF")=0,"",SUMIFS(tblDaily[Discharges],tblDaily[EntryDate],DATE(2026,6,8),tblDaily[WardCode],"BF")),"")</f>
        <v/>
      </c>
      <c r="D209" s="5" t="str">
        <f>IFERROR(IF(SUMIFS(tblDaily[Deaths],tblDaily[EntryDate],DATE(2026,6,8),tblDaily[WardCode],"BF")=0,"",SUMIFS(tblDaily[Deaths],tblDaily[EntryDate],DATE(2026,6,8),tblDaily[WardCode],"BF")),"")</f>
        <v/>
      </c>
      <c r="E209" s="5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5" t="str">
        <f>IFERROR(IF(SUMIFS(tblDaily[TransfersIn],tblDaily[EntryDate],DATE(2026,6,8),tblDaily[WardCode],"BF")=0,"",SUMIFS(tblDaily[TransfersIn],tblDaily[EntryDate],DATE(2026,6,8),tblDaily[WardCode],"BF")),"")</f>
        <v/>
      </c>
      <c r="G209" s="5" t="str">
        <f>IFERROR(IF(SUMIFS(tblDaily[TransfersOut],tblDaily[EntryDate],DATE(2026,6,8),tblDaily[WardCode],"BF")=0,"",SUMIFS(tblDaily[TransfersOut],tblDaily[EntryDate],DATE(2026,6,8),tblDaily[WardCode],"BF")),"")</f>
        <v/>
      </c>
      <c r="H209" s="5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IFERROR(IF(SUMIFS(tblDaily[Admissions],tblDaily[EntryDate],DATE(2026,6,9),tblDaily[WardCode],"BF")=0,"",SUMIFS(tblDaily[Admissions],tblDaily[EntryDate],DATE(2026,6,9),tblDaily[WardCode],"BF")),"")</f>
        <v/>
      </c>
      <c r="C210" s="5" t="str">
        <f>IFERROR(IF(SUMIFS(tblDaily[Discharges],tblDaily[EntryDate],DATE(2026,6,9),tblDaily[WardCode],"BF")=0,"",SUMIFS(tblDaily[Discharges],tblDaily[EntryDate],DATE(2026,6,9),tblDaily[WardCode],"BF")),"")</f>
        <v/>
      </c>
      <c r="D210" s="5" t="str">
        <f>IFERROR(IF(SUMIFS(tblDaily[Deaths],tblDaily[EntryDate],DATE(2026,6,9),tblDaily[WardCode],"BF")=0,"",SUMIFS(tblDaily[Deaths],tblDaily[EntryDate],DATE(2026,6,9),tblDaily[WardCode],"BF")),"")</f>
        <v/>
      </c>
      <c r="E210" s="5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5" t="str">
        <f>IFERROR(IF(SUMIFS(tblDaily[TransfersIn],tblDaily[EntryDate],DATE(2026,6,9),tblDaily[WardCode],"BF")=0,"",SUMIFS(tblDaily[TransfersIn],tblDaily[EntryDate],DATE(2026,6,9),tblDaily[WardCode],"BF")),"")</f>
        <v/>
      </c>
      <c r="G210" s="5" t="str">
        <f>IFERROR(IF(SUMIFS(tblDaily[TransfersOut],tblDaily[EntryDate],DATE(2026,6,9),tblDaily[WardCode],"BF")=0,"",SUMIFS(tblDaily[TransfersOut],tblDaily[EntryDate],DATE(2026,6,9),tblDaily[WardCode],"BF")),"")</f>
        <v/>
      </c>
      <c r="H210" s="5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IFERROR(IF(SUMIFS(tblDaily[Admissions],tblDaily[EntryDate],DATE(2026,6,10),tblDaily[WardCode],"BF")=0,"",SUMIFS(tblDaily[Admissions],tblDaily[EntryDate],DATE(2026,6,10),tblDaily[WardCode],"BF")),"")</f>
        <v/>
      </c>
      <c r="C211" s="5" t="str">
        <f>IFERROR(IF(SUMIFS(tblDaily[Discharges],tblDaily[EntryDate],DATE(2026,6,10),tblDaily[WardCode],"BF")=0,"",SUMIFS(tblDaily[Discharges],tblDaily[EntryDate],DATE(2026,6,10),tblDaily[WardCode],"BF")),"")</f>
        <v/>
      </c>
      <c r="D211" s="5" t="str">
        <f>IFERROR(IF(SUMIFS(tblDaily[Deaths],tblDaily[EntryDate],DATE(2026,6,10),tblDaily[WardCode],"BF")=0,"",SUMIFS(tblDaily[Deaths],tblDaily[EntryDate],DATE(2026,6,10),tblDaily[WardCode],"BF")),"")</f>
        <v/>
      </c>
      <c r="E211" s="5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5" t="str">
        <f>IFERROR(IF(SUMIFS(tblDaily[TransfersIn],tblDaily[EntryDate],DATE(2026,6,10),tblDaily[WardCode],"BF")=0,"",SUMIFS(tblDaily[TransfersIn],tblDaily[EntryDate],DATE(2026,6,10),tblDaily[WardCode],"BF")),"")</f>
        <v/>
      </c>
      <c r="G211" s="5" t="str">
        <f>IFERROR(IF(SUMIFS(tblDaily[TransfersOut],tblDaily[EntryDate],DATE(2026,6,10),tblDaily[WardCode],"BF")=0,"",SUMIFS(tblDaily[TransfersOut],tblDaily[EntryDate],DATE(2026,6,10),tblDaily[WardCode],"BF")),"")</f>
        <v/>
      </c>
      <c r="H211" s="5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IFERROR(IF(SUMIFS(tblDaily[Admissions],tblDaily[EntryDate],DATE(2026,6,11),tblDaily[WardCode],"BF")=0,"",SUMIFS(tblDaily[Admissions],tblDaily[EntryDate],DATE(2026,6,11),tblDaily[WardCode],"BF")),"")</f>
        <v/>
      </c>
      <c r="C212" s="5" t="str">
        <f>IFERROR(IF(SUMIFS(tblDaily[Discharges],tblDaily[EntryDate],DATE(2026,6,11),tblDaily[WardCode],"BF")=0,"",SUMIFS(tblDaily[Discharges],tblDaily[EntryDate],DATE(2026,6,11),tblDaily[WardCode],"BF")),"")</f>
        <v/>
      </c>
      <c r="D212" s="5" t="str">
        <f>IFERROR(IF(SUMIFS(tblDaily[Deaths],tblDaily[EntryDate],DATE(2026,6,11),tblDaily[WardCode],"BF")=0,"",SUMIFS(tblDaily[Deaths],tblDaily[EntryDate],DATE(2026,6,11),tblDaily[WardCode],"BF")),"")</f>
        <v/>
      </c>
      <c r="E212" s="5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5" t="str">
        <f>IFERROR(IF(SUMIFS(tblDaily[TransfersIn],tblDaily[EntryDate],DATE(2026,6,11),tblDaily[WardCode],"BF")=0,"",SUMIFS(tblDaily[TransfersIn],tblDaily[EntryDate],DATE(2026,6,11),tblDaily[WardCode],"BF")),"")</f>
        <v/>
      </c>
      <c r="G212" s="5" t="str">
        <f>IFERROR(IF(SUMIFS(tblDaily[TransfersOut],tblDaily[EntryDate],DATE(2026,6,11),tblDaily[WardCode],"BF")=0,"",SUMIFS(tblDaily[TransfersOut],tblDaily[EntryDate],DATE(2026,6,11),tblDaily[WardCode],"BF")),"")</f>
        <v/>
      </c>
      <c r="H212" s="5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IFERROR(IF(SUMIFS(tblDaily[Admissions],tblDaily[EntryDate],DATE(2026,6,12),tblDaily[WardCode],"BF")=0,"",SUMIFS(tblDaily[Admissions],tblDaily[EntryDate],DATE(2026,6,12),tblDaily[WardCode],"BF")),"")</f>
        <v/>
      </c>
      <c r="C213" s="5" t="str">
        <f>IFERROR(IF(SUMIFS(tblDaily[Discharges],tblDaily[EntryDate],DATE(2026,6,12),tblDaily[WardCode],"BF")=0,"",SUMIFS(tblDaily[Discharges],tblDaily[EntryDate],DATE(2026,6,12),tblDaily[WardCode],"BF")),"")</f>
        <v/>
      </c>
      <c r="D213" s="5" t="str">
        <f>IFERROR(IF(SUMIFS(tblDaily[Deaths],tblDaily[EntryDate],DATE(2026,6,12),tblDaily[WardCode],"BF")=0,"",SUMIFS(tblDaily[Deaths],tblDaily[EntryDate],DATE(2026,6,12),tblDaily[WardCode],"BF")),"")</f>
        <v/>
      </c>
      <c r="E213" s="5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5" t="str">
        <f>IFERROR(IF(SUMIFS(tblDaily[TransfersIn],tblDaily[EntryDate],DATE(2026,6,12),tblDaily[WardCode],"BF")=0,"",SUMIFS(tblDaily[TransfersIn],tblDaily[EntryDate],DATE(2026,6,12),tblDaily[WardCode],"BF")),"")</f>
        <v/>
      </c>
      <c r="G213" s="5" t="str">
        <f>IFERROR(IF(SUMIFS(tblDaily[TransfersOut],tblDaily[EntryDate],DATE(2026,6,12),tblDaily[WardCode],"BF")=0,"",SUMIFS(tblDaily[TransfersOut],tblDaily[EntryDate],DATE(2026,6,12),tblDaily[WardCode],"BF")),"")</f>
        <v/>
      </c>
      <c r="H213" s="5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IFERROR(IF(SUMIFS(tblDaily[Admissions],tblDaily[EntryDate],DATE(2026,6,13),tblDaily[WardCode],"BF")=0,"",SUMIFS(tblDaily[Admissions],tblDaily[EntryDate],DATE(2026,6,13),tblDaily[WardCode],"BF")),"")</f>
        <v/>
      </c>
      <c r="C214" s="5" t="str">
        <f>IFERROR(IF(SUMIFS(tblDaily[Discharges],tblDaily[EntryDate],DATE(2026,6,13),tblDaily[WardCode],"BF")=0,"",SUMIFS(tblDaily[Discharges],tblDaily[EntryDate],DATE(2026,6,13),tblDaily[WardCode],"BF")),"")</f>
        <v/>
      </c>
      <c r="D214" s="5" t="str">
        <f>IFERROR(IF(SUMIFS(tblDaily[Deaths],tblDaily[EntryDate],DATE(2026,6,13),tblDaily[WardCode],"BF")=0,"",SUMIFS(tblDaily[Deaths],tblDaily[EntryDate],DATE(2026,6,13),tblDaily[WardCode],"BF")),"")</f>
        <v/>
      </c>
      <c r="E214" s="5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5" t="str">
        <f>IFERROR(IF(SUMIFS(tblDaily[TransfersIn],tblDaily[EntryDate],DATE(2026,6,13),tblDaily[WardCode],"BF")=0,"",SUMIFS(tblDaily[TransfersIn],tblDaily[EntryDate],DATE(2026,6,13),tblDaily[WardCode],"BF")),"")</f>
        <v/>
      </c>
      <c r="G214" s="5" t="str">
        <f>IFERROR(IF(SUMIFS(tblDaily[TransfersOut],tblDaily[EntryDate],DATE(2026,6,13),tblDaily[WardCode],"BF")=0,"",SUMIFS(tblDaily[TransfersOut],tblDaily[EntryDate],DATE(2026,6,13),tblDaily[WardCode],"BF")),"")</f>
        <v/>
      </c>
      <c r="H214" s="5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IFERROR(IF(SUMIFS(tblDaily[Admissions],tblDaily[EntryDate],DATE(2026,6,14),tblDaily[WardCode],"BF")=0,"",SUMIFS(tblDaily[Admissions],tblDaily[EntryDate],DATE(2026,6,14),tblDaily[WardCode],"BF")),"")</f>
        <v/>
      </c>
      <c r="C215" s="5" t="str">
        <f>IFERROR(IF(SUMIFS(tblDaily[Discharges],tblDaily[EntryDate],DATE(2026,6,14),tblDaily[WardCode],"BF")=0,"",SUMIFS(tblDaily[Discharges],tblDaily[EntryDate],DATE(2026,6,14),tblDaily[WardCode],"BF")),"")</f>
        <v/>
      </c>
      <c r="D215" s="5" t="str">
        <f>IFERROR(IF(SUMIFS(tblDaily[Deaths],tblDaily[EntryDate],DATE(2026,6,14),tblDaily[WardCode],"BF")=0,"",SUMIFS(tblDaily[Deaths],tblDaily[EntryDate],DATE(2026,6,14),tblDaily[WardCode],"BF")),"")</f>
        <v/>
      </c>
      <c r="E215" s="5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5" t="str">
        <f>IFERROR(IF(SUMIFS(tblDaily[TransfersIn],tblDaily[EntryDate],DATE(2026,6,14),tblDaily[WardCode],"BF")=0,"",SUMIFS(tblDaily[TransfersIn],tblDaily[EntryDate],DATE(2026,6,14),tblDaily[WardCode],"BF")),"")</f>
        <v/>
      </c>
      <c r="G215" s="5" t="str">
        <f>IFERROR(IF(SUMIFS(tblDaily[TransfersOut],tblDaily[EntryDate],DATE(2026,6,14),tblDaily[WardCode],"BF")=0,"",SUMIFS(tblDaily[TransfersOut],tblDaily[EntryDate],DATE(2026,6,14),tblDaily[WardCode],"BF")),"")</f>
        <v/>
      </c>
      <c r="H215" s="5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IFERROR(IF(SUMIFS(tblDaily[Admissions],tblDaily[EntryDate],DATE(2026,6,15),tblDaily[WardCode],"BF")=0,"",SUMIFS(tblDaily[Admissions],tblDaily[EntryDate],DATE(2026,6,15),tblDaily[WardCode],"BF")),"")</f>
        <v/>
      </c>
      <c r="C216" s="5" t="str">
        <f>IFERROR(IF(SUMIFS(tblDaily[Discharges],tblDaily[EntryDate],DATE(2026,6,15),tblDaily[WardCode],"BF")=0,"",SUMIFS(tblDaily[Discharges],tblDaily[EntryDate],DATE(2026,6,15),tblDaily[WardCode],"BF")),"")</f>
        <v/>
      </c>
      <c r="D216" s="5" t="str">
        <f>IFERROR(IF(SUMIFS(tblDaily[Deaths],tblDaily[EntryDate],DATE(2026,6,15),tblDaily[WardCode],"BF")=0,"",SUMIFS(tblDaily[Deaths],tblDaily[EntryDate],DATE(2026,6,15),tblDaily[WardCode],"BF")),"")</f>
        <v/>
      </c>
      <c r="E216" s="5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5" t="str">
        <f>IFERROR(IF(SUMIFS(tblDaily[TransfersIn],tblDaily[EntryDate],DATE(2026,6,15),tblDaily[WardCode],"BF")=0,"",SUMIFS(tblDaily[TransfersIn],tblDaily[EntryDate],DATE(2026,6,15),tblDaily[WardCode],"BF")),"")</f>
        <v/>
      </c>
      <c r="G216" s="5" t="str">
        <f>IFERROR(IF(SUMIFS(tblDaily[TransfersOut],tblDaily[EntryDate],DATE(2026,6,15),tblDaily[WardCode],"BF")=0,"",SUMIFS(tblDaily[TransfersOut],tblDaily[EntryDate],DATE(2026,6,15),tblDaily[WardCode],"BF")),"")</f>
        <v/>
      </c>
      <c r="H216" s="5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IFERROR(IF(SUMIFS(tblDaily[Admissions],tblDaily[EntryDate],DATE(2026,6,16),tblDaily[WardCode],"BF")=0,"",SUMIFS(tblDaily[Admissions],tblDaily[EntryDate],DATE(2026,6,16),tblDaily[WardCode],"BF")),"")</f>
        <v/>
      </c>
      <c r="C217" s="5" t="str">
        <f>IFERROR(IF(SUMIFS(tblDaily[Discharges],tblDaily[EntryDate],DATE(2026,6,16),tblDaily[WardCode],"BF")=0,"",SUMIFS(tblDaily[Discharges],tblDaily[EntryDate],DATE(2026,6,16),tblDaily[WardCode],"BF")),"")</f>
        <v/>
      </c>
      <c r="D217" s="5" t="str">
        <f>IFERROR(IF(SUMIFS(tblDaily[Deaths],tblDaily[EntryDate],DATE(2026,6,16),tblDaily[WardCode],"BF")=0,"",SUMIFS(tblDaily[Deaths],tblDaily[EntryDate],DATE(2026,6,16),tblDaily[WardCode],"BF")),"")</f>
        <v/>
      </c>
      <c r="E217" s="5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5" t="str">
        <f>IFERROR(IF(SUMIFS(tblDaily[TransfersIn],tblDaily[EntryDate],DATE(2026,6,16),tblDaily[WardCode],"BF")=0,"",SUMIFS(tblDaily[TransfersIn],tblDaily[EntryDate],DATE(2026,6,16),tblDaily[WardCode],"BF")),"")</f>
        <v/>
      </c>
      <c r="G217" s="5" t="str">
        <f>IFERROR(IF(SUMIFS(tblDaily[TransfersOut],tblDaily[EntryDate],DATE(2026,6,16),tblDaily[WardCode],"BF")=0,"",SUMIFS(tblDaily[TransfersOut],tblDaily[EntryDate],DATE(2026,6,16),tblDaily[WardCode],"BF")),"")</f>
        <v/>
      </c>
      <c r="H217" s="5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IFERROR(IF(SUMIFS(tblDaily[Admissions],tblDaily[EntryDate],DATE(2026,6,17),tblDaily[WardCode],"BF")=0,"",SUMIFS(tblDaily[Admissions],tblDaily[EntryDate],DATE(2026,6,17),tblDaily[WardCode],"BF")),"")</f>
        <v/>
      </c>
      <c r="C218" s="5" t="str">
        <f>IFERROR(IF(SUMIFS(tblDaily[Discharges],tblDaily[EntryDate],DATE(2026,6,17),tblDaily[WardCode],"BF")=0,"",SUMIFS(tblDaily[Discharges],tblDaily[EntryDate],DATE(2026,6,17),tblDaily[WardCode],"BF")),"")</f>
        <v/>
      </c>
      <c r="D218" s="5" t="str">
        <f>IFERROR(IF(SUMIFS(tblDaily[Deaths],tblDaily[EntryDate],DATE(2026,6,17),tblDaily[WardCode],"BF")=0,"",SUMIFS(tblDaily[Deaths],tblDaily[EntryDate],DATE(2026,6,17),tblDaily[WardCode],"BF")),"")</f>
        <v/>
      </c>
      <c r="E218" s="5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5" t="str">
        <f>IFERROR(IF(SUMIFS(tblDaily[TransfersIn],tblDaily[EntryDate],DATE(2026,6,17),tblDaily[WardCode],"BF")=0,"",SUMIFS(tblDaily[TransfersIn],tblDaily[EntryDate],DATE(2026,6,17),tblDaily[WardCode],"BF")),"")</f>
        <v/>
      </c>
      <c r="G218" s="5" t="str">
        <f>IFERROR(IF(SUMIFS(tblDaily[TransfersOut],tblDaily[EntryDate],DATE(2026,6,17),tblDaily[WardCode],"BF")=0,"",SUMIFS(tblDaily[TransfersOut],tblDaily[EntryDate],DATE(2026,6,17),tblDaily[WardCode],"BF")),"")</f>
        <v/>
      </c>
      <c r="H218" s="5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IFERROR(IF(SUMIFS(tblDaily[Admissions],tblDaily[EntryDate],DATE(2026,6,18),tblDaily[WardCode],"BF")=0,"",SUMIFS(tblDaily[Admissions],tblDaily[EntryDate],DATE(2026,6,18),tblDaily[WardCode],"BF")),"")</f>
        <v/>
      </c>
      <c r="C219" s="5" t="str">
        <f>IFERROR(IF(SUMIFS(tblDaily[Discharges],tblDaily[EntryDate],DATE(2026,6,18),tblDaily[WardCode],"BF")=0,"",SUMIFS(tblDaily[Discharges],tblDaily[EntryDate],DATE(2026,6,18),tblDaily[WardCode],"BF")),"")</f>
        <v/>
      </c>
      <c r="D219" s="5" t="str">
        <f>IFERROR(IF(SUMIFS(tblDaily[Deaths],tblDaily[EntryDate],DATE(2026,6,18),tblDaily[WardCode],"BF")=0,"",SUMIFS(tblDaily[Deaths],tblDaily[EntryDate],DATE(2026,6,18),tblDaily[WardCode],"BF")),"")</f>
        <v/>
      </c>
      <c r="E219" s="5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5" t="str">
        <f>IFERROR(IF(SUMIFS(tblDaily[TransfersIn],tblDaily[EntryDate],DATE(2026,6,18),tblDaily[WardCode],"BF")=0,"",SUMIFS(tblDaily[TransfersIn],tblDaily[EntryDate],DATE(2026,6,18),tblDaily[WardCode],"BF")),"")</f>
        <v/>
      </c>
      <c r="G219" s="5" t="str">
        <f>IFERROR(IF(SUMIFS(tblDaily[TransfersOut],tblDaily[EntryDate],DATE(2026,6,18),tblDaily[WardCode],"BF")=0,"",SUMIFS(tblDaily[TransfersOut],tblDaily[EntryDate],DATE(2026,6,18),tblDaily[WardCode],"BF")),"")</f>
        <v/>
      </c>
      <c r="H219" s="5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IFERROR(IF(SUMIFS(tblDaily[Admissions],tblDaily[EntryDate],DATE(2026,6,19),tblDaily[WardCode],"BF")=0,"",SUMIFS(tblDaily[Admissions],tblDaily[EntryDate],DATE(2026,6,19),tblDaily[WardCode],"BF")),"")</f>
        <v/>
      </c>
      <c r="C220" s="5" t="str">
        <f>IFERROR(IF(SUMIFS(tblDaily[Discharges],tblDaily[EntryDate],DATE(2026,6,19),tblDaily[WardCode],"BF")=0,"",SUMIFS(tblDaily[Discharges],tblDaily[EntryDate],DATE(2026,6,19),tblDaily[WardCode],"BF")),"")</f>
        <v/>
      </c>
      <c r="D220" s="5" t="str">
        <f>IFERROR(IF(SUMIFS(tblDaily[Deaths],tblDaily[EntryDate],DATE(2026,6,19),tblDaily[WardCode],"BF")=0,"",SUMIFS(tblDaily[Deaths],tblDaily[EntryDate],DATE(2026,6,19),tblDaily[WardCode],"BF")),"")</f>
        <v/>
      </c>
      <c r="E220" s="5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5" t="str">
        <f>IFERROR(IF(SUMIFS(tblDaily[TransfersIn],tblDaily[EntryDate],DATE(2026,6,19),tblDaily[WardCode],"BF")=0,"",SUMIFS(tblDaily[TransfersIn],tblDaily[EntryDate],DATE(2026,6,19),tblDaily[WardCode],"BF")),"")</f>
        <v/>
      </c>
      <c r="G220" s="5" t="str">
        <f>IFERROR(IF(SUMIFS(tblDaily[TransfersOut],tblDaily[EntryDate],DATE(2026,6,19),tblDaily[WardCode],"BF")=0,"",SUMIFS(tblDaily[TransfersOut],tblDaily[EntryDate],DATE(2026,6,19),tblDaily[WardCode],"BF")),"")</f>
        <v/>
      </c>
      <c r="H220" s="5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IFERROR(IF(SUMIFS(tblDaily[Admissions],tblDaily[EntryDate],DATE(2026,6,20),tblDaily[WardCode],"BF")=0,"",SUMIFS(tblDaily[Admissions],tblDaily[EntryDate],DATE(2026,6,20),tblDaily[WardCode],"BF")),"")</f>
        <v/>
      </c>
      <c r="C221" s="5" t="str">
        <f>IFERROR(IF(SUMIFS(tblDaily[Discharges],tblDaily[EntryDate],DATE(2026,6,20),tblDaily[WardCode],"BF")=0,"",SUMIFS(tblDaily[Discharges],tblDaily[EntryDate],DATE(2026,6,20),tblDaily[WardCode],"BF")),"")</f>
        <v/>
      </c>
      <c r="D221" s="5" t="str">
        <f>IFERROR(IF(SUMIFS(tblDaily[Deaths],tblDaily[EntryDate],DATE(2026,6,20),tblDaily[WardCode],"BF")=0,"",SUMIFS(tblDaily[Deaths],tblDaily[EntryDate],DATE(2026,6,20),tblDaily[WardCode],"BF")),"")</f>
        <v/>
      </c>
      <c r="E221" s="5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5" t="str">
        <f>IFERROR(IF(SUMIFS(tblDaily[TransfersIn],tblDaily[EntryDate],DATE(2026,6,20),tblDaily[WardCode],"BF")=0,"",SUMIFS(tblDaily[TransfersIn],tblDaily[EntryDate],DATE(2026,6,20),tblDaily[WardCode],"BF")),"")</f>
        <v/>
      </c>
      <c r="G221" s="5" t="str">
        <f>IFERROR(IF(SUMIFS(tblDaily[TransfersOut],tblDaily[EntryDate],DATE(2026,6,20),tblDaily[WardCode],"BF")=0,"",SUMIFS(tblDaily[TransfersOut],tblDaily[EntryDate],DATE(2026,6,20),tblDaily[WardCode],"BF")),"")</f>
        <v/>
      </c>
      <c r="H221" s="5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IFERROR(IF(SUMIFS(tblDaily[Admissions],tblDaily[EntryDate],DATE(2026,6,21),tblDaily[WardCode],"BF")=0,"",SUMIFS(tblDaily[Admissions],tblDaily[EntryDate],DATE(2026,6,21),tblDaily[WardCode],"BF")),"")</f>
        <v/>
      </c>
      <c r="C222" s="5" t="str">
        <f>IFERROR(IF(SUMIFS(tblDaily[Discharges],tblDaily[EntryDate],DATE(2026,6,21),tblDaily[WardCode],"BF")=0,"",SUMIFS(tblDaily[Discharges],tblDaily[EntryDate],DATE(2026,6,21),tblDaily[WardCode],"BF")),"")</f>
        <v/>
      </c>
      <c r="D222" s="5" t="str">
        <f>IFERROR(IF(SUMIFS(tblDaily[Deaths],tblDaily[EntryDate],DATE(2026,6,21),tblDaily[WardCode],"BF")=0,"",SUMIFS(tblDaily[Deaths],tblDaily[EntryDate],DATE(2026,6,21),tblDaily[WardCode],"BF")),"")</f>
        <v/>
      </c>
      <c r="E222" s="5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5" t="str">
        <f>IFERROR(IF(SUMIFS(tblDaily[TransfersIn],tblDaily[EntryDate],DATE(2026,6,21),tblDaily[WardCode],"BF")=0,"",SUMIFS(tblDaily[TransfersIn],tblDaily[EntryDate],DATE(2026,6,21),tblDaily[WardCode],"BF")),"")</f>
        <v/>
      </c>
      <c r="G222" s="5" t="str">
        <f>IFERROR(IF(SUMIFS(tblDaily[TransfersOut],tblDaily[EntryDate],DATE(2026,6,21),tblDaily[WardCode],"BF")=0,"",SUMIFS(tblDaily[TransfersOut],tblDaily[EntryDate],DATE(2026,6,21),tblDaily[WardCode],"BF")),"")</f>
        <v/>
      </c>
      <c r="H222" s="5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IFERROR(IF(SUMIFS(tblDaily[Admissions],tblDaily[EntryDate],DATE(2026,6,22),tblDaily[WardCode],"BF")=0,"",SUMIFS(tblDaily[Admissions],tblDaily[EntryDate],DATE(2026,6,22),tblDaily[WardCode],"BF")),"")</f>
        <v/>
      </c>
      <c r="C223" s="5" t="str">
        <f>IFERROR(IF(SUMIFS(tblDaily[Discharges],tblDaily[EntryDate],DATE(2026,6,22),tblDaily[WardCode],"BF")=0,"",SUMIFS(tblDaily[Discharges],tblDaily[EntryDate],DATE(2026,6,22),tblDaily[WardCode],"BF")),"")</f>
        <v/>
      </c>
      <c r="D223" s="5" t="str">
        <f>IFERROR(IF(SUMIFS(tblDaily[Deaths],tblDaily[EntryDate],DATE(2026,6,22),tblDaily[WardCode],"BF")=0,"",SUMIFS(tblDaily[Deaths],tblDaily[EntryDate],DATE(2026,6,22),tblDaily[WardCode],"BF")),"")</f>
        <v/>
      </c>
      <c r="E223" s="5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5" t="str">
        <f>IFERROR(IF(SUMIFS(tblDaily[TransfersIn],tblDaily[EntryDate],DATE(2026,6,22),tblDaily[WardCode],"BF")=0,"",SUMIFS(tblDaily[TransfersIn],tblDaily[EntryDate],DATE(2026,6,22),tblDaily[WardCode],"BF")),"")</f>
        <v/>
      </c>
      <c r="G223" s="5" t="str">
        <f>IFERROR(IF(SUMIFS(tblDaily[TransfersOut],tblDaily[EntryDate],DATE(2026,6,22),tblDaily[WardCode],"BF")=0,"",SUMIFS(tblDaily[TransfersOut],tblDaily[EntryDate],DATE(2026,6,22),tblDaily[WardCode],"BF")),"")</f>
        <v/>
      </c>
      <c r="H223" s="5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IFERROR(IF(SUMIFS(tblDaily[Admissions],tblDaily[EntryDate],DATE(2026,6,23),tblDaily[WardCode],"BF")=0,"",SUMIFS(tblDaily[Admissions],tblDaily[EntryDate],DATE(2026,6,23),tblDaily[WardCode],"BF")),"")</f>
        <v/>
      </c>
      <c r="C224" s="5" t="str">
        <f>IFERROR(IF(SUMIFS(tblDaily[Discharges],tblDaily[EntryDate],DATE(2026,6,23),tblDaily[WardCode],"BF")=0,"",SUMIFS(tblDaily[Discharges],tblDaily[EntryDate],DATE(2026,6,23),tblDaily[WardCode],"BF")),"")</f>
        <v/>
      </c>
      <c r="D224" s="5" t="str">
        <f>IFERROR(IF(SUMIFS(tblDaily[Deaths],tblDaily[EntryDate],DATE(2026,6,23),tblDaily[WardCode],"BF")=0,"",SUMIFS(tblDaily[Deaths],tblDaily[EntryDate],DATE(2026,6,23),tblDaily[WardCode],"BF")),"")</f>
        <v/>
      </c>
      <c r="E224" s="5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5" t="str">
        <f>IFERROR(IF(SUMIFS(tblDaily[TransfersIn],tblDaily[EntryDate],DATE(2026,6,23),tblDaily[WardCode],"BF")=0,"",SUMIFS(tblDaily[TransfersIn],tblDaily[EntryDate],DATE(2026,6,23),tblDaily[WardCode],"BF")),"")</f>
        <v/>
      </c>
      <c r="G224" s="5" t="str">
        <f>IFERROR(IF(SUMIFS(tblDaily[TransfersOut],tblDaily[EntryDate],DATE(2026,6,23),tblDaily[WardCode],"BF")=0,"",SUMIFS(tblDaily[TransfersOut],tblDaily[EntryDate],DATE(2026,6,23),tblDaily[WardCode],"BF")),"")</f>
        <v/>
      </c>
      <c r="H224" s="5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IFERROR(IF(SUMIFS(tblDaily[Admissions],tblDaily[EntryDate],DATE(2026,6,24),tblDaily[WardCode],"BF")=0,"",SUMIFS(tblDaily[Admissions],tblDaily[EntryDate],DATE(2026,6,24),tblDaily[WardCode],"BF")),"")</f>
        <v/>
      </c>
      <c r="C225" s="5" t="str">
        <f>IFERROR(IF(SUMIFS(tblDaily[Discharges],tblDaily[EntryDate],DATE(2026,6,24),tblDaily[WardCode],"BF")=0,"",SUMIFS(tblDaily[Discharges],tblDaily[EntryDate],DATE(2026,6,24),tblDaily[WardCode],"BF")),"")</f>
        <v/>
      </c>
      <c r="D225" s="5" t="str">
        <f>IFERROR(IF(SUMIFS(tblDaily[Deaths],tblDaily[EntryDate],DATE(2026,6,24),tblDaily[WardCode],"BF")=0,"",SUMIFS(tblDaily[Deaths],tblDaily[EntryDate],DATE(2026,6,24),tblDaily[WardCode],"BF")),"")</f>
        <v/>
      </c>
      <c r="E225" s="5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5" t="str">
        <f>IFERROR(IF(SUMIFS(tblDaily[TransfersIn],tblDaily[EntryDate],DATE(2026,6,24),tblDaily[WardCode],"BF")=0,"",SUMIFS(tblDaily[TransfersIn],tblDaily[EntryDate],DATE(2026,6,24),tblDaily[WardCode],"BF")),"")</f>
        <v/>
      </c>
      <c r="G225" s="5" t="str">
        <f>IFERROR(IF(SUMIFS(tblDaily[TransfersOut],tblDaily[EntryDate],DATE(2026,6,24),tblDaily[WardCode],"BF")=0,"",SUMIFS(tblDaily[TransfersOut],tblDaily[EntryDate],DATE(2026,6,24),tblDaily[WardCode],"BF")),"")</f>
        <v/>
      </c>
      <c r="H225" s="5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IFERROR(IF(SUMIFS(tblDaily[Admissions],tblDaily[EntryDate],DATE(2026,6,25),tblDaily[WardCode],"BF")=0,"",SUMIFS(tblDaily[Admissions],tblDaily[EntryDate],DATE(2026,6,25),tblDaily[WardCode],"BF")),"")</f>
        <v/>
      </c>
      <c r="C226" s="5" t="str">
        <f>IFERROR(IF(SUMIFS(tblDaily[Discharges],tblDaily[EntryDate],DATE(2026,6,25),tblDaily[WardCode],"BF")=0,"",SUMIFS(tblDaily[Discharges],tblDaily[EntryDate],DATE(2026,6,25),tblDaily[WardCode],"BF")),"")</f>
        <v/>
      </c>
      <c r="D226" s="5" t="str">
        <f>IFERROR(IF(SUMIFS(tblDaily[Deaths],tblDaily[EntryDate],DATE(2026,6,25),tblDaily[WardCode],"BF")=0,"",SUMIFS(tblDaily[Deaths],tblDaily[EntryDate],DATE(2026,6,25),tblDaily[WardCode],"BF")),"")</f>
        <v/>
      </c>
      <c r="E226" s="5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5" t="str">
        <f>IFERROR(IF(SUMIFS(tblDaily[TransfersIn],tblDaily[EntryDate],DATE(2026,6,25),tblDaily[WardCode],"BF")=0,"",SUMIFS(tblDaily[TransfersIn],tblDaily[EntryDate],DATE(2026,6,25),tblDaily[WardCode],"BF")),"")</f>
        <v/>
      </c>
      <c r="G226" s="5" t="str">
        <f>IFERROR(IF(SUMIFS(tblDaily[TransfersOut],tblDaily[EntryDate],DATE(2026,6,25),tblDaily[WardCode],"BF")=0,"",SUMIFS(tblDaily[TransfersOut],tblDaily[EntryDate],DATE(2026,6,25),tblDaily[WardCode],"BF")),"")</f>
        <v/>
      </c>
      <c r="H226" s="5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IFERROR(IF(SUMIFS(tblDaily[Admissions],tblDaily[EntryDate],DATE(2026,6,26),tblDaily[WardCode],"BF")=0,"",SUMIFS(tblDaily[Admissions],tblDaily[EntryDate],DATE(2026,6,26),tblDaily[WardCode],"BF")),"")</f>
        <v/>
      </c>
      <c r="C227" s="5" t="str">
        <f>IFERROR(IF(SUMIFS(tblDaily[Discharges],tblDaily[EntryDate],DATE(2026,6,26),tblDaily[WardCode],"BF")=0,"",SUMIFS(tblDaily[Discharges],tblDaily[EntryDate],DATE(2026,6,26),tblDaily[WardCode],"BF")),"")</f>
        <v/>
      </c>
      <c r="D227" s="5" t="str">
        <f>IFERROR(IF(SUMIFS(tblDaily[Deaths],tblDaily[EntryDate],DATE(2026,6,26),tblDaily[WardCode],"BF")=0,"",SUMIFS(tblDaily[Deaths],tblDaily[EntryDate],DATE(2026,6,26),tblDaily[WardCode],"BF")),"")</f>
        <v/>
      </c>
      <c r="E227" s="5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5" t="str">
        <f>IFERROR(IF(SUMIFS(tblDaily[TransfersIn],tblDaily[EntryDate],DATE(2026,6,26),tblDaily[WardCode],"BF")=0,"",SUMIFS(tblDaily[TransfersIn],tblDaily[EntryDate],DATE(2026,6,26),tblDaily[WardCode],"BF")),"")</f>
        <v/>
      </c>
      <c r="G227" s="5" t="str">
        <f>IFERROR(IF(SUMIFS(tblDaily[TransfersOut],tblDaily[EntryDate],DATE(2026,6,26),tblDaily[WardCode],"BF")=0,"",SUMIFS(tblDaily[TransfersOut],tblDaily[EntryDate],DATE(2026,6,26),tblDaily[WardCode],"BF")),"")</f>
        <v/>
      </c>
      <c r="H227" s="5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IFERROR(IF(SUMIFS(tblDaily[Admissions],tblDaily[EntryDate],DATE(2026,6,27),tblDaily[WardCode],"BF")=0,"",SUMIFS(tblDaily[Admissions],tblDaily[EntryDate],DATE(2026,6,27),tblDaily[WardCode],"BF")),"")</f>
        <v/>
      </c>
      <c r="C228" s="5" t="str">
        <f>IFERROR(IF(SUMIFS(tblDaily[Discharges],tblDaily[EntryDate],DATE(2026,6,27),tblDaily[WardCode],"BF")=0,"",SUMIFS(tblDaily[Discharges],tblDaily[EntryDate],DATE(2026,6,27),tblDaily[WardCode],"BF")),"")</f>
        <v/>
      </c>
      <c r="D228" s="5" t="str">
        <f>IFERROR(IF(SUMIFS(tblDaily[Deaths],tblDaily[EntryDate],DATE(2026,6,27),tblDaily[WardCode],"BF")=0,"",SUMIFS(tblDaily[Deaths],tblDaily[EntryDate],DATE(2026,6,27),tblDaily[WardCode],"BF")),"")</f>
        <v/>
      </c>
      <c r="E228" s="5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5" t="str">
        <f>IFERROR(IF(SUMIFS(tblDaily[TransfersIn],tblDaily[EntryDate],DATE(2026,6,27),tblDaily[WardCode],"BF")=0,"",SUMIFS(tblDaily[TransfersIn],tblDaily[EntryDate],DATE(2026,6,27),tblDaily[WardCode],"BF")),"")</f>
        <v/>
      </c>
      <c r="G228" s="5" t="str">
        <f>IFERROR(IF(SUMIFS(tblDaily[TransfersOut],tblDaily[EntryDate],DATE(2026,6,27),tblDaily[WardCode],"BF")=0,"",SUMIFS(tblDaily[TransfersOut],tblDaily[EntryDate],DATE(2026,6,27),tblDaily[WardCode],"BF")),"")</f>
        <v/>
      </c>
      <c r="H228" s="5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IFERROR(IF(SUMIFS(tblDaily[Admissions],tblDaily[EntryDate],DATE(2026,6,28),tblDaily[WardCode],"BF")=0,"",SUMIFS(tblDaily[Admissions],tblDaily[EntryDate],DATE(2026,6,28),tblDaily[WardCode],"BF")),"")</f>
        <v/>
      </c>
      <c r="C229" s="5" t="str">
        <f>IFERROR(IF(SUMIFS(tblDaily[Discharges],tblDaily[EntryDate],DATE(2026,6,28),tblDaily[WardCode],"BF")=0,"",SUMIFS(tblDaily[Discharges],tblDaily[EntryDate],DATE(2026,6,28),tblDaily[WardCode],"BF")),"")</f>
        <v/>
      </c>
      <c r="D229" s="5" t="str">
        <f>IFERROR(IF(SUMIFS(tblDaily[Deaths],tblDaily[EntryDate],DATE(2026,6,28),tblDaily[WardCode],"BF")=0,"",SUMIFS(tblDaily[Deaths],tblDaily[EntryDate],DATE(2026,6,28),tblDaily[WardCode],"BF")),"")</f>
        <v/>
      </c>
      <c r="E229" s="5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5" t="str">
        <f>IFERROR(IF(SUMIFS(tblDaily[TransfersIn],tblDaily[EntryDate],DATE(2026,6,28),tblDaily[WardCode],"BF")=0,"",SUMIFS(tblDaily[TransfersIn],tblDaily[EntryDate],DATE(2026,6,28),tblDaily[WardCode],"BF")),"")</f>
        <v/>
      </c>
      <c r="G229" s="5" t="str">
        <f>IFERROR(IF(SUMIFS(tblDaily[TransfersOut],tblDaily[EntryDate],DATE(2026,6,28),tblDaily[WardCode],"BF")=0,"",SUMIFS(tblDaily[TransfersOut],tblDaily[EntryDate],DATE(2026,6,28),tblDaily[WardCode],"BF")),"")</f>
        <v/>
      </c>
      <c r="H229" s="5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IFERROR(IF(SUMIFS(tblDaily[Admissions],tblDaily[EntryDate],DATE(2026,6,29),tblDaily[WardCode],"BF")=0,"",SUMIFS(tblDaily[Admissions],tblDaily[EntryDate],DATE(2026,6,29),tblDaily[WardCode],"BF")),"")</f>
        <v/>
      </c>
      <c r="C230" s="5" t="str">
        <f>IFERROR(IF(SUMIFS(tblDaily[Discharges],tblDaily[EntryDate],DATE(2026,6,29),tblDaily[WardCode],"BF")=0,"",SUMIFS(tblDaily[Discharges],tblDaily[EntryDate],DATE(2026,6,29),tblDaily[WardCode],"BF")),"")</f>
        <v/>
      </c>
      <c r="D230" s="5" t="str">
        <f>IFERROR(IF(SUMIFS(tblDaily[Deaths],tblDaily[EntryDate],DATE(2026,6,29),tblDaily[WardCode],"BF")=0,"",SUMIFS(tblDaily[Deaths],tblDaily[EntryDate],DATE(2026,6,29),tblDaily[WardCode],"BF")),"")</f>
        <v/>
      </c>
      <c r="E230" s="5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5" t="str">
        <f>IFERROR(IF(SUMIFS(tblDaily[TransfersIn],tblDaily[EntryDate],DATE(2026,6,29),tblDaily[WardCode],"BF")=0,"",SUMIFS(tblDaily[TransfersIn],tblDaily[EntryDate],DATE(2026,6,29),tblDaily[WardCode],"BF")),"")</f>
        <v/>
      </c>
      <c r="G230" s="5" t="str">
        <f>IFERROR(IF(SUMIFS(tblDaily[TransfersOut],tblDaily[EntryDate],DATE(2026,6,29),tblDaily[WardCode],"BF")=0,"",SUMIFS(tblDaily[TransfersOut],tblDaily[EntryDate],DATE(2026,6,29),tblDaily[WardCode],"BF")),"")</f>
        <v/>
      </c>
      <c r="H230" s="5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IFERROR(IF(SUMIFS(tblDaily[Admissions],tblDaily[EntryDate],DATE(2026,6,30),tblDaily[WardCode],"BF")=0,"",SUMIFS(tblDaily[Admissions],tblDaily[EntryDate],DATE(2026,6,30),tblDaily[WardCode],"BF")),"")</f>
        <v/>
      </c>
      <c r="C231" s="5" t="str">
        <f>IFERROR(IF(SUMIFS(tblDaily[Discharges],tblDaily[EntryDate],DATE(2026,6,30),tblDaily[WardCode],"BF")=0,"",SUMIFS(tblDaily[Discharges],tblDaily[EntryDate],DATE(2026,6,30),tblDaily[WardCode],"BF")),"")</f>
        <v/>
      </c>
      <c r="D231" s="5" t="str">
        <f>IFERROR(IF(SUMIFS(tblDaily[Deaths],tblDaily[EntryDate],DATE(2026,6,30),tblDaily[WardCode],"BF")=0,"",SUMIFS(tblDaily[Deaths],tblDaily[EntryDate],DATE(2026,6,30),tblDaily[WardCode],"BF")),"")</f>
        <v/>
      </c>
      <c r="E231" s="5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5" t="str">
        <f>IFERROR(IF(SUMIFS(tblDaily[TransfersIn],tblDaily[EntryDate],DATE(2026,6,30),tblDaily[WardCode],"BF")=0,"",SUMIFS(tblDaily[TransfersIn],tblDaily[EntryDate],DATE(2026,6,30),tblDaily[WardCode],"BF")),"")</f>
        <v/>
      </c>
      <c r="G231" s="5" t="str">
        <f>IFERROR(IF(SUMIFS(tblDaily[TransfersOut],tblDaily[EntryDate],DATE(2026,6,30),tblDaily[WardCode],"BF")=0,"",SUMIFS(tblDaily[TransfersOut],tblDaily[EntryDate],DATE(2026,6,30),tblDaily[WardCode],"BF")),"")</f>
        <v/>
      </c>
      <c r="H231" s="5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98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89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IFERROR(IF(SUMIFS(tblDaily[Admissions],tblDaily[EntryDate],DATE(2026,7,1),tblDaily[WardCode],"BF")=0,"",SUMIFS(tblDaily[Admissions],tblDaily[EntryDate],DATE(2026,7,1),tblDaily[WardCode],"BF")),"")</f>
        <v/>
      </c>
      <c r="C241" s="5" t="str">
        <f>IFERROR(IF(SUMIFS(tblDaily[Discharges],tblDaily[EntryDate],DATE(2026,7,1),tblDaily[WardCode],"BF")=0,"",SUMIFS(tblDaily[Discharges],tblDaily[EntryDate],DATE(2026,7,1),tblDaily[WardCode],"BF")),"")</f>
        <v/>
      </c>
      <c r="D241" s="5" t="str">
        <f>IFERROR(IF(SUMIFS(tblDaily[Deaths],tblDaily[EntryDate],DATE(2026,7,1),tblDaily[WardCode],"BF")=0,"",SUMIFS(tblDaily[Deaths],tblDaily[EntryDate],DATE(2026,7,1),tblDaily[WardCode],"BF")),"")</f>
        <v/>
      </c>
      <c r="E241" s="5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5" t="str">
        <f>IFERROR(IF(SUMIFS(tblDaily[TransfersIn],tblDaily[EntryDate],DATE(2026,7,1),tblDaily[WardCode],"BF")=0,"",SUMIFS(tblDaily[TransfersIn],tblDaily[EntryDate],DATE(2026,7,1),tblDaily[WardCode],"BF")),"")</f>
        <v/>
      </c>
      <c r="G241" s="5" t="str">
        <f>IFERROR(IF(SUMIFS(tblDaily[TransfersOut],tblDaily[EntryDate],DATE(2026,7,1),tblDaily[WardCode],"BF")=0,"",SUMIFS(tblDaily[TransfersOut],tblDaily[EntryDate],DATE(2026,7,1),tblDaily[WardCode],"BF")),"")</f>
        <v/>
      </c>
      <c r="H241" s="5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IFERROR(IF(SUMIFS(tblDaily[Admissions],tblDaily[EntryDate],DATE(2026,7,2),tblDaily[WardCode],"BF")=0,"",SUMIFS(tblDaily[Admissions],tblDaily[EntryDate],DATE(2026,7,2),tblDaily[WardCode],"BF")),"")</f>
        <v/>
      </c>
      <c r="C242" s="5" t="str">
        <f>IFERROR(IF(SUMIFS(tblDaily[Discharges],tblDaily[EntryDate],DATE(2026,7,2),tblDaily[WardCode],"BF")=0,"",SUMIFS(tblDaily[Discharges],tblDaily[EntryDate],DATE(2026,7,2),tblDaily[WardCode],"BF")),"")</f>
        <v/>
      </c>
      <c r="D242" s="5" t="str">
        <f>IFERROR(IF(SUMIFS(tblDaily[Deaths],tblDaily[EntryDate],DATE(2026,7,2),tblDaily[WardCode],"BF")=0,"",SUMIFS(tblDaily[Deaths],tblDaily[EntryDate],DATE(2026,7,2),tblDaily[WardCode],"BF")),"")</f>
        <v/>
      </c>
      <c r="E242" s="5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5" t="str">
        <f>IFERROR(IF(SUMIFS(tblDaily[TransfersIn],tblDaily[EntryDate],DATE(2026,7,2),tblDaily[WardCode],"BF")=0,"",SUMIFS(tblDaily[TransfersIn],tblDaily[EntryDate],DATE(2026,7,2),tblDaily[WardCode],"BF")),"")</f>
        <v/>
      </c>
      <c r="G242" s="5" t="str">
        <f>IFERROR(IF(SUMIFS(tblDaily[TransfersOut],tblDaily[EntryDate],DATE(2026,7,2),tblDaily[WardCode],"BF")=0,"",SUMIFS(tblDaily[TransfersOut],tblDaily[EntryDate],DATE(2026,7,2),tblDaily[WardCode],"BF")),"")</f>
        <v/>
      </c>
      <c r="H242" s="5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IFERROR(IF(SUMIFS(tblDaily[Admissions],tblDaily[EntryDate],DATE(2026,7,3),tblDaily[WardCode],"BF")=0,"",SUMIFS(tblDaily[Admissions],tblDaily[EntryDate],DATE(2026,7,3),tblDaily[WardCode],"BF")),"")</f>
        <v/>
      </c>
      <c r="C243" s="5" t="str">
        <f>IFERROR(IF(SUMIFS(tblDaily[Discharges],tblDaily[EntryDate],DATE(2026,7,3),tblDaily[WardCode],"BF")=0,"",SUMIFS(tblDaily[Discharges],tblDaily[EntryDate],DATE(2026,7,3),tblDaily[WardCode],"BF")),"")</f>
        <v/>
      </c>
      <c r="D243" s="5" t="str">
        <f>IFERROR(IF(SUMIFS(tblDaily[Deaths],tblDaily[EntryDate],DATE(2026,7,3),tblDaily[WardCode],"BF")=0,"",SUMIFS(tblDaily[Deaths],tblDaily[EntryDate],DATE(2026,7,3),tblDaily[WardCode],"BF")),"")</f>
        <v/>
      </c>
      <c r="E243" s="5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5" t="str">
        <f>IFERROR(IF(SUMIFS(tblDaily[TransfersIn],tblDaily[EntryDate],DATE(2026,7,3),tblDaily[WardCode],"BF")=0,"",SUMIFS(tblDaily[TransfersIn],tblDaily[EntryDate],DATE(2026,7,3),tblDaily[WardCode],"BF")),"")</f>
        <v/>
      </c>
      <c r="G243" s="5" t="str">
        <f>IFERROR(IF(SUMIFS(tblDaily[TransfersOut],tblDaily[EntryDate],DATE(2026,7,3),tblDaily[WardCode],"BF")=0,"",SUMIFS(tblDaily[TransfersOut],tblDaily[EntryDate],DATE(2026,7,3),tblDaily[WardCode],"BF")),"")</f>
        <v/>
      </c>
      <c r="H243" s="5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IFERROR(IF(SUMIFS(tblDaily[Admissions],tblDaily[EntryDate],DATE(2026,7,4),tblDaily[WardCode],"BF")=0,"",SUMIFS(tblDaily[Admissions],tblDaily[EntryDate],DATE(2026,7,4),tblDaily[WardCode],"BF")),"")</f>
        <v/>
      </c>
      <c r="C244" s="5" t="str">
        <f>IFERROR(IF(SUMIFS(tblDaily[Discharges],tblDaily[EntryDate],DATE(2026,7,4),tblDaily[WardCode],"BF")=0,"",SUMIFS(tblDaily[Discharges],tblDaily[EntryDate],DATE(2026,7,4),tblDaily[WardCode],"BF")),"")</f>
        <v/>
      </c>
      <c r="D244" s="5" t="str">
        <f>IFERROR(IF(SUMIFS(tblDaily[Deaths],tblDaily[EntryDate],DATE(2026,7,4),tblDaily[WardCode],"BF")=0,"",SUMIFS(tblDaily[Deaths],tblDaily[EntryDate],DATE(2026,7,4),tblDaily[WardCode],"BF")),"")</f>
        <v/>
      </c>
      <c r="E244" s="5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5" t="str">
        <f>IFERROR(IF(SUMIFS(tblDaily[TransfersIn],tblDaily[EntryDate],DATE(2026,7,4),tblDaily[WardCode],"BF")=0,"",SUMIFS(tblDaily[TransfersIn],tblDaily[EntryDate],DATE(2026,7,4),tblDaily[WardCode],"BF")),"")</f>
        <v/>
      </c>
      <c r="G244" s="5" t="str">
        <f>IFERROR(IF(SUMIFS(tblDaily[TransfersOut],tblDaily[EntryDate],DATE(2026,7,4),tblDaily[WardCode],"BF")=0,"",SUMIFS(tblDaily[TransfersOut],tblDaily[EntryDate],DATE(2026,7,4),tblDaily[WardCode],"BF")),"")</f>
        <v/>
      </c>
      <c r="H244" s="5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IFERROR(IF(SUMIFS(tblDaily[Admissions],tblDaily[EntryDate],DATE(2026,7,5),tblDaily[WardCode],"BF")=0,"",SUMIFS(tblDaily[Admissions],tblDaily[EntryDate],DATE(2026,7,5),tblDaily[WardCode],"BF")),"")</f>
        <v/>
      </c>
      <c r="C245" s="5" t="str">
        <f>IFERROR(IF(SUMIFS(tblDaily[Discharges],tblDaily[EntryDate],DATE(2026,7,5),tblDaily[WardCode],"BF")=0,"",SUMIFS(tblDaily[Discharges],tblDaily[EntryDate],DATE(2026,7,5),tblDaily[WardCode],"BF")),"")</f>
        <v/>
      </c>
      <c r="D245" s="5" t="str">
        <f>IFERROR(IF(SUMIFS(tblDaily[Deaths],tblDaily[EntryDate],DATE(2026,7,5),tblDaily[WardCode],"BF")=0,"",SUMIFS(tblDaily[Deaths],tblDaily[EntryDate],DATE(2026,7,5),tblDaily[WardCode],"BF")),"")</f>
        <v/>
      </c>
      <c r="E245" s="5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5" t="str">
        <f>IFERROR(IF(SUMIFS(tblDaily[TransfersIn],tblDaily[EntryDate],DATE(2026,7,5),tblDaily[WardCode],"BF")=0,"",SUMIFS(tblDaily[TransfersIn],tblDaily[EntryDate],DATE(2026,7,5),tblDaily[WardCode],"BF")),"")</f>
        <v/>
      </c>
      <c r="G245" s="5" t="str">
        <f>IFERROR(IF(SUMIFS(tblDaily[TransfersOut],tblDaily[EntryDate],DATE(2026,7,5),tblDaily[WardCode],"BF")=0,"",SUMIFS(tblDaily[TransfersOut],tblDaily[EntryDate],DATE(2026,7,5),tblDaily[WardCode],"BF")),"")</f>
        <v/>
      </c>
      <c r="H245" s="5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IFERROR(IF(SUMIFS(tblDaily[Admissions],tblDaily[EntryDate],DATE(2026,7,6),tblDaily[WardCode],"BF")=0,"",SUMIFS(tblDaily[Admissions],tblDaily[EntryDate],DATE(2026,7,6),tblDaily[WardCode],"BF")),"")</f>
        <v/>
      </c>
      <c r="C246" s="5" t="str">
        <f>IFERROR(IF(SUMIFS(tblDaily[Discharges],tblDaily[EntryDate],DATE(2026,7,6),tblDaily[WardCode],"BF")=0,"",SUMIFS(tblDaily[Discharges],tblDaily[EntryDate],DATE(2026,7,6),tblDaily[WardCode],"BF")),"")</f>
        <v/>
      </c>
      <c r="D246" s="5" t="str">
        <f>IFERROR(IF(SUMIFS(tblDaily[Deaths],tblDaily[EntryDate],DATE(2026,7,6),tblDaily[WardCode],"BF")=0,"",SUMIFS(tblDaily[Deaths],tblDaily[EntryDate],DATE(2026,7,6),tblDaily[WardCode],"BF")),"")</f>
        <v/>
      </c>
      <c r="E246" s="5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5" t="str">
        <f>IFERROR(IF(SUMIFS(tblDaily[TransfersIn],tblDaily[EntryDate],DATE(2026,7,6),tblDaily[WardCode],"BF")=0,"",SUMIFS(tblDaily[TransfersIn],tblDaily[EntryDate],DATE(2026,7,6),tblDaily[WardCode],"BF")),"")</f>
        <v/>
      </c>
      <c r="G246" s="5" t="str">
        <f>IFERROR(IF(SUMIFS(tblDaily[TransfersOut],tblDaily[EntryDate],DATE(2026,7,6),tblDaily[WardCode],"BF")=0,"",SUMIFS(tblDaily[TransfersOut],tblDaily[EntryDate],DATE(2026,7,6),tblDaily[WardCode],"BF")),"")</f>
        <v/>
      </c>
      <c r="H246" s="5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IFERROR(IF(SUMIFS(tblDaily[Admissions],tblDaily[EntryDate],DATE(2026,7,7),tblDaily[WardCode],"BF")=0,"",SUMIFS(tblDaily[Admissions],tblDaily[EntryDate],DATE(2026,7,7),tblDaily[WardCode],"BF")),"")</f>
        <v/>
      </c>
      <c r="C247" s="5" t="str">
        <f>IFERROR(IF(SUMIFS(tblDaily[Discharges],tblDaily[EntryDate],DATE(2026,7,7),tblDaily[WardCode],"BF")=0,"",SUMIFS(tblDaily[Discharges],tblDaily[EntryDate],DATE(2026,7,7),tblDaily[WardCode],"BF")),"")</f>
        <v/>
      </c>
      <c r="D247" s="5" t="str">
        <f>IFERROR(IF(SUMIFS(tblDaily[Deaths],tblDaily[EntryDate],DATE(2026,7,7),tblDaily[WardCode],"BF")=0,"",SUMIFS(tblDaily[Deaths],tblDaily[EntryDate],DATE(2026,7,7),tblDaily[WardCode],"BF")),"")</f>
        <v/>
      </c>
      <c r="E247" s="5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5" t="str">
        <f>IFERROR(IF(SUMIFS(tblDaily[TransfersIn],tblDaily[EntryDate],DATE(2026,7,7),tblDaily[WardCode],"BF")=0,"",SUMIFS(tblDaily[TransfersIn],tblDaily[EntryDate],DATE(2026,7,7),tblDaily[WardCode],"BF")),"")</f>
        <v/>
      </c>
      <c r="G247" s="5" t="str">
        <f>IFERROR(IF(SUMIFS(tblDaily[TransfersOut],tblDaily[EntryDate],DATE(2026,7,7),tblDaily[WardCode],"BF")=0,"",SUMIFS(tblDaily[TransfersOut],tblDaily[EntryDate],DATE(2026,7,7),tblDaily[WardCode],"BF")),"")</f>
        <v/>
      </c>
      <c r="H247" s="5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IFERROR(IF(SUMIFS(tblDaily[Admissions],tblDaily[EntryDate],DATE(2026,7,8),tblDaily[WardCode],"BF")=0,"",SUMIFS(tblDaily[Admissions],tblDaily[EntryDate],DATE(2026,7,8),tblDaily[WardCode],"BF")),"")</f>
        <v/>
      </c>
      <c r="C248" s="5" t="str">
        <f>IFERROR(IF(SUMIFS(tblDaily[Discharges],tblDaily[EntryDate],DATE(2026,7,8),tblDaily[WardCode],"BF")=0,"",SUMIFS(tblDaily[Discharges],tblDaily[EntryDate],DATE(2026,7,8),tblDaily[WardCode],"BF")),"")</f>
        <v/>
      </c>
      <c r="D248" s="5" t="str">
        <f>IFERROR(IF(SUMIFS(tblDaily[Deaths],tblDaily[EntryDate],DATE(2026,7,8),tblDaily[WardCode],"BF")=0,"",SUMIFS(tblDaily[Deaths],tblDaily[EntryDate],DATE(2026,7,8),tblDaily[WardCode],"BF")),"")</f>
        <v/>
      </c>
      <c r="E248" s="5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5" t="str">
        <f>IFERROR(IF(SUMIFS(tblDaily[TransfersIn],tblDaily[EntryDate],DATE(2026,7,8),tblDaily[WardCode],"BF")=0,"",SUMIFS(tblDaily[TransfersIn],tblDaily[EntryDate],DATE(2026,7,8),tblDaily[WardCode],"BF")),"")</f>
        <v/>
      </c>
      <c r="G248" s="5" t="str">
        <f>IFERROR(IF(SUMIFS(tblDaily[TransfersOut],tblDaily[EntryDate],DATE(2026,7,8),tblDaily[WardCode],"BF")=0,"",SUMIFS(tblDaily[TransfersOut],tblDaily[EntryDate],DATE(2026,7,8),tblDaily[WardCode],"BF")),"")</f>
        <v/>
      </c>
      <c r="H248" s="5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IFERROR(IF(SUMIFS(tblDaily[Admissions],tblDaily[EntryDate],DATE(2026,7,9),tblDaily[WardCode],"BF")=0,"",SUMIFS(tblDaily[Admissions],tblDaily[EntryDate],DATE(2026,7,9),tblDaily[WardCode],"BF")),"")</f>
        <v/>
      </c>
      <c r="C249" s="5" t="str">
        <f>IFERROR(IF(SUMIFS(tblDaily[Discharges],tblDaily[EntryDate],DATE(2026,7,9),tblDaily[WardCode],"BF")=0,"",SUMIFS(tblDaily[Discharges],tblDaily[EntryDate],DATE(2026,7,9),tblDaily[WardCode],"BF")),"")</f>
        <v/>
      </c>
      <c r="D249" s="5" t="str">
        <f>IFERROR(IF(SUMIFS(tblDaily[Deaths],tblDaily[EntryDate],DATE(2026,7,9),tblDaily[WardCode],"BF")=0,"",SUMIFS(tblDaily[Deaths],tblDaily[EntryDate],DATE(2026,7,9),tblDaily[WardCode],"BF")),"")</f>
        <v/>
      </c>
      <c r="E249" s="5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5" t="str">
        <f>IFERROR(IF(SUMIFS(tblDaily[TransfersIn],tblDaily[EntryDate],DATE(2026,7,9),tblDaily[WardCode],"BF")=0,"",SUMIFS(tblDaily[TransfersIn],tblDaily[EntryDate],DATE(2026,7,9),tblDaily[WardCode],"BF")),"")</f>
        <v/>
      </c>
      <c r="G249" s="5" t="str">
        <f>IFERROR(IF(SUMIFS(tblDaily[TransfersOut],tblDaily[EntryDate],DATE(2026,7,9),tblDaily[WardCode],"BF")=0,"",SUMIFS(tblDaily[TransfersOut],tblDaily[EntryDate],DATE(2026,7,9),tblDaily[WardCode],"BF")),"")</f>
        <v/>
      </c>
      <c r="H249" s="5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IFERROR(IF(SUMIFS(tblDaily[Admissions],tblDaily[EntryDate],DATE(2026,7,10),tblDaily[WardCode],"BF")=0,"",SUMIFS(tblDaily[Admissions],tblDaily[EntryDate],DATE(2026,7,10),tblDaily[WardCode],"BF")),"")</f>
        <v/>
      </c>
      <c r="C250" s="5" t="str">
        <f>IFERROR(IF(SUMIFS(tblDaily[Discharges],tblDaily[EntryDate],DATE(2026,7,10),tblDaily[WardCode],"BF")=0,"",SUMIFS(tblDaily[Discharges],tblDaily[EntryDate],DATE(2026,7,10),tblDaily[WardCode],"BF")),"")</f>
        <v/>
      </c>
      <c r="D250" s="5" t="str">
        <f>IFERROR(IF(SUMIFS(tblDaily[Deaths],tblDaily[EntryDate],DATE(2026,7,10),tblDaily[WardCode],"BF")=0,"",SUMIFS(tblDaily[Deaths],tblDaily[EntryDate],DATE(2026,7,10),tblDaily[WardCode],"BF")),"")</f>
        <v/>
      </c>
      <c r="E250" s="5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5" t="str">
        <f>IFERROR(IF(SUMIFS(tblDaily[TransfersIn],tblDaily[EntryDate],DATE(2026,7,10),tblDaily[WardCode],"BF")=0,"",SUMIFS(tblDaily[TransfersIn],tblDaily[EntryDate],DATE(2026,7,10),tblDaily[WardCode],"BF")),"")</f>
        <v/>
      </c>
      <c r="G250" s="5" t="str">
        <f>IFERROR(IF(SUMIFS(tblDaily[TransfersOut],tblDaily[EntryDate],DATE(2026,7,10),tblDaily[WardCode],"BF")=0,"",SUMIFS(tblDaily[TransfersOut],tblDaily[EntryDate],DATE(2026,7,10),tblDaily[WardCode],"BF")),"")</f>
        <v/>
      </c>
      <c r="H250" s="5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IFERROR(IF(SUMIFS(tblDaily[Admissions],tblDaily[EntryDate],DATE(2026,7,11),tblDaily[WardCode],"BF")=0,"",SUMIFS(tblDaily[Admissions],tblDaily[EntryDate],DATE(2026,7,11),tblDaily[WardCode],"BF")),"")</f>
        <v/>
      </c>
      <c r="C251" s="5" t="str">
        <f>IFERROR(IF(SUMIFS(tblDaily[Discharges],tblDaily[EntryDate],DATE(2026,7,11),tblDaily[WardCode],"BF")=0,"",SUMIFS(tblDaily[Discharges],tblDaily[EntryDate],DATE(2026,7,11),tblDaily[WardCode],"BF")),"")</f>
        <v/>
      </c>
      <c r="D251" s="5" t="str">
        <f>IFERROR(IF(SUMIFS(tblDaily[Deaths],tblDaily[EntryDate],DATE(2026,7,11),tblDaily[WardCode],"BF")=0,"",SUMIFS(tblDaily[Deaths],tblDaily[EntryDate],DATE(2026,7,11),tblDaily[WardCode],"BF")),"")</f>
        <v/>
      </c>
      <c r="E251" s="5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5" t="str">
        <f>IFERROR(IF(SUMIFS(tblDaily[TransfersIn],tblDaily[EntryDate],DATE(2026,7,11),tblDaily[WardCode],"BF")=0,"",SUMIFS(tblDaily[TransfersIn],tblDaily[EntryDate],DATE(2026,7,11),tblDaily[WardCode],"BF")),"")</f>
        <v/>
      </c>
      <c r="G251" s="5" t="str">
        <f>IFERROR(IF(SUMIFS(tblDaily[TransfersOut],tblDaily[EntryDate],DATE(2026,7,11),tblDaily[WardCode],"BF")=0,"",SUMIFS(tblDaily[TransfersOut],tblDaily[EntryDate],DATE(2026,7,11),tblDaily[WardCode],"BF")),"")</f>
        <v/>
      </c>
      <c r="H251" s="5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IFERROR(IF(SUMIFS(tblDaily[Admissions],tblDaily[EntryDate],DATE(2026,7,12),tblDaily[WardCode],"BF")=0,"",SUMIFS(tblDaily[Admissions],tblDaily[EntryDate],DATE(2026,7,12),tblDaily[WardCode],"BF")),"")</f>
        <v/>
      </c>
      <c r="C252" s="5" t="str">
        <f>IFERROR(IF(SUMIFS(tblDaily[Discharges],tblDaily[EntryDate],DATE(2026,7,12),tblDaily[WardCode],"BF")=0,"",SUMIFS(tblDaily[Discharges],tblDaily[EntryDate],DATE(2026,7,12),tblDaily[WardCode],"BF")),"")</f>
        <v/>
      </c>
      <c r="D252" s="5" t="str">
        <f>IFERROR(IF(SUMIFS(tblDaily[Deaths],tblDaily[EntryDate],DATE(2026,7,12),tblDaily[WardCode],"BF")=0,"",SUMIFS(tblDaily[Deaths],tblDaily[EntryDate],DATE(2026,7,12),tblDaily[WardCode],"BF")),"")</f>
        <v/>
      </c>
      <c r="E252" s="5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5" t="str">
        <f>IFERROR(IF(SUMIFS(tblDaily[TransfersIn],tblDaily[EntryDate],DATE(2026,7,12),tblDaily[WardCode],"BF")=0,"",SUMIFS(tblDaily[TransfersIn],tblDaily[EntryDate],DATE(2026,7,12),tblDaily[WardCode],"BF")),"")</f>
        <v/>
      </c>
      <c r="G252" s="5" t="str">
        <f>IFERROR(IF(SUMIFS(tblDaily[TransfersOut],tblDaily[EntryDate],DATE(2026,7,12),tblDaily[WardCode],"BF")=0,"",SUMIFS(tblDaily[TransfersOut],tblDaily[EntryDate],DATE(2026,7,12),tblDaily[WardCode],"BF")),"")</f>
        <v/>
      </c>
      <c r="H252" s="5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IFERROR(IF(SUMIFS(tblDaily[Admissions],tblDaily[EntryDate],DATE(2026,7,13),tblDaily[WardCode],"BF")=0,"",SUMIFS(tblDaily[Admissions],tblDaily[EntryDate],DATE(2026,7,13),tblDaily[WardCode],"BF")),"")</f>
        <v/>
      </c>
      <c r="C253" s="5" t="str">
        <f>IFERROR(IF(SUMIFS(tblDaily[Discharges],tblDaily[EntryDate],DATE(2026,7,13),tblDaily[WardCode],"BF")=0,"",SUMIFS(tblDaily[Discharges],tblDaily[EntryDate],DATE(2026,7,13),tblDaily[WardCode],"BF")),"")</f>
        <v/>
      </c>
      <c r="D253" s="5" t="str">
        <f>IFERROR(IF(SUMIFS(tblDaily[Deaths],tblDaily[EntryDate],DATE(2026,7,13),tblDaily[WardCode],"BF")=0,"",SUMIFS(tblDaily[Deaths],tblDaily[EntryDate],DATE(2026,7,13),tblDaily[WardCode],"BF")),"")</f>
        <v/>
      </c>
      <c r="E253" s="5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5" t="str">
        <f>IFERROR(IF(SUMIFS(tblDaily[TransfersIn],tblDaily[EntryDate],DATE(2026,7,13),tblDaily[WardCode],"BF")=0,"",SUMIFS(tblDaily[TransfersIn],tblDaily[EntryDate],DATE(2026,7,13),tblDaily[WardCode],"BF")),"")</f>
        <v/>
      </c>
      <c r="G253" s="5" t="str">
        <f>IFERROR(IF(SUMIFS(tblDaily[TransfersOut],tblDaily[EntryDate],DATE(2026,7,13),tblDaily[WardCode],"BF")=0,"",SUMIFS(tblDaily[TransfersOut],tblDaily[EntryDate],DATE(2026,7,13),tblDaily[WardCode],"BF")),"")</f>
        <v/>
      </c>
      <c r="H253" s="5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IFERROR(IF(SUMIFS(tblDaily[Admissions],tblDaily[EntryDate],DATE(2026,7,14),tblDaily[WardCode],"BF")=0,"",SUMIFS(tblDaily[Admissions],tblDaily[EntryDate],DATE(2026,7,14),tblDaily[WardCode],"BF")),"")</f>
        <v/>
      </c>
      <c r="C254" s="5" t="str">
        <f>IFERROR(IF(SUMIFS(tblDaily[Discharges],tblDaily[EntryDate],DATE(2026,7,14),tblDaily[WardCode],"BF")=0,"",SUMIFS(tblDaily[Discharges],tblDaily[EntryDate],DATE(2026,7,14),tblDaily[WardCode],"BF")),"")</f>
        <v/>
      </c>
      <c r="D254" s="5" t="str">
        <f>IFERROR(IF(SUMIFS(tblDaily[Deaths],tblDaily[EntryDate],DATE(2026,7,14),tblDaily[WardCode],"BF")=0,"",SUMIFS(tblDaily[Deaths],tblDaily[EntryDate],DATE(2026,7,14),tblDaily[WardCode],"BF")),"")</f>
        <v/>
      </c>
      <c r="E254" s="5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5" t="str">
        <f>IFERROR(IF(SUMIFS(tblDaily[TransfersIn],tblDaily[EntryDate],DATE(2026,7,14),tblDaily[WardCode],"BF")=0,"",SUMIFS(tblDaily[TransfersIn],tblDaily[EntryDate],DATE(2026,7,14),tblDaily[WardCode],"BF")),"")</f>
        <v/>
      </c>
      <c r="G254" s="5" t="str">
        <f>IFERROR(IF(SUMIFS(tblDaily[TransfersOut],tblDaily[EntryDate],DATE(2026,7,14),tblDaily[WardCode],"BF")=0,"",SUMIFS(tblDaily[TransfersOut],tblDaily[EntryDate],DATE(2026,7,14),tblDaily[WardCode],"BF")),"")</f>
        <v/>
      </c>
      <c r="H254" s="5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IFERROR(IF(SUMIFS(tblDaily[Admissions],tblDaily[EntryDate],DATE(2026,7,15),tblDaily[WardCode],"BF")=0,"",SUMIFS(tblDaily[Admissions],tblDaily[EntryDate],DATE(2026,7,15),tblDaily[WardCode],"BF")),"")</f>
        <v/>
      </c>
      <c r="C255" s="5" t="str">
        <f>IFERROR(IF(SUMIFS(tblDaily[Discharges],tblDaily[EntryDate],DATE(2026,7,15),tblDaily[WardCode],"BF")=0,"",SUMIFS(tblDaily[Discharges],tblDaily[EntryDate],DATE(2026,7,15),tblDaily[WardCode],"BF")),"")</f>
        <v/>
      </c>
      <c r="D255" s="5" t="str">
        <f>IFERROR(IF(SUMIFS(tblDaily[Deaths],tblDaily[EntryDate],DATE(2026,7,15),tblDaily[WardCode],"BF")=0,"",SUMIFS(tblDaily[Deaths],tblDaily[EntryDate],DATE(2026,7,15),tblDaily[WardCode],"BF")),"")</f>
        <v/>
      </c>
      <c r="E255" s="5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5" t="str">
        <f>IFERROR(IF(SUMIFS(tblDaily[TransfersIn],tblDaily[EntryDate],DATE(2026,7,15),tblDaily[WardCode],"BF")=0,"",SUMIFS(tblDaily[TransfersIn],tblDaily[EntryDate],DATE(2026,7,15),tblDaily[WardCode],"BF")),"")</f>
        <v/>
      </c>
      <c r="G255" s="5" t="str">
        <f>IFERROR(IF(SUMIFS(tblDaily[TransfersOut],tblDaily[EntryDate],DATE(2026,7,15),tblDaily[WardCode],"BF")=0,"",SUMIFS(tblDaily[TransfersOut],tblDaily[EntryDate],DATE(2026,7,15),tblDaily[WardCode],"BF")),"")</f>
        <v/>
      </c>
      <c r="H255" s="5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IFERROR(IF(SUMIFS(tblDaily[Admissions],tblDaily[EntryDate],DATE(2026,7,16),tblDaily[WardCode],"BF")=0,"",SUMIFS(tblDaily[Admissions],tblDaily[EntryDate],DATE(2026,7,16),tblDaily[WardCode],"BF")),"")</f>
        <v/>
      </c>
      <c r="C256" s="5" t="str">
        <f>IFERROR(IF(SUMIFS(tblDaily[Discharges],tblDaily[EntryDate],DATE(2026,7,16),tblDaily[WardCode],"BF")=0,"",SUMIFS(tblDaily[Discharges],tblDaily[EntryDate],DATE(2026,7,16),tblDaily[WardCode],"BF")),"")</f>
        <v/>
      </c>
      <c r="D256" s="5" t="str">
        <f>IFERROR(IF(SUMIFS(tblDaily[Deaths],tblDaily[EntryDate],DATE(2026,7,16),tblDaily[WardCode],"BF")=0,"",SUMIFS(tblDaily[Deaths],tblDaily[EntryDate],DATE(2026,7,16),tblDaily[WardCode],"BF")),"")</f>
        <v/>
      </c>
      <c r="E256" s="5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5" t="str">
        <f>IFERROR(IF(SUMIFS(tblDaily[TransfersIn],tblDaily[EntryDate],DATE(2026,7,16),tblDaily[WardCode],"BF")=0,"",SUMIFS(tblDaily[TransfersIn],tblDaily[EntryDate],DATE(2026,7,16),tblDaily[WardCode],"BF")),"")</f>
        <v/>
      </c>
      <c r="G256" s="5" t="str">
        <f>IFERROR(IF(SUMIFS(tblDaily[TransfersOut],tblDaily[EntryDate],DATE(2026,7,16),tblDaily[WardCode],"BF")=0,"",SUMIFS(tblDaily[TransfersOut],tblDaily[EntryDate],DATE(2026,7,16),tblDaily[WardCode],"BF")),"")</f>
        <v/>
      </c>
      <c r="H256" s="5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IFERROR(IF(SUMIFS(tblDaily[Admissions],tblDaily[EntryDate],DATE(2026,7,17),tblDaily[WardCode],"BF")=0,"",SUMIFS(tblDaily[Admissions],tblDaily[EntryDate],DATE(2026,7,17),tblDaily[WardCode],"BF")),"")</f>
        <v/>
      </c>
      <c r="C257" s="5" t="str">
        <f>IFERROR(IF(SUMIFS(tblDaily[Discharges],tblDaily[EntryDate],DATE(2026,7,17),tblDaily[WardCode],"BF")=0,"",SUMIFS(tblDaily[Discharges],tblDaily[EntryDate],DATE(2026,7,17),tblDaily[WardCode],"BF")),"")</f>
        <v/>
      </c>
      <c r="D257" s="5" t="str">
        <f>IFERROR(IF(SUMIFS(tblDaily[Deaths],tblDaily[EntryDate],DATE(2026,7,17),tblDaily[WardCode],"BF")=0,"",SUMIFS(tblDaily[Deaths],tblDaily[EntryDate],DATE(2026,7,17),tblDaily[WardCode],"BF")),"")</f>
        <v/>
      </c>
      <c r="E257" s="5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5" t="str">
        <f>IFERROR(IF(SUMIFS(tblDaily[TransfersIn],tblDaily[EntryDate],DATE(2026,7,17),tblDaily[WardCode],"BF")=0,"",SUMIFS(tblDaily[TransfersIn],tblDaily[EntryDate],DATE(2026,7,17),tblDaily[WardCode],"BF")),"")</f>
        <v/>
      </c>
      <c r="G257" s="5" t="str">
        <f>IFERROR(IF(SUMIFS(tblDaily[TransfersOut],tblDaily[EntryDate],DATE(2026,7,17),tblDaily[WardCode],"BF")=0,"",SUMIFS(tblDaily[TransfersOut],tblDaily[EntryDate],DATE(2026,7,17),tblDaily[WardCode],"BF")),"")</f>
        <v/>
      </c>
      <c r="H257" s="5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IFERROR(IF(SUMIFS(tblDaily[Admissions],tblDaily[EntryDate],DATE(2026,7,18),tblDaily[WardCode],"BF")=0,"",SUMIFS(tblDaily[Admissions],tblDaily[EntryDate],DATE(2026,7,18),tblDaily[WardCode],"BF")),"")</f>
        <v/>
      </c>
      <c r="C258" s="5" t="str">
        <f>IFERROR(IF(SUMIFS(tblDaily[Discharges],tblDaily[EntryDate],DATE(2026,7,18),tblDaily[WardCode],"BF")=0,"",SUMIFS(tblDaily[Discharges],tblDaily[EntryDate],DATE(2026,7,18),tblDaily[WardCode],"BF")),"")</f>
        <v/>
      </c>
      <c r="D258" s="5" t="str">
        <f>IFERROR(IF(SUMIFS(tblDaily[Deaths],tblDaily[EntryDate],DATE(2026,7,18),tblDaily[WardCode],"BF")=0,"",SUMIFS(tblDaily[Deaths],tblDaily[EntryDate],DATE(2026,7,18),tblDaily[WardCode],"BF")),"")</f>
        <v/>
      </c>
      <c r="E258" s="5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5" t="str">
        <f>IFERROR(IF(SUMIFS(tblDaily[TransfersIn],tblDaily[EntryDate],DATE(2026,7,18),tblDaily[WardCode],"BF")=0,"",SUMIFS(tblDaily[TransfersIn],tblDaily[EntryDate],DATE(2026,7,18),tblDaily[WardCode],"BF")),"")</f>
        <v/>
      </c>
      <c r="G258" s="5" t="str">
        <f>IFERROR(IF(SUMIFS(tblDaily[TransfersOut],tblDaily[EntryDate],DATE(2026,7,18),tblDaily[WardCode],"BF")=0,"",SUMIFS(tblDaily[TransfersOut],tblDaily[EntryDate],DATE(2026,7,18),tblDaily[WardCode],"BF")),"")</f>
        <v/>
      </c>
      <c r="H258" s="5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IFERROR(IF(SUMIFS(tblDaily[Admissions],tblDaily[EntryDate],DATE(2026,7,19),tblDaily[WardCode],"BF")=0,"",SUMIFS(tblDaily[Admissions],tblDaily[EntryDate],DATE(2026,7,19),tblDaily[WardCode],"BF")),"")</f>
        <v/>
      </c>
      <c r="C259" s="5" t="str">
        <f>IFERROR(IF(SUMIFS(tblDaily[Discharges],tblDaily[EntryDate],DATE(2026,7,19),tblDaily[WardCode],"BF")=0,"",SUMIFS(tblDaily[Discharges],tblDaily[EntryDate],DATE(2026,7,19),tblDaily[WardCode],"BF")),"")</f>
        <v/>
      </c>
      <c r="D259" s="5" t="str">
        <f>IFERROR(IF(SUMIFS(tblDaily[Deaths],tblDaily[EntryDate],DATE(2026,7,19),tblDaily[WardCode],"BF")=0,"",SUMIFS(tblDaily[Deaths],tblDaily[EntryDate],DATE(2026,7,19),tblDaily[WardCode],"BF")),"")</f>
        <v/>
      </c>
      <c r="E259" s="5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5" t="str">
        <f>IFERROR(IF(SUMIFS(tblDaily[TransfersIn],tblDaily[EntryDate],DATE(2026,7,19),tblDaily[WardCode],"BF")=0,"",SUMIFS(tblDaily[TransfersIn],tblDaily[EntryDate],DATE(2026,7,19),tblDaily[WardCode],"BF")),"")</f>
        <v/>
      </c>
      <c r="G259" s="5" t="str">
        <f>IFERROR(IF(SUMIFS(tblDaily[TransfersOut],tblDaily[EntryDate],DATE(2026,7,19),tblDaily[WardCode],"BF")=0,"",SUMIFS(tblDaily[TransfersOut],tblDaily[EntryDate],DATE(2026,7,19),tblDaily[WardCode],"BF")),"")</f>
        <v/>
      </c>
      <c r="H259" s="5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IFERROR(IF(SUMIFS(tblDaily[Admissions],tblDaily[EntryDate],DATE(2026,7,20),tblDaily[WardCode],"BF")=0,"",SUMIFS(tblDaily[Admissions],tblDaily[EntryDate],DATE(2026,7,20),tblDaily[WardCode],"BF")),"")</f>
        <v/>
      </c>
      <c r="C260" s="5" t="str">
        <f>IFERROR(IF(SUMIFS(tblDaily[Discharges],tblDaily[EntryDate],DATE(2026,7,20),tblDaily[WardCode],"BF")=0,"",SUMIFS(tblDaily[Discharges],tblDaily[EntryDate],DATE(2026,7,20),tblDaily[WardCode],"BF")),"")</f>
        <v/>
      </c>
      <c r="D260" s="5" t="str">
        <f>IFERROR(IF(SUMIFS(tblDaily[Deaths],tblDaily[EntryDate],DATE(2026,7,20),tblDaily[WardCode],"BF")=0,"",SUMIFS(tblDaily[Deaths],tblDaily[EntryDate],DATE(2026,7,20),tblDaily[WardCode],"BF")),"")</f>
        <v/>
      </c>
      <c r="E260" s="5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5" t="str">
        <f>IFERROR(IF(SUMIFS(tblDaily[TransfersIn],tblDaily[EntryDate],DATE(2026,7,20),tblDaily[WardCode],"BF")=0,"",SUMIFS(tblDaily[TransfersIn],tblDaily[EntryDate],DATE(2026,7,20),tblDaily[WardCode],"BF")),"")</f>
        <v/>
      </c>
      <c r="G260" s="5" t="str">
        <f>IFERROR(IF(SUMIFS(tblDaily[TransfersOut],tblDaily[EntryDate],DATE(2026,7,20),tblDaily[WardCode],"BF")=0,"",SUMIFS(tblDaily[TransfersOut],tblDaily[EntryDate],DATE(2026,7,20),tblDaily[WardCode],"BF")),"")</f>
        <v/>
      </c>
      <c r="H260" s="5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IFERROR(IF(SUMIFS(tblDaily[Admissions],tblDaily[EntryDate],DATE(2026,7,21),tblDaily[WardCode],"BF")=0,"",SUMIFS(tblDaily[Admissions],tblDaily[EntryDate],DATE(2026,7,21),tblDaily[WardCode],"BF")),"")</f>
        <v/>
      </c>
      <c r="C261" s="5" t="str">
        <f>IFERROR(IF(SUMIFS(tblDaily[Discharges],tblDaily[EntryDate],DATE(2026,7,21),tblDaily[WardCode],"BF")=0,"",SUMIFS(tblDaily[Discharges],tblDaily[EntryDate],DATE(2026,7,21),tblDaily[WardCode],"BF")),"")</f>
        <v/>
      </c>
      <c r="D261" s="5" t="str">
        <f>IFERROR(IF(SUMIFS(tblDaily[Deaths],tblDaily[EntryDate],DATE(2026,7,21),tblDaily[WardCode],"BF")=0,"",SUMIFS(tblDaily[Deaths],tblDaily[EntryDate],DATE(2026,7,21),tblDaily[WardCode],"BF")),"")</f>
        <v/>
      </c>
      <c r="E261" s="5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5" t="str">
        <f>IFERROR(IF(SUMIFS(tblDaily[TransfersIn],tblDaily[EntryDate],DATE(2026,7,21),tblDaily[WardCode],"BF")=0,"",SUMIFS(tblDaily[TransfersIn],tblDaily[EntryDate],DATE(2026,7,21),tblDaily[WardCode],"BF")),"")</f>
        <v/>
      </c>
      <c r="G261" s="5" t="str">
        <f>IFERROR(IF(SUMIFS(tblDaily[TransfersOut],tblDaily[EntryDate],DATE(2026,7,21),tblDaily[WardCode],"BF")=0,"",SUMIFS(tblDaily[TransfersOut],tblDaily[EntryDate],DATE(2026,7,21),tblDaily[WardCode],"BF")),"")</f>
        <v/>
      </c>
      <c r="H261" s="5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IFERROR(IF(SUMIFS(tblDaily[Admissions],tblDaily[EntryDate],DATE(2026,7,22),tblDaily[WardCode],"BF")=0,"",SUMIFS(tblDaily[Admissions],tblDaily[EntryDate],DATE(2026,7,22),tblDaily[WardCode],"BF")),"")</f>
        <v/>
      </c>
      <c r="C262" s="5" t="str">
        <f>IFERROR(IF(SUMIFS(tblDaily[Discharges],tblDaily[EntryDate],DATE(2026,7,22),tblDaily[WardCode],"BF")=0,"",SUMIFS(tblDaily[Discharges],tblDaily[EntryDate],DATE(2026,7,22),tblDaily[WardCode],"BF")),"")</f>
        <v/>
      </c>
      <c r="D262" s="5" t="str">
        <f>IFERROR(IF(SUMIFS(tblDaily[Deaths],tblDaily[EntryDate],DATE(2026,7,22),tblDaily[WardCode],"BF")=0,"",SUMIFS(tblDaily[Deaths],tblDaily[EntryDate],DATE(2026,7,22),tblDaily[WardCode],"BF")),"")</f>
        <v/>
      </c>
      <c r="E262" s="5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5" t="str">
        <f>IFERROR(IF(SUMIFS(tblDaily[TransfersIn],tblDaily[EntryDate],DATE(2026,7,22),tblDaily[WardCode],"BF")=0,"",SUMIFS(tblDaily[TransfersIn],tblDaily[EntryDate],DATE(2026,7,22),tblDaily[WardCode],"BF")),"")</f>
        <v/>
      </c>
      <c r="G262" s="5" t="str">
        <f>IFERROR(IF(SUMIFS(tblDaily[TransfersOut],tblDaily[EntryDate],DATE(2026,7,22),tblDaily[WardCode],"BF")=0,"",SUMIFS(tblDaily[TransfersOut],tblDaily[EntryDate],DATE(2026,7,22),tblDaily[WardCode],"BF")),"")</f>
        <v/>
      </c>
      <c r="H262" s="5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IFERROR(IF(SUMIFS(tblDaily[Admissions],tblDaily[EntryDate],DATE(2026,7,23),tblDaily[WardCode],"BF")=0,"",SUMIFS(tblDaily[Admissions],tblDaily[EntryDate],DATE(2026,7,23),tblDaily[WardCode],"BF")),"")</f>
        <v/>
      </c>
      <c r="C263" s="5" t="str">
        <f>IFERROR(IF(SUMIFS(tblDaily[Discharges],tblDaily[EntryDate],DATE(2026,7,23),tblDaily[WardCode],"BF")=0,"",SUMIFS(tblDaily[Discharges],tblDaily[EntryDate],DATE(2026,7,23),tblDaily[WardCode],"BF")),"")</f>
        <v/>
      </c>
      <c r="D263" s="5" t="str">
        <f>IFERROR(IF(SUMIFS(tblDaily[Deaths],tblDaily[EntryDate],DATE(2026,7,23),tblDaily[WardCode],"BF")=0,"",SUMIFS(tblDaily[Deaths],tblDaily[EntryDate],DATE(2026,7,23),tblDaily[WardCode],"BF")),"")</f>
        <v/>
      </c>
      <c r="E263" s="5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5" t="str">
        <f>IFERROR(IF(SUMIFS(tblDaily[TransfersIn],tblDaily[EntryDate],DATE(2026,7,23),tblDaily[WardCode],"BF")=0,"",SUMIFS(tblDaily[TransfersIn],tblDaily[EntryDate],DATE(2026,7,23),tblDaily[WardCode],"BF")),"")</f>
        <v/>
      </c>
      <c r="G263" s="5" t="str">
        <f>IFERROR(IF(SUMIFS(tblDaily[TransfersOut],tblDaily[EntryDate],DATE(2026,7,23),tblDaily[WardCode],"BF")=0,"",SUMIFS(tblDaily[TransfersOut],tblDaily[EntryDate],DATE(2026,7,23),tblDaily[WardCode],"BF")),"")</f>
        <v/>
      </c>
      <c r="H263" s="5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IFERROR(IF(SUMIFS(tblDaily[Admissions],tblDaily[EntryDate],DATE(2026,7,24),tblDaily[WardCode],"BF")=0,"",SUMIFS(tblDaily[Admissions],tblDaily[EntryDate],DATE(2026,7,24),tblDaily[WardCode],"BF")),"")</f>
        <v/>
      </c>
      <c r="C264" s="5" t="str">
        <f>IFERROR(IF(SUMIFS(tblDaily[Discharges],tblDaily[EntryDate],DATE(2026,7,24),tblDaily[WardCode],"BF")=0,"",SUMIFS(tblDaily[Discharges],tblDaily[EntryDate],DATE(2026,7,24),tblDaily[WardCode],"BF")),"")</f>
        <v/>
      </c>
      <c r="D264" s="5" t="str">
        <f>IFERROR(IF(SUMIFS(tblDaily[Deaths],tblDaily[EntryDate],DATE(2026,7,24),tblDaily[WardCode],"BF")=0,"",SUMIFS(tblDaily[Deaths],tblDaily[EntryDate],DATE(2026,7,24),tblDaily[WardCode],"BF")),"")</f>
        <v/>
      </c>
      <c r="E264" s="5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5" t="str">
        <f>IFERROR(IF(SUMIFS(tblDaily[TransfersIn],tblDaily[EntryDate],DATE(2026,7,24),tblDaily[WardCode],"BF")=0,"",SUMIFS(tblDaily[TransfersIn],tblDaily[EntryDate],DATE(2026,7,24),tblDaily[WardCode],"BF")),"")</f>
        <v/>
      </c>
      <c r="G264" s="5" t="str">
        <f>IFERROR(IF(SUMIFS(tblDaily[TransfersOut],tblDaily[EntryDate],DATE(2026,7,24),tblDaily[WardCode],"BF")=0,"",SUMIFS(tblDaily[TransfersOut],tblDaily[EntryDate],DATE(2026,7,24),tblDaily[WardCode],"BF")),"")</f>
        <v/>
      </c>
      <c r="H264" s="5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IFERROR(IF(SUMIFS(tblDaily[Admissions],tblDaily[EntryDate],DATE(2026,7,25),tblDaily[WardCode],"BF")=0,"",SUMIFS(tblDaily[Admissions],tblDaily[EntryDate],DATE(2026,7,25),tblDaily[WardCode],"BF")),"")</f>
        <v/>
      </c>
      <c r="C265" s="5" t="str">
        <f>IFERROR(IF(SUMIFS(tblDaily[Discharges],tblDaily[EntryDate],DATE(2026,7,25),tblDaily[WardCode],"BF")=0,"",SUMIFS(tblDaily[Discharges],tblDaily[EntryDate],DATE(2026,7,25),tblDaily[WardCode],"BF")),"")</f>
        <v/>
      </c>
      <c r="D265" s="5" t="str">
        <f>IFERROR(IF(SUMIFS(tblDaily[Deaths],tblDaily[EntryDate],DATE(2026,7,25),tblDaily[WardCode],"BF")=0,"",SUMIFS(tblDaily[Deaths],tblDaily[EntryDate],DATE(2026,7,25),tblDaily[WardCode],"BF")),"")</f>
        <v/>
      </c>
      <c r="E265" s="5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5" t="str">
        <f>IFERROR(IF(SUMIFS(tblDaily[TransfersIn],tblDaily[EntryDate],DATE(2026,7,25),tblDaily[WardCode],"BF")=0,"",SUMIFS(tblDaily[TransfersIn],tblDaily[EntryDate],DATE(2026,7,25),tblDaily[WardCode],"BF")),"")</f>
        <v/>
      </c>
      <c r="G265" s="5" t="str">
        <f>IFERROR(IF(SUMIFS(tblDaily[TransfersOut],tblDaily[EntryDate],DATE(2026,7,25),tblDaily[WardCode],"BF")=0,"",SUMIFS(tblDaily[TransfersOut],tblDaily[EntryDate],DATE(2026,7,25),tblDaily[WardCode],"BF")),"")</f>
        <v/>
      </c>
      <c r="H265" s="5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IFERROR(IF(SUMIFS(tblDaily[Admissions],tblDaily[EntryDate],DATE(2026,7,26),tblDaily[WardCode],"BF")=0,"",SUMIFS(tblDaily[Admissions],tblDaily[EntryDate],DATE(2026,7,26),tblDaily[WardCode],"BF")),"")</f>
        <v/>
      </c>
      <c r="C266" s="5" t="str">
        <f>IFERROR(IF(SUMIFS(tblDaily[Discharges],tblDaily[EntryDate],DATE(2026,7,26),tblDaily[WardCode],"BF")=0,"",SUMIFS(tblDaily[Discharges],tblDaily[EntryDate],DATE(2026,7,26),tblDaily[WardCode],"BF")),"")</f>
        <v/>
      </c>
      <c r="D266" s="5" t="str">
        <f>IFERROR(IF(SUMIFS(tblDaily[Deaths],tblDaily[EntryDate],DATE(2026,7,26),tblDaily[WardCode],"BF")=0,"",SUMIFS(tblDaily[Deaths],tblDaily[EntryDate],DATE(2026,7,26),tblDaily[WardCode],"BF")),"")</f>
        <v/>
      </c>
      <c r="E266" s="5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5" t="str">
        <f>IFERROR(IF(SUMIFS(tblDaily[TransfersIn],tblDaily[EntryDate],DATE(2026,7,26),tblDaily[WardCode],"BF")=0,"",SUMIFS(tblDaily[TransfersIn],tblDaily[EntryDate],DATE(2026,7,26),tblDaily[WardCode],"BF")),"")</f>
        <v/>
      </c>
      <c r="G266" s="5" t="str">
        <f>IFERROR(IF(SUMIFS(tblDaily[TransfersOut],tblDaily[EntryDate],DATE(2026,7,26),tblDaily[WardCode],"BF")=0,"",SUMIFS(tblDaily[TransfersOut],tblDaily[EntryDate],DATE(2026,7,26),tblDaily[WardCode],"BF")),"")</f>
        <v/>
      </c>
      <c r="H266" s="5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IFERROR(IF(SUMIFS(tblDaily[Admissions],tblDaily[EntryDate],DATE(2026,7,27),tblDaily[WardCode],"BF")=0,"",SUMIFS(tblDaily[Admissions],tblDaily[EntryDate],DATE(2026,7,27),tblDaily[WardCode],"BF")),"")</f>
        <v/>
      </c>
      <c r="C267" s="5" t="str">
        <f>IFERROR(IF(SUMIFS(tblDaily[Discharges],tblDaily[EntryDate],DATE(2026,7,27),tblDaily[WardCode],"BF")=0,"",SUMIFS(tblDaily[Discharges],tblDaily[EntryDate],DATE(2026,7,27),tblDaily[WardCode],"BF")),"")</f>
        <v/>
      </c>
      <c r="D267" s="5" t="str">
        <f>IFERROR(IF(SUMIFS(tblDaily[Deaths],tblDaily[EntryDate],DATE(2026,7,27),tblDaily[WardCode],"BF")=0,"",SUMIFS(tblDaily[Deaths],tblDaily[EntryDate],DATE(2026,7,27),tblDaily[WardCode],"BF")),"")</f>
        <v/>
      </c>
      <c r="E267" s="5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5" t="str">
        <f>IFERROR(IF(SUMIFS(tblDaily[TransfersIn],tblDaily[EntryDate],DATE(2026,7,27),tblDaily[WardCode],"BF")=0,"",SUMIFS(tblDaily[TransfersIn],tblDaily[EntryDate],DATE(2026,7,27),tblDaily[WardCode],"BF")),"")</f>
        <v/>
      </c>
      <c r="G267" s="5" t="str">
        <f>IFERROR(IF(SUMIFS(tblDaily[TransfersOut],tblDaily[EntryDate],DATE(2026,7,27),tblDaily[WardCode],"BF")=0,"",SUMIFS(tblDaily[TransfersOut],tblDaily[EntryDate],DATE(2026,7,27),tblDaily[WardCode],"BF")),"")</f>
        <v/>
      </c>
      <c r="H267" s="5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IFERROR(IF(SUMIFS(tblDaily[Admissions],tblDaily[EntryDate],DATE(2026,7,28),tblDaily[WardCode],"BF")=0,"",SUMIFS(tblDaily[Admissions],tblDaily[EntryDate],DATE(2026,7,28),tblDaily[WardCode],"BF")),"")</f>
        <v/>
      </c>
      <c r="C268" s="5" t="str">
        <f>IFERROR(IF(SUMIFS(tblDaily[Discharges],tblDaily[EntryDate],DATE(2026,7,28),tblDaily[WardCode],"BF")=0,"",SUMIFS(tblDaily[Discharges],tblDaily[EntryDate],DATE(2026,7,28),tblDaily[WardCode],"BF")),"")</f>
        <v/>
      </c>
      <c r="D268" s="5" t="str">
        <f>IFERROR(IF(SUMIFS(tblDaily[Deaths],tblDaily[EntryDate],DATE(2026,7,28),tblDaily[WardCode],"BF")=0,"",SUMIFS(tblDaily[Deaths],tblDaily[EntryDate],DATE(2026,7,28),tblDaily[WardCode],"BF")),"")</f>
        <v/>
      </c>
      <c r="E268" s="5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5" t="str">
        <f>IFERROR(IF(SUMIFS(tblDaily[TransfersIn],tblDaily[EntryDate],DATE(2026,7,28),tblDaily[WardCode],"BF")=0,"",SUMIFS(tblDaily[TransfersIn],tblDaily[EntryDate],DATE(2026,7,28),tblDaily[WardCode],"BF")),"")</f>
        <v/>
      </c>
      <c r="G268" s="5" t="str">
        <f>IFERROR(IF(SUMIFS(tblDaily[TransfersOut],tblDaily[EntryDate],DATE(2026,7,28),tblDaily[WardCode],"BF")=0,"",SUMIFS(tblDaily[TransfersOut],tblDaily[EntryDate],DATE(2026,7,28),tblDaily[WardCode],"BF")),"")</f>
        <v/>
      </c>
      <c r="H268" s="5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IFERROR(IF(SUMIFS(tblDaily[Admissions],tblDaily[EntryDate],DATE(2026,7,29),tblDaily[WardCode],"BF")=0,"",SUMIFS(tblDaily[Admissions],tblDaily[EntryDate],DATE(2026,7,29),tblDaily[WardCode],"BF")),"")</f>
        <v/>
      </c>
      <c r="C269" s="5" t="str">
        <f>IFERROR(IF(SUMIFS(tblDaily[Discharges],tblDaily[EntryDate],DATE(2026,7,29),tblDaily[WardCode],"BF")=0,"",SUMIFS(tblDaily[Discharges],tblDaily[EntryDate],DATE(2026,7,29),tblDaily[WardCode],"BF")),"")</f>
        <v/>
      </c>
      <c r="D269" s="5" t="str">
        <f>IFERROR(IF(SUMIFS(tblDaily[Deaths],tblDaily[EntryDate],DATE(2026,7,29),tblDaily[WardCode],"BF")=0,"",SUMIFS(tblDaily[Deaths],tblDaily[EntryDate],DATE(2026,7,29),tblDaily[WardCode],"BF")),"")</f>
        <v/>
      </c>
      <c r="E269" s="5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5" t="str">
        <f>IFERROR(IF(SUMIFS(tblDaily[TransfersIn],tblDaily[EntryDate],DATE(2026,7,29),tblDaily[WardCode],"BF")=0,"",SUMIFS(tblDaily[TransfersIn],tblDaily[EntryDate],DATE(2026,7,29),tblDaily[WardCode],"BF")),"")</f>
        <v/>
      </c>
      <c r="G269" s="5" t="str">
        <f>IFERROR(IF(SUMIFS(tblDaily[TransfersOut],tblDaily[EntryDate],DATE(2026,7,29),tblDaily[WardCode],"BF")=0,"",SUMIFS(tblDaily[TransfersOut],tblDaily[EntryDate],DATE(2026,7,29),tblDaily[WardCode],"BF")),"")</f>
        <v/>
      </c>
      <c r="H269" s="5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IFERROR(IF(SUMIFS(tblDaily[Admissions],tblDaily[EntryDate],DATE(2026,7,30),tblDaily[WardCode],"BF")=0,"",SUMIFS(tblDaily[Admissions],tblDaily[EntryDate],DATE(2026,7,30),tblDaily[WardCode],"BF")),"")</f>
        <v/>
      </c>
      <c r="C270" s="5" t="str">
        <f>IFERROR(IF(SUMIFS(tblDaily[Discharges],tblDaily[EntryDate],DATE(2026,7,30),tblDaily[WardCode],"BF")=0,"",SUMIFS(tblDaily[Discharges],tblDaily[EntryDate],DATE(2026,7,30),tblDaily[WardCode],"BF")),"")</f>
        <v/>
      </c>
      <c r="D270" s="5" t="str">
        <f>IFERROR(IF(SUMIFS(tblDaily[Deaths],tblDaily[EntryDate],DATE(2026,7,30),tblDaily[WardCode],"BF")=0,"",SUMIFS(tblDaily[Deaths],tblDaily[EntryDate],DATE(2026,7,30),tblDaily[WardCode],"BF")),"")</f>
        <v/>
      </c>
      <c r="E270" s="5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5" t="str">
        <f>IFERROR(IF(SUMIFS(tblDaily[TransfersIn],tblDaily[EntryDate],DATE(2026,7,30),tblDaily[WardCode],"BF")=0,"",SUMIFS(tblDaily[TransfersIn],tblDaily[EntryDate],DATE(2026,7,30),tblDaily[WardCode],"BF")),"")</f>
        <v/>
      </c>
      <c r="G270" s="5" t="str">
        <f>IFERROR(IF(SUMIFS(tblDaily[TransfersOut],tblDaily[EntryDate],DATE(2026,7,30),tblDaily[WardCode],"BF")=0,"",SUMIFS(tblDaily[TransfersOut],tblDaily[EntryDate],DATE(2026,7,30),tblDaily[WardCode],"BF")),"")</f>
        <v/>
      </c>
      <c r="H270" s="5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IFERROR(IF(SUMIFS(tblDaily[Admissions],tblDaily[EntryDate],DATE(2026,7,31),tblDaily[WardCode],"BF")=0,"",SUMIFS(tblDaily[Admissions],tblDaily[EntryDate],DATE(2026,7,31),tblDaily[WardCode],"BF")),"")</f>
        <v/>
      </c>
      <c r="C271" s="5" t="str">
        <f>IFERROR(IF(SUMIFS(tblDaily[Discharges],tblDaily[EntryDate],DATE(2026,7,31),tblDaily[WardCode],"BF")=0,"",SUMIFS(tblDaily[Discharges],tblDaily[EntryDate],DATE(2026,7,31),tblDaily[WardCode],"BF")),"")</f>
        <v/>
      </c>
      <c r="D271" s="5" t="str">
        <f>IFERROR(IF(SUMIFS(tblDaily[Deaths],tblDaily[EntryDate],DATE(2026,7,31),tblDaily[WardCode],"BF")=0,"",SUMIFS(tblDaily[Deaths],tblDaily[EntryDate],DATE(2026,7,31),tblDaily[WardCode],"BF")),"")</f>
        <v/>
      </c>
      <c r="E271" s="5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5" t="str">
        <f>IFERROR(IF(SUMIFS(tblDaily[TransfersIn],tblDaily[EntryDate],DATE(2026,7,31),tblDaily[WardCode],"BF")=0,"",SUMIFS(tblDaily[TransfersIn],tblDaily[EntryDate],DATE(2026,7,31),tblDaily[WardCode],"BF")),"")</f>
        <v/>
      </c>
      <c r="G271" s="5" t="str">
        <f>IFERROR(IF(SUMIFS(tblDaily[TransfersOut],tblDaily[EntryDate],DATE(2026,7,31),tblDaily[WardCode],"BF")=0,"",SUMIFS(tblDaily[TransfersOut],tblDaily[EntryDate],DATE(2026,7,31),tblDaily[WardCode],"BF")),"")</f>
        <v/>
      </c>
      <c r="H271" s="5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95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98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89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IFERROR(IF(SUMIFS(tblDaily[Admissions],tblDaily[EntryDate],DATE(2026,8,1),tblDaily[WardCode],"BF")=0,"",SUMIFS(tblDaily[Admissions],tblDaily[EntryDate],DATE(2026,8,1),tblDaily[WardCode],"BF")),"")</f>
        <v/>
      </c>
      <c r="C280" s="5" t="str">
        <f>IFERROR(IF(SUMIFS(tblDaily[Discharges],tblDaily[EntryDate],DATE(2026,8,1),tblDaily[WardCode],"BF")=0,"",SUMIFS(tblDaily[Discharges],tblDaily[EntryDate],DATE(2026,8,1),tblDaily[WardCode],"BF")),"")</f>
        <v/>
      </c>
      <c r="D280" s="5" t="str">
        <f>IFERROR(IF(SUMIFS(tblDaily[Deaths],tblDaily[EntryDate],DATE(2026,8,1),tblDaily[WardCode],"BF")=0,"",SUMIFS(tblDaily[Deaths],tblDaily[EntryDate],DATE(2026,8,1),tblDaily[WardCode],"BF")),"")</f>
        <v/>
      </c>
      <c r="E280" s="5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5" t="str">
        <f>IFERROR(IF(SUMIFS(tblDaily[TransfersIn],tblDaily[EntryDate],DATE(2026,8,1),tblDaily[WardCode],"BF")=0,"",SUMIFS(tblDaily[TransfersIn],tblDaily[EntryDate],DATE(2026,8,1),tblDaily[WardCode],"BF")),"")</f>
        <v/>
      </c>
      <c r="G280" s="5" t="str">
        <f>IFERROR(IF(SUMIFS(tblDaily[TransfersOut],tblDaily[EntryDate],DATE(2026,8,1),tblDaily[WardCode],"BF")=0,"",SUMIFS(tblDaily[TransfersOut],tblDaily[EntryDate],DATE(2026,8,1),tblDaily[WardCode],"BF")),"")</f>
        <v/>
      </c>
      <c r="H280" s="5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IFERROR(IF(SUMIFS(tblDaily[Admissions],tblDaily[EntryDate],DATE(2026,8,2),tblDaily[WardCode],"BF")=0,"",SUMIFS(tblDaily[Admissions],tblDaily[EntryDate],DATE(2026,8,2),tblDaily[WardCode],"BF")),"")</f>
        <v/>
      </c>
      <c r="C281" s="5" t="str">
        <f>IFERROR(IF(SUMIFS(tblDaily[Discharges],tblDaily[EntryDate],DATE(2026,8,2),tblDaily[WardCode],"BF")=0,"",SUMIFS(tblDaily[Discharges],tblDaily[EntryDate],DATE(2026,8,2),tblDaily[WardCode],"BF")),"")</f>
        <v/>
      </c>
      <c r="D281" s="5" t="str">
        <f>IFERROR(IF(SUMIFS(tblDaily[Deaths],tblDaily[EntryDate],DATE(2026,8,2),tblDaily[WardCode],"BF")=0,"",SUMIFS(tblDaily[Deaths],tblDaily[EntryDate],DATE(2026,8,2),tblDaily[WardCode],"BF")),"")</f>
        <v/>
      </c>
      <c r="E281" s="5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5" t="str">
        <f>IFERROR(IF(SUMIFS(tblDaily[TransfersIn],tblDaily[EntryDate],DATE(2026,8,2),tblDaily[WardCode],"BF")=0,"",SUMIFS(tblDaily[TransfersIn],tblDaily[EntryDate],DATE(2026,8,2),tblDaily[WardCode],"BF")),"")</f>
        <v/>
      </c>
      <c r="G281" s="5" t="str">
        <f>IFERROR(IF(SUMIFS(tblDaily[TransfersOut],tblDaily[EntryDate],DATE(2026,8,2),tblDaily[WardCode],"BF")=0,"",SUMIFS(tblDaily[TransfersOut],tblDaily[EntryDate],DATE(2026,8,2),tblDaily[WardCode],"BF")),"")</f>
        <v/>
      </c>
      <c r="H281" s="5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IFERROR(IF(SUMIFS(tblDaily[Admissions],tblDaily[EntryDate],DATE(2026,8,3),tblDaily[WardCode],"BF")=0,"",SUMIFS(tblDaily[Admissions],tblDaily[EntryDate],DATE(2026,8,3),tblDaily[WardCode],"BF")),"")</f>
        <v/>
      </c>
      <c r="C282" s="5" t="str">
        <f>IFERROR(IF(SUMIFS(tblDaily[Discharges],tblDaily[EntryDate],DATE(2026,8,3),tblDaily[WardCode],"BF")=0,"",SUMIFS(tblDaily[Discharges],tblDaily[EntryDate],DATE(2026,8,3),tblDaily[WardCode],"BF")),"")</f>
        <v/>
      </c>
      <c r="D282" s="5" t="str">
        <f>IFERROR(IF(SUMIFS(tblDaily[Deaths],tblDaily[EntryDate],DATE(2026,8,3),tblDaily[WardCode],"BF")=0,"",SUMIFS(tblDaily[Deaths],tblDaily[EntryDate],DATE(2026,8,3),tblDaily[WardCode],"BF")),"")</f>
        <v/>
      </c>
      <c r="E282" s="5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5" t="str">
        <f>IFERROR(IF(SUMIFS(tblDaily[TransfersIn],tblDaily[EntryDate],DATE(2026,8,3),tblDaily[WardCode],"BF")=0,"",SUMIFS(tblDaily[TransfersIn],tblDaily[EntryDate],DATE(2026,8,3),tblDaily[WardCode],"BF")),"")</f>
        <v/>
      </c>
      <c r="G282" s="5" t="str">
        <f>IFERROR(IF(SUMIFS(tblDaily[TransfersOut],tblDaily[EntryDate],DATE(2026,8,3),tblDaily[WardCode],"BF")=0,"",SUMIFS(tblDaily[TransfersOut],tblDaily[EntryDate],DATE(2026,8,3),tblDaily[WardCode],"BF")),"")</f>
        <v/>
      </c>
      <c r="H282" s="5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IFERROR(IF(SUMIFS(tblDaily[Admissions],tblDaily[EntryDate],DATE(2026,8,4),tblDaily[WardCode],"BF")=0,"",SUMIFS(tblDaily[Admissions],tblDaily[EntryDate],DATE(2026,8,4),tblDaily[WardCode],"BF")),"")</f>
        <v/>
      </c>
      <c r="C283" s="5" t="str">
        <f>IFERROR(IF(SUMIFS(tblDaily[Discharges],tblDaily[EntryDate],DATE(2026,8,4),tblDaily[WardCode],"BF")=0,"",SUMIFS(tblDaily[Discharges],tblDaily[EntryDate],DATE(2026,8,4),tblDaily[WardCode],"BF")),"")</f>
        <v/>
      </c>
      <c r="D283" s="5" t="str">
        <f>IFERROR(IF(SUMIFS(tblDaily[Deaths],tblDaily[EntryDate],DATE(2026,8,4),tblDaily[WardCode],"BF")=0,"",SUMIFS(tblDaily[Deaths],tblDaily[EntryDate],DATE(2026,8,4),tblDaily[WardCode],"BF")),"")</f>
        <v/>
      </c>
      <c r="E283" s="5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5" t="str">
        <f>IFERROR(IF(SUMIFS(tblDaily[TransfersIn],tblDaily[EntryDate],DATE(2026,8,4),tblDaily[WardCode],"BF")=0,"",SUMIFS(tblDaily[TransfersIn],tblDaily[EntryDate],DATE(2026,8,4),tblDaily[WardCode],"BF")),"")</f>
        <v/>
      </c>
      <c r="G283" s="5" t="str">
        <f>IFERROR(IF(SUMIFS(tblDaily[TransfersOut],tblDaily[EntryDate],DATE(2026,8,4),tblDaily[WardCode],"BF")=0,"",SUMIFS(tblDaily[TransfersOut],tblDaily[EntryDate],DATE(2026,8,4),tblDaily[WardCode],"BF")),"")</f>
        <v/>
      </c>
      <c r="H283" s="5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IFERROR(IF(SUMIFS(tblDaily[Admissions],tblDaily[EntryDate],DATE(2026,8,5),tblDaily[WardCode],"BF")=0,"",SUMIFS(tblDaily[Admissions],tblDaily[EntryDate],DATE(2026,8,5),tblDaily[WardCode],"BF")),"")</f>
        <v/>
      </c>
      <c r="C284" s="5" t="str">
        <f>IFERROR(IF(SUMIFS(tblDaily[Discharges],tblDaily[EntryDate],DATE(2026,8,5),tblDaily[WardCode],"BF")=0,"",SUMIFS(tblDaily[Discharges],tblDaily[EntryDate],DATE(2026,8,5),tblDaily[WardCode],"BF")),"")</f>
        <v/>
      </c>
      <c r="D284" s="5" t="str">
        <f>IFERROR(IF(SUMIFS(tblDaily[Deaths],tblDaily[EntryDate],DATE(2026,8,5),tblDaily[WardCode],"BF")=0,"",SUMIFS(tblDaily[Deaths],tblDaily[EntryDate],DATE(2026,8,5),tblDaily[WardCode],"BF")),"")</f>
        <v/>
      </c>
      <c r="E284" s="5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5" t="str">
        <f>IFERROR(IF(SUMIFS(tblDaily[TransfersIn],tblDaily[EntryDate],DATE(2026,8,5),tblDaily[WardCode],"BF")=0,"",SUMIFS(tblDaily[TransfersIn],tblDaily[EntryDate],DATE(2026,8,5),tblDaily[WardCode],"BF")),"")</f>
        <v/>
      </c>
      <c r="G284" s="5" t="str">
        <f>IFERROR(IF(SUMIFS(tblDaily[TransfersOut],tblDaily[EntryDate],DATE(2026,8,5),tblDaily[WardCode],"BF")=0,"",SUMIFS(tblDaily[TransfersOut],tblDaily[EntryDate],DATE(2026,8,5),tblDaily[WardCode],"BF")),"")</f>
        <v/>
      </c>
      <c r="H284" s="5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IFERROR(IF(SUMIFS(tblDaily[Admissions],tblDaily[EntryDate],DATE(2026,8,6),tblDaily[WardCode],"BF")=0,"",SUMIFS(tblDaily[Admissions],tblDaily[EntryDate],DATE(2026,8,6),tblDaily[WardCode],"BF")),"")</f>
        <v/>
      </c>
      <c r="C285" s="5" t="str">
        <f>IFERROR(IF(SUMIFS(tblDaily[Discharges],tblDaily[EntryDate],DATE(2026,8,6),tblDaily[WardCode],"BF")=0,"",SUMIFS(tblDaily[Discharges],tblDaily[EntryDate],DATE(2026,8,6),tblDaily[WardCode],"BF")),"")</f>
        <v/>
      </c>
      <c r="D285" s="5" t="str">
        <f>IFERROR(IF(SUMIFS(tblDaily[Deaths],tblDaily[EntryDate],DATE(2026,8,6),tblDaily[WardCode],"BF")=0,"",SUMIFS(tblDaily[Deaths],tblDaily[EntryDate],DATE(2026,8,6),tblDaily[WardCode],"BF")),"")</f>
        <v/>
      </c>
      <c r="E285" s="5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5" t="str">
        <f>IFERROR(IF(SUMIFS(tblDaily[TransfersIn],tblDaily[EntryDate],DATE(2026,8,6),tblDaily[WardCode],"BF")=0,"",SUMIFS(tblDaily[TransfersIn],tblDaily[EntryDate],DATE(2026,8,6),tblDaily[WardCode],"BF")),"")</f>
        <v/>
      </c>
      <c r="G285" s="5" t="str">
        <f>IFERROR(IF(SUMIFS(tblDaily[TransfersOut],tblDaily[EntryDate],DATE(2026,8,6),tblDaily[WardCode],"BF")=0,"",SUMIFS(tblDaily[TransfersOut],tblDaily[EntryDate],DATE(2026,8,6),tblDaily[WardCode],"BF")),"")</f>
        <v/>
      </c>
      <c r="H285" s="5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IFERROR(IF(SUMIFS(tblDaily[Admissions],tblDaily[EntryDate],DATE(2026,8,7),tblDaily[WardCode],"BF")=0,"",SUMIFS(tblDaily[Admissions],tblDaily[EntryDate],DATE(2026,8,7),tblDaily[WardCode],"BF")),"")</f>
        <v/>
      </c>
      <c r="C286" s="5" t="str">
        <f>IFERROR(IF(SUMIFS(tblDaily[Discharges],tblDaily[EntryDate],DATE(2026,8,7),tblDaily[WardCode],"BF")=0,"",SUMIFS(tblDaily[Discharges],tblDaily[EntryDate],DATE(2026,8,7),tblDaily[WardCode],"BF")),"")</f>
        <v/>
      </c>
      <c r="D286" s="5" t="str">
        <f>IFERROR(IF(SUMIFS(tblDaily[Deaths],tblDaily[EntryDate],DATE(2026,8,7),tblDaily[WardCode],"BF")=0,"",SUMIFS(tblDaily[Deaths],tblDaily[EntryDate],DATE(2026,8,7),tblDaily[WardCode],"BF")),"")</f>
        <v/>
      </c>
      <c r="E286" s="5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5" t="str">
        <f>IFERROR(IF(SUMIFS(tblDaily[TransfersIn],tblDaily[EntryDate],DATE(2026,8,7),tblDaily[WardCode],"BF")=0,"",SUMIFS(tblDaily[TransfersIn],tblDaily[EntryDate],DATE(2026,8,7),tblDaily[WardCode],"BF")),"")</f>
        <v/>
      </c>
      <c r="G286" s="5" t="str">
        <f>IFERROR(IF(SUMIFS(tblDaily[TransfersOut],tblDaily[EntryDate],DATE(2026,8,7),tblDaily[WardCode],"BF")=0,"",SUMIFS(tblDaily[TransfersOut],tblDaily[EntryDate],DATE(2026,8,7),tblDaily[WardCode],"BF")),"")</f>
        <v/>
      </c>
      <c r="H286" s="5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IFERROR(IF(SUMIFS(tblDaily[Admissions],tblDaily[EntryDate],DATE(2026,8,8),tblDaily[WardCode],"BF")=0,"",SUMIFS(tblDaily[Admissions],tblDaily[EntryDate],DATE(2026,8,8),tblDaily[WardCode],"BF")),"")</f>
        <v/>
      </c>
      <c r="C287" s="5" t="str">
        <f>IFERROR(IF(SUMIFS(tblDaily[Discharges],tblDaily[EntryDate],DATE(2026,8,8),tblDaily[WardCode],"BF")=0,"",SUMIFS(tblDaily[Discharges],tblDaily[EntryDate],DATE(2026,8,8),tblDaily[WardCode],"BF")),"")</f>
        <v/>
      </c>
      <c r="D287" s="5" t="str">
        <f>IFERROR(IF(SUMIFS(tblDaily[Deaths],tblDaily[EntryDate],DATE(2026,8,8),tblDaily[WardCode],"BF")=0,"",SUMIFS(tblDaily[Deaths],tblDaily[EntryDate],DATE(2026,8,8),tblDaily[WardCode],"BF")),"")</f>
        <v/>
      </c>
      <c r="E287" s="5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5" t="str">
        <f>IFERROR(IF(SUMIFS(tblDaily[TransfersIn],tblDaily[EntryDate],DATE(2026,8,8),tblDaily[WardCode],"BF")=0,"",SUMIFS(tblDaily[TransfersIn],tblDaily[EntryDate],DATE(2026,8,8),tblDaily[WardCode],"BF")),"")</f>
        <v/>
      </c>
      <c r="G287" s="5" t="str">
        <f>IFERROR(IF(SUMIFS(tblDaily[TransfersOut],tblDaily[EntryDate],DATE(2026,8,8),tblDaily[WardCode],"BF")=0,"",SUMIFS(tblDaily[TransfersOut],tblDaily[EntryDate],DATE(2026,8,8),tblDaily[WardCode],"BF")),"")</f>
        <v/>
      </c>
      <c r="H287" s="5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IFERROR(IF(SUMIFS(tblDaily[Admissions],tblDaily[EntryDate],DATE(2026,8,9),tblDaily[WardCode],"BF")=0,"",SUMIFS(tblDaily[Admissions],tblDaily[EntryDate],DATE(2026,8,9),tblDaily[WardCode],"BF")),"")</f>
        <v/>
      </c>
      <c r="C288" s="5" t="str">
        <f>IFERROR(IF(SUMIFS(tblDaily[Discharges],tblDaily[EntryDate],DATE(2026,8,9),tblDaily[WardCode],"BF")=0,"",SUMIFS(tblDaily[Discharges],tblDaily[EntryDate],DATE(2026,8,9),tblDaily[WardCode],"BF")),"")</f>
        <v/>
      </c>
      <c r="D288" s="5" t="str">
        <f>IFERROR(IF(SUMIFS(tblDaily[Deaths],tblDaily[EntryDate],DATE(2026,8,9),tblDaily[WardCode],"BF")=0,"",SUMIFS(tblDaily[Deaths],tblDaily[EntryDate],DATE(2026,8,9),tblDaily[WardCode],"BF")),"")</f>
        <v/>
      </c>
      <c r="E288" s="5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5" t="str">
        <f>IFERROR(IF(SUMIFS(tblDaily[TransfersIn],tblDaily[EntryDate],DATE(2026,8,9),tblDaily[WardCode],"BF")=0,"",SUMIFS(tblDaily[TransfersIn],tblDaily[EntryDate],DATE(2026,8,9),tblDaily[WardCode],"BF")),"")</f>
        <v/>
      </c>
      <c r="G288" s="5" t="str">
        <f>IFERROR(IF(SUMIFS(tblDaily[TransfersOut],tblDaily[EntryDate],DATE(2026,8,9),tblDaily[WardCode],"BF")=0,"",SUMIFS(tblDaily[TransfersOut],tblDaily[EntryDate],DATE(2026,8,9),tblDaily[WardCode],"BF")),"")</f>
        <v/>
      </c>
      <c r="H288" s="5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IFERROR(IF(SUMIFS(tblDaily[Admissions],tblDaily[EntryDate],DATE(2026,8,10),tblDaily[WardCode],"BF")=0,"",SUMIFS(tblDaily[Admissions],tblDaily[EntryDate],DATE(2026,8,10),tblDaily[WardCode],"BF")),"")</f>
        <v/>
      </c>
      <c r="C289" s="5" t="str">
        <f>IFERROR(IF(SUMIFS(tblDaily[Discharges],tblDaily[EntryDate],DATE(2026,8,10),tblDaily[WardCode],"BF")=0,"",SUMIFS(tblDaily[Discharges],tblDaily[EntryDate],DATE(2026,8,10),tblDaily[WardCode],"BF")),"")</f>
        <v/>
      </c>
      <c r="D289" s="5" t="str">
        <f>IFERROR(IF(SUMIFS(tblDaily[Deaths],tblDaily[EntryDate],DATE(2026,8,10),tblDaily[WardCode],"BF")=0,"",SUMIFS(tblDaily[Deaths],tblDaily[EntryDate],DATE(2026,8,10),tblDaily[WardCode],"BF")),"")</f>
        <v/>
      </c>
      <c r="E289" s="5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5" t="str">
        <f>IFERROR(IF(SUMIFS(tblDaily[TransfersIn],tblDaily[EntryDate],DATE(2026,8,10),tblDaily[WardCode],"BF")=0,"",SUMIFS(tblDaily[TransfersIn],tblDaily[EntryDate],DATE(2026,8,10),tblDaily[WardCode],"BF")),"")</f>
        <v/>
      </c>
      <c r="G289" s="5" t="str">
        <f>IFERROR(IF(SUMIFS(tblDaily[TransfersOut],tblDaily[EntryDate],DATE(2026,8,10),tblDaily[WardCode],"BF")=0,"",SUMIFS(tblDaily[TransfersOut],tblDaily[EntryDate],DATE(2026,8,10),tblDaily[WardCode],"BF")),"")</f>
        <v/>
      </c>
      <c r="H289" s="5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IFERROR(IF(SUMIFS(tblDaily[Admissions],tblDaily[EntryDate],DATE(2026,8,11),tblDaily[WardCode],"BF")=0,"",SUMIFS(tblDaily[Admissions],tblDaily[EntryDate],DATE(2026,8,11),tblDaily[WardCode],"BF")),"")</f>
        <v/>
      </c>
      <c r="C290" s="5" t="str">
        <f>IFERROR(IF(SUMIFS(tblDaily[Discharges],tblDaily[EntryDate],DATE(2026,8,11),tblDaily[WardCode],"BF")=0,"",SUMIFS(tblDaily[Discharges],tblDaily[EntryDate],DATE(2026,8,11),tblDaily[WardCode],"BF")),"")</f>
        <v/>
      </c>
      <c r="D290" s="5" t="str">
        <f>IFERROR(IF(SUMIFS(tblDaily[Deaths],tblDaily[EntryDate],DATE(2026,8,11),tblDaily[WardCode],"BF")=0,"",SUMIFS(tblDaily[Deaths],tblDaily[EntryDate],DATE(2026,8,11),tblDaily[WardCode],"BF")),"")</f>
        <v/>
      </c>
      <c r="E290" s="5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5" t="str">
        <f>IFERROR(IF(SUMIFS(tblDaily[TransfersIn],tblDaily[EntryDate],DATE(2026,8,11),tblDaily[WardCode],"BF")=0,"",SUMIFS(tblDaily[TransfersIn],tblDaily[EntryDate],DATE(2026,8,11),tblDaily[WardCode],"BF")),"")</f>
        <v/>
      </c>
      <c r="G290" s="5" t="str">
        <f>IFERROR(IF(SUMIFS(tblDaily[TransfersOut],tblDaily[EntryDate],DATE(2026,8,11),tblDaily[WardCode],"BF")=0,"",SUMIFS(tblDaily[TransfersOut],tblDaily[EntryDate],DATE(2026,8,11),tblDaily[WardCode],"BF")),"")</f>
        <v/>
      </c>
      <c r="H290" s="5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IFERROR(IF(SUMIFS(tblDaily[Admissions],tblDaily[EntryDate],DATE(2026,8,12),tblDaily[WardCode],"BF")=0,"",SUMIFS(tblDaily[Admissions],tblDaily[EntryDate],DATE(2026,8,12),tblDaily[WardCode],"BF")),"")</f>
        <v/>
      </c>
      <c r="C291" s="5" t="str">
        <f>IFERROR(IF(SUMIFS(tblDaily[Discharges],tblDaily[EntryDate],DATE(2026,8,12),tblDaily[WardCode],"BF")=0,"",SUMIFS(tblDaily[Discharges],tblDaily[EntryDate],DATE(2026,8,12),tblDaily[WardCode],"BF")),"")</f>
        <v/>
      </c>
      <c r="D291" s="5" t="str">
        <f>IFERROR(IF(SUMIFS(tblDaily[Deaths],tblDaily[EntryDate],DATE(2026,8,12),tblDaily[WardCode],"BF")=0,"",SUMIFS(tblDaily[Deaths],tblDaily[EntryDate],DATE(2026,8,12),tblDaily[WardCode],"BF")),"")</f>
        <v/>
      </c>
      <c r="E291" s="5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5" t="str">
        <f>IFERROR(IF(SUMIFS(tblDaily[TransfersIn],tblDaily[EntryDate],DATE(2026,8,12),tblDaily[WardCode],"BF")=0,"",SUMIFS(tblDaily[TransfersIn],tblDaily[EntryDate],DATE(2026,8,12),tblDaily[WardCode],"BF")),"")</f>
        <v/>
      </c>
      <c r="G291" s="5" t="str">
        <f>IFERROR(IF(SUMIFS(tblDaily[TransfersOut],tblDaily[EntryDate],DATE(2026,8,12),tblDaily[WardCode],"BF")=0,"",SUMIFS(tblDaily[TransfersOut],tblDaily[EntryDate],DATE(2026,8,12),tblDaily[WardCode],"BF")),"")</f>
        <v/>
      </c>
      <c r="H291" s="5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IFERROR(IF(SUMIFS(tblDaily[Admissions],tblDaily[EntryDate],DATE(2026,8,13),tblDaily[WardCode],"BF")=0,"",SUMIFS(tblDaily[Admissions],tblDaily[EntryDate],DATE(2026,8,13),tblDaily[WardCode],"BF")),"")</f>
        <v/>
      </c>
      <c r="C292" s="5" t="str">
        <f>IFERROR(IF(SUMIFS(tblDaily[Discharges],tblDaily[EntryDate],DATE(2026,8,13),tblDaily[WardCode],"BF")=0,"",SUMIFS(tblDaily[Discharges],tblDaily[EntryDate],DATE(2026,8,13),tblDaily[WardCode],"BF")),"")</f>
        <v/>
      </c>
      <c r="D292" s="5" t="str">
        <f>IFERROR(IF(SUMIFS(tblDaily[Deaths],tblDaily[EntryDate],DATE(2026,8,13),tblDaily[WardCode],"BF")=0,"",SUMIFS(tblDaily[Deaths],tblDaily[EntryDate],DATE(2026,8,13),tblDaily[WardCode],"BF")),"")</f>
        <v/>
      </c>
      <c r="E292" s="5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5" t="str">
        <f>IFERROR(IF(SUMIFS(tblDaily[TransfersIn],tblDaily[EntryDate],DATE(2026,8,13),tblDaily[WardCode],"BF")=0,"",SUMIFS(tblDaily[TransfersIn],tblDaily[EntryDate],DATE(2026,8,13),tblDaily[WardCode],"BF")),"")</f>
        <v/>
      </c>
      <c r="G292" s="5" t="str">
        <f>IFERROR(IF(SUMIFS(tblDaily[TransfersOut],tblDaily[EntryDate],DATE(2026,8,13),tblDaily[WardCode],"BF")=0,"",SUMIFS(tblDaily[TransfersOut],tblDaily[EntryDate],DATE(2026,8,13),tblDaily[WardCode],"BF")),"")</f>
        <v/>
      </c>
      <c r="H292" s="5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IFERROR(IF(SUMIFS(tblDaily[Admissions],tblDaily[EntryDate],DATE(2026,8,14),tblDaily[WardCode],"BF")=0,"",SUMIFS(tblDaily[Admissions],tblDaily[EntryDate],DATE(2026,8,14),tblDaily[WardCode],"BF")),"")</f>
        <v/>
      </c>
      <c r="C293" s="5" t="str">
        <f>IFERROR(IF(SUMIFS(tblDaily[Discharges],tblDaily[EntryDate],DATE(2026,8,14),tblDaily[WardCode],"BF")=0,"",SUMIFS(tblDaily[Discharges],tblDaily[EntryDate],DATE(2026,8,14),tblDaily[WardCode],"BF")),"")</f>
        <v/>
      </c>
      <c r="D293" s="5" t="str">
        <f>IFERROR(IF(SUMIFS(tblDaily[Deaths],tblDaily[EntryDate],DATE(2026,8,14),tblDaily[WardCode],"BF")=0,"",SUMIFS(tblDaily[Deaths],tblDaily[EntryDate],DATE(2026,8,14),tblDaily[WardCode],"BF")),"")</f>
        <v/>
      </c>
      <c r="E293" s="5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5" t="str">
        <f>IFERROR(IF(SUMIFS(tblDaily[TransfersIn],tblDaily[EntryDate],DATE(2026,8,14),tblDaily[WardCode],"BF")=0,"",SUMIFS(tblDaily[TransfersIn],tblDaily[EntryDate],DATE(2026,8,14),tblDaily[WardCode],"BF")),"")</f>
        <v/>
      </c>
      <c r="G293" s="5" t="str">
        <f>IFERROR(IF(SUMIFS(tblDaily[TransfersOut],tblDaily[EntryDate],DATE(2026,8,14),tblDaily[WardCode],"BF")=0,"",SUMIFS(tblDaily[TransfersOut],tblDaily[EntryDate],DATE(2026,8,14),tblDaily[WardCode],"BF")),"")</f>
        <v/>
      </c>
      <c r="H293" s="5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IFERROR(IF(SUMIFS(tblDaily[Admissions],tblDaily[EntryDate],DATE(2026,8,15),tblDaily[WardCode],"BF")=0,"",SUMIFS(tblDaily[Admissions],tblDaily[EntryDate],DATE(2026,8,15),tblDaily[WardCode],"BF")),"")</f>
        <v/>
      </c>
      <c r="C294" s="5" t="str">
        <f>IFERROR(IF(SUMIFS(tblDaily[Discharges],tblDaily[EntryDate],DATE(2026,8,15),tblDaily[WardCode],"BF")=0,"",SUMIFS(tblDaily[Discharges],tblDaily[EntryDate],DATE(2026,8,15),tblDaily[WardCode],"BF")),"")</f>
        <v/>
      </c>
      <c r="D294" s="5" t="str">
        <f>IFERROR(IF(SUMIFS(tblDaily[Deaths],tblDaily[EntryDate],DATE(2026,8,15),tblDaily[WardCode],"BF")=0,"",SUMIFS(tblDaily[Deaths],tblDaily[EntryDate],DATE(2026,8,15),tblDaily[WardCode],"BF")),"")</f>
        <v/>
      </c>
      <c r="E294" s="5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5" t="str">
        <f>IFERROR(IF(SUMIFS(tblDaily[TransfersIn],tblDaily[EntryDate],DATE(2026,8,15),tblDaily[WardCode],"BF")=0,"",SUMIFS(tblDaily[TransfersIn],tblDaily[EntryDate],DATE(2026,8,15),tblDaily[WardCode],"BF")),"")</f>
        <v/>
      </c>
      <c r="G294" s="5" t="str">
        <f>IFERROR(IF(SUMIFS(tblDaily[TransfersOut],tblDaily[EntryDate],DATE(2026,8,15),tblDaily[WardCode],"BF")=0,"",SUMIFS(tblDaily[TransfersOut],tblDaily[EntryDate],DATE(2026,8,15),tblDaily[WardCode],"BF")),"")</f>
        <v/>
      </c>
      <c r="H294" s="5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IFERROR(IF(SUMIFS(tblDaily[Admissions],tblDaily[EntryDate],DATE(2026,8,16),tblDaily[WardCode],"BF")=0,"",SUMIFS(tblDaily[Admissions],tblDaily[EntryDate],DATE(2026,8,16),tblDaily[WardCode],"BF")),"")</f>
        <v/>
      </c>
      <c r="C295" s="5" t="str">
        <f>IFERROR(IF(SUMIFS(tblDaily[Discharges],tblDaily[EntryDate],DATE(2026,8,16),tblDaily[WardCode],"BF")=0,"",SUMIFS(tblDaily[Discharges],tblDaily[EntryDate],DATE(2026,8,16),tblDaily[WardCode],"BF")),"")</f>
        <v/>
      </c>
      <c r="D295" s="5" t="str">
        <f>IFERROR(IF(SUMIFS(tblDaily[Deaths],tblDaily[EntryDate],DATE(2026,8,16),tblDaily[WardCode],"BF")=0,"",SUMIFS(tblDaily[Deaths],tblDaily[EntryDate],DATE(2026,8,16),tblDaily[WardCode],"BF")),"")</f>
        <v/>
      </c>
      <c r="E295" s="5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5" t="str">
        <f>IFERROR(IF(SUMIFS(tblDaily[TransfersIn],tblDaily[EntryDate],DATE(2026,8,16),tblDaily[WardCode],"BF")=0,"",SUMIFS(tblDaily[TransfersIn],tblDaily[EntryDate],DATE(2026,8,16),tblDaily[WardCode],"BF")),"")</f>
        <v/>
      </c>
      <c r="G295" s="5" t="str">
        <f>IFERROR(IF(SUMIFS(tblDaily[TransfersOut],tblDaily[EntryDate],DATE(2026,8,16),tblDaily[WardCode],"BF")=0,"",SUMIFS(tblDaily[TransfersOut],tblDaily[EntryDate],DATE(2026,8,16),tblDaily[WardCode],"BF")),"")</f>
        <v/>
      </c>
      <c r="H295" s="5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IFERROR(IF(SUMIFS(tblDaily[Admissions],tblDaily[EntryDate],DATE(2026,8,17),tblDaily[WardCode],"BF")=0,"",SUMIFS(tblDaily[Admissions],tblDaily[EntryDate],DATE(2026,8,17),tblDaily[WardCode],"BF")),"")</f>
        <v/>
      </c>
      <c r="C296" s="5" t="str">
        <f>IFERROR(IF(SUMIFS(tblDaily[Discharges],tblDaily[EntryDate],DATE(2026,8,17),tblDaily[WardCode],"BF")=0,"",SUMIFS(tblDaily[Discharges],tblDaily[EntryDate],DATE(2026,8,17),tblDaily[WardCode],"BF")),"")</f>
        <v/>
      </c>
      <c r="D296" s="5" t="str">
        <f>IFERROR(IF(SUMIFS(tblDaily[Deaths],tblDaily[EntryDate],DATE(2026,8,17),tblDaily[WardCode],"BF")=0,"",SUMIFS(tblDaily[Deaths],tblDaily[EntryDate],DATE(2026,8,17),tblDaily[WardCode],"BF")),"")</f>
        <v/>
      </c>
      <c r="E296" s="5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5" t="str">
        <f>IFERROR(IF(SUMIFS(tblDaily[TransfersIn],tblDaily[EntryDate],DATE(2026,8,17),tblDaily[WardCode],"BF")=0,"",SUMIFS(tblDaily[TransfersIn],tblDaily[EntryDate],DATE(2026,8,17),tblDaily[WardCode],"BF")),"")</f>
        <v/>
      </c>
      <c r="G296" s="5" t="str">
        <f>IFERROR(IF(SUMIFS(tblDaily[TransfersOut],tblDaily[EntryDate],DATE(2026,8,17),tblDaily[WardCode],"BF")=0,"",SUMIFS(tblDaily[TransfersOut],tblDaily[EntryDate],DATE(2026,8,17),tblDaily[WardCode],"BF")),"")</f>
        <v/>
      </c>
      <c r="H296" s="5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IFERROR(IF(SUMIFS(tblDaily[Admissions],tblDaily[EntryDate],DATE(2026,8,18),tblDaily[WardCode],"BF")=0,"",SUMIFS(tblDaily[Admissions],tblDaily[EntryDate],DATE(2026,8,18),tblDaily[WardCode],"BF")),"")</f>
        <v/>
      </c>
      <c r="C297" s="5" t="str">
        <f>IFERROR(IF(SUMIFS(tblDaily[Discharges],tblDaily[EntryDate],DATE(2026,8,18),tblDaily[WardCode],"BF")=0,"",SUMIFS(tblDaily[Discharges],tblDaily[EntryDate],DATE(2026,8,18),tblDaily[WardCode],"BF")),"")</f>
        <v/>
      </c>
      <c r="D297" s="5" t="str">
        <f>IFERROR(IF(SUMIFS(tblDaily[Deaths],tblDaily[EntryDate],DATE(2026,8,18),tblDaily[WardCode],"BF")=0,"",SUMIFS(tblDaily[Deaths],tblDaily[EntryDate],DATE(2026,8,18),tblDaily[WardCode],"BF")),"")</f>
        <v/>
      </c>
      <c r="E297" s="5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5" t="str">
        <f>IFERROR(IF(SUMIFS(tblDaily[TransfersIn],tblDaily[EntryDate],DATE(2026,8,18),tblDaily[WardCode],"BF")=0,"",SUMIFS(tblDaily[TransfersIn],tblDaily[EntryDate],DATE(2026,8,18),tblDaily[WardCode],"BF")),"")</f>
        <v/>
      </c>
      <c r="G297" s="5" t="str">
        <f>IFERROR(IF(SUMIFS(tblDaily[TransfersOut],tblDaily[EntryDate],DATE(2026,8,18),tblDaily[WardCode],"BF")=0,"",SUMIFS(tblDaily[TransfersOut],tblDaily[EntryDate],DATE(2026,8,18),tblDaily[WardCode],"BF")),"")</f>
        <v/>
      </c>
      <c r="H297" s="5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IFERROR(IF(SUMIFS(tblDaily[Admissions],tblDaily[EntryDate],DATE(2026,8,19),tblDaily[WardCode],"BF")=0,"",SUMIFS(tblDaily[Admissions],tblDaily[EntryDate],DATE(2026,8,19),tblDaily[WardCode],"BF")),"")</f>
        <v/>
      </c>
      <c r="C298" s="5" t="str">
        <f>IFERROR(IF(SUMIFS(tblDaily[Discharges],tblDaily[EntryDate],DATE(2026,8,19),tblDaily[WardCode],"BF")=0,"",SUMIFS(tblDaily[Discharges],tblDaily[EntryDate],DATE(2026,8,19),tblDaily[WardCode],"BF")),"")</f>
        <v/>
      </c>
      <c r="D298" s="5" t="str">
        <f>IFERROR(IF(SUMIFS(tblDaily[Deaths],tblDaily[EntryDate],DATE(2026,8,19),tblDaily[WardCode],"BF")=0,"",SUMIFS(tblDaily[Deaths],tblDaily[EntryDate],DATE(2026,8,19),tblDaily[WardCode],"BF")),"")</f>
        <v/>
      </c>
      <c r="E298" s="5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5" t="str">
        <f>IFERROR(IF(SUMIFS(tblDaily[TransfersIn],tblDaily[EntryDate],DATE(2026,8,19),tblDaily[WardCode],"BF")=0,"",SUMIFS(tblDaily[TransfersIn],tblDaily[EntryDate],DATE(2026,8,19),tblDaily[WardCode],"BF")),"")</f>
        <v/>
      </c>
      <c r="G298" s="5" t="str">
        <f>IFERROR(IF(SUMIFS(tblDaily[TransfersOut],tblDaily[EntryDate],DATE(2026,8,19),tblDaily[WardCode],"BF")=0,"",SUMIFS(tblDaily[TransfersOut],tblDaily[EntryDate],DATE(2026,8,19),tblDaily[WardCode],"BF")),"")</f>
        <v/>
      </c>
      <c r="H298" s="5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IFERROR(IF(SUMIFS(tblDaily[Admissions],tblDaily[EntryDate],DATE(2026,8,20),tblDaily[WardCode],"BF")=0,"",SUMIFS(tblDaily[Admissions],tblDaily[EntryDate],DATE(2026,8,20),tblDaily[WardCode],"BF")),"")</f>
        <v/>
      </c>
      <c r="C299" s="5" t="str">
        <f>IFERROR(IF(SUMIFS(tblDaily[Discharges],tblDaily[EntryDate],DATE(2026,8,20),tblDaily[WardCode],"BF")=0,"",SUMIFS(tblDaily[Discharges],tblDaily[EntryDate],DATE(2026,8,20),tblDaily[WardCode],"BF")),"")</f>
        <v/>
      </c>
      <c r="D299" s="5" t="str">
        <f>IFERROR(IF(SUMIFS(tblDaily[Deaths],tblDaily[EntryDate],DATE(2026,8,20),tblDaily[WardCode],"BF")=0,"",SUMIFS(tblDaily[Deaths],tblDaily[EntryDate],DATE(2026,8,20),tblDaily[WardCode],"BF")),"")</f>
        <v/>
      </c>
      <c r="E299" s="5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5" t="str">
        <f>IFERROR(IF(SUMIFS(tblDaily[TransfersIn],tblDaily[EntryDate],DATE(2026,8,20),tblDaily[WardCode],"BF")=0,"",SUMIFS(tblDaily[TransfersIn],tblDaily[EntryDate],DATE(2026,8,20),tblDaily[WardCode],"BF")),"")</f>
        <v/>
      </c>
      <c r="G299" s="5" t="str">
        <f>IFERROR(IF(SUMIFS(tblDaily[TransfersOut],tblDaily[EntryDate],DATE(2026,8,20),tblDaily[WardCode],"BF")=0,"",SUMIFS(tblDaily[TransfersOut],tblDaily[EntryDate],DATE(2026,8,20),tblDaily[WardCode],"BF")),"")</f>
        <v/>
      </c>
      <c r="H299" s="5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IFERROR(IF(SUMIFS(tblDaily[Admissions],tblDaily[EntryDate],DATE(2026,8,21),tblDaily[WardCode],"BF")=0,"",SUMIFS(tblDaily[Admissions],tblDaily[EntryDate],DATE(2026,8,21),tblDaily[WardCode],"BF")),"")</f>
        <v/>
      </c>
      <c r="C300" s="5" t="str">
        <f>IFERROR(IF(SUMIFS(tblDaily[Discharges],tblDaily[EntryDate],DATE(2026,8,21),tblDaily[WardCode],"BF")=0,"",SUMIFS(tblDaily[Discharges],tblDaily[EntryDate],DATE(2026,8,21),tblDaily[WardCode],"BF")),"")</f>
        <v/>
      </c>
      <c r="D300" s="5" t="str">
        <f>IFERROR(IF(SUMIFS(tblDaily[Deaths],tblDaily[EntryDate],DATE(2026,8,21),tblDaily[WardCode],"BF")=0,"",SUMIFS(tblDaily[Deaths],tblDaily[EntryDate],DATE(2026,8,21),tblDaily[WardCode],"BF")),"")</f>
        <v/>
      </c>
      <c r="E300" s="5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5" t="str">
        <f>IFERROR(IF(SUMIFS(tblDaily[TransfersIn],tblDaily[EntryDate],DATE(2026,8,21),tblDaily[WardCode],"BF")=0,"",SUMIFS(tblDaily[TransfersIn],tblDaily[EntryDate],DATE(2026,8,21),tblDaily[WardCode],"BF")),"")</f>
        <v/>
      </c>
      <c r="G300" s="5" t="str">
        <f>IFERROR(IF(SUMIFS(tblDaily[TransfersOut],tblDaily[EntryDate],DATE(2026,8,21),tblDaily[WardCode],"BF")=0,"",SUMIFS(tblDaily[TransfersOut],tblDaily[EntryDate],DATE(2026,8,21),tblDaily[WardCode],"BF")),"")</f>
        <v/>
      </c>
      <c r="H300" s="5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IFERROR(IF(SUMIFS(tblDaily[Admissions],tblDaily[EntryDate],DATE(2026,8,22),tblDaily[WardCode],"BF")=0,"",SUMIFS(tblDaily[Admissions],tblDaily[EntryDate],DATE(2026,8,22),tblDaily[WardCode],"BF")),"")</f>
        <v/>
      </c>
      <c r="C301" s="5" t="str">
        <f>IFERROR(IF(SUMIFS(tblDaily[Discharges],tblDaily[EntryDate],DATE(2026,8,22),tblDaily[WardCode],"BF")=0,"",SUMIFS(tblDaily[Discharges],tblDaily[EntryDate],DATE(2026,8,22),tblDaily[WardCode],"BF")),"")</f>
        <v/>
      </c>
      <c r="D301" s="5" t="str">
        <f>IFERROR(IF(SUMIFS(tblDaily[Deaths],tblDaily[EntryDate],DATE(2026,8,22),tblDaily[WardCode],"BF")=0,"",SUMIFS(tblDaily[Deaths],tblDaily[EntryDate],DATE(2026,8,22),tblDaily[WardCode],"BF")),"")</f>
        <v/>
      </c>
      <c r="E301" s="5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5" t="str">
        <f>IFERROR(IF(SUMIFS(tblDaily[TransfersIn],tblDaily[EntryDate],DATE(2026,8,22),tblDaily[WardCode],"BF")=0,"",SUMIFS(tblDaily[TransfersIn],tblDaily[EntryDate],DATE(2026,8,22),tblDaily[WardCode],"BF")),"")</f>
        <v/>
      </c>
      <c r="G301" s="5" t="str">
        <f>IFERROR(IF(SUMIFS(tblDaily[TransfersOut],tblDaily[EntryDate],DATE(2026,8,22),tblDaily[WardCode],"BF")=0,"",SUMIFS(tblDaily[TransfersOut],tblDaily[EntryDate],DATE(2026,8,22),tblDaily[WardCode],"BF")),"")</f>
        <v/>
      </c>
      <c r="H301" s="5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IFERROR(IF(SUMIFS(tblDaily[Admissions],tblDaily[EntryDate],DATE(2026,8,23),tblDaily[WardCode],"BF")=0,"",SUMIFS(tblDaily[Admissions],tblDaily[EntryDate],DATE(2026,8,23),tblDaily[WardCode],"BF")),"")</f>
        <v/>
      </c>
      <c r="C302" s="5" t="str">
        <f>IFERROR(IF(SUMIFS(tblDaily[Discharges],tblDaily[EntryDate],DATE(2026,8,23),tblDaily[WardCode],"BF")=0,"",SUMIFS(tblDaily[Discharges],tblDaily[EntryDate],DATE(2026,8,23),tblDaily[WardCode],"BF")),"")</f>
        <v/>
      </c>
      <c r="D302" s="5" t="str">
        <f>IFERROR(IF(SUMIFS(tblDaily[Deaths],tblDaily[EntryDate],DATE(2026,8,23),tblDaily[WardCode],"BF")=0,"",SUMIFS(tblDaily[Deaths],tblDaily[EntryDate],DATE(2026,8,23),tblDaily[WardCode],"BF")),"")</f>
        <v/>
      </c>
      <c r="E302" s="5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5" t="str">
        <f>IFERROR(IF(SUMIFS(tblDaily[TransfersIn],tblDaily[EntryDate],DATE(2026,8,23),tblDaily[WardCode],"BF")=0,"",SUMIFS(tblDaily[TransfersIn],tblDaily[EntryDate],DATE(2026,8,23),tblDaily[WardCode],"BF")),"")</f>
        <v/>
      </c>
      <c r="G302" s="5" t="str">
        <f>IFERROR(IF(SUMIFS(tblDaily[TransfersOut],tblDaily[EntryDate],DATE(2026,8,23),tblDaily[WardCode],"BF")=0,"",SUMIFS(tblDaily[TransfersOut],tblDaily[EntryDate],DATE(2026,8,23),tblDaily[WardCode],"BF")),"")</f>
        <v/>
      </c>
      <c r="H302" s="5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IFERROR(IF(SUMIFS(tblDaily[Admissions],tblDaily[EntryDate],DATE(2026,8,24),tblDaily[WardCode],"BF")=0,"",SUMIFS(tblDaily[Admissions],tblDaily[EntryDate],DATE(2026,8,24),tblDaily[WardCode],"BF")),"")</f>
        <v/>
      </c>
      <c r="C303" s="5" t="str">
        <f>IFERROR(IF(SUMIFS(tblDaily[Discharges],tblDaily[EntryDate],DATE(2026,8,24),tblDaily[WardCode],"BF")=0,"",SUMIFS(tblDaily[Discharges],tblDaily[EntryDate],DATE(2026,8,24),tblDaily[WardCode],"BF")),"")</f>
        <v/>
      </c>
      <c r="D303" s="5" t="str">
        <f>IFERROR(IF(SUMIFS(tblDaily[Deaths],tblDaily[EntryDate],DATE(2026,8,24),tblDaily[WardCode],"BF")=0,"",SUMIFS(tblDaily[Deaths],tblDaily[EntryDate],DATE(2026,8,24),tblDaily[WardCode],"BF")),"")</f>
        <v/>
      </c>
      <c r="E303" s="5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5" t="str">
        <f>IFERROR(IF(SUMIFS(tblDaily[TransfersIn],tblDaily[EntryDate],DATE(2026,8,24),tblDaily[WardCode],"BF")=0,"",SUMIFS(tblDaily[TransfersIn],tblDaily[EntryDate],DATE(2026,8,24),tblDaily[WardCode],"BF")),"")</f>
        <v/>
      </c>
      <c r="G303" s="5" t="str">
        <f>IFERROR(IF(SUMIFS(tblDaily[TransfersOut],tblDaily[EntryDate],DATE(2026,8,24),tblDaily[WardCode],"BF")=0,"",SUMIFS(tblDaily[TransfersOut],tblDaily[EntryDate],DATE(2026,8,24),tblDaily[WardCode],"BF")),"")</f>
        <v/>
      </c>
      <c r="H303" s="5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IFERROR(IF(SUMIFS(tblDaily[Admissions],tblDaily[EntryDate],DATE(2026,8,25),tblDaily[WardCode],"BF")=0,"",SUMIFS(tblDaily[Admissions],tblDaily[EntryDate],DATE(2026,8,25),tblDaily[WardCode],"BF")),"")</f>
        <v/>
      </c>
      <c r="C304" s="5" t="str">
        <f>IFERROR(IF(SUMIFS(tblDaily[Discharges],tblDaily[EntryDate],DATE(2026,8,25),tblDaily[WardCode],"BF")=0,"",SUMIFS(tblDaily[Discharges],tblDaily[EntryDate],DATE(2026,8,25),tblDaily[WardCode],"BF")),"")</f>
        <v/>
      </c>
      <c r="D304" s="5" t="str">
        <f>IFERROR(IF(SUMIFS(tblDaily[Deaths],tblDaily[EntryDate],DATE(2026,8,25),tblDaily[WardCode],"BF")=0,"",SUMIFS(tblDaily[Deaths],tblDaily[EntryDate],DATE(2026,8,25),tblDaily[WardCode],"BF")),"")</f>
        <v/>
      </c>
      <c r="E304" s="5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5" t="str">
        <f>IFERROR(IF(SUMIFS(tblDaily[TransfersIn],tblDaily[EntryDate],DATE(2026,8,25),tblDaily[WardCode],"BF")=0,"",SUMIFS(tblDaily[TransfersIn],tblDaily[EntryDate],DATE(2026,8,25),tblDaily[WardCode],"BF")),"")</f>
        <v/>
      </c>
      <c r="G304" s="5" t="str">
        <f>IFERROR(IF(SUMIFS(tblDaily[TransfersOut],tblDaily[EntryDate],DATE(2026,8,25),tblDaily[WardCode],"BF")=0,"",SUMIFS(tblDaily[TransfersOut],tblDaily[EntryDate],DATE(2026,8,25),tblDaily[WardCode],"BF")),"")</f>
        <v/>
      </c>
      <c r="H304" s="5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IFERROR(IF(SUMIFS(tblDaily[Admissions],tblDaily[EntryDate],DATE(2026,8,26),tblDaily[WardCode],"BF")=0,"",SUMIFS(tblDaily[Admissions],tblDaily[EntryDate],DATE(2026,8,26),tblDaily[WardCode],"BF")),"")</f>
        <v/>
      </c>
      <c r="C305" s="5" t="str">
        <f>IFERROR(IF(SUMIFS(tblDaily[Discharges],tblDaily[EntryDate],DATE(2026,8,26),tblDaily[WardCode],"BF")=0,"",SUMIFS(tblDaily[Discharges],tblDaily[EntryDate],DATE(2026,8,26),tblDaily[WardCode],"BF")),"")</f>
        <v/>
      </c>
      <c r="D305" s="5" t="str">
        <f>IFERROR(IF(SUMIFS(tblDaily[Deaths],tblDaily[EntryDate],DATE(2026,8,26),tblDaily[WardCode],"BF")=0,"",SUMIFS(tblDaily[Deaths],tblDaily[EntryDate],DATE(2026,8,26),tblDaily[WardCode],"BF")),"")</f>
        <v/>
      </c>
      <c r="E305" s="5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5" t="str">
        <f>IFERROR(IF(SUMIFS(tblDaily[TransfersIn],tblDaily[EntryDate],DATE(2026,8,26),tblDaily[WardCode],"BF")=0,"",SUMIFS(tblDaily[TransfersIn],tblDaily[EntryDate],DATE(2026,8,26),tblDaily[WardCode],"BF")),"")</f>
        <v/>
      </c>
      <c r="G305" s="5" t="str">
        <f>IFERROR(IF(SUMIFS(tblDaily[TransfersOut],tblDaily[EntryDate],DATE(2026,8,26),tblDaily[WardCode],"BF")=0,"",SUMIFS(tblDaily[TransfersOut],tblDaily[EntryDate],DATE(2026,8,26),tblDaily[WardCode],"BF")),"")</f>
        <v/>
      </c>
      <c r="H305" s="5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IFERROR(IF(SUMIFS(tblDaily[Admissions],tblDaily[EntryDate],DATE(2026,8,27),tblDaily[WardCode],"BF")=0,"",SUMIFS(tblDaily[Admissions],tblDaily[EntryDate],DATE(2026,8,27),tblDaily[WardCode],"BF")),"")</f>
        <v/>
      </c>
      <c r="C306" s="5" t="str">
        <f>IFERROR(IF(SUMIFS(tblDaily[Discharges],tblDaily[EntryDate],DATE(2026,8,27),tblDaily[WardCode],"BF")=0,"",SUMIFS(tblDaily[Discharges],tblDaily[EntryDate],DATE(2026,8,27),tblDaily[WardCode],"BF")),"")</f>
        <v/>
      </c>
      <c r="D306" s="5" t="str">
        <f>IFERROR(IF(SUMIFS(tblDaily[Deaths],tblDaily[EntryDate],DATE(2026,8,27),tblDaily[WardCode],"BF")=0,"",SUMIFS(tblDaily[Deaths],tblDaily[EntryDate],DATE(2026,8,27),tblDaily[WardCode],"BF")),"")</f>
        <v/>
      </c>
      <c r="E306" s="5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5" t="str">
        <f>IFERROR(IF(SUMIFS(tblDaily[TransfersIn],tblDaily[EntryDate],DATE(2026,8,27),tblDaily[WardCode],"BF")=0,"",SUMIFS(tblDaily[TransfersIn],tblDaily[EntryDate],DATE(2026,8,27),tblDaily[WardCode],"BF")),"")</f>
        <v/>
      </c>
      <c r="G306" s="5" t="str">
        <f>IFERROR(IF(SUMIFS(tblDaily[TransfersOut],tblDaily[EntryDate],DATE(2026,8,27),tblDaily[WardCode],"BF")=0,"",SUMIFS(tblDaily[TransfersOut],tblDaily[EntryDate],DATE(2026,8,27),tblDaily[WardCode],"BF")),"")</f>
        <v/>
      </c>
      <c r="H306" s="5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IFERROR(IF(SUMIFS(tblDaily[Admissions],tblDaily[EntryDate],DATE(2026,8,28),tblDaily[WardCode],"BF")=0,"",SUMIFS(tblDaily[Admissions],tblDaily[EntryDate],DATE(2026,8,28),tblDaily[WardCode],"BF")),"")</f>
        <v/>
      </c>
      <c r="C307" s="5" t="str">
        <f>IFERROR(IF(SUMIFS(tblDaily[Discharges],tblDaily[EntryDate],DATE(2026,8,28),tblDaily[WardCode],"BF")=0,"",SUMIFS(tblDaily[Discharges],tblDaily[EntryDate],DATE(2026,8,28),tblDaily[WardCode],"BF")),"")</f>
        <v/>
      </c>
      <c r="D307" s="5" t="str">
        <f>IFERROR(IF(SUMIFS(tblDaily[Deaths],tblDaily[EntryDate],DATE(2026,8,28),tblDaily[WardCode],"BF")=0,"",SUMIFS(tblDaily[Deaths],tblDaily[EntryDate],DATE(2026,8,28),tblDaily[WardCode],"BF")),"")</f>
        <v/>
      </c>
      <c r="E307" s="5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5" t="str">
        <f>IFERROR(IF(SUMIFS(tblDaily[TransfersIn],tblDaily[EntryDate],DATE(2026,8,28),tblDaily[WardCode],"BF")=0,"",SUMIFS(tblDaily[TransfersIn],tblDaily[EntryDate],DATE(2026,8,28),tblDaily[WardCode],"BF")),"")</f>
        <v/>
      </c>
      <c r="G307" s="5" t="str">
        <f>IFERROR(IF(SUMIFS(tblDaily[TransfersOut],tblDaily[EntryDate],DATE(2026,8,28),tblDaily[WardCode],"BF")=0,"",SUMIFS(tblDaily[TransfersOut],tblDaily[EntryDate],DATE(2026,8,28),tblDaily[WardCode],"BF")),"")</f>
        <v/>
      </c>
      <c r="H307" s="5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IFERROR(IF(SUMIFS(tblDaily[Admissions],tblDaily[EntryDate],DATE(2026,8,29),tblDaily[WardCode],"BF")=0,"",SUMIFS(tblDaily[Admissions],tblDaily[EntryDate],DATE(2026,8,29),tblDaily[WardCode],"BF")),"")</f>
        <v/>
      </c>
      <c r="C308" s="5" t="str">
        <f>IFERROR(IF(SUMIFS(tblDaily[Discharges],tblDaily[EntryDate],DATE(2026,8,29),tblDaily[WardCode],"BF")=0,"",SUMIFS(tblDaily[Discharges],tblDaily[EntryDate],DATE(2026,8,29),tblDaily[WardCode],"BF")),"")</f>
        <v/>
      </c>
      <c r="D308" s="5" t="str">
        <f>IFERROR(IF(SUMIFS(tblDaily[Deaths],tblDaily[EntryDate],DATE(2026,8,29),tblDaily[WardCode],"BF")=0,"",SUMIFS(tblDaily[Deaths],tblDaily[EntryDate],DATE(2026,8,29),tblDaily[WardCode],"BF")),"")</f>
        <v/>
      </c>
      <c r="E308" s="5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5" t="str">
        <f>IFERROR(IF(SUMIFS(tblDaily[TransfersIn],tblDaily[EntryDate],DATE(2026,8,29),tblDaily[WardCode],"BF")=0,"",SUMIFS(tblDaily[TransfersIn],tblDaily[EntryDate],DATE(2026,8,29),tblDaily[WardCode],"BF")),"")</f>
        <v/>
      </c>
      <c r="G308" s="5" t="str">
        <f>IFERROR(IF(SUMIFS(tblDaily[TransfersOut],tblDaily[EntryDate],DATE(2026,8,29),tblDaily[WardCode],"BF")=0,"",SUMIFS(tblDaily[TransfersOut],tblDaily[EntryDate],DATE(2026,8,29),tblDaily[WardCode],"BF")),"")</f>
        <v/>
      </c>
      <c r="H308" s="5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IFERROR(IF(SUMIFS(tblDaily[Admissions],tblDaily[EntryDate],DATE(2026,8,30),tblDaily[WardCode],"BF")=0,"",SUMIFS(tblDaily[Admissions],tblDaily[EntryDate],DATE(2026,8,30),tblDaily[WardCode],"BF")),"")</f>
        <v/>
      </c>
      <c r="C309" s="5" t="str">
        <f>IFERROR(IF(SUMIFS(tblDaily[Discharges],tblDaily[EntryDate],DATE(2026,8,30),tblDaily[WardCode],"BF")=0,"",SUMIFS(tblDaily[Discharges],tblDaily[EntryDate],DATE(2026,8,30),tblDaily[WardCode],"BF")),"")</f>
        <v/>
      </c>
      <c r="D309" s="5" t="str">
        <f>IFERROR(IF(SUMIFS(tblDaily[Deaths],tblDaily[EntryDate],DATE(2026,8,30),tblDaily[WardCode],"BF")=0,"",SUMIFS(tblDaily[Deaths],tblDaily[EntryDate],DATE(2026,8,30),tblDaily[WardCode],"BF")),"")</f>
        <v/>
      </c>
      <c r="E309" s="5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5" t="str">
        <f>IFERROR(IF(SUMIFS(tblDaily[TransfersIn],tblDaily[EntryDate],DATE(2026,8,30),tblDaily[WardCode],"BF")=0,"",SUMIFS(tblDaily[TransfersIn],tblDaily[EntryDate],DATE(2026,8,30),tblDaily[WardCode],"BF")),"")</f>
        <v/>
      </c>
      <c r="G309" s="5" t="str">
        <f>IFERROR(IF(SUMIFS(tblDaily[TransfersOut],tblDaily[EntryDate],DATE(2026,8,30),tblDaily[WardCode],"BF")=0,"",SUMIFS(tblDaily[TransfersOut],tblDaily[EntryDate],DATE(2026,8,30),tblDaily[WardCode],"BF")),"")</f>
        <v/>
      </c>
      <c r="H309" s="5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IFERROR(IF(SUMIFS(tblDaily[Admissions],tblDaily[EntryDate],DATE(2026,8,31),tblDaily[WardCode],"BF")=0,"",SUMIFS(tblDaily[Admissions],tblDaily[EntryDate],DATE(2026,8,31),tblDaily[WardCode],"BF")),"")</f>
        <v/>
      </c>
      <c r="C310" s="5" t="str">
        <f>IFERROR(IF(SUMIFS(tblDaily[Discharges],tblDaily[EntryDate],DATE(2026,8,31),tblDaily[WardCode],"BF")=0,"",SUMIFS(tblDaily[Discharges],tblDaily[EntryDate],DATE(2026,8,31),tblDaily[WardCode],"BF")),"")</f>
        <v/>
      </c>
      <c r="D310" s="5" t="str">
        <f>IFERROR(IF(SUMIFS(tblDaily[Deaths],tblDaily[EntryDate],DATE(2026,8,31),tblDaily[WardCode],"BF")=0,"",SUMIFS(tblDaily[Deaths],tblDaily[EntryDate],DATE(2026,8,31),tblDaily[WardCode],"BF")),"")</f>
        <v/>
      </c>
      <c r="E310" s="5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5" t="str">
        <f>IFERROR(IF(SUMIFS(tblDaily[TransfersIn],tblDaily[EntryDate],DATE(2026,8,31),tblDaily[WardCode],"BF")=0,"",SUMIFS(tblDaily[TransfersIn],tblDaily[EntryDate],DATE(2026,8,31),tblDaily[WardCode],"BF")),"")</f>
        <v/>
      </c>
      <c r="G310" s="5" t="str">
        <f>IFERROR(IF(SUMIFS(tblDaily[TransfersOut],tblDaily[EntryDate],DATE(2026,8,31),tblDaily[WardCode],"BF")=0,"",SUMIFS(tblDaily[TransfersOut],tblDaily[EntryDate],DATE(2026,8,31),tblDaily[WardCode],"BF")),"")</f>
        <v/>
      </c>
      <c r="H310" s="5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95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98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89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IFERROR(IF(SUMIFS(tblDaily[Admissions],tblDaily[EntryDate],DATE(2026,9,1),tblDaily[WardCode],"BF")=0,"",SUMIFS(tblDaily[Admissions],tblDaily[EntryDate],DATE(2026,9,1),tblDaily[WardCode],"BF")),"")</f>
        <v/>
      </c>
      <c r="C319" s="5" t="str">
        <f>IFERROR(IF(SUMIFS(tblDaily[Discharges],tblDaily[EntryDate],DATE(2026,9,1),tblDaily[WardCode],"BF")=0,"",SUMIFS(tblDaily[Discharges],tblDaily[EntryDate],DATE(2026,9,1),tblDaily[WardCode],"BF")),"")</f>
        <v/>
      </c>
      <c r="D319" s="5" t="str">
        <f>IFERROR(IF(SUMIFS(tblDaily[Deaths],tblDaily[EntryDate],DATE(2026,9,1),tblDaily[WardCode],"BF")=0,"",SUMIFS(tblDaily[Deaths],tblDaily[EntryDate],DATE(2026,9,1),tblDaily[WardCode],"BF")),"")</f>
        <v/>
      </c>
      <c r="E319" s="5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5" t="str">
        <f>IFERROR(IF(SUMIFS(tblDaily[TransfersIn],tblDaily[EntryDate],DATE(2026,9,1),tblDaily[WardCode],"BF")=0,"",SUMIFS(tblDaily[TransfersIn],tblDaily[EntryDate],DATE(2026,9,1),tblDaily[WardCode],"BF")),"")</f>
        <v/>
      </c>
      <c r="G319" s="5" t="str">
        <f>IFERROR(IF(SUMIFS(tblDaily[TransfersOut],tblDaily[EntryDate],DATE(2026,9,1),tblDaily[WardCode],"BF")=0,"",SUMIFS(tblDaily[TransfersOut],tblDaily[EntryDate],DATE(2026,9,1),tblDaily[WardCode],"BF")),"")</f>
        <v/>
      </c>
      <c r="H319" s="5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IFERROR(IF(SUMIFS(tblDaily[Admissions],tblDaily[EntryDate],DATE(2026,9,2),tblDaily[WardCode],"BF")=0,"",SUMIFS(tblDaily[Admissions],tblDaily[EntryDate],DATE(2026,9,2),tblDaily[WardCode],"BF")),"")</f>
        <v/>
      </c>
      <c r="C320" s="5" t="str">
        <f>IFERROR(IF(SUMIFS(tblDaily[Discharges],tblDaily[EntryDate],DATE(2026,9,2),tblDaily[WardCode],"BF")=0,"",SUMIFS(tblDaily[Discharges],tblDaily[EntryDate],DATE(2026,9,2),tblDaily[WardCode],"BF")),"")</f>
        <v/>
      </c>
      <c r="D320" s="5" t="str">
        <f>IFERROR(IF(SUMIFS(tblDaily[Deaths],tblDaily[EntryDate],DATE(2026,9,2),tblDaily[WardCode],"BF")=0,"",SUMIFS(tblDaily[Deaths],tblDaily[EntryDate],DATE(2026,9,2),tblDaily[WardCode],"BF")),"")</f>
        <v/>
      </c>
      <c r="E320" s="5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5" t="str">
        <f>IFERROR(IF(SUMIFS(tblDaily[TransfersIn],tblDaily[EntryDate],DATE(2026,9,2),tblDaily[WardCode],"BF")=0,"",SUMIFS(tblDaily[TransfersIn],tblDaily[EntryDate],DATE(2026,9,2),tblDaily[WardCode],"BF")),"")</f>
        <v/>
      </c>
      <c r="G320" s="5" t="str">
        <f>IFERROR(IF(SUMIFS(tblDaily[TransfersOut],tblDaily[EntryDate],DATE(2026,9,2),tblDaily[WardCode],"BF")=0,"",SUMIFS(tblDaily[TransfersOut],tblDaily[EntryDate],DATE(2026,9,2),tblDaily[WardCode],"BF")),"")</f>
        <v/>
      </c>
      <c r="H320" s="5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IFERROR(IF(SUMIFS(tblDaily[Admissions],tblDaily[EntryDate],DATE(2026,9,3),tblDaily[WardCode],"BF")=0,"",SUMIFS(tblDaily[Admissions],tblDaily[EntryDate],DATE(2026,9,3),tblDaily[WardCode],"BF")),"")</f>
        <v/>
      </c>
      <c r="C321" s="5" t="str">
        <f>IFERROR(IF(SUMIFS(tblDaily[Discharges],tblDaily[EntryDate],DATE(2026,9,3),tblDaily[WardCode],"BF")=0,"",SUMIFS(tblDaily[Discharges],tblDaily[EntryDate],DATE(2026,9,3),tblDaily[WardCode],"BF")),"")</f>
        <v/>
      </c>
      <c r="D321" s="5" t="str">
        <f>IFERROR(IF(SUMIFS(tblDaily[Deaths],tblDaily[EntryDate],DATE(2026,9,3),tblDaily[WardCode],"BF")=0,"",SUMIFS(tblDaily[Deaths],tblDaily[EntryDate],DATE(2026,9,3),tblDaily[WardCode],"BF")),"")</f>
        <v/>
      </c>
      <c r="E321" s="5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5" t="str">
        <f>IFERROR(IF(SUMIFS(tblDaily[TransfersIn],tblDaily[EntryDate],DATE(2026,9,3),tblDaily[WardCode],"BF")=0,"",SUMIFS(tblDaily[TransfersIn],tblDaily[EntryDate],DATE(2026,9,3),tblDaily[WardCode],"BF")),"")</f>
        <v/>
      </c>
      <c r="G321" s="5" t="str">
        <f>IFERROR(IF(SUMIFS(tblDaily[TransfersOut],tblDaily[EntryDate],DATE(2026,9,3),tblDaily[WardCode],"BF")=0,"",SUMIFS(tblDaily[TransfersOut],tblDaily[EntryDate],DATE(2026,9,3),tblDaily[WardCode],"BF")),"")</f>
        <v/>
      </c>
      <c r="H321" s="5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IFERROR(IF(SUMIFS(tblDaily[Admissions],tblDaily[EntryDate],DATE(2026,9,4),tblDaily[WardCode],"BF")=0,"",SUMIFS(tblDaily[Admissions],tblDaily[EntryDate],DATE(2026,9,4),tblDaily[WardCode],"BF")),"")</f>
        <v/>
      </c>
      <c r="C322" s="5" t="str">
        <f>IFERROR(IF(SUMIFS(tblDaily[Discharges],tblDaily[EntryDate],DATE(2026,9,4),tblDaily[WardCode],"BF")=0,"",SUMIFS(tblDaily[Discharges],tblDaily[EntryDate],DATE(2026,9,4),tblDaily[WardCode],"BF")),"")</f>
        <v/>
      </c>
      <c r="D322" s="5" t="str">
        <f>IFERROR(IF(SUMIFS(tblDaily[Deaths],tblDaily[EntryDate],DATE(2026,9,4),tblDaily[WardCode],"BF")=0,"",SUMIFS(tblDaily[Deaths],tblDaily[EntryDate],DATE(2026,9,4),tblDaily[WardCode],"BF")),"")</f>
        <v/>
      </c>
      <c r="E322" s="5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5" t="str">
        <f>IFERROR(IF(SUMIFS(tblDaily[TransfersIn],tblDaily[EntryDate],DATE(2026,9,4),tblDaily[WardCode],"BF")=0,"",SUMIFS(tblDaily[TransfersIn],tblDaily[EntryDate],DATE(2026,9,4),tblDaily[WardCode],"BF")),"")</f>
        <v/>
      </c>
      <c r="G322" s="5" t="str">
        <f>IFERROR(IF(SUMIFS(tblDaily[TransfersOut],tblDaily[EntryDate],DATE(2026,9,4),tblDaily[WardCode],"BF")=0,"",SUMIFS(tblDaily[TransfersOut],tblDaily[EntryDate],DATE(2026,9,4),tblDaily[WardCode],"BF")),"")</f>
        <v/>
      </c>
      <c r="H322" s="5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IFERROR(IF(SUMIFS(tblDaily[Admissions],tblDaily[EntryDate],DATE(2026,9,5),tblDaily[WardCode],"BF")=0,"",SUMIFS(tblDaily[Admissions],tblDaily[EntryDate],DATE(2026,9,5),tblDaily[WardCode],"BF")),"")</f>
        <v/>
      </c>
      <c r="C323" s="5" t="str">
        <f>IFERROR(IF(SUMIFS(tblDaily[Discharges],tblDaily[EntryDate],DATE(2026,9,5),tblDaily[WardCode],"BF")=0,"",SUMIFS(tblDaily[Discharges],tblDaily[EntryDate],DATE(2026,9,5),tblDaily[WardCode],"BF")),"")</f>
        <v/>
      </c>
      <c r="D323" s="5" t="str">
        <f>IFERROR(IF(SUMIFS(tblDaily[Deaths],tblDaily[EntryDate],DATE(2026,9,5),tblDaily[WardCode],"BF")=0,"",SUMIFS(tblDaily[Deaths],tblDaily[EntryDate],DATE(2026,9,5),tblDaily[WardCode],"BF")),"")</f>
        <v/>
      </c>
      <c r="E323" s="5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5" t="str">
        <f>IFERROR(IF(SUMIFS(tblDaily[TransfersIn],tblDaily[EntryDate],DATE(2026,9,5),tblDaily[WardCode],"BF")=0,"",SUMIFS(tblDaily[TransfersIn],tblDaily[EntryDate],DATE(2026,9,5),tblDaily[WardCode],"BF")),"")</f>
        <v/>
      </c>
      <c r="G323" s="5" t="str">
        <f>IFERROR(IF(SUMIFS(tblDaily[TransfersOut],tblDaily[EntryDate],DATE(2026,9,5),tblDaily[WardCode],"BF")=0,"",SUMIFS(tblDaily[TransfersOut],tblDaily[EntryDate],DATE(2026,9,5),tblDaily[WardCode],"BF")),"")</f>
        <v/>
      </c>
      <c r="H323" s="5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IFERROR(IF(SUMIFS(tblDaily[Admissions],tblDaily[EntryDate],DATE(2026,9,6),tblDaily[WardCode],"BF")=0,"",SUMIFS(tblDaily[Admissions],tblDaily[EntryDate],DATE(2026,9,6),tblDaily[WardCode],"BF")),"")</f>
        <v/>
      </c>
      <c r="C324" s="5" t="str">
        <f>IFERROR(IF(SUMIFS(tblDaily[Discharges],tblDaily[EntryDate],DATE(2026,9,6),tblDaily[WardCode],"BF")=0,"",SUMIFS(tblDaily[Discharges],tblDaily[EntryDate],DATE(2026,9,6),tblDaily[WardCode],"BF")),"")</f>
        <v/>
      </c>
      <c r="D324" s="5" t="str">
        <f>IFERROR(IF(SUMIFS(tblDaily[Deaths],tblDaily[EntryDate],DATE(2026,9,6),tblDaily[WardCode],"BF")=0,"",SUMIFS(tblDaily[Deaths],tblDaily[EntryDate],DATE(2026,9,6),tblDaily[WardCode],"BF")),"")</f>
        <v/>
      </c>
      <c r="E324" s="5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5" t="str">
        <f>IFERROR(IF(SUMIFS(tblDaily[TransfersIn],tblDaily[EntryDate],DATE(2026,9,6),tblDaily[WardCode],"BF")=0,"",SUMIFS(tblDaily[TransfersIn],tblDaily[EntryDate],DATE(2026,9,6),tblDaily[WardCode],"BF")),"")</f>
        <v/>
      </c>
      <c r="G324" s="5" t="str">
        <f>IFERROR(IF(SUMIFS(tblDaily[TransfersOut],tblDaily[EntryDate],DATE(2026,9,6),tblDaily[WardCode],"BF")=0,"",SUMIFS(tblDaily[TransfersOut],tblDaily[EntryDate],DATE(2026,9,6),tblDaily[WardCode],"BF")),"")</f>
        <v/>
      </c>
      <c r="H324" s="5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IFERROR(IF(SUMIFS(tblDaily[Admissions],tblDaily[EntryDate],DATE(2026,9,7),tblDaily[WardCode],"BF")=0,"",SUMIFS(tblDaily[Admissions],tblDaily[EntryDate],DATE(2026,9,7),tblDaily[WardCode],"BF")),"")</f>
        <v/>
      </c>
      <c r="C325" s="5" t="str">
        <f>IFERROR(IF(SUMIFS(tblDaily[Discharges],tblDaily[EntryDate],DATE(2026,9,7),tblDaily[WardCode],"BF")=0,"",SUMIFS(tblDaily[Discharges],tblDaily[EntryDate],DATE(2026,9,7),tblDaily[WardCode],"BF")),"")</f>
        <v/>
      </c>
      <c r="D325" s="5" t="str">
        <f>IFERROR(IF(SUMIFS(tblDaily[Deaths],tblDaily[EntryDate],DATE(2026,9,7),tblDaily[WardCode],"BF")=0,"",SUMIFS(tblDaily[Deaths],tblDaily[EntryDate],DATE(2026,9,7),tblDaily[WardCode],"BF")),"")</f>
        <v/>
      </c>
      <c r="E325" s="5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5" t="str">
        <f>IFERROR(IF(SUMIFS(tblDaily[TransfersIn],tblDaily[EntryDate],DATE(2026,9,7),tblDaily[WardCode],"BF")=0,"",SUMIFS(tblDaily[TransfersIn],tblDaily[EntryDate],DATE(2026,9,7),tblDaily[WardCode],"BF")),"")</f>
        <v/>
      </c>
      <c r="G325" s="5" t="str">
        <f>IFERROR(IF(SUMIFS(tblDaily[TransfersOut],tblDaily[EntryDate],DATE(2026,9,7),tblDaily[WardCode],"BF")=0,"",SUMIFS(tblDaily[TransfersOut],tblDaily[EntryDate],DATE(2026,9,7),tblDaily[WardCode],"BF")),"")</f>
        <v/>
      </c>
      <c r="H325" s="5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IFERROR(IF(SUMIFS(tblDaily[Admissions],tblDaily[EntryDate],DATE(2026,9,8),tblDaily[WardCode],"BF")=0,"",SUMIFS(tblDaily[Admissions],tblDaily[EntryDate],DATE(2026,9,8),tblDaily[WardCode],"BF")),"")</f>
        <v/>
      </c>
      <c r="C326" s="5" t="str">
        <f>IFERROR(IF(SUMIFS(tblDaily[Discharges],tblDaily[EntryDate],DATE(2026,9,8),tblDaily[WardCode],"BF")=0,"",SUMIFS(tblDaily[Discharges],tblDaily[EntryDate],DATE(2026,9,8),tblDaily[WardCode],"BF")),"")</f>
        <v/>
      </c>
      <c r="D326" s="5" t="str">
        <f>IFERROR(IF(SUMIFS(tblDaily[Deaths],tblDaily[EntryDate],DATE(2026,9,8),tblDaily[WardCode],"BF")=0,"",SUMIFS(tblDaily[Deaths],tblDaily[EntryDate],DATE(2026,9,8),tblDaily[WardCode],"BF")),"")</f>
        <v/>
      </c>
      <c r="E326" s="5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5" t="str">
        <f>IFERROR(IF(SUMIFS(tblDaily[TransfersIn],tblDaily[EntryDate],DATE(2026,9,8),tblDaily[WardCode],"BF")=0,"",SUMIFS(tblDaily[TransfersIn],tblDaily[EntryDate],DATE(2026,9,8),tblDaily[WardCode],"BF")),"")</f>
        <v/>
      </c>
      <c r="G326" s="5" t="str">
        <f>IFERROR(IF(SUMIFS(tblDaily[TransfersOut],tblDaily[EntryDate],DATE(2026,9,8),tblDaily[WardCode],"BF")=0,"",SUMIFS(tblDaily[TransfersOut],tblDaily[EntryDate],DATE(2026,9,8),tblDaily[WardCode],"BF")),"")</f>
        <v/>
      </c>
      <c r="H326" s="5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IFERROR(IF(SUMIFS(tblDaily[Admissions],tblDaily[EntryDate],DATE(2026,9,9),tblDaily[WardCode],"BF")=0,"",SUMIFS(tblDaily[Admissions],tblDaily[EntryDate],DATE(2026,9,9),tblDaily[WardCode],"BF")),"")</f>
        <v/>
      </c>
      <c r="C327" s="5" t="str">
        <f>IFERROR(IF(SUMIFS(tblDaily[Discharges],tblDaily[EntryDate],DATE(2026,9,9),tblDaily[WardCode],"BF")=0,"",SUMIFS(tblDaily[Discharges],tblDaily[EntryDate],DATE(2026,9,9),tblDaily[WardCode],"BF")),"")</f>
        <v/>
      </c>
      <c r="D327" s="5" t="str">
        <f>IFERROR(IF(SUMIFS(tblDaily[Deaths],tblDaily[EntryDate],DATE(2026,9,9),tblDaily[WardCode],"BF")=0,"",SUMIFS(tblDaily[Deaths],tblDaily[EntryDate],DATE(2026,9,9),tblDaily[WardCode],"BF")),"")</f>
        <v/>
      </c>
      <c r="E327" s="5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5" t="str">
        <f>IFERROR(IF(SUMIFS(tblDaily[TransfersIn],tblDaily[EntryDate],DATE(2026,9,9),tblDaily[WardCode],"BF")=0,"",SUMIFS(tblDaily[TransfersIn],tblDaily[EntryDate],DATE(2026,9,9),tblDaily[WardCode],"BF")),"")</f>
        <v/>
      </c>
      <c r="G327" s="5" t="str">
        <f>IFERROR(IF(SUMIFS(tblDaily[TransfersOut],tblDaily[EntryDate],DATE(2026,9,9),tblDaily[WardCode],"BF")=0,"",SUMIFS(tblDaily[TransfersOut],tblDaily[EntryDate],DATE(2026,9,9),tblDaily[WardCode],"BF")),"")</f>
        <v/>
      </c>
      <c r="H327" s="5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IFERROR(IF(SUMIFS(tblDaily[Admissions],tblDaily[EntryDate],DATE(2026,9,10),tblDaily[WardCode],"BF")=0,"",SUMIFS(tblDaily[Admissions],tblDaily[EntryDate],DATE(2026,9,10),tblDaily[WardCode],"BF")),"")</f>
        <v/>
      </c>
      <c r="C328" s="5" t="str">
        <f>IFERROR(IF(SUMIFS(tblDaily[Discharges],tblDaily[EntryDate],DATE(2026,9,10),tblDaily[WardCode],"BF")=0,"",SUMIFS(tblDaily[Discharges],tblDaily[EntryDate],DATE(2026,9,10),tblDaily[WardCode],"BF")),"")</f>
        <v/>
      </c>
      <c r="D328" s="5" t="str">
        <f>IFERROR(IF(SUMIFS(tblDaily[Deaths],tblDaily[EntryDate],DATE(2026,9,10),tblDaily[WardCode],"BF")=0,"",SUMIFS(tblDaily[Deaths],tblDaily[EntryDate],DATE(2026,9,10),tblDaily[WardCode],"BF")),"")</f>
        <v/>
      </c>
      <c r="E328" s="5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5" t="str">
        <f>IFERROR(IF(SUMIFS(tblDaily[TransfersIn],tblDaily[EntryDate],DATE(2026,9,10),tblDaily[WardCode],"BF")=0,"",SUMIFS(tblDaily[TransfersIn],tblDaily[EntryDate],DATE(2026,9,10),tblDaily[WardCode],"BF")),"")</f>
        <v/>
      </c>
      <c r="G328" s="5" t="str">
        <f>IFERROR(IF(SUMIFS(tblDaily[TransfersOut],tblDaily[EntryDate],DATE(2026,9,10),tblDaily[WardCode],"BF")=0,"",SUMIFS(tblDaily[TransfersOut],tblDaily[EntryDate],DATE(2026,9,10),tblDaily[WardCode],"BF")),"")</f>
        <v/>
      </c>
      <c r="H328" s="5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IFERROR(IF(SUMIFS(tblDaily[Admissions],tblDaily[EntryDate],DATE(2026,9,11),tblDaily[WardCode],"BF")=0,"",SUMIFS(tblDaily[Admissions],tblDaily[EntryDate],DATE(2026,9,11),tblDaily[WardCode],"BF")),"")</f>
        <v/>
      </c>
      <c r="C329" s="5" t="str">
        <f>IFERROR(IF(SUMIFS(tblDaily[Discharges],tblDaily[EntryDate],DATE(2026,9,11),tblDaily[WardCode],"BF")=0,"",SUMIFS(tblDaily[Discharges],tblDaily[EntryDate],DATE(2026,9,11),tblDaily[WardCode],"BF")),"")</f>
        <v/>
      </c>
      <c r="D329" s="5" t="str">
        <f>IFERROR(IF(SUMIFS(tblDaily[Deaths],tblDaily[EntryDate],DATE(2026,9,11),tblDaily[WardCode],"BF")=0,"",SUMIFS(tblDaily[Deaths],tblDaily[EntryDate],DATE(2026,9,11),tblDaily[WardCode],"BF")),"")</f>
        <v/>
      </c>
      <c r="E329" s="5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5" t="str">
        <f>IFERROR(IF(SUMIFS(tblDaily[TransfersIn],tblDaily[EntryDate],DATE(2026,9,11),tblDaily[WardCode],"BF")=0,"",SUMIFS(tblDaily[TransfersIn],tblDaily[EntryDate],DATE(2026,9,11),tblDaily[WardCode],"BF")),"")</f>
        <v/>
      </c>
      <c r="G329" s="5" t="str">
        <f>IFERROR(IF(SUMIFS(tblDaily[TransfersOut],tblDaily[EntryDate],DATE(2026,9,11),tblDaily[WardCode],"BF")=0,"",SUMIFS(tblDaily[TransfersOut],tblDaily[EntryDate],DATE(2026,9,11),tblDaily[WardCode],"BF")),"")</f>
        <v/>
      </c>
      <c r="H329" s="5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IFERROR(IF(SUMIFS(tblDaily[Admissions],tblDaily[EntryDate],DATE(2026,9,12),tblDaily[WardCode],"BF")=0,"",SUMIFS(tblDaily[Admissions],tblDaily[EntryDate],DATE(2026,9,12),tblDaily[WardCode],"BF")),"")</f>
        <v/>
      </c>
      <c r="C330" s="5" t="str">
        <f>IFERROR(IF(SUMIFS(tblDaily[Discharges],tblDaily[EntryDate],DATE(2026,9,12),tblDaily[WardCode],"BF")=0,"",SUMIFS(tblDaily[Discharges],tblDaily[EntryDate],DATE(2026,9,12),tblDaily[WardCode],"BF")),"")</f>
        <v/>
      </c>
      <c r="D330" s="5" t="str">
        <f>IFERROR(IF(SUMIFS(tblDaily[Deaths],tblDaily[EntryDate],DATE(2026,9,12),tblDaily[WardCode],"BF")=0,"",SUMIFS(tblDaily[Deaths],tblDaily[EntryDate],DATE(2026,9,12),tblDaily[WardCode],"BF")),"")</f>
        <v/>
      </c>
      <c r="E330" s="5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5" t="str">
        <f>IFERROR(IF(SUMIFS(tblDaily[TransfersIn],tblDaily[EntryDate],DATE(2026,9,12),tblDaily[WardCode],"BF")=0,"",SUMIFS(tblDaily[TransfersIn],tblDaily[EntryDate],DATE(2026,9,12),tblDaily[WardCode],"BF")),"")</f>
        <v/>
      </c>
      <c r="G330" s="5" t="str">
        <f>IFERROR(IF(SUMIFS(tblDaily[TransfersOut],tblDaily[EntryDate],DATE(2026,9,12),tblDaily[WardCode],"BF")=0,"",SUMIFS(tblDaily[TransfersOut],tblDaily[EntryDate],DATE(2026,9,12),tblDaily[WardCode],"BF")),"")</f>
        <v/>
      </c>
      <c r="H330" s="5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IFERROR(IF(SUMIFS(tblDaily[Admissions],tblDaily[EntryDate],DATE(2026,9,13),tblDaily[WardCode],"BF")=0,"",SUMIFS(tblDaily[Admissions],tblDaily[EntryDate],DATE(2026,9,13),tblDaily[WardCode],"BF")),"")</f>
        <v/>
      </c>
      <c r="C331" s="5" t="str">
        <f>IFERROR(IF(SUMIFS(tblDaily[Discharges],tblDaily[EntryDate],DATE(2026,9,13),tblDaily[WardCode],"BF")=0,"",SUMIFS(tblDaily[Discharges],tblDaily[EntryDate],DATE(2026,9,13),tblDaily[WardCode],"BF")),"")</f>
        <v/>
      </c>
      <c r="D331" s="5" t="str">
        <f>IFERROR(IF(SUMIFS(tblDaily[Deaths],tblDaily[EntryDate],DATE(2026,9,13),tblDaily[WardCode],"BF")=0,"",SUMIFS(tblDaily[Deaths],tblDaily[EntryDate],DATE(2026,9,13),tblDaily[WardCode],"BF")),"")</f>
        <v/>
      </c>
      <c r="E331" s="5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5" t="str">
        <f>IFERROR(IF(SUMIFS(tblDaily[TransfersIn],tblDaily[EntryDate],DATE(2026,9,13),tblDaily[WardCode],"BF")=0,"",SUMIFS(tblDaily[TransfersIn],tblDaily[EntryDate],DATE(2026,9,13),tblDaily[WardCode],"BF")),"")</f>
        <v/>
      </c>
      <c r="G331" s="5" t="str">
        <f>IFERROR(IF(SUMIFS(tblDaily[TransfersOut],tblDaily[EntryDate],DATE(2026,9,13),tblDaily[WardCode],"BF")=0,"",SUMIFS(tblDaily[TransfersOut],tblDaily[EntryDate],DATE(2026,9,13),tblDaily[WardCode],"BF")),"")</f>
        <v/>
      </c>
      <c r="H331" s="5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IFERROR(IF(SUMIFS(tblDaily[Admissions],tblDaily[EntryDate],DATE(2026,9,14),tblDaily[WardCode],"BF")=0,"",SUMIFS(tblDaily[Admissions],tblDaily[EntryDate],DATE(2026,9,14),tblDaily[WardCode],"BF")),"")</f>
        <v/>
      </c>
      <c r="C332" s="5" t="str">
        <f>IFERROR(IF(SUMIFS(tblDaily[Discharges],tblDaily[EntryDate],DATE(2026,9,14),tblDaily[WardCode],"BF")=0,"",SUMIFS(tblDaily[Discharges],tblDaily[EntryDate],DATE(2026,9,14),tblDaily[WardCode],"BF")),"")</f>
        <v/>
      </c>
      <c r="D332" s="5" t="str">
        <f>IFERROR(IF(SUMIFS(tblDaily[Deaths],tblDaily[EntryDate],DATE(2026,9,14),tblDaily[WardCode],"BF")=0,"",SUMIFS(tblDaily[Deaths],tblDaily[EntryDate],DATE(2026,9,14),tblDaily[WardCode],"BF")),"")</f>
        <v/>
      </c>
      <c r="E332" s="5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5" t="str">
        <f>IFERROR(IF(SUMIFS(tblDaily[TransfersIn],tblDaily[EntryDate],DATE(2026,9,14),tblDaily[WardCode],"BF")=0,"",SUMIFS(tblDaily[TransfersIn],tblDaily[EntryDate],DATE(2026,9,14),tblDaily[WardCode],"BF")),"")</f>
        <v/>
      </c>
      <c r="G332" s="5" t="str">
        <f>IFERROR(IF(SUMIFS(tblDaily[TransfersOut],tblDaily[EntryDate],DATE(2026,9,14),tblDaily[WardCode],"BF")=0,"",SUMIFS(tblDaily[TransfersOut],tblDaily[EntryDate],DATE(2026,9,14),tblDaily[WardCode],"BF")),"")</f>
        <v/>
      </c>
      <c r="H332" s="5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IFERROR(IF(SUMIFS(tblDaily[Admissions],tblDaily[EntryDate],DATE(2026,9,15),tblDaily[WardCode],"BF")=0,"",SUMIFS(tblDaily[Admissions],tblDaily[EntryDate],DATE(2026,9,15),tblDaily[WardCode],"BF")),"")</f>
        <v/>
      </c>
      <c r="C333" s="5" t="str">
        <f>IFERROR(IF(SUMIFS(tblDaily[Discharges],tblDaily[EntryDate],DATE(2026,9,15),tblDaily[WardCode],"BF")=0,"",SUMIFS(tblDaily[Discharges],tblDaily[EntryDate],DATE(2026,9,15),tblDaily[WardCode],"BF")),"")</f>
        <v/>
      </c>
      <c r="D333" s="5" t="str">
        <f>IFERROR(IF(SUMIFS(tblDaily[Deaths],tblDaily[EntryDate],DATE(2026,9,15),tblDaily[WardCode],"BF")=0,"",SUMIFS(tblDaily[Deaths],tblDaily[EntryDate],DATE(2026,9,15),tblDaily[WardCode],"BF")),"")</f>
        <v/>
      </c>
      <c r="E333" s="5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5" t="str">
        <f>IFERROR(IF(SUMIFS(tblDaily[TransfersIn],tblDaily[EntryDate],DATE(2026,9,15),tblDaily[WardCode],"BF")=0,"",SUMIFS(tblDaily[TransfersIn],tblDaily[EntryDate],DATE(2026,9,15),tblDaily[WardCode],"BF")),"")</f>
        <v/>
      </c>
      <c r="G333" s="5" t="str">
        <f>IFERROR(IF(SUMIFS(tblDaily[TransfersOut],tblDaily[EntryDate],DATE(2026,9,15),tblDaily[WardCode],"BF")=0,"",SUMIFS(tblDaily[TransfersOut],tblDaily[EntryDate],DATE(2026,9,15),tblDaily[WardCode],"BF")),"")</f>
        <v/>
      </c>
      <c r="H333" s="5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IFERROR(IF(SUMIFS(tblDaily[Admissions],tblDaily[EntryDate],DATE(2026,9,16),tblDaily[WardCode],"BF")=0,"",SUMIFS(tblDaily[Admissions],tblDaily[EntryDate],DATE(2026,9,16),tblDaily[WardCode],"BF")),"")</f>
        <v/>
      </c>
      <c r="C334" s="5" t="str">
        <f>IFERROR(IF(SUMIFS(tblDaily[Discharges],tblDaily[EntryDate],DATE(2026,9,16),tblDaily[WardCode],"BF")=0,"",SUMIFS(tblDaily[Discharges],tblDaily[EntryDate],DATE(2026,9,16),tblDaily[WardCode],"BF")),"")</f>
        <v/>
      </c>
      <c r="D334" s="5" t="str">
        <f>IFERROR(IF(SUMIFS(tblDaily[Deaths],tblDaily[EntryDate],DATE(2026,9,16),tblDaily[WardCode],"BF")=0,"",SUMIFS(tblDaily[Deaths],tblDaily[EntryDate],DATE(2026,9,16),tblDaily[WardCode],"BF")),"")</f>
        <v/>
      </c>
      <c r="E334" s="5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5" t="str">
        <f>IFERROR(IF(SUMIFS(tblDaily[TransfersIn],tblDaily[EntryDate],DATE(2026,9,16),tblDaily[WardCode],"BF")=0,"",SUMIFS(tblDaily[TransfersIn],tblDaily[EntryDate],DATE(2026,9,16),tblDaily[WardCode],"BF")),"")</f>
        <v/>
      </c>
      <c r="G334" s="5" t="str">
        <f>IFERROR(IF(SUMIFS(tblDaily[TransfersOut],tblDaily[EntryDate],DATE(2026,9,16),tblDaily[WardCode],"BF")=0,"",SUMIFS(tblDaily[TransfersOut],tblDaily[EntryDate],DATE(2026,9,16),tblDaily[WardCode],"BF")),"")</f>
        <v/>
      </c>
      <c r="H334" s="5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IFERROR(IF(SUMIFS(tblDaily[Admissions],tblDaily[EntryDate],DATE(2026,9,17),tblDaily[WardCode],"BF")=0,"",SUMIFS(tblDaily[Admissions],tblDaily[EntryDate],DATE(2026,9,17),tblDaily[WardCode],"BF")),"")</f>
        <v/>
      </c>
      <c r="C335" s="5" t="str">
        <f>IFERROR(IF(SUMIFS(tblDaily[Discharges],tblDaily[EntryDate],DATE(2026,9,17),tblDaily[WardCode],"BF")=0,"",SUMIFS(tblDaily[Discharges],tblDaily[EntryDate],DATE(2026,9,17),tblDaily[WardCode],"BF")),"")</f>
        <v/>
      </c>
      <c r="D335" s="5" t="str">
        <f>IFERROR(IF(SUMIFS(tblDaily[Deaths],tblDaily[EntryDate],DATE(2026,9,17),tblDaily[WardCode],"BF")=0,"",SUMIFS(tblDaily[Deaths],tblDaily[EntryDate],DATE(2026,9,17),tblDaily[WardCode],"BF")),"")</f>
        <v/>
      </c>
      <c r="E335" s="5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5" t="str">
        <f>IFERROR(IF(SUMIFS(tblDaily[TransfersIn],tblDaily[EntryDate],DATE(2026,9,17),tblDaily[WardCode],"BF")=0,"",SUMIFS(tblDaily[TransfersIn],tblDaily[EntryDate],DATE(2026,9,17),tblDaily[WardCode],"BF")),"")</f>
        <v/>
      </c>
      <c r="G335" s="5" t="str">
        <f>IFERROR(IF(SUMIFS(tblDaily[TransfersOut],tblDaily[EntryDate],DATE(2026,9,17),tblDaily[WardCode],"BF")=0,"",SUMIFS(tblDaily[TransfersOut],tblDaily[EntryDate],DATE(2026,9,17),tblDaily[WardCode],"BF")),"")</f>
        <v/>
      </c>
      <c r="H335" s="5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IFERROR(IF(SUMIFS(tblDaily[Admissions],tblDaily[EntryDate],DATE(2026,9,18),tblDaily[WardCode],"BF")=0,"",SUMIFS(tblDaily[Admissions],tblDaily[EntryDate],DATE(2026,9,18),tblDaily[WardCode],"BF")),"")</f>
        <v/>
      </c>
      <c r="C336" s="5" t="str">
        <f>IFERROR(IF(SUMIFS(tblDaily[Discharges],tblDaily[EntryDate],DATE(2026,9,18),tblDaily[WardCode],"BF")=0,"",SUMIFS(tblDaily[Discharges],tblDaily[EntryDate],DATE(2026,9,18),tblDaily[WardCode],"BF")),"")</f>
        <v/>
      </c>
      <c r="D336" s="5" t="str">
        <f>IFERROR(IF(SUMIFS(tblDaily[Deaths],tblDaily[EntryDate],DATE(2026,9,18),tblDaily[WardCode],"BF")=0,"",SUMIFS(tblDaily[Deaths],tblDaily[EntryDate],DATE(2026,9,18),tblDaily[WardCode],"BF")),"")</f>
        <v/>
      </c>
      <c r="E336" s="5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5" t="str">
        <f>IFERROR(IF(SUMIFS(tblDaily[TransfersIn],tblDaily[EntryDate],DATE(2026,9,18),tblDaily[WardCode],"BF")=0,"",SUMIFS(tblDaily[TransfersIn],tblDaily[EntryDate],DATE(2026,9,18),tblDaily[WardCode],"BF")),"")</f>
        <v/>
      </c>
      <c r="G336" s="5" t="str">
        <f>IFERROR(IF(SUMIFS(tblDaily[TransfersOut],tblDaily[EntryDate],DATE(2026,9,18),tblDaily[WardCode],"BF")=0,"",SUMIFS(tblDaily[TransfersOut],tblDaily[EntryDate],DATE(2026,9,18),tblDaily[WardCode],"BF")),"")</f>
        <v/>
      </c>
      <c r="H336" s="5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IFERROR(IF(SUMIFS(tblDaily[Admissions],tblDaily[EntryDate],DATE(2026,9,19),tblDaily[WardCode],"BF")=0,"",SUMIFS(tblDaily[Admissions],tblDaily[EntryDate],DATE(2026,9,19),tblDaily[WardCode],"BF")),"")</f>
        <v/>
      </c>
      <c r="C337" s="5" t="str">
        <f>IFERROR(IF(SUMIFS(tblDaily[Discharges],tblDaily[EntryDate],DATE(2026,9,19),tblDaily[WardCode],"BF")=0,"",SUMIFS(tblDaily[Discharges],tblDaily[EntryDate],DATE(2026,9,19),tblDaily[WardCode],"BF")),"")</f>
        <v/>
      </c>
      <c r="D337" s="5" t="str">
        <f>IFERROR(IF(SUMIFS(tblDaily[Deaths],tblDaily[EntryDate],DATE(2026,9,19),tblDaily[WardCode],"BF")=0,"",SUMIFS(tblDaily[Deaths],tblDaily[EntryDate],DATE(2026,9,19),tblDaily[WardCode],"BF")),"")</f>
        <v/>
      </c>
      <c r="E337" s="5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5" t="str">
        <f>IFERROR(IF(SUMIFS(tblDaily[TransfersIn],tblDaily[EntryDate],DATE(2026,9,19),tblDaily[WardCode],"BF")=0,"",SUMIFS(tblDaily[TransfersIn],tblDaily[EntryDate],DATE(2026,9,19),tblDaily[WardCode],"BF")),"")</f>
        <v/>
      </c>
      <c r="G337" s="5" t="str">
        <f>IFERROR(IF(SUMIFS(tblDaily[TransfersOut],tblDaily[EntryDate],DATE(2026,9,19),tblDaily[WardCode],"BF")=0,"",SUMIFS(tblDaily[TransfersOut],tblDaily[EntryDate],DATE(2026,9,19),tblDaily[WardCode],"BF")),"")</f>
        <v/>
      </c>
      <c r="H337" s="5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IFERROR(IF(SUMIFS(tblDaily[Admissions],tblDaily[EntryDate],DATE(2026,9,20),tblDaily[WardCode],"BF")=0,"",SUMIFS(tblDaily[Admissions],tblDaily[EntryDate],DATE(2026,9,20),tblDaily[WardCode],"BF")),"")</f>
        <v/>
      </c>
      <c r="C338" s="5" t="str">
        <f>IFERROR(IF(SUMIFS(tblDaily[Discharges],tblDaily[EntryDate],DATE(2026,9,20),tblDaily[WardCode],"BF")=0,"",SUMIFS(tblDaily[Discharges],tblDaily[EntryDate],DATE(2026,9,20),tblDaily[WardCode],"BF")),"")</f>
        <v/>
      </c>
      <c r="D338" s="5" t="str">
        <f>IFERROR(IF(SUMIFS(tblDaily[Deaths],tblDaily[EntryDate],DATE(2026,9,20),tblDaily[WardCode],"BF")=0,"",SUMIFS(tblDaily[Deaths],tblDaily[EntryDate],DATE(2026,9,20),tblDaily[WardCode],"BF")),"")</f>
        <v/>
      </c>
      <c r="E338" s="5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5" t="str">
        <f>IFERROR(IF(SUMIFS(tblDaily[TransfersIn],tblDaily[EntryDate],DATE(2026,9,20),tblDaily[WardCode],"BF")=0,"",SUMIFS(tblDaily[TransfersIn],tblDaily[EntryDate],DATE(2026,9,20),tblDaily[WardCode],"BF")),"")</f>
        <v/>
      </c>
      <c r="G338" s="5" t="str">
        <f>IFERROR(IF(SUMIFS(tblDaily[TransfersOut],tblDaily[EntryDate],DATE(2026,9,20),tblDaily[WardCode],"BF")=0,"",SUMIFS(tblDaily[TransfersOut],tblDaily[EntryDate],DATE(2026,9,20),tblDaily[WardCode],"BF")),"")</f>
        <v/>
      </c>
      <c r="H338" s="5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IFERROR(IF(SUMIFS(tblDaily[Admissions],tblDaily[EntryDate],DATE(2026,9,21),tblDaily[WardCode],"BF")=0,"",SUMIFS(tblDaily[Admissions],tblDaily[EntryDate],DATE(2026,9,21),tblDaily[WardCode],"BF")),"")</f>
        <v/>
      </c>
      <c r="C339" s="5" t="str">
        <f>IFERROR(IF(SUMIFS(tblDaily[Discharges],tblDaily[EntryDate],DATE(2026,9,21),tblDaily[WardCode],"BF")=0,"",SUMIFS(tblDaily[Discharges],tblDaily[EntryDate],DATE(2026,9,21),tblDaily[WardCode],"BF")),"")</f>
        <v/>
      </c>
      <c r="D339" s="5" t="str">
        <f>IFERROR(IF(SUMIFS(tblDaily[Deaths],tblDaily[EntryDate],DATE(2026,9,21),tblDaily[WardCode],"BF")=0,"",SUMIFS(tblDaily[Deaths],tblDaily[EntryDate],DATE(2026,9,21),tblDaily[WardCode],"BF")),"")</f>
        <v/>
      </c>
      <c r="E339" s="5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5" t="str">
        <f>IFERROR(IF(SUMIFS(tblDaily[TransfersIn],tblDaily[EntryDate],DATE(2026,9,21),tblDaily[WardCode],"BF")=0,"",SUMIFS(tblDaily[TransfersIn],tblDaily[EntryDate],DATE(2026,9,21),tblDaily[WardCode],"BF")),"")</f>
        <v/>
      </c>
      <c r="G339" s="5" t="str">
        <f>IFERROR(IF(SUMIFS(tblDaily[TransfersOut],tblDaily[EntryDate],DATE(2026,9,21),tblDaily[WardCode],"BF")=0,"",SUMIFS(tblDaily[TransfersOut],tblDaily[EntryDate],DATE(2026,9,21),tblDaily[WardCode],"BF")),"")</f>
        <v/>
      </c>
      <c r="H339" s="5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IFERROR(IF(SUMIFS(tblDaily[Admissions],tblDaily[EntryDate],DATE(2026,9,22),tblDaily[WardCode],"BF")=0,"",SUMIFS(tblDaily[Admissions],tblDaily[EntryDate],DATE(2026,9,22),tblDaily[WardCode],"BF")),"")</f>
        <v/>
      </c>
      <c r="C340" s="5" t="str">
        <f>IFERROR(IF(SUMIFS(tblDaily[Discharges],tblDaily[EntryDate],DATE(2026,9,22),tblDaily[WardCode],"BF")=0,"",SUMIFS(tblDaily[Discharges],tblDaily[EntryDate],DATE(2026,9,22),tblDaily[WardCode],"BF")),"")</f>
        <v/>
      </c>
      <c r="D340" s="5" t="str">
        <f>IFERROR(IF(SUMIFS(tblDaily[Deaths],tblDaily[EntryDate],DATE(2026,9,22),tblDaily[WardCode],"BF")=0,"",SUMIFS(tblDaily[Deaths],tblDaily[EntryDate],DATE(2026,9,22),tblDaily[WardCode],"BF")),"")</f>
        <v/>
      </c>
      <c r="E340" s="5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5" t="str">
        <f>IFERROR(IF(SUMIFS(tblDaily[TransfersIn],tblDaily[EntryDate],DATE(2026,9,22),tblDaily[WardCode],"BF")=0,"",SUMIFS(tblDaily[TransfersIn],tblDaily[EntryDate],DATE(2026,9,22),tblDaily[WardCode],"BF")),"")</f>
        <v/>
      </c>
      <c r="G340" s="5" t="str">
        <f>IFERROR(IF(SUMIFS(tblDaily[TransfersOut],tblDaily[EntryDate],DATE(2026,9,22),tblDaily[WardCode],"BF")=0,"",SUMIFS(tblDaily[TransfersOut],tblDaily[EntryDate],DATE(2026,9,22),tblDaily[WardCode],"BF")),"")</f>
        <v/>
      </c>
      <c r="H340" s="5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IFERROR(IF(SUMIFS(tblDaily[Admissions],tblDaily[EntryDate],DATE(2026,9,23),tblDaily[WardCode],"BF")=0,"",SUMIFS(tblDaily[Admissions],tblDaily[EntryDate],DATE(2026,9,23),tblDaily[WardCode],"BF")),"")</f>
        <v/>
      </c>
      <c r="C341" s="5" t="str">
        <f>IFERROR(IF(SUMIFS(tblDaily[Discharges],tblDaily[EntryDate],DATE(2026,9,23),tblDaily[WardCode],"BF")=0,"",SUMIFS(tblDaily[Discharges],tblDaily[EntryDate],DATE(2026,9,23),tblDaily[WardCode],"BF")),"")</f>
        <v/>
      </c>
      <c r="D341" s="5" t="str">
        <f>IFERROR(IF(SUMIFS(tblDaily[Deaths],tblDaily[EntryDate],DATE(2026,9,23),tblDaily[WardCode],"BF")=0,"",SUMIFS(tblDaily[Deaths],tblDaily[EntryDate],DATE(2026,9,23),tblDaily[WardCode],"BF")),"")</f>
        <v/>
      </c>
      <c r="E341" s="5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5" t="str">
        <f>IFERROR(IF(SUMIFS(tblDaily[TransfersIn],tblDaily[EntryDate],DATE(2026,9,23),tblDaily[WardCode],"BF")=0,"",SUMIFS(tblDaily[TransfersIn],tblDaily[EntryDate],DATE(2026,9,23),tblDaily[WardCode],"BF")),"")</f>
        <v/>
      </c>
      <c r="G341" s="5" t="str">
        <f>IFERROR(IF(SUMIFS(tblDaily[TransfersOut],tblDaily[EntryDate],DATE(2026,9,23),tblDaily[WardCode],"BF")=0,"",SUMIFS(tblDaily[TransfersOut],tblDaily[EntryDate],DATE(2026,9,23),tblDaily[WardCode],"BF")),"")</f>
        <v/>
      </c>
      <c r="H341" s="5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IFERROR(IF(SUMIFS(tblDaily[Admissions],tblDaily[EntryDate],DATE(2026,9,24),tblDaily[WardCode],"BF")=0,"",SUMIFS(tblDaily[Admissions],tblDaily[EntryDate],DATE(2026,9,24),tblDaily[WardCode],"BF")),"")</f>
        <v/>
      </c>
      <c r="C342" s="5" t="str">
        <f>IFERROR(IF(SUMIFS(tblDaily[Discharges],tblDaily[EntryDate],DATE(2026,9,24),tblDaily[WardCode],"BF")=0,"",SUMIFS(tblDaily[Discharges],tblDaily[EntryDate],DATE(2026,9,24),tblDaily[WardCode],"BF")),"")</f>
        <v/>
      </c>
      <c r="D342" s="5" t="str">
        <f>IFERROR(IF(SUMIFS(tblDaily[Deaths],tblDaily[EntryDate],DATE(2026,9,24),tblDaily[WardCode],"BF")=0,"",SUMIFS(tblDaily[Deaths],tblDaily[EntryDate],DATE(2026,9,24),tblDaily[WardCode],"BF")),"")</f>
        <v/>
      </c>
      <c r="E342" s="5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5" t="str">
        <f>IFERROR(IF(SUMIFS(tblDaily[TransfersIn],tblDaily[EntryDate],DATE(2026,9,24),tblDaily[WardCode],"BF")=0,"",SUMIFS(tblDaily[TransfersIn],tblDaily[EntryDate],DATE(2026,9,24),tblDaily[WardCode],"BF")),"")</f>
        <v/>
      </c>
      <c r="G342" s="5" t="str">
        <f>IFERROR(IF(SUMIFS(tblDaily[TransfersOut],tblDaily[EntryDate],DATE(2026,9,24),tblDaily[WardCode],"BF")=0,"",SUMIFS(tblDaily[TransfersOut],tblDaily[EntryDate],DATE(2026,9,24),tblDaily[WardCode],"BF")),"")</f>
        <v/>
      </c>
      <c r="H342" s="5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IFERROR(IF(SUMIFS(tblDaily[Admissions],tblDaily[EntryDate],DATE(2026,9,25),tblDaily[WardCode],"BF")=0,"",SUMIFS(tblDaily[Admissions],tblDaily[EntryDate],DATE(2026,9,25),tblDaily[WardCode],"BF")),"")</f>
        <v/>
      </c>
      <c r="C343" s="5" t="str">
        <f>IFERROR(IF(SUMIFS(tblDaily[Discharges],tblDaily[EntryDate],DATE(2026,9,25),tblDaily[WardCode],"BF")=0,"",SUMIFS(tblDaily[Discharges],tblDaily[EntryDate],DATE(2026,9,25),tblDaily[WardCode],"BF")),"")</f>
        <v/>
      </c>
      <c r="D343" s="5" t="str">
        <f>IFERROR(IF(SUMIFS(tblDaily[Deaths],tblDaily[EntryDate],DATE(2026,9,25),tblDaily[WardCode],"BF")=0,"",SUMIFS(tblDaily[Deaths],tblDaily[EntryDate],DATE(2026,9,25),tblDaily[WardCode],"BF")),"")</f>
        <v/>
      </c>
      <c r="E343" s="5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5" t="str">
        <f>IFERROR(IF(SUMIFS(tblDaily[TransfersIn],tblDaily[EntryDate],DATE(2026,9,25),tblDaily[WardCode],"BF")=0,"",SUMIFS(tblDaily[TransfersIn],tblDaily[EntryDate],DATE(2026,9,25),tblDaily[WardCode],"BF")),"")</f>
        <v/>
      </c>
      <c r="G343" s="5" t="str">
        <f>IFERROR(IF(SUMIFS(tblDaily[TransfersOut],tblDaily[EntryDate],DATE(2026,9,25),tblDaily[WardCode],"BF")=0,"",SUMIFS(tblDaily[TransfersOut],tblDaily[EntryDate],DATE(2026,9,25),tblDaily[WardCode],"BF")),"")</f>
        <v/>
      </c>
      <c r="H343" s="5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IFERROR(IF(SUMIFS(tblDaily[Admissions],tblDaily[EntryDate],DATE(2026,9,26),tblDaily[WardCode],"BF")=0,"",SUMIFS(tblDaily[Admissions],tblDaily[EntryDate],DATE(2026,9,26),tblDaily[WardCode],"BF")),"")</f>
        <v/>
      </c>
      <c r="C344" s="5" t="str">
        <f>IFERROR(IF(SUMIFS(tblDaily[Discharges],tblDaily[EntryDate],DATE(2026,9,26),tblDaily[WardCode],"BF")=0,"",SUMIFS(tblDaily[Discharges],tblDaily[EntryDate],DATE(2026,9,26),tblDaily[WardCode],"BF")),"")</f>
        <v/>
      </c>
      <c r="D344" s="5" t="str">
        <f>IFERROR(IF(SUMIFS(tblDaily[Deaths],tblDaily[EntryDate],DATE(2026,9,26),tblDaily[WardCode],"BF")=0,"",SUMIFS(tblDaily[Deaths],tblDaily[EntryDate],DATE(2026,9,26),tblDaily[WardCode],"BF")),"")</f>
        <v/>
      </c>
      <c r="E344" s="5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5" t="str">
        <f>IFERROR(IF(SUMIFS(tblDaily[TransfersIn],tblDaily[EntryDate],DATE(2026,9,26),tblDaily[WardCode],"BF")=0,"",SUMIFS(tblDaily[TransfersIn],tblDaily[EntryDate],DATE(2026,9,26),tblDaily[WardCode],"BF")),"")</f>
        <v/>
      </c>
      <c r="G344" s="5" t="str">
        <f>IFERROR(IF(SUMIFS(tblDaily[TransfersOut],tblDaily[EntryDate],DATE(2026,9,26),tblDaily[WardCode],"BF")=0,"",SUMIFS(tblDaily[TransfersOut],tblDaily[EntryDate],DATE(2026,9,26),tblDaily[WardCode],"BF")),"")</f>
        <v/>
      </c>
      <c r="H344" s="5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IFERROR(IF(SUMIFS(tblDaily[Admissions],tblDaily[EntryDate],DATE(2026,9,27),tblDaily[WardCode],"BF")=0,"",SUMIFS(tblDaily[Admissions],tblDaily[EntryDate],DATE(2026,9,27),tblDaily[WardCode],"BF")),"")</f>
        <v/>
      </c>
      <c r="C345" s="5" t="str">
        <f>IFERROR(IF(SUMIFS(tblDaily[Discharges],tblDaily[EntryDate],DATE(2026,9,27),tblDaily[WardCode],"BF")=0,"",SUMIFS(tblDaily[Discharges],tblDaily[EntryDate],DATE(2026,9,27),tblDaily[WardCode],"BF")),"")</f>
        <v/>
      </c>
      <c r="D345" s="5" t="str">
        <f>IFERROR(IF(SUMIFS(tblDaily[Deaths],tblDaily[EntryDate],DATE(2026,9,27),tblDaily[WardCode],"BF")=0,"",SUMIFS(tblDaily[Deaths],tblDaily[EntryDate],DATE(2026,9,27),tblDaily[WardCode],"BF")),"")</f>
        <v/>
      </c>
      <c r="E345" s="5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5" t="str">
        <f>IFERROR(IF(SUMIFS(tblDaily[TransfersIn],tblDaily[EntryDate],DATE(2026,9,27),tblDaily[WardCode],"BF")=0,"",SUMIFS(tblDaily[TransfersIn],tblDaily[EntryDate],DATE(2026,9,27),tblDaily[WardCode],"BF")),"")</f>
        <v/>
      </c>
      <c r="G345" s="5" t="str">
        <f>IFERROR(IF(SUMIFS(tblDaily[TransfersOut],tblDaily[EntryDate],DATE(2026,9,27),tblDaily[WardCode],"BF")=0,"",SUMIFS(tblDaily[TransfersOut],tblDaily[EntryDate],DATE(2026,9,27),tblDaily[WardCode],"BF")),"")</f>
        <v/>
      </c>
      <c r="H345" s="5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IFERROR(IF(SUMIFS(tblDaily[Admissions],tblDaily[EntryDate],DATE(2026,9,28),tblDaily[WardCode],"BF")=0,"",SUMIFS(tblDaily[Admissions],tblDaily[EntryDate],DATE(2026,9,28),tblDaily[WardCode],"BF")),"")</f>
        <v/>
      </c>
      <c r="C346" s="5" t="str">
        <f>IFERROR(IF(SUMIFS(tblDaily[Discharges],tblDaily[EntryDate],DATE(2026,9,28),tblDaily[WardCode],"BF")=0,"",SUMIFS(tblDaily[Discharges],tblDaily[EntryDate],DATE(2026,9,28),tblDaily[WardCode],"BF")),"")</f>
        <v/>
      </c>
      <c r="D346" s="5" t="str">
        <f>IFERROR(IF(SUMIFS(tblDaily[Deaths],tblDaily[EntryDate],DATE(2026,9,28),tblDaily[WardCode],"BF")=0,"",SUMIFS(tblDaily[Deaths],tblDaily[EntryDate],DATE(2026,9,28),tblDaily[WardCode],"BF")),"")</f>
        <v/>
      </c>
      <c r="E346" s="5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5" t="str">
        <f>IFERROR(IF(SUMIFS(tblDaily[TransfersIn],tblDaily[EntryDate],DATE(2026,9,28),tblDaily[WardCode],"BF")=0,"",SUMIFS(tblDaily[TransfersIn],tblDaily[EntryDate],DATE(2026,9,28),tblDaily[WardCode],"BF")),"")</f>
        <v/>
      </c>
      <c r="G346" s="5" t="str">
        <f>IFERROR(IF(SUMIFS(tblDaily[TransfersOut],tblDaily[EntryDate],DATE(2026,9,28),tblDaily[WardCode],"BF")=0,"",SUMIFS(tblDaily[TransfersOut],tblDaily[EntryDate],DATE(2026,9,28),tblDaily[WardCode],"BF")),"")</f>
        <v/>
      </c>
      <c r="H346" s="5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IFERROR(IF(SUMIFS(tblDaily[Admissions],tblDaily[EntryDate],DATE(2026,9,29),tblDaily[WardCode],"BF")=0,"",SUMIFS(tblDaily[Admissions],tblDaily[EntryDate],DATE(2026,9,29),tblDaily[WardCode],"BF")),"")</f>
        <v/>
      </c>
      <c r="C347" s="5" t="str">
        <f>IFERROR(IF(SUMIFS(tblDaily[Discharges],tblDaily[EntryDate],DATE(2026,9,29),tblDaily[WardCode],"BF")=0,"",SUMIFS(tblDaily[Discharges],tblDaily[EntryDate],DATE(2026,9,29),tblDaily[WardCode],"BF")),"")</f>
        <v/>
      </c>
      <c r="D347" s="5" t="str">
        <f>IFERROR(IF(SUMIFS(tblDaily[Deaths],tblDaily[EntryDate],DATE(2026,9,29),tblDaily[WardCode],"BF")=0,"",SUMIFS(tblDaily[Deaths],tblDaily[EntryDate],DATE(2026,9,29),tblDaily[WardCode],"BF")),"")</f>
        <v/>
      </c>
      <c r="E347" s="5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5" t="str">
        <f>IFERROR(IF(SUMIFS(tblDaily[TransfersIn],tblDaily[EntryDate],DATE(2026,9,29),tblDaily[WardCode],"BF")=0,"",SUMIFS(tblDaily[TransfersIn],tblDaily[EntryDate],DATE(2026,9,29),tblDaily[WardCode],"BF")),"")</f>
        <v/>
      </c>
      <c r="G347" s="5" t="str">
        <f>IFERROR(IF(SUMIFS(tblDaily[TransfersOut],tblDaily[EntryDate],DATE(2026,9,29),tblDaily[WardCode],"BF")=0,"",SUMIFS(tblDaily[TransfersOut],tblDaily[EntryDate],DATE(2026,9,29),tblDaily[WardCode],"BF")),"")</f>
        <v/>
      </c>
      <c r="H347" s="5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IFERROR(IF(SUMIFS(tblDaily[Admissions],tblDaily[EntryDate],DATE(2026,9,30),tblDaily[WardCode],"BF")=0,"",SUMIFS(tblDaily[Admissions],tblDaily[EntryDate],DATE(2026,9,30),tblDaily[WardCode],"BF")),"")</f>
        <v/>
      </c>
      <c r="C348" s="5" t="str">
        <f>IFERROR(IF(SUMIFS(tblDaily[Discharges],tblDaily[EntryDate],DATE(2026,9,30),tblDaily[WardCode],"BF")=0,"",SUMIFS(tblDaily[Discharges],tblDaily[EntryDate],DATE(2026,9,30),tblDaily[WardCode],"BF")),"")</f>
        <v/>
      </c>
      <c r="D348" s="5" t="str">
        <f>IFERROR(IF(SUMIFS(tblDaily[Deaths],tblDaily[EntryDate],DATE(2026,9,30),tblDaily[WardCode],"BF")=0,"",SUMIFS(tblDaily[Deaths],tblDaily[EntryDate],DATE(2026,9,30),tblDaily[WardCode],"BF")),"")</f>
        <v/>
      </c>
      <c r="E348" s="5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5" t="str">
        <f>IFERROR(IF(SUMIFS(tblDaily[TransfersIn],tblDaily[EntryDate],DATE(2026,9,30),tblDaily[WardCode],"BF")=0,"",SUMIFS(tblDaily[TransfersIn],tblDaily[EntryDate],DATE(2026,9,30),tblDaily[WardCode],"BF")),"")</f>
        <v/>
      </c>
      <c r="G348" s="5" t="str">
        <f>IFERROR(IF(SUMIFS(tblDaily[TransfersOut],tblDaily[EntryDate],DATE(2026,9,30),tblDaily[WardCode],"BF")=0,"",SUMIFS(tblDaily[TransfersOut],tblDaily[EntryDate],DATE(2026,9,30),tblDaily[WardCode],"BF")),"")</f>
        <v/>
      </c>
      <c r="H348" s="5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98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89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IFERROR(IF(SUMIFS(tblDaily[Admissions],tblDaily[EntryDate],DATE(2026,10,1),tblDaily[WardCode],"BF")=0,"",SUMIFS(tblDaily[Admissions],tblDaily[EntryDate],DATE(2026,10,1),tblDaily[WardCode],"BF")),"")</f>
        <v/>
      </c>
      <c r="C358" s="5" t="str">
        <f>IFERROR(IF(SUMIFS(tblDaily[Discharges],tblDaily[EntryDate],DATE(2026,10,1),tblDaily[WardCode],"BF")=0,"",SUMIFS(tblDaily[Discharges],tblDaily[EntryDate],DATE(2026,10,1),tblDaily[WardCode],"BF")),"")</f>
        <v/>
      </c>
      <c r="D358" s="5" t="str">
        <f>IFERROR(IF(SUMIFS(tblDaily[Deaths],tblDaily[EntryDate],DATE(2026,10,1),tblDaily[WardCode],"BF")=0,"",SUMIFS(tblDaily[Deaths],tblDaily[EntryDate],DATE(2026,10,1),tblDaily[WardCode],"BF")),"")</f>
        <v/>
      </c>
      <c r="E358" s="5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5" t="str">
        <f>IFERROR(IF(SUMIFS(tblDaily[TransfersIn],tblDaily[EntryDate],DATE(2026,10,1),tblDaily[WardCode],"BF")=0,"",SUMIFS(tblDaily[TransfersIn],tblDaily[EntryDate],DATE(2026,10,1),tblDaily[WardCode],"BF")),"")</f>
        <v/>
      </c>
      <c r="G358" s="5" t="str">
        <f>IFERROR(IF(SUMIFS(tblDaily[TransfersOut],tblDaily[EntryDate],DATE(2026,10,1),tblDaily[WardCode],"BF")=0,"",SUMIFS(tblDaily[TransfersOut],tblDaily[EntryDate],DATE(2026,10,1),tblDaily[WardCode],"BF")),"")</f>
        <v/>
      </c>
      <c r="H358" s="5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IFERROR(IF(SUMIFS(tblDaily[Admissions],tblDaily[EntryDate],DATE(2026,10,2),tblDaily[WardCode],"BF")=0,"",SUMIFS(tblDaily[Admissions],tblDaily[EntryDate],DATE(2026,10,2),tblDaily[WardCode],"BF")),"")</f>
        <v/>
      </c>
      <c r="C359" s="5" t="str">
        <f>IFERROR(IF(SUMIFS(tblDaily[Discharges],tblDaily[EntryDate],DATE(2026,10,2),tblDaily[WardCode],"BF")=0,"",SUMIFS(tblDaily[Discharges],tblDaily[EntryDate],DATE(2026,10,2),tblDaily[WardCode],"BF")),"")</f>
        <v/>
      </c>
      <c r="D359" s="5" t="str">
        <f>IFERROR(IF(SUMIFS(tblDaily[Deaths],tblDaily[EntryDate],DATE(2026,10,2),tblDaily[WardCode],"BF")=0,"",SUMIFS(tblDaily[Deaths],tblDaily[EntryDate],DATE(2026,10,2),tblDaily[WardCode],"BF")),"")</f>
        <v/>
      </c>
      <c r="E359" s="5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5" t="str">
        <f>IFERROR(IF(SUMIFS(tblDaily[TransfersIn],tblDaily[EntryDate],DATE(2026,10,2),tblDaily[WardCode],"BF")=0,"",SUMIFS(tblDaily[TransfersIn],tblDaily[EntryDate],DATE(2026,10,2),tblDaily[WardCode],"BF")),"")</f>
        <v/>
      </c>
      <c r="G359" s="5" t="str">
        <f>IFERROR(IF(SUMIFS(tblDaily[TransfersOut],tblDaily[EntryDate],DATE(2026,10,2),tblDaily[WardCode],"BF")=0,"",SUMIFS(tblDaily[TransfersOut],tblDaily[EntryDate],DATE(2026,10,2),tblDaily[WardCode],"BF")),"")</f>
        <v/>
      </c>
      <c r="H359" s="5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IFERROR(IF(SUMIFS(tblDaily[Admissions],tblDaily[EntryDate],DATE(2026,10,3),tblDaily[WardCode],"BF")=0,"",SUMIFS(tblDaily[Admissions],tblDaily[EntryDate],DATE(2026,10,3),tblDaily[WardCode],"BF")),"")</f>
        <v/>
      </c>
      <c r="C360" s="5" t="str">
        <f>IFERROR(IF(SUMIFS(tblDaily[Discharges],tblDaily[EntryDate],DATE(2026,10,3),tblDaily[WardCode],"BF")=0,"",SUMIFS(tblDaily[Discharges],tblDaily[EntryDate],DATE(2026,10,3),tblDaily[WardCode],"BF")),"")</f>
        <v/>
      </c>
      <c r="D360" s="5" t="str">
        <f>IFERROR(IF(SUMIFS(tblDaily[Deaths],tblDaily[EntryDate],DATE(2026,10,3),tblDaily[WardCode],"BF")=0,"",SUMIFS(tblDaily[Deaths],tblDaily[EntryDate],DATE(2026,10,3),tblDaily[WardCode],"BF")),"")</f>
        <v/>
      </c>
      <c r="E360" s="5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5" t="str">
        <f>IFERROR(IF(SUMIFS(tblDaily[TransfersIn],tblDaily[EntryDate],DATE(2026,10,3),tblDaily[WardCode],"BF")=0,"",SUMIFS(tblDaily[TransfersIn],tblDaily[EntryDate],DATE(2026,10,3),tblDaily[WardCode],"BF")),"")</f>
        <v/>
      </c>
      <c r="G360" s="5" t="str">
        <f>IFERROR(IF(SUMIFS(tblDaily[TransfersOut],tblDaily[EntryDate],DATE(2026,10,3),tblDaily[WardCode],"BF")=0,"",SUMIFS(tblDaily[TransfersOut],tblDaily[EntryDate],DATE(2026,10,3),tblDaily[WardCode],"BF")),"")</f>
        <v/>
      </c>
      <c r="H360" s="5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IFERROR(IF(SUMIFS(tblDaily[Admissions],tblDaily[EntryDate],DATE(2026,10,4),tblDaily[WardCode],"BF")=0,"",SUMIFS(tblDaily[Admissions],tblDaily[EntryDate],DATE(2026,10,4),tblDaily[WardCode],"BF")),"")</f>
        <v/>
      </c>
      <c r="C361" s="5" t="str">
        <f>IFERROR(IF(SUMIFS(tblDaily[Discharges],tblDaily[EntryDate],DATE(2026,10,4),tblDaily[WardCode],"BF")=0,"",SUMIFS(tblDaily[Discharges],tblDaily[EntryDate],DATE(2026,10,4),tblDaily[WardCode],"BF")),"")</f>
        <v/>
      </c>
      <c r="D361" s="5" t="str">
        <f>IFERROR(IF(SUMIFS(tblDaily[Deaths],tblDaily[EntryDate],DATE(2026,10,4),tblDaily[WardCode],"BF")=0,"",SUMIFS(tblDaily[Deaths],tblDaily[EntryDate],DATE(2026,10,4),tblDaily[WardCode],"BF")),"")</f>
        <v/>
      </c>
      <c r="E361" s="5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5" t="str">
        <f>IFERROR(IF(SUMIFS(tblDaily[TransfersIn],tblDaily[EntryDate],DATE(2026,10,4),tblDaily[WardCode],"BF")=0,"",SUMIFS(tblDaily[TransfersIn],tblDaily[EntryDate],DATE(2026,10,4),tblDaily[WardCode],"BF")),"")</f>
        <v/>
      </c>
      <c r="G361" s="5" t="str">
        <f>IFERROR(IF(SUMIFS(tblDaily[TransfersOut],tblDaily[EntryDate],DATE(2026,10,4),tblDaily[WardCode],"BF")=0,"",SUMIFS(tblDaily[TransfersOut],tblDaily[EntryDate],DATE(2026,10,4),tblDaily[WardCode],"BF")),"")</f>
        <v/>
      </c>
      <c r="H361" s="5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IFERROR(IF(SUMIFS(tblDaily[Admissions],tblDaily[EntryDate],DATE(2026,10,5),tblDaily[WardCode],"BF")=0,"",SUMIFS(tblDaily[Admissions],tblDaily[EntryDate],DATE(2026,10,5),tblDaily[WardCode],"BF")),"")</f>
        <v/>
      </c>
      <c r="C362" s="5" t="str">
        <f>IFERROR(IF(SUMIFS(tblDaily[Discharges],tblDaily[EntryDate],DATE(2026,10,5),tblDaily[WardCode],"BF")=0,"",SUMIFS(tblDaily[Discharges],tblDaily[EntryDate],DATE(2026,10,5),tblDaily[WardCode],"BF")),"")</f>
        <v/>
      </c>
      <c r="D362" s="5" t="str">
        <f>IFERROR(IF(SUMIFS(tblDaily[Deaths],tblDaily[EntryDate],DATE(2026,10,5),tblDaily[WardCode],"BF")=0,"",SUMIFS(tblDaily[Deaths],tblDaily[EntryDate],DATE(2026,10,5),tblDaily[WardCode],"BF")),"")</f>
        <v/>
      </c>
      <c r="E362" s="5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5" t="str">
        <f>IFERROR(IF(SUMIFS(tblDaily[TransfersIn],tblDaily[EntryDate],DATE(2026,10,5),tblDaily[WardCode],"BF")=0,"",SUMIFS(tblDaily[TransfersIn],tblDaily[EntryDate],DATE(2026,10,5),tblDaily[WardCode],"BF")),"")</f>
        <v/>
      </c>
      <c r="G362" s="5" t="str">
        <f>IFERROR(IF(SUMIFS(tblDaily[TransfersOut],tblDaily[EntryDate],DATE(2026,10,5),tblDaily[WardCode],"BF")=0,"",SUMIFS(tblDaily[TransfersOut],tblDaily[EntryDate],DATE(2026,10,5),tblDaily[WardCode],"BF")),"")</f>
        <v/>
      </c>
      <c r="H362" s="5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IFERROR(IF(SUMIFS(tblDaily[Admissions],tblDaily[EntryDate],DATE(2026,10,6),tblDaily[WardCode],"BF")=0,"",SUMIFS(tblDaily[Admissions],tblDaily[EntryDate],DATE(2026,10,6),tblDaily[WardCode],"BF")),"")</f>
        <v/>
      </c>
      <c r="C363" s="5" t="str">
        <f>IFERROR(IF(SUMIFS(tblDaily[Discharges],tblDaily[EntryDate],DATE(2026,10,6),tblDaily[WardCode],"BF")=0,"",SUMIFS(tblDaily[Discharges],tblDaily[EntryDate],DATE(2026,10,6),tblDaily[WardCode],"BF")),"")</f>
        <v/>
      </c>
      <c r="D363" s="5" t="str">
        <f>IFERROR(IF(SUMIFS(tblDaily[Deaths],tblDaily[EntryDate],DATE(2026,10,6),tblDaily[WardCode],"BF")=0,"",SUMIFS(tblDaily[Deaths],tblDaily[EntryDate],DATE(2026,10,6),tblDaily[WardCode],"BF")),"")</f>
        <v/>
      </c>
      <c r="E363" s="5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5" t="str">
        <f>IFERROR(IF(SUMIFS(tblDaily[TransfersIn],tblDaily[EntryDate],DATE(2026,10,6),tblDaily[WardCode],"BF")=0,"",SUMIFS(tblDaily[TransfersIn],tblDaily[EntryDate],DATE(2026,10,6),tblDaily[WardCode],"BF")),"")</f>
        <v/>
      </c>
      <c r="G363" s="5" t="str">
        <f>IFERROR(IF(SUMIFS(tblDaily[TransfersOut],tblDaily[EntryDate],DATE(2026,10,6),tblDaily[WardCode],"BF")=0,"",SUMIFS(tblDaily[TransfersOut],tblDaily[EntryDate],DATE(2026,10,6),tblDaily[WardCode],"BF")),"")</f>
        <v/>
      </c>
      <c r="H363" s="5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IFERROR(IF(SUMIFS(tblDaily[Admissions],tblDaily[EntryDate],DATE(2026,10,7),tblDaily[WardCode],"BF")=0,"",SUMIFS(tblDaily[Admissions],tblDaily[EntryDate],DATE(2026,10,7),tblDaily[WardCode],"BF")),"")</f>
        <v/>
      </c>
      <c r="C364" s="5" t="str">
        <f>IFERROR(IF(SUMIFS(tblDaily[Discharges],tblDaily[EntryDate],DATE(2026,10,7),tblDaily[WardCode],"BF")=0,"",SUMIFS(tblDaily[Discharges],tblDaily[EntryDate],DATE(2026,10,7),tblDaily[WardCode],"BF")),"")</f>
        <v/>
      </c>
      <c r="D364" s="5" t="str">
        <f>IFERROR(IF(SUMIFS(tblDaily[Deaths],tblDaily[EntryDate],DATE(2026,10,7),tblDaily[WardCode],"BF")=0,"",SUMIFS(tblDaily[Deaths],tblDaily[EntryDate],DATE(2026,10,7),tblDaily[WardCode],"BF")),"")</f>
        <v/>
      </c>
      <c r="E364" s="5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5" t="str">
        <f>IFERROR(IF(SUMIFS(tblDaily[TransfersIn],tblDaily[EntryDate],DATE(2026,10,7),tblDaily[WardCode],"BF")=0,"",SUMIFS(tblDaily[TransfersIn],tblDaily[EntryDate],DATE(2026,10,7),tblDaily[WardCode],"BF")),"")</f>
        <v/>
      </c>
      <c r="G364" s="5" t="str">
        <f>IFERROR(IF(SUMIFS(tblDaily[TransfersOut],tblDaily[EntryDate],DATE(2026,10,7),tblDaily[WardCode],"BF")=0,"",SUMIFS(tblDaily[TransfersOut],tblDaily[EntryDate],DATE(2026,10,7),tblDaily[WardCode],"BF")),"")</f>
        <v/>
      </c>
      <c r="H364" s="5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IFERROR(IF(SUMIFS(tblDaily[Admissions],tblDaily[EntryDate],DATE(2026,10,8),tblDaily[WardCode],"BF")=0,"",SUMIFS(tblDaily[Admissions],tblDaily[EntryDate],DATE(2026,10,8),tblDaily[WardCode],"BF")),"")</f>
        <v/>
      </c>
      <c r="C365" s="5" t="str">
        <f>IFERROR(IF(SUMIFS(tblDaily[Discharges],tblDaily[EntryDate],DATE(2026,10,8),tblDaily[WardCode],"BF")=0,"",SUMIFS(tblDaily[Discharges],tblDaily[EntryDate],DATE(2026,10,8),tblDaily[WardCode],"BF")),"")</f>
        <v/>
      </c>
      <c r="D365" s="5" t="str">
        <f>IFERROR(IF(SUMIFS(tblDaily[Deaths],tblDaily[EntryDate],DATE(2026,10,8),tblDaily[WardCode],"BF")=0,"",SUMIFS(tblDaily[Deaths],tblDaily[EntryDate],DATE(2026,10,8),tblDaily[WardCode],"BF")),"")</f>
        <v/>
      </c>
      <c r="E365" s="5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5" t="str">
        <f>IFERROR(IF(SUMIFS(tblDaily[TransfersIn],tblDaily[EntryDate],DATE(2026,10,8),tblDaily[WardCode],"BF")=0,"",SUMIFS(tblDaily[TransfersIn],tblDaily[EntryDate],DATE(2026,10,8),tblDaily[WardCode],"BF")),"")</f>
        <v/>
      </c>
      <c r="G365" s="5" t="str">
        <f>IFERROR(IF(SUMIFS(tblDaily[TransfersOut],tblDaily[EntryDate],DATE(2026,10,8),tblDaily[WardCode],"BF")=0,"",SUMIFS(tblDaily[TransfersOut],tblDaily[EntryDate],DATE(2026,10,8),tblDaily[WardCode],"BF")),"")</f>
        <v/>
      </c>
      <c r="H365" s="5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IFERROR(IF(SUMIFS(tblDaily[Admissions],tblDaily[EntryDate],DATE(2026,10,9),tblDaily[WardCode],"BF")=0,"",SUMIFS(tblDaily[Admissions],tblDaily[EntryDate],DATE(2026,10,9),tblDaily[WardCode],"BF")),"")</f>
        <v/>
      </c>
      <c r="C366" s="5" t="str">
        <f>IFERROR(IF(SUMIFS(tblDaily[Discharges],tblDaily[EntryDate],DATE(2026,10,9),tblDaily[WardCode],"BF")=0,"",SUMIFS(tblDaily[Discharges],tblDaily[EntryDate],DATE(2026,10,9),tblDaily[WardCode],"BF")),"")</f>
        <v/>
      </c>
      <c r="D366" s="5" t="str">
        <f>IFERROR(IF(SUMIFS(tblDaily[Deaths],tblDaily[EntryDate],DATE(2026,10,9),tblDaily[WardCode],"BF")=0,"",SUMIFS(tblDaily[Deaths],tblDaily[EntryDate],DATE(2026,10,9),tblDaily[WardCode],"BF")),"")</f>
        <v/>
      </c>
      <c r="E366" s="5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5" t="str">
        <f>IFERROR(IF(SUMIFS(tblDaily[TransfersIn],tblDaily[EntryDate],DATE(2026,10,9),tblDaily[WardCode],"BF")=0,"",SUMIFS(tblDaily[TransfersIn],tblDaily[EntryDate],DATE(2026,10,9),tblDaily[WardCode],"BF")),"")</f>
        <v/>
      </c>
      <c r="G366" s="5" t="str">
        <f>IFERROR(IF(SUMIFS(tblDaily[TransfersOut],tblDaily[EntryDate],DATE(2026,10,9),tblDaily[WardCode],"BF")=0,"",SUMIFS(tblDaily[TransfersOut],tblDaily[EntryDate],DATE(2026,10,9),tblDaily[WardCode],"BF")),"")</f>
        <v/>
      </c>
      <c r="H366" s="5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IFERROR(IF(SUMIFS(tblDaily[Admissions],tblDaily[EntryDate],DATE(2026,10,10),tblDaily[WardCode],"BF")=0,"",SUMIFS(tblDaily[Admissions],tblDaily[EntryDate],DATE(2026,10,10),tblDaily[WardCode],"BF")),"")</f>
        <v/>
      </c>
      <c r="C367" s="5" t="str">
        <f>IFERROR(IF(SUMIFS(tblDaily[Discharges],tblDaily[EntryDate],DATE(2026,10,10),tblDaily[WardCode],"BF")=0,"",SUMIFS(tblDaily[Discharges],tblDaily[EntryDate],DATE(2026,10,10),tblDaily[WardCode],"BF")),"")</f>
        <v/>
      </c>
      <c r="D367" s="5" t="str">
        <f>IFERROR(IF(SUMIFS(tblDaily[Deaths],tblDaily[EntryDate],DATE(2026,10,10),tblDaily[WardCode],"BF")=0,"",SUMIFS(tblDaily[Deaths],tblDaily[EntryDate],DATE(2026,10,10),tblDaily[WardCode],"BF")),"")</f>
        <v/>
      </c>
      <c r="E367" s="5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5" t="str">
        <f>IFERROR(IF(SUMIFS(tblDaily[TransfersIn],tblDaily[EntryDate],DATE(2026,10,10),tblDaily[WardCode],"BF")=0,"",SUMIFS(tblDaily[TransfersIn],tblDaily[EntryDate],DATE(2026,10,10),tblDaily[WardCode],"BF")),"")</f>
        <v/>
      </c>
      <c r="G367" s="5" t="str">
        <f>IFERROR(IF(SUMIFS(tblDaily[TransfersOut],tblDaily[EntryDate],DATE(2026,10,10),tblDaily[WardCode],"BF")=0,"",SUMIFS(tblDaily[TransfersOut],tblDaily[EntryDate],DATE(2026,10,10),tblDaily[WardCode],"BF")),"")</f>
        <v/>
      </c>
      <c r="H367" s="5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IFERROR(IF(SUMIFS(tblDaily[Admissions],tblDaily[EntryDate],DATE(2026,10,11),tblDaily[WardCode],"BF")=0,"",SUMIFS(tblDaily[Admissions],tblDaily[EntryDate],DATE(2026,10,11),tblDaily[WardCode],"BF")),"")</f>
        <v/>
      </c>
      <c r="C368" s="5" t="str">
        <f>IFERROR(IF(SUMIFS(tblDaily[Discharges],tblDaily[EntryDate],DATE(2026,10,11),tblDaily[WardCode],"BF")=0,"",SUMIFS(tblDaily[Discharges],tblDaily[EntryDate],DATE(2026,10,11),tblDaily[WardCode],"BF")),"")</f>
        <v/>
      </c>
      <c r="D368" s="5" t="str">
        <f>IFERROR(IF(SUMIFS(tblDaily[Deaths],tblDaily[EntryDate],DATE(2026,10,11),tblDaily[WardCode],"BF")=0,"",SUMIFS(tblDaily[Deaths],tblDaily[EntryDate],DATE(2026,10,11),tblDaily[WardCode],"BF")),"")</f>
        <v/>
      </c>
      <c r="E368" s="5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5" t="str">
        <f>IFERROR(IF(SUMIFS(tblDaily[TransfersIn],tblDaily[EntryDate],DATE(2026,10,11),tblDaily[WardCode],"BF")=0,"",SUMIFS(tblDaily[TransfersIn],tblDaily[EntryDate],DATE(2026,10,11),tblDaily[WardCode],"BF")),"")</f>
        <v/>
      </c>
      <c r="G368" s="5" t="str">
        <f>IFERROR(IF(SUMIFS(tblDaily[TransfersOut],tblDaily[EntryDate],DATE(2026,10,11),tblDaily[WardCode],"BF")=0,"",SUMIFS(tblDaily[TransfersOut],tblDaily[EntryDate],DATE(2026,10,11),tblDaily[WardCode],"BF")),"")</f>
        <v/>
      </c>
      <c r="H368" s="5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IFERROR(IF(SUMIFS(tblDaily[Admissions],tblDaily[EntryDate],DATE(2026,10,12),tblDaily[WardCode],"BF")=0,"",SUMIFS(tblDaily[Admissions],tblDaily[EntryDate],DATE(2026,10,12),tblDaily[WardCode],"BF")),"")</f>
        <v/>
      </c>
      <c r="C369" s="5" t="str">
        <f>IFERROR(IF(SUMIFS(tblDaily[Discharges],tblDaily[EntryDate],DATE(2026,10,12),tblDaily[WardCode],"BF")=0,"",SUMIFS(tblDaily[Discharges],tblDaily[EntryDate],DATE(2026,10,12),tblDaily[WardCode],"BF")),"")</f>
        <v/>
      </c>
      <c r="D369" s="5" t="str">
        <f>IFERROR(IF(SUMIFS(tblDaily[Deaths],tblDaily[EntryDate],DATE(2026,10,12),tblDaily[WardCode],"BF")=0,"",SUMIFS(tblDaily[Deaths],tblDaily[EntryDate],DATE(2026,10,12),tblDaily[WardCode],"BF")),"")</f>
        <v/>
      </c>
      <c r="E369" s="5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5" t="str">
        <f>IFERROR(IF(SUMIFS(tblDaily[TransfersIn],tblDaily[EntryDate],DATE(2026,10,12),tblDaily[WardCode],"BF")=0,"",SUMIFS(tblDaily[TransfersIn],tblDaily[EntryDate],DATE(2026,10,12),tblDaily[WardCode],"BF")),"")</f>
        <v/>
      </c>
      <c r="G369" s="5" t="str">
        <f>IFERROR(IF(SUMIFS(tblDaily[TransfersOut],tblDaily[EntryDate],DATE(2026,10,12),tblDaily[WardCode],"BF")=0,"",SUMIFS(tblDaily[TransfersOut],tblDaily[EntryDate],DATE(2026,10,12),tblDaily[WardCode],"BF")),"")</f>
        <v/>
      </c>
      <c r="H369" s="5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IFERROR(IF(SUMIFS(tblDaily[Admissions],tblDaily[EntryDate],DATE(2026,10,13),tblDaily[WardCode],"BF")=0,"",SUMIFS(tblDaily[Admissions],tblDaily[EntryDate],DATE(2026,10,13),tblDaily[WardCode],"BF")),"")</f>
        <v/>
      </c>
      <c r="C370" s="5" t="str">
        <f>IFERROR(IF(SUMIFS(tblDaily[Discharges],tblDaily[EntryDate],DATE(2026,10,13),tblDaily[WardCode],"BF")=0,"",SUMIFS(tblDaily[Discharges],tblDaily[EntryDate],DATE(2026,10,13),tblDaily[WardCode],"BF")),"")</f>
        <v/>
      </c>
      <c r="D370" s="5" t="str">
        <f>IFERROR(IF(SUMIFS(tblDaily[Deaths],tblDaily[EntryDate],DATE(2026,10,13),tblDaily[WardCode],"BF")=0,"",SUMIFS(tblDaily[Deaths],tblDaily[EntryDate],DATE(2026,10,13),tblDaily[WardCode],"BF")),"")</f>
        <v/>
      </c>
      <c r="E370" s="5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5" t="str">
        <f>IFERROR(IF(SUMIFS(tblDaily[TransfersIn],tblDaily[EntryDate],DATE(2026,10,13),tblDaily[WardCode],"BF")=0,"",SUMIFS(tblDaily[TransfersIn],tblDaily[EntryDate],DATE(2026,10,13),tblDaily[WardCode],"BF")),"")</f>
        <v/>
      </c>
      <c r="G370" s="5" t="str">
        <f>IFERROR(IF(SUMIFS(tblDaily[TransfersOut],tblDaily[EntryDate],DATE(2026,10,13),tblDaily[WardCode],"BF")=0,"",SUMIFS(tblDaily[TransfersOut],tblDaily[EntryDate],DATE(2026,10,13),tblDaily[WardCode],"BF")),"")</f>
        <v/>
      </c>
      <c r="H370" s="5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IFERROR(IF(SUMIFS(tblDaily[Admissions],tblDaily[EntryDate],DATE(2026,10,14),tblDaily[WardCode],"BF")=0,"",SUMIFS(tblDaily[Admissions],tblDaily[EntryDate],DATE(2026,10,14),tblDaily[WardCode],"BF")),"")</f>
        <v/>
      </c>
      <c r="C371" s="5" t="str">
        <f>IFERROR(IF(SUMIFS(tblDaily[Discharges],tblDaily[EntryDate],DATE(2026,10,14),tblDaily[WardCode],"BF")=0,"",SUMIFS(tblDaily[Discharges],tblDaily[EntryDate],DATE(2026,10,14),tblDaily[WardCode],"BF")),"")</f>
        <v/>
      </c>
      <c r="D371" s="5" t="str">
        <f>IFERROR(IF(SUMIFS(tblDaily[Deaths],tblDaily[EntryDate],DATE(2026,10,14),tblDaily[WardCode],"BF")=0,"",SUMIFS(tblDaily[Deaths],tblDaily[EntryDate],DATE(2026,10,14),tblDaily[WardCode],"BF")),"")</f>
        <v/>
      </c>
      <c r="E371" s="5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5" t="str">
        <f>IFERROR(IF(SUMIFS(tblDaily[TransfersIn],tblDaily[EntryDate],DATE(2026,10,14),tblDaily[WardCode],"BF")=0,"",SUMIFS(tblDaily[TransfersIn],tblDaily[EntryDate],DATE(2026,10,14),tblDaily[WardCode],"BF")),"")</f>
        <v/>
      </c>
      <c r="G371" s="5" t="str">
        <f>IFERROR(IF(SUMIFS(tblDaily[TransfersOut],tblDaily[EntryDate],DATE(2026,10,14),tblDaily[WardCode],"BF")=0,"",SUMIFS(tblDaily[TransfersOut],tblDaily[EntryDate],DATE(2026,10,14),tblDaily[WardCode],"BF")),"")</f>
        <v/>
      </c>
      <c r="H371" s="5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IFERROR(IF(SUMIFS(tblDaily[Admissions],tblDaily[EntryDate],DATE(2026,10,15),tblDaily[WardCode],"BF")=0,"",SUMIFS(tblDaily[Admissions],tblDaily[EntryDate],DATE(2026,10,15),tblDaily[WardCode],"BF")),"")</f>
        <v/>
      </c>
      <c r="C372" s="5" t="str">
        <f>IFERROR(IF(SUMIFS(tblDaily[Discharges],tblDaily[EntryDate],DATE(2026,10,15),tblDaily[WardCode],"BF")=0,"",SUMIFS(tblDaily[Discharges],tblDaily[EntryDate],DATE(2026,10,15),tblDaily[WardCode],"BF")),"")</f>
        <v/>
      </c>
      <c r="D372" s="5" t="str">
        <f>IFERROR(IF(SUMIFS(tblDaily[Deaths],tblDaily[EntryDate],DATE(2026,10,15),tblDaily[WardCode],"BF")=0,"",SUMIFS(tblDaily[Deaths],tblDaily[EntryDate],DATE(2026,10,15),tblDaily[WardCode],"BF")),"")</f>
        <v/>
      </c>
      <c r="E372" s="5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5" t="str">
        <f>IFERROR(IF(SUMIFS(tblDaily[TransfersIn],tblDaily[EntryDate],DATE(2026,10,15),tblDaily[WardCode],"BF")=0,"",SUMIFS(tblDaily[TransfersIn],tblDaily[EntryDate],DATE(2026,10,15),tblDaily[WardCode],"BF")),"")</f>
        <v/>
      </c>
      <c r="G372" s="5" t="str">
        <f>IFERROR(IF(SUMIFS(tblDaily[TransfersOut],tblDaily[EntryDate],DATE(2026,10,15),tblDaily[WardCode],"BF")=0,"",SUMIFS(tblDaily[TransfersOut],tblDaily[EntryDate],DATE(2026,10,15),tblDaily[WardCode],"BF")),"")</f>
        <v/>
      </c>
      <c r="H372" s="5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IFERROR(IF(SUMIFS(tblDaily[Admissions],tblDaily[EntryDate],DATE(2026,10,16),tblDaily[WardCode],"BF")=0,"",SUMIFS(tblDaily[Admissions],tblDaily[EntryDate],DATE(2026,10,16),tblDaily[WardCode],"BF")),"")</f>
        <v/>
      </c>
      <c r="C373" s="5" t="str">
        <f>IFERROR(IF(SUMIFS(tblDaily[Discharges],tblDaily[EntryDate],DATE(2026,10,16),tblDaily[WardCode],"BF")=0,"",SUMIFS(tblDaily[Discharges],tblDaily[EntryDate],DATE(2026,10,16),tblDaily[WardCode],"BF")),"")</f>
        <v/>
      </c>
      <c r="D373" s="5" t="str">
        <f>IFERROR(IF(SUMIFS(tblDaily[Deaths],tblDaily[EntryDate],DATE(2026,10,16),tblDaily[WardCode],"BF")=0,"",SUMIFS(tblDaily[Deaths],tblDaily[EntryDate],DATE(2026,10,16),tblDaily[WardCode],"BF")),"")</f>
        <v/>
      </c>
      <c r="E373" s="5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5" t="str">
        <f>IFERROR(IF(SUMIFS(tblDaily[TransfersIn],tblDaily[EntryDate],DATE(2026,10,16),tblDaily[WardCode],"BF")=0,"",SUMIFS(tblDaily[TransfersIn],tblDaily[EntryDate],DATE(2026,10,16),tblDaily[WardCode],"BF")),"")</f>
        <v/>
      </c>
      <c r="G373" s="5" t="str">
        <f>IFERROR(IF(SUMIFS(tblDaily[TransfersOut],tblDaily[EntryDate],DATE(2026,10,16),tblDaily[WardCode],"BF")=0,"",SUMIFS(tblDaily[TransfersOut],tblDaily[EntryDate],DATE(2026,10,16),tblDaily[WardCode],"BF")),"")</f>
        <v/>
      </c>
      <c r="H373" s="5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IFERROR(IF(SUMIFS(tblDaily[Admissions],tblDaily[EntryDate],DATE(2026,10,17),tblDaily[WardCode],"BF")=0,"",SUMIFS(tblDaily[Admissions],tblDaily[EntryDate],DATE(2026,10,17),tblDaily[WardCode],"BF")),"")</f>
        <v/>
      </c>
      <c r="C374" s="5" t="str">
        <f>IFERROR(IF(SUMIFS(tblDaily[Discharges],tblDaily[EntryDate],DATE(2026,10,17),tblDaily[WardCode],"BF")=0,"",SUMIFS(tblDaily[Discharges],tblDaily[EntryDate],DATE(2026,10,17),tblDaily[WardCode],"BF")),"")</f>
        <v/>
      </c>
      <c r="D374" s="5" t="str">
        <f>IFERROR(IF(SUMIFS(tblDaily[Deaths],tblDaily[EntryDate],DATE(2026,10,17),tblDaily[WardCode],"BF")=0,"",SUMIFS(tblDaily[Deaths],tblDaily[EntryDate],DATE(2026,10,17),tblDaily[WardCode],"BF")),"")</f>
        <v/>
      </c>
      <c r="E374" s="5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5" t="str">
        <f>IFERROR(IF(SUMIFS(tblDaily[TransfersIn],tblDaily[EntryDate],DATE(2026,10,17),tblDaily[WardCode],"BF")=0,"",SUMIFS(tblDaily[TransfersIn],tblDaily[EntryDate],DATE(2026,10,17),tblDaily[WardCode],"BF")),"")</f>
        <v/>
      </c>
      <c r="G374" s="5" t="str">
        <f>IFERROR(IF(SUMIFS(tblDaily[TransfersOut],tblDaily[EntryDate],DATE(2026,10,17),tblDaily[WardCode],"BF")=0,"",SUMIFS(tblDaily[TransfersOut],tblDaily[EntryDate],DATE(2026,10,17),tblDaily[WardCode],"BF")),"")</f>
        <v/>
      </c>
      <c r="H374" s="5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IFERROR(IF(SUMIFS(tblDaily[Admissions],tblDaily[EntryDate],DATE(2026,10,18),tblDaily[WardCode],"BF")=0,"",SUMIFS(tblDaily[Admissions],tblDaily[EntryDate],DATE(2026,10,18),tblDaily[WardCode],"BF")),"")</f>
        <v/>
      </c>
      <c r="C375" s="5" t="str">
        <f>IFERROR(IF(SUMIFS(tblDaily[Discharges],tblDaily[EntryDate],DATE(2026,10,18),tblDaily[WardCode],"BF")=0,"",SUMIFS(tblDaily[Discharges],tblDaily[EntryDate],DATE(2026,10,18),tblDaily[WardCode],"BF")),"")</f>
        <v/>
      </c>
      <c r="D375" s="5" t="str">
        <f>IFERROR(IF(SUMIFS(tblDaily[Deaths],tblDaily[EntryDate],DATE(2026,10,18),tblDaily[WardCode],"BF")=0,"",SUMIFS(tblDaily[Deaths],tblDaily[EntryDate],DATE(2026,10,18),tblDaily[WardCode],"BF")),"")</f>
        <v/>
      </c>
      <c r="E375" s="5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5" t="str">
        <f>IFERROR(IF(SUMIFS(tblDaily[TransfersIn],tblDaily[EntryDate],DATE(2026,10,18),tblDaily[WardCode],"BF")=0,"",SUMIFS(tblDaily[TransfersIn],tblDaily[EntryDate],DATE(2026,10,18),tblDaily[WardCode],"BF")),"")</f>
        <v/>
      </c>
      <c r="G375" s="5" t="str">
        <f>IFERROR(IF(SUMIFS(tblDaily[TransfersOut],tblDaily[EntryDate],DATE(2026,10,18),tblDaily[WardCode],"BF")=0,"",SUMIFS(tblDaily[TransfersOut],tblDaily[EntryDate],DATE(2026,10,18),tblDaily[WardCode],"BF")),"")</f>
        <v/>
      </c>
      <c r="H375" s="5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IFERROR(IF(SUMIFS(tblDaily[Admissions],tblDaily[EntryDate],DATE(2026,10,19),tblDaily[WardCode],"BF")=0,"",SUMIFS(tblDaily[Admissions],tblDaily[EntryDate],DATE(2026,10,19),tblDaily[WardCode],"BF")),"")</f>
        <v/>
      </c>
      <c r="C376" s="5" t="str">
        <f>IFERROR(IF(SUMIFS(tblDaily[Discharges],tblDaily[EntryDate],DATE(2026,10,19),tblDaily[WardCode],"BF")=0,"",SUMIFS(tblDaily[Discharges],tblDaily[EntryDate],DATE(2026,10,19),tblDaily[WardCode],"BF")),"")</f>
        <v/>
      </c>
      <c r="D376" s="5" t="str">
        <f>IFERROR(IF(SUMIFS(tblDaily[Deaths],tblDaily[EntryDate],DATE(2026,10,19),tblDaily[WardCode],"BF")=0,"",SUMIFS(tblDaily[Deaths],tblDaily[EntryDate],DATE(2026,10,19),tblDaily[WardCode],"BF")),"")</f>
        <v/>
      </c>
      <c r="E376" s="5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5" t="str">
        <f>IFERROR(IF(SUMIFS(tblDaily[TransfersIn],tblDaily[EntryDate],DATE(2026,10,19),tblDaily[WardCode],"BF")=0,"",SUMIFS(tblDaily[TransfersIn],tblDaily[EntryDate],DATE(2026,10,19),tblDaily[WardCode],"BF")),"")</f>
        <v/>
      </c>
      <c r="G376" s="5" t="str">
        <f>IFERROR(IF(SUMIFS(tblDaily[TransfersOut],tblDaily[EntryDate],DATE(2026,10,19),tblDaily[WardCode],"BF")=0,"",SUMIFS(tblDaily[TransfersOut],tblDaily[EntryDate],DATE(2026,10,19),tblDaily[WardCode],"BF")),"")</f>
        <v/>
      </c>
      <c r="H376" s="5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IFERROR(IF(SUMIFS(tblDaily[Admissions],tblDaily[EntryDate],DATE(2026,10,20),tblDaily[WardCode],"BF")=0,"",SUMIFS(tblDaily[Admissions],tblDaily[EntryDate],DATE(2026,10,20),tblDaily[WardCode],"BF")),"")</f>
        <v/>
      </c>
      <c r="C377" s="5" t="str">
        <f>IFERROR(IF(SUMIFS(tblDaily[Discharges],tblDaily[EntryDate],DATE(2026,10,20),tblDaily[WardCode],"BF")=0,"",SUMIFS(tblDaily[Discharges],tblDaily[EntryDate],DATE(2026,10,20),tblDaily[WardCode],"BF")),"")</f>
        <v/>
      </c>
      <c r="D377" s="5" t="str">
        <f>IFERROR(IF(SUMIFS(tblDaily[Deaths],tblDaily[EntryDate],DATE(2026,10,20),tblDaily[WardCode],"BF")=0,"",SUMIFS(tblDaily[Deaths],tblDaily[EntryDate],DATE(2026,10,20),tblDaily[WardCode],"BF")),"")</f>
        <v/>
      </c>
      <c r="E377" s="5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5" t="str">
        <f>IFERROR(IF(SUMIFS(tblDaily[TransfersIn],tblDaily[EntryDate],DATE(2026,10,20),tblDaily[WardCode],"BF")=0,"",SUMIFS(tblDaily[TransfersIn],tblDaily[EntryDate],DATE(2026,10,20),tblDaily[WardCode],"BF")),"")</f>
        <v/>
      </c>
      <c r="G377" s="5" t="str">
        <f>IFERROR(IF(SUMIFS(tblDaily[TransfersOut],tblDaily[EntryDate],DATE(2026,10,20),tblDaily[WardCode],"BF")=0,"",SUMIFS(tblDaily[TransfersOut],tblDaily[EntryDate],DATE(2026,10,20),tblDaily[WardCode],"BF")),"")</f>
        <v/>
      </c>
      <c r="H377" s="5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IFERROR(IF(SUMIFS(tblDaily[Admissions],tblDaily[EntryDate],DATE(2026,10,21),tblDaily[WardCode],"BF")=0,"",SUMIFS(tblDaily[Admissions],tblDaily[EntryDate],DATE(2026,10,21),tblDaily[WardCode],"BF")),"")</f>
        <v/>
      </c>
      <c r="C378" s="5" t="str">
        <f>IFERROR(IF(SUMIFS(tblDaily[Discharges],tblDaily[EntryDate],DATE(2026,10,21),tblDaily[WardCode],"BF")=0,"",SUMIFS(tblDaily[Discharges],tblDaily[EntryDate],DATE(2026,10,21),tblDaily[WardCode],"BF")),"")</f>
        <v/>
      </c>
      <c r="D378" s="5" t="str">
        <f>IFERROR(IF(SUMIFS(tblDaily[Deaths],tblDaily[EntryDate],DATE(2026,10,21),tblDaily[WardCode],"BF")=0,"",SUMIFS(tblDaily[Deaths],tblDaily[EntryDate],DATE(2026,10,21),tblDaily[WardCode],"BF")),"")</f>
        <v/>
      </c>
      <c r="E378" s="5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5" t="str">
        <f>IFERROR(IF(SUMIFS(tblDaily[TransfersIn],tblDaily[EntryDate],DATE(2026,10,21),tblDaily[WardCode],"BF")=0,"",SUMIFS(tblDaily[TransfersIn],tblDaily[EntryDate],DATE(2026,10,21),tblDaily[WardCode],"BF")),"")</f>
        <v/>
      </c>
      <c r="G378" s="5" t="str">
        <f>IFERROR(IF(SUMIFS(tblDaily[TransfersOut],tblDaily[EntryDate],DATE(2026,10,21),tblDaily[WardCode],"BF")=0,"",SUMIFS(tblDaily[TransfersOut],tblDaily[EntryDate],DATE(2026,10,21),tblDaily[WardCode],"BF")),"")</f>
        <v/>
      </c>
      <c r="H378" s="5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IFERROR(IF(SUMIFS(tblDaily[Admissions],tblDaily[EntryDate],DATE(2026,10,22),tblDaily[WardCode],"BF")=0,"",SUMIFS(tblDaily[Admissions],tblDaily[EntryDate],DATE(2026,10,22),tblDaily[WardCode],"BF")),"")</f>
        <v/>
      </c>
      <c r="C379" s="5" t="str">
        <f>IFERROR(IF(SUMIFS(tblDaily[Discharges],tblDaily[EntryDate],DATE(2026,10,22),tblDaily[WardCode],"BF")=0,"",SUMIFS(tblDaily[Discharges],tblDaily[EntryDate],DATE(2026,10,22),tblDaily[WardCode],"BF")),"")</f>
        <v/>
      </c>
      <c r="D379" s="5" t="str">
        <f>IFERROR(IF(SUMIFS(tblDaily[Deaths],tblDaily[EntryDate],DATE(2026,10,22),tblDaily[WardCode],"BF")=0,"",SUMIFS(tblDaily[Deaths],tblDaily[EntryDate],DATE(2026,10,22),tblDaily[WardCode],"BF")),"")</f>
        <v/>
      </c>
      <c r="E379" s="5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5" t="str">
        <f>IFERROR(IF(SUMIFS(tblDaily[TransfersIn],tblDaily[EntryDate],DATE(2026,10,22),tblDaily[WardCode],"BF")=0,"",SUMIFS(tblDaily[TransfersIn],tblDaily[EntryDate],DATE(2026,10,22),tblDaily[WardCode],"BF")),"")</f>
        <v/>
      </c>
      <c r="G379" s="5" t="str">
        <f>IFERROR(IF(SUMIFS(tblDaily[TransfersOut],tblDaily[EntryDate],DATE(2026,10,22),tblDaily[WardCode],"BF")=0,"",SUMIFS(tblDaily[TransfersOut],tblDaily[EntryDate],DATE(2026,10,22),tblDaily[WardCode],"BF")),"")</f>
        <v/>
      </c>
      <c r="H379" s="5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IFERROR(IF(SUMIFS(tblDaily[Admissions],tblDaily[EntryDate],DATE(2026,10,23),tblDaily[WardCode],"BF")=0,"",SUMIFS(tblDaily[Admissions],tblDaily[EntryDate],DATE(2026,10,23),tblDaily[WardCode],"BF")),"")</f>
        <v/>
      </c>
      <c r="C380" s="5" t="str">
        <f>IFERROR(IF(SUMIFS(tblDaily[Discharges],tblDaily[EntryDate],DATE(2026,10,23),tblDaily[WardCode],"BF")=0,"",SUMIFS(tblDaily[Discharges],tblDaily[EntryDate],DATE(2026,10,23),tblDaily[WardCode],"BF")),"")</f>
        <v/>
      </c>
      <c r="D380" s="5" t="str">
        <f>IFERROR(IF(SUMIFS(tblDaily[Deaths],tblDaily[EntryDate],DATE(2026,10,23),tblDaily[WardCode],"BF")=0,"",SUMIFS(tblDaily[Deaths],tblDaily[EntryDate],DATE(2026,10,23),tblDaily[WardCode],"BF")),"")</f>
        <v/>
      </c>
      <c r="E380" s="5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5" t="str">
        <f>IFERROR(IF(SUMIFS(tblDaily[TransfersIn],tblDaily[EntryDate],DATE(2026,10,23),tblDaily[WardCode],"BF")=0,"",SUMIFS(tblDaily[TransfersIn],tblDaily[EntryDate],DATE(2026,10,23),tblDaily[WardCode],"BF")),"")</f>
        <v/>
      </c>
      <c r="G380" s="5" t="str">
        <f>IFERROR(IF(SUMIFS(tblDaily[TransfersOut],tblDaily[EntryDate],DATE(2026,10,23),tblDaily[WardCode],"BF")=0,"",SUMIFS(tblDaily[TransfersOut],tblDaily[EntryDate],DATE(2026,10,23),tblDaily[WardCode],"BF")),"")</f>
        <v/>
      </c>
      <c r="H380" s="5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IFERROR(IF(SUMIFS(tblDaily[Admissions],tblDaily[EntryDate],DATE(2026,10,24),tblDaily[WardCode],"BF")=0,"",SUMIFS(tblDaily[Admissions],tblDaily[EntryDate],DATE(2026,10,24),tblDaily[WardCode],"BF")),"")</f>
        <v/>
      </c>
      <c r="C381" s="5" t="str">
        <f>IFERROR(IF(SUMIFS(tblDaily[Discharges],tblDaily[EntryDate],DATE(2026,10,24),tblDaily[WardCode],"BF")=0,"",SUMIFS(tblDaily[Discharges],tblDaily[EntryDate],DATE(2026,10,24),tblDaily[WardCode],"BF")),"")</f>
        <v/>
      </c>
      <c r="D381" s="5" t="str">
        <f>IFERROR(IF(SUMIFS(tblDaily[Deaths],tblDaily[EntryDate],DATE(2026,10,24),tblDaily[WardCode],"BF")=0,"",SUMIFS(tblDaily[Deaths],tblDaily[EntryDate],DATE(2026,10,24),tblDaily[WardCode],"BF")),"")</f>
        <v/>
      </c>
      <c r="E381" s="5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5" t="str">
        <f>IFERROR(IF(SUMIFS(tblDaily[TransfersIn],tblDaily[EntryDate],DATE(2026,10,24),tblDaily[WardCode],"BF")=0,"",SUMIFS(tblDaily[TransfersIn],tblDaily[EntryDate],DATE(2026,10,24),tblDaily[WardCode],"BF")),"")</f>
        <v/>
      </c>
      <c r="G381" s="5" t="str">
        <f>IFERROR(IF(SUMIFS(tblDaily[TransfersOut],tblDaily[EntryDate],DATE(2026,10,24),tblDaily[WardCode],"BF")=0,"",SUMIFS(tblDaily[TransfersOut],tblDaily[EntryDate],DATE(2026,10,24),tblDaily[WardCode],"BF")),"")</f>
        <v/>
      </c>
      <c r="H381" s="5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IFERROR(IF(SUMIFS(tblDaily[Admissions],tblDaily[EntryDate],DATE(2026,10,25),tblDaily[WardCode],"BF")=0,"",SUMIFS(tblDaily[Admissions],tblDaily[EntryDate],DATE(2026,10,25),tblDaily[WardCode],"BF")),"")</f>
        <v/>
      </c>
      <c r="C382" s="5" t="str">
        <f>IFERROR(IF(SUMIFS(tblDaily[Discharges],tblDaily[EntryDate],DATE(2026,10,25),tblDaily[WardCode],"BF")=0,"",SUMIFS(tblDaily[Discharges],tblDaily[EntryDate],DATE(2026,10,25),tblDaily[WardCode],"BF")),"")</f>
        <v/>
      </c>
      <c r="D382" s="5" t="str">
        <f>IFERROR(IF(SUMIFS(tblDaily[Deaths],tblDaily[EntryDate],DATE(2026,10,25),tblDaily[WardCode],"BF")=0,"",SUMIFS(tblDaily[Deaths],tblDaily[EntryDate],DATE(2026,10,25),tblDaily[WardCode],"BF")),"")</f>
        <v/>
      </c>
      <c r="E382" s="5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5" t="str">
        <f>IFERROR(IF(SUMIFS(tblDaily[TransfersIn],tblDaily[EntryDate],DATE(2026,10,25),tblDaily[WardCode],"BF")=0,"",SUMIFS(tblDaily[TransfersIn],tblDaily[EntryDate],DATE(2026,10,25),tblDaily[WardCode],"BF")),"")</f>
        <v/>
      </c>
      <c r="G382" s="5" t="str">
        <f>IFERROR(IF(SUMIFS(tblDaily[TransfersOut],tblDaily[EntryDate],DATE(2026,10,25),tblDaily[WardCode],"BF")=0,"",SUMIFS(tblDaily[TransfersOut],tblDaily[EntryDate],DATE(2026,10,25),tblDaily[WardCode],"BF")),"")</f>
        <v/>
      </c>
      <c r="H382" s="5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IFERROR(IF(SUMIFS(tblDaily[Admissions],tblDaily[EntryDate],DATE(2026,10,26),tblDaily[WardCode],"BF")=0,"",SUMIFS(tblDaily[Admissions],tblDaily[EntryDate],DATE(2026,10,26),tblDaily[WardCode],"BF")),"")</f>
        <v/>
      </c>
      <c r="C383" s="5" t="str">
        <f>IFERROR(IF(SUMIFS(tblDaily[Discharges],tblDaily[EntryDate],DATE(2026,10,26),tblDaily[WardCode],"BF")=0,"",SUMIFS(tblDaily[Discharges],tblDaily[EntryDate],DATE(2026,10,26),tblDaily[WardCode],"BF")),"")</f>
        <v/>
      </c>
      <c r="D383" s="5" t="str">
        <f>IFERROR(IF(SUMIFS(tblDaily[Deaths],tblDaily[EntryDate],DATE(2026,10,26),tblDaily[WardCode],"BF")=0,"",SUMIFS(tblDaily[Deaths],tblDaily[EntryDate],DATE(2026,10,26),tblDaily[WardCode],"BF")),"")</f>
        <v/>
      </c>
      <c r="E383" s="5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5" t="str">
        <f>IFERROR(IF(SUMIFS(tblDaily[TransfersIn],tblDaily[EntryDate],DATE(2026,10,26),tblDaily[WardCode],"BF")=0,"",SUMIFS(tblDaily[TransfersIn],tblDaily[EntryDate],DATE(2026,10,26),tblDaily[WardCode],"BF")),"")</f>
        <v/>
      </c>
      <c r="G383" s="5" t="str">
        <f>IFERROR(IF(SUMIFS(tblDaily[TransfersOut],tblDaily[EntryDate],DATE(2026,10,26),tblDaily[WardCode],"BF")=0,"",SUMIFS(tblDaily[TransfersOut],tblDaily[EntryDate],DATE(2026,10,26),tblDaily[WardCode],"BF")),"")</f>
        <v/>
      </c>
      <c r="H383" s="5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IFERROR(IF(SUMIFS(tblDaily[Admissions],tblDaily[EntryDate],DATE(2026,10,27),tblDaily[WardCode],"BF")=0,"",SUMIFS(tblDaily[Admissions],tblDaily[EntryDate],DATE(2026,10,27),tblDaily[WardCode],"BF")),"")</f>
        <v/>
      </c>
      <c r="C384" s="5" t="str">
        <f>IFERROR(IF(SUMIFS(tblDaily[Discharges],tblDaily[EntryDate],DATE(2026,10,27),tblDaily[WardCode],"BF")=0,"",SUMIFS(tblDaily[Discharges],tblDaily[EntryDate],DATE(2026,10,27),tblDaily[WardCode],"BF")),"")</f>
        <v/>
      </c>
      <c r="D384" s="5" t="str">
        <f>IFERROR(IF(SUMIFS(tblDaily[Deaths],tblDaily[EntryDate],DATE(2026,10,27),tblDaily[WardCode],"BF")=0,"",SUMIFS(tblDaily[Deaths],tblDaily[EntryDate],DATE(2026,10,27),tblDaily[WardCode],"BF")),"")</f>
        <v/>
      </c>
      <c r="E384" s="5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5" t="str">
        <f>IFERROR(IF(SUMIFS(tblDaily[TransfersIn],tblDaily[EntryDate],DATE(2026,10,27),tblDaily[WardCode],"BF")=0,"",SUMIFS(tblDaily[TransfersIn],tblDaily[EntryDate],DATE(2026,10,27),tblDaily[WardCode],"BF")),"")</f>
        <v/>
      </c>
      <c r="G384" s="5" t="str">
        <f>IFERROR(IF(SUMIFS(tblDaily[TransfersOut],tblDaily[EntryDate],DATE(2026,10,27),tblDaily[WardCode],"BF")=0,"",SUMIFS(tblDaily[TransfersOut],tblDaily[EntryDate],DATE(2026,10,27),tblDaily[WardCode],"BF")),"")</f>
        <v/>
      </c>
      <c r="H384" s="5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IFERROR(IF(SUMIFS(tblDaily[Admissions],tblDaily[EntryDate],DATE(2026,10,28),tblDaily[WardCode],"BF")=0,"",SUMIFS(tblDaily[Admissions],tblDaily[EntryDate],DATE(2026,10,28),tblDaily[WardCode],"BF")),"")</f>
        <v/>
      </c>
      <c r="C385" s="5" t="str">
        <f>IFERROR(IF(SUMIFS(tblDaily[Discharges],tblDaily[EntryDate],DATE(2026,10,28),tblDaily[WardCode],"BF")=0,"",SUMIFS(tblDaily[Discharges],tblDaily[EntryDate],DATE(2026,10,28),tblDaily[WardCode],"BF")),"")</f>
        <v/>
      </c>
      <c r="D385" s="5" t="str">
        <f>IFERROR(IF(SUMIFS(tblDaily[Deaths],tblDaily[EntryDate],DATE(2026,10,28),tblDaily[WardCode],"BF")=0,"",SUMIFS(tblDaily[Deaths],tblDaily[EntryDate],DATE(2026,10,28),tblDaily[WardCode],"BF")),"")</f>
        <v/>
      </c>
      <c r="E385" s="5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5" t="str">
        <f>IFERROR(IF(SUMIFS(tblDaily[TransfersIn],tblDaily[EntryDate],DATE(2026,10,28),tblDaily[WardCode],"BF")=0,"",SUMIFS(tblDaily[TransfersIn],tblDaily[EntryDate],DATE(2026,10,28),tblDaily[WardCode],"BF")),"")</f>
        <v/>
      </c>
      <c r="G385" s="5" t="str">
        <f>IFERROR(IF(SUMIFS(tblDaily[TransfersOut],tblDaily[EntryDate],DATE(2026,10,28),tblDaily[WardCode],"BF")=0,"",SUMIFS(tblDaily[TransfersOut],tblDaily[EntryDate],DATE(2026,10,28),tblDaily[WardCode],"BF")),"")</f>
        <v/>
      </c>
      <c r="H385" s="5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IFERROR(IF(SUMIFS(tblDaily[Admissions],tblDaily[EntryDate],DATE(2026,10,29),tblDaily[WardCode],"BF")=0,"",SUMIFS(tblDaily[Admissions],tblDaily[EntryDate],DATE(2026,10,29),tblDaily[WardCode],"BF")),"")</f>
        <v/>
      </c>
      <c r="C386" s="5" t="str">
        <f>IFERROR(IF(SUMIFS(tblDaily[Discharges],tblDaily[EntryDate],DATE(2026,10,29),tblDaily[WardCode],"BF")=0,"",SUMIFS(tblDaily[Discharges],tblDaily[EntryDate],DATE(2026,10,29),tblDaily[WardCode],"BF")),"")</f>
        <v/>
      </c>
      <c r="D386" s="5" t="str">
        <f>IFERROR(IF(SUMIFS(tblDaily[Deaths],tblDaily[EntryDate],DATE(2026,10,29),tblDaily[WardCode],"BF")=0,"",SUMIFS(tblDaily[Deaths],tblDaily[EntryDate],DATE(2026,10,29),tblDaily[WardCode],"BF")),"")</f>
        <v/>
      </c>
      <c r="E386" s="5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5" t="str">
        <f>IFERROR(IF(SUMIFS(tblDaily[TransfersIn],tblDaily[EntryDate],DATE(2026,10,29),tblDaily[WardCode],"BF")=0,"",SUMIFS(tblDaily[TransfersIn],tblDaily[EntryDate],DATE(2026,10,29),tblDaily[WardCode],"BF")),"")</f>
        <v/>
      </c>
      <c r="G386" s="5" t="str">
        <f>IFERROR(IF(SUMIFS(tblDaily[TransfersOut],tblDaily[EntryDate],DATE(2026,10,29),tblDaily[WardCode],"BF")=0,"",SUMIFS(tblDaily[TransfersOut],tblDaily[EntryDate],DATE(2026,10,29),tblDaily[WardCode],"BF")),"")</f>
        <v/>
      </c>
      <c r="H386" s="5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IFERROR(IF(SUMIFS(tblDaily[Admissions],tblDaily[EntryDate],DATE(2026,10,30),tblDaily[WardCode],"BF")=0,"",SUMIFS(tblDaily[Admissions],tblDaily[EntryDate],DATE(2026,10,30),tblDaily[WardCode],"BF")),"")</f>
        <v/>
      </c>
      <c r="C387" s="5" t="str">
        <f>IFERROR(IF(SUMIFS(tblDaily[Discharges],tblDaily[EntryDate],DATE(2026,10,30),tblDaily[WardCode],"BF")=0,"",SUMIFS(tblDaily[Discharges],tblDaily[EntryDate],DATE(2026,10,30),tblDaily[WardCode],"BF")),"")</f>
        <v/>
      </c>
      <c r="D387" s="5" t="str">
        <f>IFERROR(IF(SUMIFS(tblDaily[Deaths],tblDaily[EntryDate],DATE(2026,10,30),tblDaily[WardCode],"BF")=0,"",SUMIFS(tblDaily[Deaths],tblDaily[EntryDate],DATE(2026,10,30),tblDaily[WardCode],"BF")),"")</f>
        <v/>
      </c>
      <c r="E387" s="5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5" t="str">
        <f>IFERROR(IF(SUMIFS(tblDaily[TransfersIn],tblDaily[EntryDate],DATE(2026,10,30),tblDaily[WardCode],"BF")=0,"",SUMIFS(tblDaily[TransfersIn],tblDaily[EntryDate],DATE(2026,10,30),tblDaily[WardCode],"BF")),"")</f>
        <v/>
      </c>
      <c r="G387" s="5" t="str">
        <f>IFERROR(IF(SUMIFS(tblDaily[TransfersOut],tblDaily[EntryDate],DATE(2026,10,30),tblDaily[WardCode],"BF")=0,"",SUMIFS(tblDaily[TransfersOut],tblDaily[EntryDate],DATE(2026,10,30),tblDaily[WardCode],"BF")),"")</f>
        <v/>
      </c>
      <c r="H387" s="5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IFERROR(IF(SUMIFS(tblDaily[Admissions],tblDaily[EntryDate],DATE(2026,10,31),tblDaily[WardCode],"BF")=0,"",SUMIFS(tblDaily[Admissions],tblDaily[EntryDate],DATE(2026,10,31),tblDaily[WardCode],"BF")),"")</f>
        <v/>
      </c>
      <c r="C388" s="5" t="str">
        <f>IFERROR(IF(SUMIFS(tblDaily[Discharges],tblDaily[EntryDate],DATE(2026,10,31),tblDaily[WardCode],"BF")=0,"",SUMIFS(tblDaily[Discharges],tblDaily[EntryDate],DATE(2026,10,31),tblDaily[WardCode],"BF")),"")</f>
        <v/>
      </c>
      <c r="D388" s="5" t="str">
        <f>IFERROR(IF(SUMIFS(tblDaily[Deaths],tblDaily[EntryDate],DATE(2026,10,31),tblDaily[WardCode],"BF")=0,"",SUMIFS(tblDaily[Deaths],tblDaily[EntryDate],DATE(2026,10,31),tblDaily[WardCode],"BF")),"")</f>
        <v/>
      </c>
      <c r="E388" s="5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5" t="str">
        <f>IFERROR(IF(SUMIFS(tblDaily[TransfersIn],tblDaily[EntryDate],DATE(2026,10,31),tblDaily[WardCode],"BF")=0,"",SUMIFS(tblDaily[TransfersIn],tblDaily[EntryDate],DATE(2026,10,31),tblDaily[WardCode],"BF")),"")</f>
        <v/>
      </c>
      <c r="G388" s="5" t="str">
        <f>IFERROR(IF(SUMIFS(tblDaily[TransfersOut],tblDaily[EntryDate],DATE(2026,10,31),tblDaily[WardCode],"BF")=0,"",SUMIFS(tblDaily[TransfersOut],tblDaily[EntryDate],DATE(2026,10,31),tblDaily[WardCode],"BF")),"")</f>
        <v/>
      </c>
      <c r="H388" s="5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95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98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89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IFERROR(IF(SUMIFS(tblDaily[Admissions],tblDaily[EntryDate],DATE(2026,11,1),tblDaily[WardCode],"BF")=0,"",SUMIFS(tblDaily[Admissions],tblDaily[EntryDate],DATE(2026,11,1),tblDaily[WardCode],"BF")),"")</f>
        <v/>
      </c>
      <c r="C397" s="5" t="str">
        <f>IFERROR(IF(SUMIFS(tblDaily[Discharges],tblDaily[EntryDate],DATE(2026,11,1),tblDaily[WardCode],"BF")=0,"",SUMIFS(tblDaily[Discharges],tblDaily[EntryDate],DATE(2026,11,1),tblDaily[WardCode],"BF")),"")</f>
        <v/>
      </c>
      <c r="D397" s="5" t="str">
        <f>IFERROR(IF(SUMIFS(tblDaily[Deaths],tblDaily[EntryDate],DATE(2026,11,1),tblDaily[WardCode],"BF")=0,"",SUMIFS(tblDaily[Deaths],tblDaily[EntryDate],DATE(2026,11,1),tblDaily[WardCode],"BF")),"")</f>
        <v/>
      </c>
      <c r="E397" s="5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5" t="str">
        <f>IFERROR(IF(SUMIFS(tblDaily[TransfersIn],tblDaily[EntryDate],DATE(2026,11,1),tblDaily[WardCode],"BF")=0,"",SUMIFS(tblDaily[TransfersIn],tblDaily[EntryDate],DATE(2026,11,1),tblDaily[WardCode],"BF")),"")</f>
        <v/>
      </c>
      <c r="G397" s="5" t="str">
        <f>IFERROR(IF(SUMIFS(tblDaily[TransfersOut],tblDaily[EntryDate],DATE(2026,11,1),tblDaily[WardCode],"BF")=0,"",SUMIFS(tblDaily[TransfersOut],tblDaily[EntryDate],DATE(2026,11,1),tblDaily[WardCode],"BF")),"")</f>
        <v/>
      </c>
      <c r="H397" s="5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IFERROR(IF(SUMIFS(tblDaily[Admissions],tblDaily[EntryDate],DATE(2026,11,2),tblDaily[WardCode],"BF")=0,"",SUMIFS(tblDaily[Admissions],tblDaily[EntryDate],DATE(2026,11,2),tblDaily[WardCode],"BF")),"")</f>
        <v/>
      </c>
      <c r="C398" s="5" t="str">
        <f>IFERROR(IF(SUMIFS(tblDaily[Discharges],tblDaily[EntryDate],DATE(2026,11,2),tblDaily[WardCode],"BF")=0,"",SUMIFS(tblDaily[Discharges],tblDaily[EntryDate],DATE(2026,11,2),tblDaily[WardCode],"BF")),"")</f>
        <v/>
      </c>
      <c r="D398" s="5" t="str">
        <f>IFERROR(IF(SUMIFS(tblDaily[Deaths],tblDaily[EntryDate],DATE(2026,11,2),tblDaily[WardCode],"BF")=0,"",SUMIFS(tblDaily[Deaths],tblDaily[EntryDate],DATE(2026,11,2),tblDaily[WardCode],"BF")),"")</f>
        <v/>
      </c>
      <c r="E398" s="5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5" t="str">
        <f>IFERROR(IF(SUMIFS(tblDaily[TransfersIn],tblDaily[EntryDate],DATE(2026,11,2),tblDaily[WardCode],"BF")=0,"",SUMIFS(tblDaily[TransfersIn],tblDaily[EntryDate],DATE(2026,11,2),tblDaily[WardCode],"BF")),"")</f>
        <v/>
      </c>
      <c r="G398" s="5" t="str">
        <f>IFERROR(IF(SUMIFS(tblDaily[TransfersOut],tblDaily[EntryDate],DATE(2026,11,2),tblDaily[WardCode],"BF")=0,"",SUMIFS(tblDaily[TransfersOut],tblDaily[EntryDate],DATE(2026,11,2),tblDaily[WardCode],"BF")),"")</f>
        <v/>
      </c>
      <c r="H398" s="5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IFERROR(IF(SUMIFS(tblDaily[Admissions],tblDaily[EntryDate],DATE(2026,11,3),tblDaily[WardCode],"BF")=0,"",SUMIFS(tblDaily[Admissions],tblDaily[EntryDate],DATE(2026,11,3),tblDaily[WardCode],"BF")),"")</f>
        <v/>
      </c>
      <c r="C399" s="5" t="str">
        <f>IFERROR(IF(SUMIFS(tblDaily[Discharges],tblDaily[EntryDate],DATE(2026,11,3),tblDaily[WardCode],"BF")=0,"",SUMIFS(tblDaily[Discharges],tblDaily[EntryDate],DATE(2026,11,3),tblDaily[WardCode],"BF")),"")</f>
        <v/>
      </c>
      <c r="D399" s="5" t="str">
        <f>IFERROR(IF(SUMIFS(tblDaily[Deaths],tblDaily[EntryDate],DATE(2026,11,3),tblDaily[WardCode],"BF")=0,"",SUMIFS(tblDaily[Deaths],tblDaily[EntryDate],DATE(2026,11,3),tblDaily[WardCode],"BF")),"")</f>
        <v/>
      </c>
      <c r="E399" s="5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5" t="str">
        <f>IFERROR(IF(SUMIFS(tblDaily[TransfersIn],tblDaily[EntryDate],DATE(2026,11,3),tblDaily[WardCode],"BF")=0,"",SUMIFS(tblDaily[TransfersIn],tblDaily[EntryDate],DATE(2026,11,3),tblDaily[WardCode],"BF")),"")</f>
        <v/>
      </c>
      <c r="G399" s="5" t="str">
        <f>IFERROR(IF(SUMIFS(tblDaily[TransfersOut],tblDaily[EntryDate],DATE(2026,11,3),tblDaily[WardCode],"BF")=0,"",SUMIFS(tblDaily[TransfersOut],tblDaily[EntryDate],DATE(2026,11,3),tblDaily[WardCode],"BF")),"")</f>
        <v/>
      </c>
      <c r="H399" s="5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IFERROR(IF(SUMIFS(tblDaily[Admissions],tblDaily[EntryDate],DATE(2026,11,4),tblDaily[WardCode],"BF")=0,"",SUMIFS(tblDaily[Admissions],tblDaily[EntryDate],DATE(2026,11,4),tblDaily[WardCode],"BF")),"")</f>
        <v/>
      </c>
      <c r="C400" s="5" t="str">
        <f>IFERROR(IF(SUMIFS(tblDaily[Discharges],tblDaily[EntryDate],DATE(2026,11,4),tblDaily[WardCode],"BF")=0,"",SUMIFS(tblDaily[Discharges],tblDaily[EntryDate],DATE(2026,11,4),tblDaily[WardCode],"BF")),"")</f>
        <v/>
      </c>
      <c r="D400" s="5" t="str">
        <f>IFERROR(IF(SUMIFS(tblDaily[Deaths],tblDaily[EntryDate],DATE(2026,11,4),tblDaily[WardCode],"BF")=0,"",SUMIFS(tblDaily[Deaths],tblDaily[EntryDate],DATE(2026,11,4),tblDaily[WardCode],"BF")),"")</f>
        <v/>
      </c>
      <c r="E400" s="5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5" t="str">
        <f>IFERROR(IF(SUMIFS(tblDaily[TransfersIn],tblDaily[EntryDate],DATE(2026,11,4),tblDaily[WardCode],"BF")=0,"",SUMIFS(tblDaily[TransfersIn],tblDaily[EntryDate],DATE(2026,11,4),tblDaily[WardCode],"BF")),"")</f>
        <v/>
      </c>
      <c r="G400" s="5" t="str">
        <f>IFERROR(IF(SUMIFS(tblDaily[TransfersOut],tblDaily[EntryDate],DATE(2026,11,4),tblDaily[WardCode],"BF")=0,"",SUMIFS(tblDaily[TransfersOut],tblDaily[EntryDate],DATE(2026,11,4),tblDaily[WardCode],"BF")),"")</f>
        <v/>
      </c>
      <c r="H400" s="5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IFERROR(IF(SUMIFS(tblDaily[Admissions],tblDaily[EntryDate],DATE(2026,11,5),tblDaily[WardCode],"BF")=0,"",SUMIFS(tblDaily[Admissions],tblDaily[EntryDate],DATE(2026,11,5),tblDaily[WardCode],"BF")),"")</f>
        <v/>
      </c>
      <c r="C401" s="5" t="str">
        <f>IFERROR(IF(SUMIFS(tblDaily[Discharges],tblDaily[EntryDate],DATE(2026,11,5),tblDaily[WardCode],"BF")=0,"",SUMIFS(tblDaily[Discharges],tblDaily[EntryDate],DATE(2026,11,5),tblDaily[WardCode],"BF")),"")</f>
        <v/>
      </c>
      <c r="D401" s="5" t="str">
        <f>IFERROR(IF(SUMIFS(tblDaily[Deaths],tblDaily[EntryDate],DATE(2026,11,5),tblDaily[WardCode],"BF")=0,"",SUMIFS(tblDaily[Deaths],tblDaily[EntryDate],DATE(2026,11,5),tblDaily[WardCode],"BF")),"")</f>
        <v/>
      </c>
      <c r="E401" s="5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5" t="str">
        <f>IFERROR(IF(SUMIFS(tblDaily[TransfersIn],tblDaily[EntryDate],DATE(2026,11,5),tblDaily[WardCode],"BF")=0,"",SUMIFS(tblDaily[TransfersIn],tblDaily[EntryDate],DATE(2026,11,5),tblDaily[WardCode],"BF")),"")</f>
        <v/>
      </c>
      <c r="G401" s="5" t="str">
        <f>IFERROR(IF(SUMIFS(tblDaily[TransfersOut],tblDaily[EntryDate],DATE(2026,11,5),tblDaily[WardCode],"BF")=0,"",SUMIFS(tblDaily[TransfersOut],tblDaily[EntryDate],DATE(2026,11,5),tblDaily[WardCode],"BF")),"")</f>
        <v/>
      </c>
      <c r="H401" s="5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IFERROR(IF(SUMIFS(tblDaily[Admissions],tblDaily[EntryDate],DATE(2026,11,6),tblDaily[WardCode],"BF")=0,"",SUMIFS(tblDaily[Admissions],tblDaily[EntryDate],DATE(2026,11,6),tblDaily[WardCode],"BF")),"")</f>
        <v/>
      </c>
      <c r="C402" s="5" t="str">
        <f>IFERROR(IF(SUMIFS(tblDaily[Discharges],tblDaily[EntryDate],DATE(2026,11,6),tblDaily[WardCode],"BF")=0,"",SUMIFS(tblDaily[Discharges],tblDaily[EntryDate],DATE(2026,11,6),tblDaily[WardCode],"BF")),"")</f>
        <v/>
      </c>
      <c r="D402" s="5" t="str">
        <f>IFERROR(IF(SUMIFS(tblDaily[Deaths],tblDaily[EntryDate],DATE(2026,11,6),tblDaily[WardCode],"BF")=0,"",SUMIFS(tblDaily[Deaths],tblDaily[EntryDate],DATE(2026,11,6),tblDaily[WardCode],"BF")),"")</f>
        <v/>
      </c>
      <c r="E402" s="5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5" t="str">
        <f>IFERROR(IF(SUMIFS(tblDaily[TransfersIn],tblDaily[EntryDate],DATE(2026,11,6),tblDaily[WardCode],"BF")=0,"",SUMIFS(tblDaily[TransfersIn],tblDaily[EntryDate],DATE(2026,11,6),tblDaily[WardCode],"BF")),"")</f>
        <v/>
      </c>
      <c r="G402" s="5" t="str">
        <f>IFERROR(IF(SUMIFS(tblDaily[TransfersOut],tblDaily[EntryDate],DATE(2026,11,6),tblDaily[WardCode],"BF")=0,"",SUMIFS(tblDaily[TransfersOut],tblDaily[EntryDate],DATE(2026,11,6),tblDaily[WardCode],"BF")),"")</f>
        <v/>
      </c>
      <c r="H402" s="5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IFERROR(IF(SUMIFS(tblDaily[Admissions],tblDaily[EntryDate],DATE(2026,11,7),tblDaily[WardCode],"BF")=0,"",SUMIFS(tblDaily[Admissions],tblDaily[EntryDate],DATE(2026,11,7),tblDaily[WardCode],"BF")),"")</f>
        <v/>
      </c>
      <c r="C403" s="5" t="str">
        <f>IFERROR(IF(SUMIFS(tblDaily[Discharges],tblDaily[EntryDate],DATE(2026,11,7),tblDaily[WardCode],"BF")=0,"",SUMIFS(tblDaily[Discharges],tblDaily[EntryDate],DATE(2026,11,7),tblDaily[WardCode],"BF")),"")</f>
        <v/>
      </c>
      <c r="D403" s="5" t="str">
        <f>IFERROR(IF(SUMIFS(tblDaily[Deaths],tblDaily[EntryDate],DATE(2026,11,7),tblDaily[WardCode],"BF")=0,"",SUMIFS(tblDaily[Deaths],tblDaily[EntryDate],DATE(2026,11,7),tblDaily[WardCode],"BF")),"")</f>
        <v/>
      </c>
      <c r="E403" s="5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5" t="str">
        <f>IFERROR(IF(SUMIFS(tblDaily[TransfersIn],tblDaily[EntryDate],DATE(2026,11,7),tblDaily[WardCode],"BF")=0,"",SUMIFS(tblDaily[TransfersIn],tblDaily[EntryDate],DATE(2026,11,7),tblDaily[WardCode],"BF")),"")</f>
        <v/>
      </c>
      <c r="G403" s="5" t="str">
        <f>IFERROR(IF(SUMIFS(tblDaily[TransfersOut],tblDaily[EntryDate],DATE(2026,11,7),tblDaily[WardCode],"BF")=0,"",SUMIFS(tblDaily[TransfersOut],tblDaily[EntryDate],DATE(2026,11,7),tblDaily[WardCode],"BF")),"")</f>
        <v/>
      </c>
      <c r="H403" s="5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IFERROR(IF(SUMIFS(tblDaily[Admissions],tblDaily[EntryDate],DATE(2026,11,8),tblDaily[WardCode],"BF")=0,"",SUMIFS(tblDaily[Admissions],tblDaily[EntryDate],DATE(2026,11,8),tblDaily[WardCode],"BF")),"")</f>
        <v/>
      </c>
      <c r="C404" s="5" t="str">
        <f>IFERROR(IF(SUMIFS(tblDaily[Discharges],tblDaily[EntryDate],DATE(2026,11,8),tblDaily[WardCode],"BF")=0,"",SUMIFS(tblDaily[Discharges],tblDaily[EntryDate],DATE(2026,11,8),tblDaily[WardCode],"BF")),"")</f>
        <v/>
      </c>
      <c r="D404" s="5" t="str">
        <f>IFERROR(IF(SUMIFS(tblDaily[Deaths],tblDaily[EntryDate],DATE(2026,11,8),tblDaily[WardCode],"BF")=0,"",SUMIFS(tblDaily[Deaths],tblDaily[EntryDate],DATE(2026,11,8),tblDaily[WardCode],"BF")),"")</f>
        <v/>
      </c>
      <c r="E404" s="5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5" t="str">
        <f>IFERROR(IF(SUMIFS(tblDaily[TransfersIn],tblDaily[EntryDate],DATE(2026,11,8),tblDaily[WardCode],"BF")=0,"",SUMIFS(tblDaily[TransfersIn],tblDaily[EntryDate],DATE(2026,11,8),tblDaily[WardCode],"BF")),"")</f>
        <v/>
      </c>
      <c r="G404" s="5" t="str">
        <f>IFERROR(IF(SUMIFS(tblDaily[TransfersOut],tblDaily[EntryDate],DATE(2026,11,8),tblDaily[WardCode],"BF")=0,"",SUMIFS(tblDaily[TransfersOut],tblDaily[EntryDate],DATE(2026,11,8),tblDaily[WardCode],"BF")),"")</f>
        <v/>
      </c>
      <c r="H404" s="5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IFERROR(IF(SUMIFS(tblDaily[Admissions],tblDaily[EntryDate],DATE(2026,11,9),tblDaily[WardCode],"BF")=0,"",SUMIFS(tblDaily[Admissions],tblDaily[EntryDate],DATE(2026,11,9),tblDaily[WardCode],"BF")),"")</f>
        <v/>
      </c>
      <c r="C405" s="5" t="str">
        <f>IFERROR(IF(SUMIFS(tblDaily[Discharges],tblDaily[EntryDate],DATE(2026,11,9),tblDaily[WardCode],"BF")=0,"",SUMIFS(tblDaily[Discharges],tblDaily[EntryDate],DATE(2026,11,9),tblDaily[WardCode],"BF")),"")</f>
        <v/>
      </c>
      <c r="D405" s="5" t="str">
        <f>IFERROR(IF(SUMIFS(tblDaily[Deaths],tblDaily[EntryDate],DATE(2026,11,9),tblDaily[WardCode],"BF")=0,"",SUMIFS(tblDaily[Deaths],tblDaily[EntryDate],DATE(2026,11,9),tblDaily[WardCode],"BF")),"")</f>
        <v/>
      </c>
      <c r="E405" s="5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5" t="str">
        <f>IFERROR(IF(SUMIFS(tblDaily[TransfersIn],tblDaily[EntryDate],DATE(2026,11,9),tblDaily[WardCode],"BF")=0,"",SUMIFS(tblDaily[TransfersIn],tblDaily[EntryDate],DATE(2026,11,9),tblDaily[WardCode],"BF")),"")</f>
        <v/>
      </c>
      <c r="G405" s="5" t="str">
        <f>IFERROR(IF(SUMIFS(tblDaily[TransfersOut],tblDaily[EntryDate],DATE(2026,11,9),tblDaily[WardCode],"BF")=0,"",SUMIFS(tblDaily[TransfersOut],tblDaily[EntryDate],DATE(2026,11,9),tblDaily[WardCode],"BF")),"")</f>
        <v/>
      </c>
      <c r="H405" s="5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IFERROR(IF(SUMIFS(tblDaily[Admissions],tblDaily[EntryDate],DATE(2026,11,10),tblDaily[WardCode],"BF")=0,"",SUMIFS(tblDaily[Admissions],tblDaily[EntryDate],DATE(2026,11,10),tblDaily[WardCode],"BF")),"")</f>
        <v/>
      </c>
      <c r="C406" s="5" t="str">
        <f>IFERROR(IF(SUMIFS(tblDaily[Discharges],tblDaily[EntryDate],DATE(2026,11,10),tblDaily[WardCode],"BF")=0,"",SUMIFS(tblDaily[Discharges],tblDaily[EntryDate],DATE(2026,11,10),tblDaily[WardCode],"BF")),"")</f>
        <v/>
      </c>
      <c r="D406" s="5" t="str">
        <f>IFERROR(IF(SUMIFS(tblDaily[Deaths],tblDaily[EntryDate],DATE(2026,11,10),tblDaily[WardCode],"BF")=0,"",SUMIFS(tblDaily[Deaths],tblDaily[EntryDate],DATE(2026,11,10),tblDaily[WardCode],"BF")),"")</f>
        <v/>
      </c>
      <c r="E406" s="5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5" t="str">
        <f>IFERROR(IF(SUMIFS(tblDaily[TransfersIn],tblDaily[EntryDate],DATE(2026,11,10),tblDaily[WardCode],"BF")=0,"",SUMIFS(tblDaily[TransfersIn],tblDaily[EntryDate],DATE(2026,11,10),tblDaily[WardCode],"BF")),"")</f>
        <v/>
      </c>
      <c r="G406" s="5" t="str">
        <f>IFERROR(IF(SUMIFS(tblDaily[TransfersOut],tblDaily[EntryDate],DATE(2026,11,10),tblDaily[WardCode],"BF")=0,"",SUMIFS(tblDaily[TransfersOut],tblDaily[EntryDate],DATE(2026,11,10),tblDaily[WardCode],"BF")),"")</f>
        <v/>
      </c>
      <c r="H406" s="5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IFERROR(IF(SUMIFS(tblDaily[Admissions],tblDaily[EntryDate],DATE(2026,11,11),tblDaily[WardCode],"BF")=0,"",SUMIFS(tblDaily[Admissions],tblDaily[EntryDate],DATE(2026,11,11),tblDaily[WardCode],"BF")),"")</f>
        <v/>
      </c>
      <c r="C407" s="5" t="str">
        <f>IFERROR(IF(SUMIFS(tblDaily[Discharges],tblDaily[EntryDate],DATE(2026,11,11),tblDaily[WardCode],"BF")=0,"",SUMIFS(tblDaily[Discharges],tblDaily[EntryDate],DATE(2026,11,11),tblDaily[WardCode],"BF")),"")</f>
        <v/>
      </c>
      <c r="D407" s="5" t="str">
        <f>IFERROR(IF(SUMIFS(tblDaily[Deaths],tblDaily[EntryDate],DATE(2026,11,11),tblDaily[WardCode],"BF")=0,"",SUMIFS(tblDaily[Deaths],tblDaily[EntryDate],DATE(2026,11,11),tblDaily[WardCode],"BF")),"")</f>
        <v/>
      </c>
      <c r="E407" s="5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5" t="str">
        <f>IFERROR(IF(SUMIFS(tblDaily[TransfersIn],tblDaily[EntryDate],DATE(2026,11,11),tblDaily[WardCode],"BF")=0,"",SUMIFS(tblDaily[TransfersIn],tblDaily[EntryDate],DATE(2026,11,11),tblDaily[WardCode],"BF")),"")</f>
        <v/>
      </c>
      <c r="G407" s="5" t="str">
        <f>IFERROR(IF(SUMIFS(tblDaily[TransfersOut],tblDaily[EntryDate],DATE(2026,11,11),tblDaily[WardCode],"BF")=0,"",SUMIFS(tblDaily[TransfersOut],tblDaily[EntryDate],DATE(2026,11,11),tblDaily[WardCode],"BF")),"")</f>
        <v/>
      </c>
      <c r="H407" s="5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IFERROR(IF(SUMIFS(tblDaily[Admissions],tblDaily[EntryDate],DATE(2026,11,12),tblDaily[WardCode],"BF")=0,"",SUMIFS(tblDaily[Admissions],tblDaily[EntryDate],DATE(2026,11,12),tblDaily[WardCode],"BF")),"")</f>
        <v/>
      </c>
      <c r="C408" s="5" t="str">
        <f>IFERROR(IF(SUMIFS(tblDaily[Discharges],tblDaily[EntryDate],DATE(2026,11,12),tblDaily[WardCode],"BF")=0,"",SUMIFS(tblDaily[Discharges],tblDaily[EntryDate],DATE(2026,11,12),tblDaily[WardCode],"BF")),"")</f>
        <v/>
      </c>
      <c r="D408" s="5" t="str">
        <f>IFERROR(IF(SUMIFS(tblDaily[Deaths],tblDaily[EntryDate],DATE(2026,11,12),tblDaily[WardCode],"BF")=0,"",SUMIFS(tblDaily[Deaths],tblDaily[EntryDate],DATE(2026,11,12),tblDaily[WardCode],"BF")),"")</f>
        <v/>
      </c>
      <c r="E408" s="5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5" t="str">
        <f>IFERROR(IF(SUMIFS(tblDaily[TransfersIn],tblDaily[EntryDate],DATE(2026,11,12),tblDaily[WardCode],"BF")=0,"",SUMIFS(tblDaily[TransfersIn],tblDaily[EntryDate],DATE(2026,11,12),tblDaily[WardCode],"BF")),"")</f>
        <v/>
      </c>
      <c r="G408" s="5" t="str">
        <f>IFERROR(IF(SUMIFS(tblDaily[TransfersOut],tblDaily[EntryDate],DATE(2026,11,12),tblDaily[WardCode],"BF")=0,"",SUMIFS(tblDaily[TransfersOut],tblDaily[EntryDate],DATE(2026,11,12),tblDaily[WardCode],"BF")),"")</f>
        <v/>
      </c>
      <c r="H408" s="5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IFERROR(IF(SUMIFS(tblDaily[Admissions],tblDaily[EntryDate],DATE(2026,11,13),tblDaily[WardCode],"BF")=0,"",SUMIFS(tblDaily[Admissions],tblDaily[EntryDate],DATE(2026,11,13),tblDaily[WardCode],"BF")),"")</f>
        <v/>
      </c>
      <c r="C409" s="5" t="str">
        <f>IFERROR(IF(SUMIFS(tblDaily[Discharges],tblDaily[EntryDate],DATE(2026,11,13),tblDaily[WardCode],"BF")=0,"",SUMIFS(tblDaily[Discharges],tblDaily[EntryDate],DATE(2026,11,13),tblDaily[WardCode],"BF")),"")</f>
        <v/>
      </c>
      <c r="D409" s="5" t="str">
        <f>IFERROR(IF(SUMIFS(tblDaily[Deaths],tblDaily[EntryDate],DATE(2026,11,13),tblDaily[WardCode],"BF")=0,"",SUMIFS(tblDaily[Deaths],tblDaily[EntryDate],DATE(2026,11,13),tblDaily[WardCode],"BF")),"")</f>
        <v/>
      </c>
      <c r="E409" s="5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5" t="str">
        <f>IFERROR(IF(SUMIFS(tblDaily[TransfersIn],tblDaily[EntryDate],DATE(2026,11,13),tblDaily[WardCode],"BF")=0,"",SUMIFS(tblDaily[TransfersIn],tblDaily[EntryDate],DATE(2026,11,13),tblDaily[WardCode],"BF")),"")</f>
        <v/>
      </c>
      <c r="G409" s="5" t="str">
        <f>IFERROR(IF(SUMIFS(tblDaily[TransfersOut],tblDaily[EntryDate],DATE(2026,11,13),tblDaily[WardCode],"BF")=0,"",SUMIFS(tblDaily[TransfersOut],tblDaily[EntryDate],DATE(2026,11,13),tblDaily[WardCode],"BF")),"")</f>
        <v/>
      </c>
      <c r="H409" s="5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IFERROR(IF(SUMIFS(tblDaily[Admissions],tblDaily[EntryDate],DATE(2026,11,14),tblDaily[WardCode],"BF")=0,"",SUMIFS(tblDaily[Admissions],tblDaily[EntryDate],DATE(2026,11,14),tblDaily[WardCode],"BF")),"")</f>
        <v/>
      </c>
      <c r="C410" s="5" t="str">
        <f>IFERROR(IF(SUMIFS(tblDaily[Discharges],tblDaily[EntryDate],DATE(2026,11,14),tblDaily[WardCode],"BF")=0,"",SUMIFS(tblDaily[Discharges],tblDaily[EntryDate],DATE(2026,11,14),tblDaily[WardCode],"BF")),"")</f>
        <v/>
      </c>
      <c r="D410" s="5" t="str">
        <f>IFERROR(IF(SUMIFS(tblDaily[Deaths],tblDaily[EntryDate],DATE(2026,11,14),tblDaily[WardCode],"BF")=0,"",SUMIFS(tblDaily[Deaths],tblDaily[EntryDate],DATE(2026,11,14),tblDaily[WardCode],"BF")),"")</f>
        <v/>
      </c>
      <c r="E410" s="5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5" t="str">
        <f>IFERROR(IF(SUMIFS(tblDaily[TransfersIn],tblDaily[EntryDate],DATE(2026,11,14),tblDaily[WardCode],"BF")=0,"",SUMIFS(tblDaily[TransfersIn],tblDaily[EntryDate],DATE(2026,11,14),tblDaily[WardCode],"BF")),"")</f>
        <v/>
      </c>
      <c r="G410" s="5" t="str">
        <f>IFERROR(IF(SUMIFS(tblDaily[TransfersOut],tblDaily[EntryDate],DATE(2026,11,14),tblDaily[WardCode],"BF")=0,"",SUMIFS(tblDaily[TransfersOut],tblDaily[EntryDate],DATE(2026,11,14),tblDaily[WardCode],"BF")),"")</f>
        <v/>
      </c>
      <c r="H410" s="5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IFERROR(IF(SUMIFS(tblDaily[Admissions],tblDaily[EntryDate],DATE(2026,11,15),tblDaily[WardCode],"BF")=0,"",SUMIFS(tblDaily[Admissions],tblDaily[EntryDate],DATE(2026,11,15),tblDaily[WardCode],"BF")),"")</f>
        <v/>
      </c>
      <c r="C411" s="5" t="str">
        <f>IFERROR(IF(SUMIFS(tblDaily[Discharges],tblDaily[EntryDate],DATE(2026,11,15),tblDaily[WardCode],"BF")=0,"",SUMIFS(tblDaily[Discharges],tblDaily[EntryDate],DATE(2026,11,15),tblDaily[WardCode],"BF")),"")</f>
        <v/>
      </c>
      <c r="D411" s="5" t="str">
        <f>IFERROR(IF(SUMIFS(tblDaily[Deaths],tblDaily[EntryDate],DATE(2026,11,15),tblDaily[WardCode],"BF")=0,"",SUMIFS(tblDaily[Deaths],tblDaily[EntryDate],DATE(2026,11,15),tblDaily[WardCode],"BF")),"")</f>
        <v/>
      </c>
      <c r="E411" s="5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5" t="str">
        <f>IFERROR(IF(SUMIFS(tblDaily[TransfersIn],tblDaily[EntryDate],DATE(2026,11,15),tblDaily[WardCode],"BF")=0,"",SUMIFS(tblDaily[TransfersIn],tblDaily[EntryDate],DATE(2026,11,15),tblDaily[WardCode],"BF")),"")</f>
        <v/>
      </c>
      <c r="G411" s="5" t="str">
        <f>IFERROR(IF(SUMIFS(tblDaily[TransfersOut],tblDaily[EntryDate],DATE(2026,11,15),tblDaily[WardCode],"BF")=0,"",SUMIFS(tblDaily[TransfersOut],tblDaily[EntryDate],DATE(2026,11,15),tblDaily[WardCode],"BF")),"")</f>
        <v/>
      </c>
      <c r="H411" s="5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IFERROR(IF(SUMIFS(tblDaily[Admissions],tblDaily[EntryDate],DATE(2026,11,16),tblDaily[WardCode],"BF")=0,"",SUMIFS(tblDaily[Admissions],tblDaily[EntryDate],DATE(2026,11,16),tblDaily[WardCode],"BF")),"")</f>
        <v/>
      </c>
      <c r="C412" s="5" t="str">
        <f>IFERROR(IF(SUMIFS(tblDaily[Discharges],tblDaily[EntryDate],DATE(2026,11,16),tblDaily[WardCode],"BF")=0,"",SUMIFS(tblDaily[Discharges],tblDaily[EntryDate],DATE(2026,11,16),tblDaily[WardCode],"BF")),"")</f>
        <v/>
      </c>
      <c r="D412" s="5" t="str">
        <f>IFERROR(IF(SUMIFS(tblDaily[Deaths],tblDaily[EntryDate],DATE(2026,11,16),tblDaily[WardCode],"BF")=0,"",SUMIFS(tblDaily[Deaths],tblDaily[EntryDate],DATE(2026,11,16),tblDaily[WardCode],"BF")),"")</f>
        <v/>
      </c>
      <c r="E412" s="5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5" t="str">
        <f>IFERROR(IF(SUMIFS(tblDaily[TransfersIn],tblDaily[EntryDate],DATE(2026,11,16),tblDaily[WardCode],"BF")=0,"",SUMIFS(tblDaily[TransfersIn],tblDaily[EntryDate],DATE(2026,11,16),tblDaily[WardCode],"BF")),"")</f>
        <v/>
      </c>
      <c r="G412" s="5" t="str">
        <f>IFERROR(IF(SUMIFS(tblDaily[TransfersOut],tblDaily[EntryDate],DATE(2026,11,16),tblDaily[WardCode],"BF")=0,"",SUMIFS(tblDaily[TransfersOut],tblDaily[EntryDate],DATE(2026,11,16),tblDaily[WardCode],"BF")),"")</f>
        <v/>
      </c>
      <c r="H412" s="5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IFERROR(IF(SUMIFS(tblDaily[Admissions],tblDaily[EntryDate],DATE(2026,11,17),tblDaily[WardCode],"BF")=0,"",SUMIFS(tblDaily[Admissions],tblDaily[EntryDate],DATE(2026,11,17),tblDaily[WardCode],"BF")),"")</f>
        <v/>
      </c>
      <c r="C413" s="5" t="str">
        <f>IFERROR(IF(SUMIFS(tblDaily[Discharges],tblDaily[EntryDate],DATE(2026,11,17),tblDaily[WardCode],"BF")=0,"",SUMIFS(tblDaily[Discharges],tblDaily[EntryDate],DATE(2026,11,17),tblDaily[WardCode],"BF")),"")</f>
        <v/>
      </c>
      <c r="D413" s="5" t="str">
        <f>IFERROR(IF(SUMIFS(tblDaily[Deaths],tblDaily[EntryDate],DATE(2026,11,17),tblDaily[WardCode],"BF")=0,"",SUMIFS(tblDaily[Deaths],tblDaily[EntryDate],DATE(2026,11,17),tblDaily[WardCode],"BF")),"")</f>
        <v/>
      </c>
      <c r="E413" s="5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5" t="str">
        <f>IFERROR(IF(SUMIFS(tblDaily[TransfersIn],tblDaily[EntryDate],DATE(2026,11,17),tblDaily[WardCode],"BF")=0,"",SUMIFS(tblDaily[TransfersIn],tblDaily[EntryDate],DATE(2026,11,17),tblDaily[WardCode],"BF")),"")</f>
        <v/>
      </c>
      <c r="G413" s="5" t="str">
        <f>IFERROR(IF(SUMIFS(tblDaily[TransfersOut],tblDaily[EntryDate],DATE(2026,11,17),tblDaily[WardCode],"BF")=0,"",SUMIFS(tblDaily[TransfersOut],tblDaily[EntryDate],DATE(2026,11,17),tblDaily[WardCode],"BF")),"")</f>
        <v/>
      </c>
      <c r="H413" s="5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IFERROR(IF(SUMIFS(tblDaily[Admissions],tblDaily[EntryDate],DATE(2026,11,18),tblDaily[WardCode],"BF")=0,"",SUMIFS(tblDaily[Admissions],tblDaily[EntryDate],DATE(2026,11,18),tblDaily[WardCode],"BF")),"")</f>
        <v/>
      </c>
      <c r="C414" s="5" t="str">
        <f>IFERROR(IF(SUMIFS(tblDaily[Discharges],tblDaily[EntryDate],DATE(2026,11,18),tblDaily[WardCode],"BF")=0,"",SUMIFS(tblDaily[Discharges],tblDaily[EntryDate],DATE(2026,11,18),tblDaily[WardCode],"BF")),"")</f>
        <v/>
      </c>
      <c r="D414" s="5" t="str">
        <f>IFERROR(IF(SUMIFS(tblDaily[Deaths],tblDaily[EntryDate],DATE(2026,11,18),tblDaily[WardCode],"BF")=0,"",SUMIFS(tblDaily[Deaths],tblDaily[EntryDate],DATE(2026,11,18),tblDaily[WardCode],"BF")),"")</f>
        <v/>
      </c>
      <c r="E414" s="5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5" t="str">
        <f>IFERROR(IF(SUMIFS(tblDaily[TransfersIn],tblDaily[EntryDate],DATE(2026,11,18),tblDaily[WardCode],"BF")=0,"",SUMIFS(tblDaily[TransfersIn],tblDaily[EntryDate],DATE(2026,11,18),tblDaily[WardCode],"BF")),"")</f>
        <v/>
      </c>
      <c r="G414" s="5" t="str">
        <f>IFERROR(IF(SUMIFS(tblDaily[TransfersOut],tblDaily[EntryDate],DATE(2026,11,18),tblDaily[WardCode],"BF")=0,"",SUMIFS(tblDaily[TransfersOut],tblDaily[EntryDate],DATE(2026,11,18),tblDaily[WardCode],"BF")),"")</f>
        <v/>
      </c>
      <c r="H414" s="5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IFERROR(IF(SUMIFS(tblDaily[Admissions],tblDaily[EntryDate],DATE(2026,11,19),tblDaily[WardCode],"BF")=0,"",SUMIFS(tblDaily[Admissions],tblDaily[EntryDate],DATE(2026,11,19),tblDaily[WardCode],"BF")),"")</f>
        <v/>
      </c>
      <c r="C415" s="5" t="str">
        <f>IFERROR(IF(SUMIFS(tblDaily[Discharges],tblDaily[EntryDate],DATE(2026,11,19),tblDaily[WardCode],"BF")=0,"",SUMIFS(tblDaily[Discharges],tblDaily[EntryDate],DATE(2026,11,19),tblDaily[WardCode],"BF")),"")</f>
        <v/>
      </c>
      <c r="D415" s="5" t="str">
        <f>IFERROR(IF(SUMIFS(tblDaily[Deaths],tblDaily[EntryDate],DATE(2026,11,19),tblDaily[WardCode],"BF")=0,"",SUMIFS(tblDaily[Deaths],tblDaily[EntryDate],DATE(2026,11,19),tblDaily[WardCode],"BF")),"")</f>
        <v/>
      </c>
      <c r="E415" s="5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5" t="str">
        <f>IFERROR(IF(SUMIFS(tblDaily[TransfersIn],tblDaily[EntryDate],DATE(2026,11,19),tblDaily[WardCode],"BF")=0,"",SUMIFS(tblDaily[TransfersIn],tblDaily[EntryDate],DATE(2026,11,19),tblDaily[WardCode],"BF")),"")</f>
        <v/>
      </c>
      <c r="G415" s="5" t="str">
        <f>IFERROR(IF(SUMIFS(tblDaily[TransfersOut],tblDaily[EntryDate],DATE(2026,11,19),tblDaily[WardCode],"BF")=0,"",SUMIFS(tblDaily[TransfersOut],tblDaily[EntryDate],DATE(2026,11,19),tblDaily[WardCode],"BF")),"")</f>
        <v/>
      </c>
      <c r="H415" s="5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IFERROR(IF(SUMIFS(tblDaily[Admissions],tblDaily[EntryDate],DATE(2026,11,20),tblDaily[WardCode],"BF")=0,"",SUMIFS(tblDaily[Admissions],tblDaily[EntryDate],DATE(2026,11,20),tblDaily[WardCode],"BF")),"")</f>
        <v/>
      </c>
      <c r="C416" s="5" t="str">
        <f>IFERROR(IF(SUMIFS(tblDaily[Discharges],tblDaily[EntryDate],DATE(2026,11,20),tblDaily[WardCode],"BF")=0,"",SUMIFS(tblDaily[Discharges],tblDaily[EntryDate],DATE(2026,11,20),tblDaily[WardCode],"BF")),"")</f>
        <v/>
      </c>
      <c r="D416" s="5" t="str">
        <f>IFERROR(IF(SUMIFS(tblDaily[Deaths],tblDaily[EntryDate],DATE(2026,11,20),tblDaily[WardCode],"BF")=0,"",SUMIFS(tblDaily[Deaths],tblDaily[EntryDate],DATE(2026,11,20),tblDaily[WardCode],"BF")),"")</f>
        <v/>
      </c>
      <c r="E416" s="5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5" t="str">
        <f>IFERROR(IF(SUMIFS(tblDaily[TransfersIn],tblDaily[EntryDate],DATE(2026,11,20),tblDaily[WardCode],"BF")=0,"",SUMIFS(tblDaily[TransfersIn],tblDaily[EntryDate],DATE(2026,11,20),tblDaily[WardCode],"BF")),"")</f>
        <v/>
      </c>
      <c r="G416" s="5" t="str">
        <f>IFERROR(IF(SUMIFS(tblDaily[TransfersOut],tblDaily[EntryDate],DATE(2026,11,20),tblDaily[WardCode],"BF")=0,"",SUMIFS(tblDaily[TransfersOut],tblDaily[EntryDate],DATE(2026,11,20),tblDaily[WardCode],"BF")),"")</f>
        <v/>
      </c>
      <c r="H416" s="5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IFERROR(IF(SUMIFS(tblDaily[Admissions],tblDaily[EntryDate],DATE(2026,11,21),tblDaily[WardCode],"BF")=0,"",SUMIFS(tblDaily[Admissions],tblDaily[EntryDate],DATE(2026,11,21),tblDaily[WardCode],"BF")),"")</f>
        <v/>
      </c>
      <c r="C417" s="5" t="str">
        <f>IFERROR(IF(SUMIFS(tblDaily[Discharges],tblDaily[EntryDate],DATE(2026,11,21),tblDaily[WardCode],"BF")=0,"",SUMIFS(tblDaily[Discharges],tblDaily[EntryDate],DATE(2026,11,21),tblDaily[WardCode],"BF")),"")</f>
        <v/>
      </c>
      <c r="D417" s="5" t="str">
        <f>IFERROR(IF(SUMIFS(tblDaily[Deaths],tblDaily[EntryDate],DATE(2026,11,21),tblDaily[WardCode],"BF")=0,"",SUMIFS(tblDaily[Deaths],tblDaily[EntryDate],DATE(2026,11,21),tblDaily[WardCode],"BF")),"")</f>
        <v/>
      </c>
      <c r="E417" s="5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5" t="str">
        <f>IFERROR(IF(SUMIFS(tblDaily[TransfersIn],tblDaily[EntryDate],DATE(2026,11,21),tblDaily[WardCode],"BF")=0,"",SUMIFS(tblDaily[TransfersIn],tblDaily[EntryDate],DATE(2026,11,21),tblDaily[WardCode],"BF")),"")</f>
        <v/>
      </c>
      <c r="G417" s="5" t="str">
        <f>IFERROR(IF(SUMIFS(tblDaily[TransfersOut],tblDaily[EntryDate],DATE(2026,11,21),tblDaily[WardCode],"BF")=0,"",SUMIFS(tblDaily[TransfersOut],tblDaily[EntryDate],DATE(2026,11,21),tblDaily[WardCode],"BF")),"")</f>
        <v/>
      </c>
      <c r="H417" s="5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IFERROR(IF(SUMIFS(tblDaily[Admissions],tblDaily[EntryDate],DATE(2026,11,22),tblDaily[WardCode],"BF")=0,"",SUMIFS(tblDaily[Admissions],tblDaily[EntryDate],DATE(2026,11,22),tblDaily[WardCode],"BF")),"")</f>
        <v/>
      </c>
      <c r="C418" s="5" t="str">
        <f>IFERROR(IF(SUMIFS(tblDaily[Discharges],tblDaily[EntryDate],DATE(2026,11,22),tblDaily[WardCode],"BF")=0,"",SUMIFS(tblDaily[Discharges],tblDaily[EntryDate],DATE(2026,11,22),tblDaily[WardCode],"BF")),"")</f>
        <v/>
      </c>
      <c r="D418" s="5" t="str">
        <f>IFERROR(IF(SUMIFS(tblDaily[Deaths],tblDaily[EntryDate],DATE(2026,11,22),tblDaily[WardCode],"BF")=0,"",SUMIFS(tblDaily[Deaths],tblDaily[EntryDate],DATE(2026,11,22),tblDaily[WardCode],"BF")),"")</f>
        <v/>
      </c>
      <c r="E418" s="5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5" t="str">
        <f>IFERROR(IF(SUMIFS(tblDaily[TransfersIn],tblDaily[EntryDate],DATE(2026,11,22),tblDaily[WardCode],"BF")=0,"",SUMIFS(tblDaily[TransfersIn],tblDaily[EntryDate],DATE(2026,11,22),tblDaily[WardCode],"BF")),"")</f>
        <v/>
      </c>
      <c r="G418" s="5" t="str">
        <f>IFERROR(IF(SUMIFS(tblDaily[TransfersOut],tblDaily[EntryDate],DATE(2026,11,22),tblDaily[WardCode],"BF")=0,"",SUMIFS(tblDaily[TransfersOut],tblDaily[EntryDate],DATE(2026,11,22),tblDaily[WardCode],"BF")),"")</f>
        <v/>
      </c>
      <c r="H418" s="5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IFERROR(IF(SUMIFS(tblDaily[Admissions],tblDaily[EntryDate],DATE(2026,11,23),tblDaily[WardCode],"BF")=0,"",SUMIFS(tblDaily[Admissions],tblDaily[EntryDate],DATE(2026,11,23),tblDaily[WardCode],"BF")),"")</f>
        <v/>
      </c>
      <c r="C419" s="5" t="str">
        <f>IFERROR(IF(SUMIFS(tblDaily[Discharges],tblDaily[EntryDate],DATE(2026,11,23),tblDaily[WardCode],"BF")=0,"",SUMIFS(tblDaily[Discharges],tblDaily[EntryDate],DATE(2026,11,23),tblDaily[WardCode],"BF")),"")</f>
        <v/>
      </c>
      <c r="D419" s="5" t="str">
        <f>IFERROR(IF(SUMIFS(tblDaily[Deaths],tblDaily[EntryDate],DATE(2026,11,23),tblDaily[WardCode],"BF")=0,"",SUMIFS(tblDaily[Deaths],tblDaily[EntryDate],DATE(2026,11,23),tblDaily[WardCode],"BF")),"")</f>
        <v/>
      </c>
      <c r="E419" s="5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5" t="str">
        <f>IFERROR(IF(SUMIFS(tblDaily[TransfersIn],tblDaily[EntryDate],DATE(2026,11,23),tblDaily[WardCode],"BF")=0,"",SUMIFS(tblDaily[TransfersIn],tblDaily[EntryDate],DATE(2026,11,23),tblDaily[WardCode],"BF")),"")</f>
        <v/>
      </c>
      <c r="G419" s="5" t="str">
        <f>IFERROR(IF(SUMIFS(tblDaily[TransfersOut],tblDaily[EntryDate],DATE(2026,11,23),tblDaily[WardCode],"BF")=0,"",SUMIFS(tblDaily[TransfersOut],tblDaily[EntryDate],DATE(2026,11,23),tblDaily[WardCode],"BF")),"")</f>
        <v/>
      </c>
      <c r="H419" s="5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IFERROR(IF(SUMIFS(tblDaily[Admissions],tblDaily[EntryDate],DATE(2026,11,24),tblDaily[WardCode],"BF")=0,"",SUMIFS(tblDaily[Admissions],tblDaily[EntryDate],DATE(2026,11,24),tblDaily[WardCode],"BF")),"")</f>
        <v/>
      </c>
      <c r="C420" s="5" t="str">
        <f>IFERROR(IF(SUMIFS(tblDaily[Discharges],tblDaily[EntryDate],DATE(2026,11,24),tblDaily[WardCode],"BF")=0,"",SUMIFS(tblDaily[Discharges],tblDaily[EntryDate],DATE(2026,11,24),tblDaily[WardCode],"BF")),"")</f>
        <v/>
      </c>
      <c r="D420" s="5" t="str">
        <f>IFERROR(IF(SUMIFS(tblDaily[Deaths],tblDaily[EntryDate],DATE(2026,11,24),tblDaily[WardCode],"BF")=0,"",SUMIFS(tblDaily[Deaths],tblDaily[EntryDate],DATE(2026,11,24),tblDaily[WardCode],"BF")),"")</f>
        <v/>
      </c>
      <c r="E420" s="5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5" t="str">
        <f>IFERROR(IF(SUMIFS(tblDaily[TransfersIn],tblDaily[EntryDate],DATE(2026,11,24),tblDaily[WardCode],"BF")=0,"",SUMIFS(tblDaily[TransfersIn],tblDaily[EntryDate],DATE(2026,11,24),tblDaily[WardCode],"BF")),"")</f>
        <v/>
      </c>
      <c r="G420" s="5" t="str">
        <f>IFERROR(IF(SUMIFS(tblDaily[TransfersOut],tblDaily[EntryDate],DATE(2026,11,24),tblDaily[WardCode],"BF")=0,"",SUMIFS(tblDaily[TransfersOut],tblDaily[EntryDate],DATE(2026,11,24),tblDaily[WardCode],"BF")),"")</f>
        <v/>
      </c>
      <c r="H420" s="5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IFERROR(IF(SUMIFS(tblDaily[Admissions],tblDaily[EntryDate],DATE(2026,11,25),tblDaily[WardCode],"BF")=0,"",SUMIFS(tblDaily[Admissions],tblDaily[EntryDate],DATE(2026,11,25),tblDaily[WardCode],"BF")),"")</f>
        <v/>
      </c>
      <c r="C421" s="5" t="str">
        <f>IFERROR(IF(SUMIFS(tblDaily[Discharges],tblDaily[EntryDate],DATE(2026,11,25),tblDaily[WardCode],"BF")=0,"",SUMIFS(tblDaily[Discharges],tblDaily[EntryDate],DATE(2026,11,25),tblDaily[WardCode],"BF")),"")</f>
        <v/>
      </c>
      <c r="D421" s="5" t="str">
        <f>IFERROR(IF(SUMIFS(tblDaily[Deaths],tblDaily[EntryDate],DATE(2026,11,25),tblDaily[WardCode],"BF")=0,"",SUMIFS(tblDaily[Deaths],tblDaily[EntryDate],DATE(2026,11,25),tblDaily[WardCode],"BF")),"")</f>
        <v/>
      </c>
      <c r="E421" s="5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5" t="str">
        <f>IFERROR(IF(SUMIFS(tblDaily[TransfersIn],tblDaily[EntryDate],DATE(2026,11,25),tblDaily[WardCode],"BF")=0,"",SUMIFS(tblDaily[TransfersIn],tblDaily[EntryDate],DATE(2026,11,25),tblDaily[WardCode],"BF")),"")</f>
        <v/>
      </c>
      <c r="G421" s="5" t="str">
        <f>IFERROR(IF(SUMIFS(tblDaily[TransfersOut],tblDaily[EntryDate],DATE(2026,11,25),tblDaily[WardCode],"BF")=0,"",SUMIFS(tblDaily[TransfersOut],tblDaily[EntryDate],DATE(2026,11,25),tblDaily[WardCode],"BF")),"")</f>
        <v/>
      </c>
      <c r="H421" s="5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IFERROR(IF(SUMIFS(tblDaily[Admissions],tblDaily[EntryDate],DATE(2026,11,26),tblDaily[WardCode],"BF")=0,"",SUMIFS(tblDaily[Admissions],tblDaily[EntryDate],DATE(2026,11,26),tblDaily[WardCode],"BF")),"")</f>
        <v/>
      </c>
      <c r="C422" s="5" t="str">
        <f>IFERROR(IF(SUMIFS(tblDaily[Discharges],tblDaily[EntryDate],DATE(2026,11,26),tblDaily[WardCode],"BF")=0,"",SUMIFS(tblDaily[Discharges],tblDaily[EntryDate],DATE(2026,11,26),tblDaily[WardCode],"BF")),"")</f>
        <v/>
      </c>
      <c r="D422" s="5" t="str">
        <f>IFERROR(IF(SUMIFS(tblDaily[Deaths],tblDaily[EntryDate],DATE(2026,11,26),tblDaily[WardCode],"BF")=0,"",SUMIFS(tblDaily[Deaths],tblDaily[EntryDate],DATE(2026,11,26),tblDaily[WardCode],"BF")),"")</f>
        <v/>
      </c>
      <c r="E422" s="5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5" t="str">
        <f>IFERROR(IF(SUMIFS(tblDaily[TransfersIn],tblDaily[EntryDate],DATE(2026,11,26),tblDaily[WardCode],"BF")=0,"",SUMIFS(tblDaily[TransfersIn],tblDaily[EntryDate],DATE(2026,11,26),tblDaily[WardCode],"BF")),"")</f>
        <v/>
      </c>
      <c r="G422" s="5" t="str">
        <f>IFERROR(IF(SUMIFS(tblDaily[TransfersOut],tblDaily[EntryDate],DATE(2026,11,26),tblDaily[WardCode],"BF")=0,"",SUMIFS(tblDaily[TransfersOut],tblDaily[EntryDate],DATE(2026,11,26),tblDaily[WardCode],"BF")),"")</f>
        <v/>
      </c>
      <c r="H422" s="5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IFERROR(IF(SUMIFS(tblDaily[Admissions],tblDaily[EntryDate],DATE(2026,11,27),tblDaily[WardCode],"BF")=0,"",SUMIFS(tblDaily[Admissions],tblDaily[EntryDate],DATE(2026,11,27),tblDaily[WardCode],"BF")),"")</f>
        <v/>
      </c>
      <c r="C423" s="5" t="str">
        <f>IFERROR(IF(SUMIFS(tblDaily[Discharges],tblDaily[EntryDate],DATE(2026,11,27),tblDaily[WardCode],"BF")=0,"",SUMIFS(tblDaily[Discharges],tblDaily[EntryDate],DATE(2026,11,27),tblDaily[WardCode],"BF")),"")</f>
        <v/>
      </c>
      <c r="D423" s="5" t="str">
        <f>IFERROR(IF(SUMIFS(tblDaily[Deaths],tblDaily[EntryDate],DATE(2026,11,27),tblDaily[WardCode],"BF")=0,"",SUMIFS(tblDaily[Deaths],tblDaily[EntryDate],DATE(2026,11,27),tblDaily[WardCode],"BF")),"")</f>
        <v/>
      </c>
      <c r="E423" s="5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5" t="str">
        <f>IFERROR(IF(SUMIFS(tblDaily[TransfersIn],tblDaily[EntryDate],DATE(2026,11,27),tblDaily[WardCode],"BF")=0,"",SUMIFS(tblDaily[TransfersIn],tblDaily[EntryDate],DATE(2026,11,27),tblDaily[WardCode],"BF")),"")</f>
        <v/>
      </c>
      <c r="G423" s="5" t="str">
        <f>IFERROR(IF(SUMIFS(tblDaily[TransfersOut],tblDaily[EntryDate],DATE(2026,11,27),tblDaily[WardCode],"BF")=0,"",SUMIFS(tblDaily[TransfersOut],tblDaily[EntryDate],DATE(2026,11,27),tblDaily[WardCode],"BF")),"")</f>
        <v/>
      </c>
      <c r="H423" s="5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IFERROR(IF(SUMIFS(tblDaily[Admissions],tblDaily[EntryDate],DATE(2026,11,28),tblDaily[WardCode],"BF")=0,"",SUMIFS(tblDaily[Admissions],tblDaily[EntryDate],DATE(2026,11,28),tblDaily[WardCode],"BF")),"")</f>
        <v/>
      </c>
      <c r="C424" s="5" t="str">
        <f>IFERROR(IF(SUMIFS(tblDaily[Discharges],tblDaily[EntryDate],DATE(2026,11,28),tblDaily[WardCode],"BF")=0,"",SUMIFS(tblDaily[Discharges],tblDaily[EntryDate],DATE(2026,11,28),tblDaily[WardCode],"BF")),"")</f>
        <v/>
      </c>
      <c r="D424" s="5" t="str">
        <f>IFERROR(IF(SUMIFS(tblDaily[Deaths],tblDaily[EntryDate],DATE(2026,11,28),tblDaily[WardCode],"BF")=0,"",SUMIFS(tblDaily[Deaths],tblDaily[EntryDate],DATE(2026,11,28),tblDaily[WardCode],"BF")),"")</f>
        <v/>
      </c>
      <c r="E424" s="5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5" t="str">
        <f>IFERROR(IF(SUMIFS(tblDaily[TransfersIn],tblDaily[EntryDate],DATE(2026,11,28),tblDaily[WardCode],"BF")=0,"",SUMIFS(tblDaily[TransfersIn],tblDaily[EntryDate],DATE(2026,11,28),tblDaily[WardCode],"BF")),"")</f>
        <v/>
      </c>
      <c r="G424" s="5" t="str">
        <f>IFERROR(IF(SUMIFS(tblDaily[TransfersOut],tblDaily[EntryDate],DATE(2026,11,28),tblDaily[WardCode],"BF")=0,"",SUMIFS(tblDaily[TransfersOut],tblDaily[EntryDate],DATE(2026,11,28),tblDaily[WardCode],"BF")),"")</f>
        <v/>
      </c>
      <c r="H424" s="5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IFERROR(IF(SUMIFS(tblDaily[Admissions],tblDaily[EntryDate],DATE(2026,11,29),tblDaily[WardCode],"BF")=0,"",SUMIFS(tblDaily[Admissions],tblDaily[EntryDate],DATE(2026,11,29),tblDaily[WardCode],"BF")),"")</f>
        <v/>
      </c>
      <c r="C425" s="5" t="str">
        <f>IFERROR(IF(SUMIFS(tblDaily[Discharges],tblDaily[EntryDate],DATE(2026,11,29),tblDaily[WardCode],"BF")=0,"",SUMIFS(tblDaily[Discharges],tblDaily[EntryDate],DATE(2026,11,29),tblDaily[WardCode],"BF")),"")</f>
        <v/>
      </c>
      <c r="D425" s="5" t="str">
        <f>IFERROR(IF(SUMIFS(tblDaily[Deaths],tblDaily[EntryDate],DATE(2026,11,29),tblDaily[WardCode],"BF")=0,"",SUMIFS(tblDaily[Deaths],tblDaily[EntryDate],DATE(2026,11,29),tblDaily[WardCode],"BF")),"")</f>
        <v/>
      </c>
      <c r="E425" s="5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5" t="str">
        <f>IFERROR(IF(SUMIFS(tblDaily[TransfersIn],tblDaily[EntryDate],DATE(2026,11,29),tblDaily[WardCode],"BF")=0,"",SUMIFS(tblDaily[TransfersIn],tblDaily[EntryDate],DATE(2026,11,29),tblDaily[WardCode],"BF")),"")</f>
        <v/>
      </c>
      <c r="G425" s="5" t="str">
        <f>IFERROR(IF(SUMIFS(tblDaily[TransfersOut],tblDaily[EntryDate],DATE(2026,11,29),tblDaily[WardCode],"BF")=0,"",SUMIFS(tblDaily[TransfersOut],tblDaily[EntryDate],DATE(2026,11,29),tblDaily[WardCode],"BF")),"")</f>
        <v/>
      </c>
      <c r="H425" s="5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IFERROR(IF(SUMIFS(tblDaily[Admissions],tblDaily[EntryDate],DATE(2026,11,30),tblDaily[WardCode],"BF")=0,"",SUMIFS(tblDaily[Admissions],tblDaily[EntryDate],DATE(2026,11,30),tblDaily[WardCode],"BF")),"")</f>
        <v/>
      </c>
      <c r="C426" s="5" t="str">
        <f>IFERROR(IF(SUMIFS(tblDaily[Discharges],tblDaily[EntryDate],DATE(2026,11,30),tblDaily[WardCode],"BF")=0,"",SUMIFS(tblDaily[Discharges],tblDaily[EntryDate],DATE(2026,11,30),tblDaily[WardCode],"BF")),"")</f>
        <v/>
      </c>
      <c r="D426" s="5" t="str">
        <f>IFERROR(IF(SUMIFS(tblDaily[Deaths],tblDaily[EntryDate],DATE(2026,11,30),tblDaily[WardCode],"BF")=0,"",SUMIFS(tblDaily[Deaths],tblDaily[EntryDate],DATE(2026,11,30),tblDaily[WardCode],"BF")),"")</f>
        <v/>
      </c>
      <c r="E426" s="5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5" t="str">
        <f>IFERROR(IF(SUMIFS(tblDaily[TransfersIn],tblDaily[EntryDate],DATE(2026,11,30),tblDaily[WardCode],"BF")=0,"",SUMIFS(tblDaily[TransfersIn],tblDaily[EntryDate],DATE(2026,11,30),tblDaily[WardCode],"BF")),"")</f>
        <v/>
      </c>
      <c r="G426" s="5" t="str">
        <f>IFERROR(IF(SUMIFS(tblDaily[TransfersOut],tblDaily[EntryDate],DATE(2026,11,30),tblDaily[WardCode],"BF")=0,"",SUMIFS(tblDaily[TransfersOut],tblDaily[EntryDate],DATE(2026,11,30),tblDaily[WardCode],"BF")),"")</f>
        <v/>
      </c>
      <c r="H426" s="5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98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89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IFERROR(IF(SUMIFS(tblDaily[Admissions],tblDaily[EntryDate],DATE(2026,12,1),tblDaily[WardCode],"BF")=0,"",SUMIFS(tblDaily[Admissions],tblDaily[EntryDate],DATE(2026,12,1),tblDaily[WardCode],"BF")),"")</f>
        <v/>
      </c>
      <c r="C436" s="5" t="str">
        <f>IFERROR(IF(SUMIFS(tblDaily[Discharges],tblDaily[EntryDate],DATE(2026,12,1),tblDaily[WardCode],"BF")=0,"",SUMIFS(tblDaily[Discharges],tblDaily[EntryDate],DATE(2026,12,1),tblDaily[WardCode],"BF")),"")</f>
        <v/>
      </c>
      <c r="D436" s="5" t="str">
        <f>IFERROR(IF(SUMIFS(tblDaily[Deaths],tblDaily[EntryDate],DATE(2026,12,1),tblDaily[WardCode],"BF")=0,"",SUMIFS(tblDaily[Deaths],tblDaily[EntryDate],DATE(2026,12,1),tblDaily[WardCode],"BF")),"")</f>
        <v/>
      </c>
      <c r="E436" s="5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5" t="str">
        <f>IFERROR(IF(SUMIFS(tblDaily[TransfersIn],tblDaily[EntryDate],DATE(2026,12,1),tblDaily[WardCode],"BF")=0,"",SUMIFS(tblDaily[TransfersIn],tblDaily[EntryDate],DATE(2026,12,1),tblDaily[WardCode],"BF")),"")</f>
        <v/>
      </c>
      <c r="G436" s="5" t="str">
        <f>IFERROR(IF(SUMIFS(tblDaily[TransfersOut],tblDaily[EntryDate],DATE(2026,12,1),tblDaily[WardCode],"BF")=0,"",SUMIFS(tblDaily[TransfersOut],tblDaily[EntryDate],DATE(2026,12,1),tblDaily[WardCode],"BF")),"")</f>
        <v/>
      </c>
      <c r="H436" s="5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IFERROR(IF(SUMIFS(tblDaily[Admissions],tblDaily[EntryDate],DATE(2026,12,2),tblDaily[WardCode],"BF")=0,"",SUMIFS(tblDaily[Admissions],tblDaily[EntryDate],DATE(2026,12,2),tblDaily[WardCode],"BF")),"")</f>
        <v/>
      </c>
      <c r="C437" s="5" t="str">
        <f>IFERROR(IF(SUMIFS(tblDaily[Discharges],tblDaily[EntryDate],DATE(2026,12,2),tblDaily[WardCode],"BF")=0,"",SUMIFS(tblDaily[Discharges],tblDaily[EntryDate],DATE(2026,12,2),tblDaily[WardCode],"BF")),"")</f>
        <v/>
      </c>
      <c r="D437" s="5" t="str">
        <f>IFERROR(IF(SUMIFS(tblDaily[Deaths],tblDaily[EntryDate],DATE(2026,12,2),tblDaily[WardCode],"BF")=0,"",SUMIFS(tblDaily[Deaths],tblDaily[EntryDate],DATE(2026,12,2),tblDaily[WardCode],"BF")),"")</f>
        <v/>
      </c>
      <c r="E437" s="5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5" t="str">
        <f>IFERROR(IF(SUMIFS(tblDaily[TransfersIn],tblDaily[EntryDate],DATE(2026,12,2),tblDaily[WardCode],"BF")=0,"",SUMIFS(tblDaily[TransfersIn],tblDaily[EntryDate],DATE(2026,12,2),tblDaily[WardCode],"BF")),"")</f>
        <v/>
      </c>
      <c r="G437" s="5" t="str">
        <f>IFERROR(IF(SUMIFS(tblDaily[TransfersOut],tblDaily[EntryDate],DATE(2026,12,2),tblDaily[WardCode],"BF")=0,"",SUMIFS(tblDaily[TransfersOut],tblDaily[EntryDate],DATE(2026,12,2),tblDaily[WardCode],"BF")),"")</f>
        <v/>
      </c>
      <c r="H437" s="5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IFERROR(IF(SUMIFS(tblDaily[Admissions],tblDaily[EntryDate],DATE(2026,12,3),tblDaily[WardCode],"BF")=0,"",SUMIFS(tblDaily[Admissions],tblDaily[EntryDate],DATE(2026,12,3),tblDaily[WardCode],"BF")),"")</f>
        <v/>
      </c>
      <c r="C438" s="5" t="str">
        <f>IFERROR(IF(SUMIFS(tblDaily[Discharges],tblDaily[EntryDate],DATE(2026,12,3),tblDaily[WardCode],"BF")=0,"",SUMIFS(tblDaily[Discharges],tblDaily[EntryDate],DATE(2026,12,3),tblDaily[WardCode],"BF")),"")</f>
        <v/>
      </c>
      <c r="D438" s="5" t="str">
        <f>IFERROR(IF(SUMIFS(tblDaily[Deaths],tblDaily[EntryDate],DATE(2026,12,3),tblDaily[WardCode],"BF")=0,"",SUMIFS(tblDaily[Deaths],tblDaily[EntryDate],DATE(2026,12,3),tblDaily[WardCode],"BF")),"")</f>
        <v/>
      </c>
      <c r="E438" s="5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5" t="str">
        <f>IFERROR(IF(SUMIFS(tblDaily[TransfersIn],tblDaily[EntryDate],DATE(2026,12,3),tblDaily[WardCode],"BF")=0,"",SUMIFS(tblDaily[TransfersIn],tblDaily[EntryDate],DATE(2026,12,3),tblDaily[WardCode],"BF")),"")</f>
        <v/>
      </c>
      <c r="G438" s="5" t="str">
        <f>IFERROR(IF(SUMIFS(tblDaily[TransfersOut],tblDaily[EntryDate],DATE(2026,12,3),tblDaily[WardCode],"BF")=0,"",SUMIFS(tblDaily[TransfersOut],tblDaily[EntryDate],DATE(2026,12,3),tblDaily[WardCode],"BF")),"")</f>
        <v/>
      </c>
      <c r="H438" s="5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IFERROR(IF(SUMIFS(tblDaily[Admissions],tblDaily[EntryDate],DATE(2026,12,4),tblDaily[WardCode],"BF")=0,"",SUMIFS(tblDaily[Admissions],tblDaily[EntryDate],DATE(2026,12,4),tblDaily[WardCode],"BF")),"")</f>
        <v/>
      </c>
      <c r="C439" s="5" t="str">
        <f>IFERROR(IF(SUMIFS(tblDaily[Discharges],tblDaily[EntryDate],DATE(2026,12,4),tblDaily[WardCode],"BF")=0,"",SUMIFS(tblDaily[Discharges],tblDaily[EntryDate],DATE(2026,12,4),tblDaily[WardCode],"BF")),"")</f>
        <v/>
      </c>
      <c r="D439" s="5" t="str">
        <f>IFERROR(IF(SUMIFS(tblDaily[Deaths],tblDaily[EntryDate],DATE(2026,12,4),tblDaily[WardCode],"BF")=0,"",SUMIFS(tblDaily[Deaths],tblDaily[EntryDate],DATE(2026,12,4),tblDaily[WardCode],"BF")),"")</f>
        <v/>
      </c>
      <c r="E439" s="5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5" t="str">
        <f>IFERROR(IF(SUMIFS(tblDaily[TransfersIn],tblDaily[EntryDate],DATE(2026,12,4),tblDaily[WardCode],"BF")=0,"",SUMIFS(tblDaily[TransfersIn],tblDaily[EntryDate],DATE(2026,12,4),tblDaily[WardCode],"BF")),"")</f>
        <v/>
      </c>
      <c r="G439" s="5" t="str">
        <f>IFERROR(IF(SUMIFS(tblDaily[TransfersOut],tblDaily[EntryDate],DATE(2026,12,4),tblDaily[WardCode],"BF")=0,"",SUMIFS(tblDaily[TransfersOut],tblDaily[EntryDate],DATE(2026,12,4),tblDaily[WardCode],"BF")),"")</f>
        <v/>
      </c>
      <c r="H439" s="5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IFERROR(IF(SUMIFS(tblDaily[Admissions],tblDaily[EntryDate],DATE(2026,12,5),tblDaily[WardCode],"BF")=0,"",SUMIFS(tblDaily[Admissions],tblDaily[EntryDate],DATE(2026,12,5),tblDaily[WardCode],"BF")),"")</f>
        <v/>
      </c>
      <c r="C440" s="5" t="str">
        <f>IFERROR(IF(SUMIFS(tblDaily[Discharges],tblDaily[EntryDate],DATE(2026,12,5),tblDaily[WardCode],"BF")=0,"",SUMIFS(tblDaily[Discharges],tblDaily[EntryDate],DATE(2026,12,5),tblDaily[WardCode],"BF")),"")</f>
        <v/>
      </c>
      <c r="D440" s="5" t="str">
        <f>IFERROR(IF(SUMIFS(tblDaily[Deaths],tblDaily[EntryDate],DATE(2026,12,5),tblDaily[WardCode],"BF")=0,"",SUMIFS(tblDaily[Deaths],tblDaily[EntryDate],DATE(2026,12,5),tblDaily[WardCode],"BF")),"")</f>
        <v/>
      </c>
      <c r="E440" s="5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5" t="str">
        <f>IFERROR(IF(SUMIFS(tblDaily[TransfersIn],tblDaily[EntryDate],DATE(2026,12,5),tblDaily[WardCode],"BF")=0,"",SUMIFS(tblDaily[TransfersIn],tblDaily[EntryDate],DATE(2026,12,5),tblDaily[WardCode],"BF")),"")</f>
        <v/>
      </c>
      <c r="G440" s="5" t="str">
        <f>IFERROR(IF(SUMIFS(tblDaily[TransfersOut],tblDaily[EntryDate],DATE(2026,12,5),tblDaily[WardCode],"BF")=0,"",SUMIFS(tblDaily[TransfersOut],tblDaily[EntryDate],DATE(2026,12,5),tblDaily[WardCode],"BF")),"")</f>
        <v/>
      </c>
      <c r="H440" s="5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IFERROR(IF(SUMIFS(tblDaily[Admissions],tblDaily[EntryDate],DATE(2026,12,6),tblDaily[WardCode],"BF")=0,"",SUMIFS(tblDaily[Admissions],tblDaily[EntryDate],DATE(2026,12,6),tblDaily[WardCode],"BF")),"")</f>
        <v/>
      </c>
      <c r="C441" s="5" t="str">
        <f>IFERROR(IF(SUMIFS(tblDaily[Discharges],tblDaily[EntryDate],DATE(2026,12,6),tblDaily[WardCode],"BF")=0,"",SUMIFS(tblDaily[Discharges],tblDaily[EntryDate],DATE(2026,12,6),tblDaily[WardCode],"BF")),"")</f>
        <v/>
      </c>
      <c r="D441" s="5" t="str">
        <f>IFERROR(IF(SUMIFS(tblDaily[Deaths],tblDaily[EntryDate],DATE(2026,12,6),tblDaily[WardCode],"BF")=0,"",SUMIFS(tblDaily[Deaths],tblDaily[EntryDate],DATE(2026,12,6),tblDaily[WardCode],"BF")),"")</f>
        <v/>
      </c>
      <c r="E441" s="5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5" t="str">
        <f>IFERROR(IF(SUMIFS(tblDaily[TransfersIn],tblDaily[EntryDate],DATE(2026,12,6),tblDaily[WardCode],"BF")=0,"",SUMIFS(tblDaily[TransfersIn],tblDaily[EntryDate],DATE(2026,12,6),tblDaily[WardCode],"BF")),"")</f>
        <v/>
      </c>
      <c r="G441" s="5" t="str">
        <f>IFERROR(IF(SUMIFS(tblDaily[TransfersOut],tblDaily[EntryDate],DATE(2026,12,6),tblDaily[WardCode],"BF")=0,"",SUMIFS(tblDaily[TransfersOut],tblDaily[EntryDate],DATE(2026,12,6),tblDaily[WardCode],"BF")),"")</f>
        <v/>
      </c>
      <c r="H441" s="5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IFERROR(IF(SUMIFS(tblDaily[Admissions],tblDaily[EntryDate],DATE(2026,12,7),tblDaily[WardCode],"BF")=0,"",SUMIFS(tblDaily[Admissions],tblDaily[EntryDate],DATE(2026,12,7),tblDaily[WardCode],"BF")),"")</f>
        <v/>
      </c>
      <c r="C442" s="5" t="str">
        <f>IFERROR(IF(SUMIFS(tblDaily[Discharges],tblDaily[EntryDate],DATE(2026,12,7),tblDaily[WardCode],"BF")=0,"",SUMIFS(tblDaily[Discharges],tblDaily[EntryDate],DATE(2026,12,7),tblDaily[WardCode],"BF")),"")</f>
        <v/>
      </c>
      <c r="D442" s="5" t="str">
        <f>IFERROR(IF(SUMIFS(tblDaily[Deaths],tblDaily[EntryDate],DATE(2026,12,7),tblDaily[WardCode],"BF")=0,"",SUMIFS(tblDaily[Deaths],tblDaily[EntryDate],DATE(2026,12,7),tblDaily[WardCode],"BF")),"")</f>
        <v/>
      </c>
      <c r="E442" s="5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5" t="str">
        <f>IFERROR(IF(SUMIFS(tblDaily[TransfersIn],tblDaily[EntryDate],DATE(2026,12,7),tblDaily[WardCode],"BF")=0,"",SUMIFS(tblDaily[TransfersIn],tblDaily[EntryDate],DATE(2026,12,7),tblDaily[WardCode],"BF")),"")</f>
        <v/>
      </c>
      <c r="G442" s="5" t="str">
        <f>IFERROR(IF(SUMIFS(tblDaily[TransfersOut],tblDaily[EntryDate],DATE(2026,12,7),tblDaily[WardCode],"BF")=0,"",SUMIFS(tblDaily[TransfersOut],tblDaily[EntryDate],DATE(2026,12,7),tblDaily[WardCode],"BF")),"")</f>
        <v/>
      </c>
      <c r="H442" s="5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IFERROR(IF(SUMIFS(tblDaily[Admissions],tblDaily[EntryDate],DATE(2026,12,8),tblDaily[WardCode],"BF")=0,"",SUMIFS(tblDaily[Admissions],tblDaily[EntryDate],DATE(2026,12,8),tblDaily[WardCode],"BF")),"")</f>
        <v/>
      </c>
      <c r="C443" s="5" t="str">
        <f>IFERROR(IF(SUMIFS(tblDaily[Discharges],tblDaily[EntryDate],DATE(2026,12,8),tblDaily[WardCode],"BF")=0,"",SUMIFS(tblDaily[Discharges],tblDaily[EntryDate],DATE(2026,12,8),tblDaily[WardCode],"BF")),"")</f>
        <v/>
      </c>
      <c r="D443" s="5" t="str">
        <f>IFERROR(IF(SUMIFS(tblDaily[Deaths],tblDaily[EntryDate],DATE(2026,12,8),tblDaily[WardCode],"BF")=0,"",SUMIFS(tblDaily[Deaths],tblDaily[EntryDate],DATE(2026,12,8),tblDaily[WardCode],"BF")),"")</f>
        <v/>
      </c>
      <c r="E443" s="5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5" t="str">
        <f>IFERROR(IF(SUMIFS(tblDaily[TransfersIn],tblDaily[EntryDate],DATE(2026,12,8),tblDaily[WardCode],"BF")=0,"",SUMIFS(tblDaily[TransfersIn],tblDaily[EntryDate],DATE(2026,12,8),tblDaily[WardCode],"BF")),"")</f>
        <v/>
      </c>
      <c r="G443" s="5" t="str">
        <f>IFERROR(IF(SUMIFS(tblDaily[TransfersOut],tblDaily[EntryDate],DATE(2026,12,8),tblDaily[WardCode],"BF")=0,"",SUMIFS(tblDaily[TransfersOut],tblDaily[EntryDate],DATE(2026,12,8),tblDaily[WardCode],"BF")),"")</f>
        <v/>
      </c>
      <c r="H443" s="5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IFERROR(IF(SUMIFS(tblDaily[Admissions],tblDaily[EntryDate],DATE(2026,12,9),tblDaily[WardCode],"BF")=0,"",SUMIFS(tblDaily[Admissions],tblDaily[EntryDate],DATE(2026,12,9),tblDaily[WardCode],"BF")),"")</f>
        <v/>
      </c>
      <c r="C444" s="5" t="str">
        <f>IFERROR(IF(SUMIFS(tblDaily[Discharges],tblDaily[EntryDate],DATE(2026,12,9),tblDaily[WardCode],"BF")=0,"",SUMIFS(tblDaily[Discharges],tblDaily[EntryDate],DATE(2026,12,9),tblDaily[WardCode],"BF")),"")</f>
        <v/>
      </c>
      <c r="D444" s="5" t="str">
        <f>IFERROR(IF(SUMIFS(tblDaily[Deaths],tblDaily[EntryDate],DATE(2026,12,9),tblDaily[WardCode],"BF")=0,"",SUMIFS(tblDaily[Deaths],tblDaily[EntryDate],DATE(2026,12,9),tblDaily[WardCode],"BF")),"")</f>
        <v/>
      </c>
      <c r="E444" s="5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5" t="str">
        <f>IFERROR(IF(SUMIFS(tblDaily[TransfersIn],tblDaily[EntryDate],DATE(2026,12,9),tblDaily[WardCode],"BF")=0,"",SUMIFS(tblDaily[TransfersIn],tblDaily[EntryDate],DATE(2026,12,9),tblDaily[WardCode],"BF")),"")</f>
        <v/>
      </c>
      <c r="G444" s="5" t="str">
        <f>IFERROR(IF(SUMIFS(tblDaily[TransfersOut],tblDaily[EntryDate],DATE(2026,12,9),tblDaily[WardCode],"BF")=0,"",SUMIFS(tblDaily[TransfersOut],tblDaily[EntryDate],DATE(2026,12,9),tblDaily[WardCode],"BF")),"")</f>
        <v/>
      </c>
      <c r="H444" s="5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IFERROR(IF(SUMIFS(tblDaily[Admissions],tblDaily[EntryDate],DATE(2026,12,10),tblDaily[WardCode],"BF")=0,"",SUMIFS(tblDaily[Admissions],tblDaily[EntryDate],DATE(2026,12,10),tblDaily[WardCode],"BF")),"")</f>
        <v/>
      </c>
      <c r="C445" s="5" t="str">
        <f>IFERROR(IF(SUMIFS(tblDaily[Discharges],tblDaily[EntryDate],DATE(2026,12,10),tblDaily[WardCode],"BF")=0,"",SUMIFS(tblDaily[Discharges],tblDaily[EntryDate],DATE(2026,12,10),tblDaily[WardCode],"BF")),"")</f>
        <v/>
      </c>
      <c r="D445" s="5" t="str">
        <f>IFERROR(IF(SUMIFS(tblDaily[Deaths],tblDaily[EntryDate],DATE(2026,12,10),tblDaily[WardCode],"BF")=0,"",SUMIFS(tblDaily[Deaths],tblDaily[EntryDate],DATE(2026,12,10),tblDaily[WardCode],"BF")),"")</f>
        <v/>
      </c>
      <c r="E445" s="5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5" t="str">
        <f>IFERROR(IF(SUMIFS(tblDaily[TransfersIn],tblDaily[EntryDate],DATE(2026,12,10),tblDaily[WardCode],"BF")=0,"",SUMIFS(tblDaily[TransfersIn],tblDaily[EntryDate],DATE(2026,12,10),tblDaily[WardCode],"BF")),"")</f>
        <v/>
      </c>
      <c r="G445" s="5" t="str">
        <f>IFERROR(IF(SUMIFS(tblDaily[TransfersOut],tblDaily[EntryDate],DATE(2026,12,10),tblDaily[WardCode],"BF")=0,"",SUMIFS(tblDaily[TransfersOut],tblDaily[EntryDate],DATE(2026,12,10),tblDaily[WardCode],"BF")),"")</f>
        <v/>
      </c>
      <c r="H445" s="5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IFERROR(IF(SUMIFS(tblDaily[Admissions],tblDaily[EntryDate],DATE(2026,12,11),tblDaily[WardCode],"BF")=0,"",SUMIFS(tblDaily[Admissions],tblDaily[EntryDate],DATE(2026,12,11),tblDaily[WardCode],"BF")),"")</f>
        <v/>
      </c>
      <c r="C446" s="5" t="str">
        <f>IFERROR(IF(SUMIFS(tblDaily[Discharges],tblDaily[EntryDate],DATE(2026,12,11),tblDaily[WardCode],"BF")=0,"",SUMIFS(tblDaily[Discharges],tblDaily[EntryDate],DATE(2026,12,11),tblDaily[WardCode],"BF")),"")</f>
        <v/>
      </c>
      <c r="D446" s="5" t="str">
        <f>IFERROR(IF(SUMIFS(tblDaily[Deaths],tblDaily[EntryDate],DATE(2026,12,11),tblDaily[WardCode],"BF")=0,"",SUMIFS(tblDaily[Deaths],tblDaily[EntryDate],DATE(2026,12,11),tblDaily[WardCode],"BF")),"")</f>
        <v/>
      </c>
      <c r="E446" s="5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5" t="str">
        <f>IFERROR(IF(SUMIFS(tblDaily[TransfersIn],tblDaily[EntryDate],DATE(2026,12,11),tblDaily[WardCode],"BF")=0,"",SUMIFS(tblDaily[TransfersIn],tblDaily[EntryDate],DATE(2026,12,11),tblDaily[WardCode],"BF")),"")</f>
        <v/>
      </c>
      <c r="G446" s="5" t="str">
        <f>IFERROR(IF(SUMIFS(tblDaily[TransfersOut],tblDaily[EntryDate],DATE(2026,12,11),tblDaily[WardCode],"BF")=0,"",SUMIFS(tblDaily[TransfersOut],tblDaily[EntryDate],DATE(2026,12,11),tblDaily[WardCode],"BF")),"")</f>
        <v/>
      </c>
      <c r="H446" s="5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IFERROR(IF(SUMIFS(tblDaily[Admissions],tblDaily[EntryDate],DATE(2026,12,12),tblDaily[WardCode],"BF")=0,"",SUMIFS(tblDaily[Admissions],tblDaily[EntryDate],DATE(2026,12,12),tblDaily[WardCode],"BF")),"")</f>
        <v/>
      </c>
      <c r="C447" s="5" t="str">
        <f>IFERROR(IF(SUMIFS(tblDaily[Discharges],tblDaily[EntryDate],DATE(2026,12,12),tblDaily[WardCode],"BF")=0,"",SUMIFS(tblDaily[Discharges],tblDaily[EntryDate],DATE(2026,12,12),tblDaily[WardCode],"BF")),"")</f>
        <v/>
      </c>
      <c r="D447" s="5" t="str">
        <f>IFERROR(IF(SUMIFS(tblDaily[Deaths],tblDaily[EntryDate],DATE(2026,12,12),tblDaily[WardCode],"BF")=0,"",SUMIFS(tblDaily[Deaths],tblDaily[EntryDate],DATE(2026,12,12),tblDaily[WardCode],"BF")),"")</f>
        <v/>
      </c>
      <c r="E447" s="5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5" t="str">
        <f>IFERROR(IF(SUMIFS(tblDaily[TransfersIn],tblDaily[EntryDate],DATE(2026,12,12),tblDaily[WardCode],"BF")=0,"",SUMIFS(tblDaily[TransfersIn],tblDaily[EntryDate],DATE(2026,12,12),tblDaily[WardCode],"BF")),"")</f>
        <v/>
      </c>
      <c r="G447" s="5" t="str">
        <f>IFERROR(IF(SUMIFS(tblDaily[TransfersOut],tblDaily[EntryDate],DATE(2026,12,12),tblDaily[WardCode],"BF")=0,"",SUMIFS(tblDaily[TransfersOut],tblDaily[EntryDate],DATE(2026,12,12),tblDaily[WardCode],"BF")),"")</f>
        <v/>
      </c>
      <c r="H447" s="5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IFERROR(IF(SUMIFS(tblDaily[Admissions],tblDaily[EntryDate],DATE(2026,12,13),tblDaily[WardCode],"BF")=0,"",SUMIFS(tblDaily[Admissions],tblDaily[EntryDate],DATE(2026,12,13),tblDaily[WardCode],"BF")),"")</f>
        <v/>
      </c>
      <c r="C448" s="5" t="str">
        <f>IFERROR(IF(SUMIFS(tblDaily[Discharges],tblDaily[EntryDate],DATE(2026,12,13),tblDaily[WardCode],"BF")=0,"",SUMIFS(tblDaily[Discharges],tblDaily[EntryDate],DATE(2026,12,13),tblDaily[WardCode],"BF")),"")</f>
        <v/>
      </c>
      <c r="D448" s="5" t="str">
        <f>IFERROR(IF(SUMIFS(tblDaily[Deaths],tblDaily[EntryDate],DATE(2026,12,13),tblDaily[WardCode],"BF")=0,"",SUMIFS(tblDaily[Deaths],tblDaily[EntryDate],DATE(2026,12,13),tblDaily[WardCode],"BF")),"")</f>
        <v/>
      </c>
      <c r="E448" s="5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5" t="str">
        <f>IFERROR(IF(SUMIFS(tblDaily[TransfersIn],tblDaily[EntryDate],DATE(2026,12,13),tblDaily[WardCode],"BF")=0,"",SUMIFS(tblDaily[TransfersIn],tblDaily[EntryDate],DATE(2026,12,13),tblDaily[WardCode],"BF")),"")</f>
        <v/>
      </c>
      <c r="G448" s="5" t="str">
        <f>IFERROR(IF(SUMIFS(tblDaily[TransfersOut],tblDaily[EntryDate],DATE(2026,12,13),tblDaily[WardCode],"BF")=0,"",SUMIFS(tblDaily[TransfersOut],tblDaily[EntryDate],DATE(2026,12,13),tblDaily[WardCode],"BF")),"")</f>
        <v/>
      </c>
      <c r="H448" s="5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IFERROR(IF(SUMIFS(tblDaily[Admissions],tblDaily[EntryDate],DATE(2026,12,14),tblDaily[WardCode],"BF")=0,"",SUMIFS(tblDaily[Admissions],tblDaily[EntryDate],DATE(2026,12,14),tblDaily[WardCode],"BF")),"")</f>
        <v/>
      </c>
      <c r="C449" s="5" t="str">
        <f>IFERROR(IF(SUMIFS(tblDaily[Discharges],tblDaily[EntryDate],DATE(2026,12,14),tblDaily[WardCode],"BF")=0,"",SUMIFS(tblDaily[Discharges],tblDaily[EntryDate],DATE(2026,12,14),tblDaily[WardCode],"BF")),"")</f>
        <v/>
      </c>
      <c r="D449" s="5" t="str">
        <f>IFERROR(IF(SUMIFS(tblDaily[Deaths],tblDaily[EntryDate],DATE(2026,12,14),tblDaily[WardCode],"BF")=0,"",SUMIFS(tblDaily[Deaths],tblDaily[EntryDate],DATE(2026,12,14),tblDaily[WardCode],"BF")),"")</f>
        <v/>
      </c>
      <c r="E449" s="5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5" t="str">
        <f>IFERROR(IF(SUMIFS(tblDaily[TransfersIn],tblDaily[EntryDate],DATE(2026,12,14),tblDaily[WardCode],"BF")=0,"",SUMIFS(tblDaily[TransfersIn],tblDaily[EntryDate],DATE(2026,12,14),tblDaily[WardCode],"BF")),"")</f>
        <v/>
      </c>
      <c r="G449" s="5" t="str">
        <f>IFERROR(IF(SUMIFS(tblDaily[TransfersOut],tblDaily[EntryDate],DATE(2026,12,14),tblDaily[WardCode],"BF")=0,"",SUMIFS(tblDaily[TransfersOut],tblDaily[EntryDate],DATE(2026,12,14),tblDaily[WardCode],"BF")),"")</f>
        <v/>
      </c>
      <c r="H449" s="5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IFERROR(IF(SUMIFS(tblDaily[Admissions],tblDaily[EntryDate],DATE(2026,12,15),tblDaily[WardCode],"BF")=0,"",SUMIFS(tblDaily[Admissions],tblDaily[EntryDate],DATE(2026,12,15),tblDaily[WardCode],"BF")),"")</f>
        <v/>
      </c>
      <c r="C450" s="5" t="str">
        <f>IFERROR(IF(SUMIFS(tblDaily[Discharges],tblDaily[EntryDate],DATE(2026,12,15),tblDaily[WardCode],"BF")=0,"",SUMIFS(tblDaily[Discharges],tblDaily[EntryDate],DATE(2026,12,15),tblDaily[WardCode],"BF")),"")</f>
        <v/>
      </c>
      <c r="D450" s="5" t="str">
        <f>IFERROR(IF(SUMIFS(tblDaily[Deaths],tblDaily[EntryDate],DATE(2026,12,15),tblDaily[WardCode],"BF")=0,"",SUMIFS(tblDaily[Deaths],tblDaily[EntryDate],DATE(2026,12,15),tblDaily[WardCode],"BF")),"")</f>
        <v/>
      </c>
      <c r="E450" s="5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5" t="str">
        <f>IFERROR(IF(SUMIFS(tblDaily[TransfersIn],tblDaily[EntryDate],DATE(2026,12,15),tblDaily[WardCode],"BF")=0,"",SUMIFS(tblDaily[TransfersIn],tblDaily[EntryDate],DATE(2026,12,15),tblDaily[WardCode],"BF")),"")</f>
        <v/>
      </c>
      <c r="G450" s="5" t="str">
        <f>IFERROR(IF(SUMIFS(tblDaily[TransfersOut],tblDaily[EntryDate],DATE(2026,12,15),tblDaily[WardCode],"BF")=0,"",SUMIFS(tblDaily[TransfersOut],tblDaily[EntryDate],DATE(2026,12,15),tblDaily[WardCode],"BF")),"")</f>
        <v/>
      </c>
      <c r="H450" s="5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IFERROR(IF(SUMIFS(tblDaily[Admissions],tblDaily[EntryDate],DATE(2026,12,16),tblDaily[WardCode],"BF")=0,"",SUMIFS(tblDaily[Admissions],tblDaily[EntryDate],DATE(2026,12,16),tblDaily[WardCode],"BF")),"")</f>
        <v/>
      </c>
      <c r="C451" s="5" t="str">
        <f>IFERROR(IF(SUMIFS(tblDaily[Discharges],tblDaily[EntryDate],DATE(2026,12,16),tblDaily[WardCode],"BF")=0,"",SUMIFS(tblDaily[Discharges],tblDaily[EntryDate],DATE(2026,12,16),tblDaily[WardCode],"BF")),"")</f>
        <v/>
      </c>
      <c r="D451" s="5" t="str">
        <f>IFERROR(IF(SUMIFS(tblDaily[Deaths],tblDaily[EntryDate],DATE(2026,12,16),tblDaily[WardCode],"BF")=0,"",SUMIFS(tblDaily[Deaths],tblDaily[EntryDate],DATE(2026,12,16),tblDaily[WardCode],"BF")),"")</f>
        <v/>
      </c>
      <c r="E451" s="5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5" t="str">
        <f>IFERROR(IF(SUMIFS(tblDaily[TransfersIn],tblDaily[EntryDate],DATE(2026,12,16),tblDaily[WardCode],"BF")=0,"",SUMIFS(tblDaily[TransfersIn],tblDaily[EntryDate],DATE(2026,12,16),tblDaily[WardCode],"BF")),"")</f>
        <v/>
      </c>
      <c r="G451" s="5" t="str">
        <f>IFERROR(IF(SUMIFS(tblDaily[TransfersOut],tblDaily[EntryDate],DATE(2026,12,16),tblDaily[WardCode],"BF")=0,"",SUMIFS(tblDaily[TransfersOut],tblDaily[EntryDate],DATE(2026,12,16),tblDaily[WardCode],"BF")),"")</f>
        <v/>
      </c>
      <c r="H451" s="5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IFERROR(IF(SUMIFS(tblDaily[Admissions],tblDaily[EntryDate],DATE(2026,12,17),tblDaily[WardCode],"BF")=0,"",SUMIFS(tblDaily[Admissions],tblDaily[EntryDate],DATE(2026,12,17),tblDaily[WardCode],"BF")),"")</f>
        <v/>
      </c>
      <c r="C452" s="5" t="str">
        <f>IFERROR(IF(SUMIFS(tblDaily[Discharges],tblDaily[EntryDate],DATE(2026,12,17),tblDaily[WardCode],"BF")=0,"",SUMIFS(tblDaily[Discharges],tblDaily[EntryDate],DATE(2026,12,17),tblDaily[WardCode],"BF")),"")</f>
        <v/>
      </c>
      <c r="D452" s="5" t="str">
        <f>IFERROR(IF(SUMIFS(tblDaily[Deaths],tblDaily[EntryDate],DATE(2026,12,17),tblDaily[WardCode],"BF")=0,"",SUMIFS(tblDaily[Deaths],tblDaily[EntryDate],DATE(2026,12,17),tblDaily[WardCode],"BF")),"")</f>
        <v/>
      </c>
      <c r="E452" s="5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5" t="str">
        <f>IFERROR(IF(SUMIFS(tblDaily[TransfersIn],tblDaily[EntryDate],DATE(2026,12,17),tblDaily[WardCode],"BF")=0,"",SUMIFS(tblDaily[TransfersIn],tblDaily[EntryDate],DATE(2026,12,17),tblDaily[WardCode],"BF")),"")</f>
        <v/>
      </c>
      <c r="G452" s="5" t="str">
        <f>IFERROR(IF(SUMIFS(tblDaily[TransfersOut],tblDaily[EntryDate],DATE(2026,12,17),tblDaily[WardCode],"BF")=0,"",SUMIFS(tblDaily[TransfersOut],tblDaily[EntryDate],DATE(2026,12,17),tblDaily[WardCode],"BF")),"")</f>
        <v/>
      </c>
      <c r="H452" s="5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IFERROR(IF(SUMIFS(tblDaily[Admissions],tblDaily[EntryDate],DATE(2026,12,18),tblDaily[WardCode],"BF")=0,"",SUMIFS(tblDaily[Admissions],tblDaily[EntryDate],DATE(2026,12,18),tblDaily[WardCode],"BF")),"")</f>
        <v/>
      </c>
      <c r="C453" s="5" t="str">
        <f>IFERROR(IF(SUMIFS(tblDaily[Discharges],tblDaily[EntryDate],DATE(2026,12,18),tblDaily[WardCode],"BF")=0,"",SUMIFS(tblDaily[Discharges],tblDaily[EntryDate],DATE(2026,12,18),tblDaily[WardCode],"BF")),"")</f>
        <v/>
      </c>
      <c r="D453" s="5" t="str">
        <f>IFERROR(IF(SUMIFS(tblDaily[Deaths],tblDaily[EntryDate],DATE(2026,12,18),tblDaily[WardCode],"BF")=0,"",SUMIFS(tblDaily[Deaths],tblDaily[EntryDate],DATE(2026,12,18),tblDaily[WardCode],"BF")),"")</f>
        <v/>
      </c>
      <c r="E453" s="5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5" t="str">
        <f>IFERROR(IF(SUMIFS(tblDaily[TransfersIn],tblDaily[EntryDate],DATE(2026,12,18),tblDaily[WardCode],"BF")=0,"",SUMIFS(tblDaily[TransfersIn],tblDaily[EntryDate],DATE(2026,12,18),tblDaily[WardCode],"BF")),"")</f>
        <v/>
      </c>
      <c r="G453" s="5" t="str">
        <f>IFERROR(IF(SUMIFS(tblDaily[TransfersOut],tblDaily[EntryDate],DATE(2026,12,18),tblDaily[WardCode],"BF")=0,"",SUMIFS(tblDaily[TransfersOut],tblDaily[EntryDate],DATE(2026,12,18),tblDaily[WardCode],"BF")),"")</f>
        <v/>
      </c>
      <c r="H453" s="5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IFERROR(IF(SUMIFS(tblDaily[Admissions],tblDaily[EntryDate],DATE(2026,12,19),tblDaily[WardCode],"BF")=0,"",SUMIFS(tblDaily[Admissions],tblDaily[EntryDate],DATE(2026,12,19),tblDaily[WardCode],"BF")),"")</f>
        <v/>
      </c>
      <c r="C454" s="5" t="str">
        <f>IFERROR(IF(SUMIFS(tblDaily[Discharges],tblDaily[EntryDate],DATE(2026,12,19),tblDaily[WardCode],"BF")=0,"",SUMIFS(tblDaily[Discharges],tblDaily[EntryDate],DATE(2026,12,19),tblDaily[WardCode],"BF")),"")</f>
        <v/>
      </c>
      <c r="D454" s="5" t="str">
        <f>IFERROR(IF(SUMIFS(tblDaily[Deaths],tblDaily[EntryDate],DATE(2026,12,19),tblDaily[WardCode],"BF")=0,"",SUMIFS(tblDaily[Deaths],tblDaily[EntryDate],DATE(2026,12,19),tblDaily[WardCode],"BF")),"")</f>
        <v/>
      </c>
      <c r="E454" s="5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5" t="str">
        <f>IFERROR(IF(SUMIFS(tblDaily[TransfersIn],tblDaily[EntryDate],DATE(2026,12,19),tblDaily[WardCode],"BF")=0,"",SUMIFS(tblDaily[TransfersIn],tblDaily[EntryDate],DATE(2026,12,19),tblDaily[WardCode],"BF")),"")</f>
        <v/>
      </c>
      <c r="G454" s="5" t="str">
        <f>IFERROR(IF(SUMIFS(tblDaily[TransfersOut],tblDaily[EntryDate],DATE(2026,12,19),tblDaily[WardCode],"BF")=0,"",SUMIFS(tblDaily[TransfersOut],tblDaily[EntryDate],DATE(2026,12,19),tblDaily[WardCode],"BF")),"")</f>
        <v/>
      </c>
      <c r="H454" s="5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IFERROR(IF(SUMIFS(tblDaily[Admissions],tblDaily[EntryDate],DATE(2026,12,20),tblDaily[WardCode],"BF")=0,"",SUMIFS(tblDaily[Admissions],tblDaily[EntryDate],DATE(2026,12,20),tblDaily[WardCode],"BF")),"")</f>
        <v/>
      </c>
      <c r="C455" s="5" t="str">
        <f>IFERROR(IF(SUMIFS(tblDaily[Discharges],tblDaily[EntryDate],DATE(2026,12,20),tblDaily[WardCode],"BF")=0,"",SUMIFS(tblDaily[Discharges],tblDaily[EntryDate],DATE(2026,12,20),tblDaily[WardCode],"BF")),"")</f>
        <v/>
      </c>
      <c r="D455" s="5" t="str">
        <f>IFERROR(IF(SUMIFS(tblDaily[Deaths],tblDaily[EntryDate],DATE(2026,12,20),tblDaily[WardCode],"BF")=0,"",SUMIFS(tblDaily[Deaths],tblDaily[EntryDate],DATE(2026,12,20),tblDaily[WardCode],"BF")),"")</f>
        <v/>
      </c>
      <c r="E455" s="5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5" t="str">
        <f>IFERROR(IF(SUMIFS(tblDaily[TransfersIn],tblDaily[EntryDate],DATE(2026,12,20),tblDaily[WardCode],"BF")=0,"",SUMIFS(tblDaily[TransfersIn],tblDaily[EntryDate],DATE(2026,12,20),tblDaily[WardCode],"BF")),"")</f>
        <v/>
      </c>
      <c r="G455" s="5" t="str">
        <f>IFERROR(IF(SUMIFS(tblDaily[TransfersOut],tblDaily[EntryDate],DATE(2026,12,20),tblDaily[WardCode],"BF")=0,"",SUMIFS(tblDaily[TransfersOut],tblDaily[EntryDate],DATE(2026,12,20),tblDaily[WardCode],"BF")),"")</f>
        <v/>
      </c>
      <c r="H455" s="5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IFERROR(IF(SUMIFS(tblDaily[Admissions],tblDaily[EntryDate],DATE(2026,12,21),tblDaily[WardCode],"BF")=0,"",SUMIFS(tblDaily[Admissions],tblDaily[EntryDate],DATE(2026,12,21),tblDaily[WardCode],"BF")),"")</f>
        <v/>
      </c>
      <c r="C456" s="5" t="str">
        <f>IFERROR(IF(SUMIFS(tblDaily[Discharges],tblDaily[EntryDate],DATE(2026,12,21),tblDaily[WardCode],"BF")=0,"",SUMIFS(tblDaily[Discharges],tblDaily[EntryDate],DATE(2026,12,21),tblDaily[WardCode],"BF")),"")</f>
        <v/>
      </c>
      <c r="D456" s="5" t="str">
        <f>IFERROR(IF(SUMIFS(tblDaily[Deaths],tblDaily[EntryDate],DATE(2026,12,21),tblDaily[WardCode],"BF")=0,"",SUMIFS(tblDaily[Deaths],tblDaily[EntryDate],DATE(2026,12,21),tblDaily[WardCode],"BF")),"")</f>
        <v/>
      </c>
      <c r="E456" s="5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5" t="str">
        <f>IFERROR(IF(SUMIFS(tblDaily[TransfersIn],tblDaily[EntryDate],DATE(2026,12,21),tblDaily[WardCode],"BF")=0,"",SUMIFS(tblDaily[TransfersIn],tblDaily[EntryDate],DATE(2026,12,21),tblDaily[WardCode],"BF")),"")</f>
        <v/>
      </c>
      <c r="G456" s="5" t="str">
        <f>IFERROR(IF(SUMIFS(tblDaily[TransfersOut],tblDaily[EntryDate],DATE(2026,12,21),tblDaily[WardCode],"BF")=0,"",SUMIFS(tblDaily[TransfersOut],tblDaily[EntryDate],DATE(2026,12,21),tblDaily[WardCode],"BF")),"")</f>
        <v/>
      </c>
      <c r="H456" s="5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IFERROR(IF(SUMIFS(tblDaily[Admissions],tblDaily[EntryDate],DATE(2026,12,22),tblDaily[WardCode],"BF")=0,"",SUMIFS(tblDaily[Admissions],tblDaily[EntryDate],DATE(2026,12,22),tblDaily[WardCode],"BF")),"")</f>
        <v/>
      </c>
      <c r="C457" s="5" t="str">
        <f>IFERROR(IF(SUMIFS(tblDaily[Discharges],tblDaily[EntryDate],DATE(2026,12,22),tblDaily[WardCode],"BF")=0,"",SUMIFS(tblDaily[Discharges],tblDaily[EntryDate],DATE(2026,12,22),tblDaily[WardCode],"BF")),"")</f>
        <v/>
      </c>
      <c r="D457" s="5" t="str">
        <f>IFERROR(IF(SUMIFS(tblDaily[Deaths],tblDaily[EntryDate],DATE(2026,12,22),tblDaily[WardCode],"BF")=0,"",SUMIFS(tblDaily[Deaths],tblDaily[EntryDate],DATE(2026,12,22),tblDaily[WardCode],"BF")),"")</f>
        <v/>
      </c>
      <c r="E457" s="5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5" t="str">
        <f>IFERROR(IF(SUMIFS(tblDaily[TransfersIn],tblDaily[EntryDate],DATE(2026,12,22),tblDaily[WardCode],"BF")=0,"",SUMIFS(tblDaily[TransfersIn],tblDaily[EntryDate],DATE(2026,12,22),tblDaily[WardCode],"BF")),"")</f>
        <v/>
      </c>
      <c r="G457" s="5" t="str">
        <f>IFERROR(IF(SUMIFS(tblDaily[TransfersOut],tblDaily[EntryDate],DATE(2026,12,22),tblDaily[WardCode],"BF")=0,"",SUMIFS(tblDaily[TransfersOut],tblDaily[EntryDate],DATE(2026,12,22),tblDaily[WardCode],"BF")),"")</f>
        <v/>
      </c>
      <c r="H457" s="5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IFERROR(IF(SUMIFS(tblDaily[Admissions],tblDaily[EntryDate],DATE(2026,12,23),tblDaily[WardCode],"BF")=0,"",SUMIFS(tblDaily[Admissions],tblDaily[EntryDate],DATE(2026,12,23),tblDaily[WardCode],"BF")),"")</f>
        <v/>
      </c>
      <c r="C458" s="5" t="str">
        <f>IFERROR(IF(SUMIFS(tblDaily[Discharges],tblDaily[EntryDate],DATE(2026,12,23),tblDaily[WardCode],"BF")=0,"",SUMIFS(tblDaily[Discharges],tblDaily[EntryDate],DATE(2026,12,23),tblDaily[WardCode],"BF")),"")</f>
        <v/>
      </c>
      <c r="D458" s="5" t="str">
        <f>IFERROR(IF(SUMIFS(tblDaily[Deaths],tblDaily[EntryDate],DATE(2026,12,23),tblDaily[WardCode],"BF")=0,"",SUMIFS(tblDaily[Deaths],tblDaily[EntryDate],DATE(2026,12,23),tblDaily[WardCode],"BF")),"")</f>
        <v/>
      </c>
      <c r="E458" s="5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5" t="str">
        <f>IFERROR(IF(SUMIFS(tblDaily[TransfersIn],tblDaily[EntryDate],DATE(2026,12,23),tblDaily[WardCode],"BF")=0,"",SUMIFS(tblDaily[TransfersIn],tblDaily[EntryDate],DATE(2026,12,23),tblDaily[WardCode],"BF")),"")</f>
        <v/>
      </c>
      <c r="G458" s="5" t="str">
        <f>IFERROR(IF(SUMIFS(tblDaily[TransfersOut],tblDaily[EntryDate],DATE(2026,12,23),tblDaily[WardCode],"BF")=0,"",SUMIFS(tblDaily[TransfersOut],tblDaily[EntryDate],DATE(2026,12,23),tblDaily[WardCode],"BF")),"")</f>
        <v/>
      </c>
      <c r="H458" s="5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IFERROR(IF(SUMIFS(tblDaily[Admissions],tblDaily[EntryDate],DATE(2026,12,24),tblDaily[WardCode],"BF")=0,"",SUMIFS(tblDaily[Admissions],tblDaily[EntryDate],DATE(2026,12,24),tblDaily[WardCode],"BF")),"")</f>
        <v/>
      </c>
      <c r="C459" s="5" t="str">
        <f>IFERROR(IF(SUMIFS(tblDaily[Discharges],tblDaily[EntryDate],DATE(2026,12,24),tblDaily[WardCode],"BF")=0,"",SUMIFS(tblDaily[Discharges],tblDaily[EntryDate],DATE(2026,12,24),tblDaily[WardCode],"BF")),"")</f>
        <v/>
      </c>
      <c r="D459" s="5" t="str">
        <f>IFERROR(IF(SUMIFS(tblDaily[Deaths],tblDaily[EntryDate],DATE(2026,12,24),tblDaily[WardCode],"BF")=0,"",SUMIFS(tblDaily[Deaths],tblDaily[EntryDate],DATE(2026,12,24),tblDaily[WardCode],"BF")),"")</f>
        <v/>
      </c>
      <c r="E459" s="5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5" t="str">
        <f>IFERROR(IF(SUMIFS(tblDaily[TransfersIn],tblDaily[EntryDate],DATE(2026,12,24),tblDaily[WardCode],"BF")=0,"",SUMIFS(tblDaily[TransfersIn],tblDaily[EntryDate],DATE(2026,12,24),tblDaily[WardCode],"BF")),"")</f>
        <v/>
      </c>
      <c r="G459" s="5" t="str">
        <f>IFERROR(IF(SUMIFS(tblDaily[TransfersOut],tblDaily[EntryDate],DATE(2026,12,24),tblDaily[WardCode],"BF")=0,"",SUMIFS(tblDaily[TransfersOut],tblDaily[EntryDate],DATE(2026,12,24),tblDaily[WardCode],"BF")),"")</f>
        <v/>
      </c>
      <c r="H459" s="5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IFERROR(IF(SUMIFS(tblDaily[Admissions],tblDaily[EntryDate],DATE(2026,12,25),tblDaily[WardCode],"BF")=0,"",SUMIFS(tblDaily[Admissions],tblDaily[EntryDate],DATE(2026,12,25),tblDaily[WardCode],"BF")),"")</f>
        <v/>
      </c>
      <c r="C460" s="5" t="str">
        <f>IFERROR(IF(SUMIFS(tblDaily[Discharges],tblDaily[EntryDate],DATE(2026,12,25),tblDaily[WardCode],"BF")=0,"",SUMIFS(tblDaily[Discharges],tblDaily[EntryDate],DATE(2026,12,25),tblDaily[WardCode],"BF")),"")</f>
        <v/>
      </c>
      <c r="D460" s="5" t="str">
        <f>IFERROR(IF(SUMIFS(tblDaily[Deaths],tblDaily[EntryDate],DATE(2026,12,25),tblDaily[WardCode],"BF")=0,"",SUMIFS(tblDaily[Deaths],tblDaily[EntryDate],DATE(2026,12,25),tblDaily[WardCode],"BF")),"")</f>
        <v/>
      </c>
      <c r="E460" s="5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5" t="str">
        <f>IFERROR(IF(SUMIFS(tblDaily[TransfersIn],tblDaily[EntryDate],DATE(2026,12,25),tblDaily[WardCode],"BF")=0,"",SUMIFS(tblDaily[TransfersIn],tblDaily[EntryDate],DATE(2026,12,25),tblDaily[WardCode],"BF")),"")</f>
        <v/>
      </c>
      <c r="G460" s="5" t="str">
        <f>IFERROR(IF(SUMIFS(tblDaily[TransfersOut],tblDaily[EntryDate],DATE(2026,12,25),tblDaily[WardCode],"BF")=0,"",SUMIFS(tblDaily[TransfersOut],tblDaily[EntryDate],DATE(2026,12,25),tblDaily[WardCode],"BF")),"")</f>
        <v/>
      </c>
      <c r="H460" s="5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IFERROR(IF(SUMIFS(tblDaily[Admissions],tblDaily[EntryDate],DATE(2026,12,26),tblDaily[WardCode],"BF")=0,"",SUMIFS(tblDaily[Admissions],tblDaily[EntryDate],DATE(2026,12,26),tblDaily[WardCode],"BF")),"")</f>
        <v/>
      </c>
      <c r="C461" s="5" t="str">
        <f>IFERROR(IF(SUMIFS(tblDaily[Discharges],tblDaily[EntryDate],DATE(2026,12,26),tblDaily[WardCode],"BF")=0,"",SUMIFS(tblDaily[Discharges],tblDaily[EntryDate],DATE(2026,12,26),tblDaily[WardCode],"BF")),"")</f>
        <v/>
      </c>
      <c r="D461" s="5" t="str">
        <f>IFERROR(IF(SUMIFS(tblDaily[Deaths],tblDaily[EntryDate],DATE(2026,12,26),tblDaily[WardCode],"BF")=0,"",SUMIFS(tblDaily[Deaths],tblDaily[EntryDate],DATE(2026,12,26),tblDaily[WardCode],"BF")),"")</f>
        <v/>
      </c>
      <c r="E461" s="5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5" t="str">
        <f>IFERROR(IF(SUMIFS(tblDaily[TransfersIn],tblDaily[EntryDate],DATE(2026,12,26),tblDaily[WardCode],"BF")=0,"",SUMIFS(tblDaily[TransfersIn],tblDaily[EntryDate],DATE(2026,12,26),tblDaily[WardCode],"BF")),"")</f>
        <v/>
      </c>
      <c r="G461" s="5" t="str">
        <f>IFERROR(IF(SUMIFS(tblDaily[TransfersOut],tblDaily[EntryDate],DATE(2026,12,26),tblDaily[WardCode],"BF")=0,"",SUMIFS(tblDaily[TransfersOut],tblDaily[EntryDate],DATE(2026,12,26),tblDaily[WardCode],"BF")),"")</f>
        <v/>
      </c>
      <c r="H461" s="5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IFERROR(IF(SUMIFS(tblDaily[Admissions],tblDaily[EntryDate],DATE(2026,12,27),tblDaily[WardCode],"BF")=0,"",SUMIFS(tblDaily[Admissions],tblDaily[EntryDate],DATE(2026,12,27),tblDaily[WardCode],"BF")),"")</f>
        <v/>
      </c>
      <c r="C462" s="5" t="str">
        <f>IFERROR(IF(SUMIFS(tblDaily[Discharges],tblDaily[EntryDate],DATE(2026,12,27),tblDaily[WardCode],"BF")=0,"",SUMIFS(tblDaily[Discharges],tblDaily[EntryDate],DATE(2026,12,27),tblDaily[WardCode],"BF")),"")</f>
        <v/>
      </c>
      <c r="D462" s="5" t="str">
        <f>IFERROR(IF(SUMIFS(tblDaily[Deaths],tblDaily[EntryDate],DATE(2026,12,27),tblDaily[WardCode],"BF")=0,"",SUMIFS(tblDaily[Deaths],tblDaily[EntryDate],DATE(2026,12,27),tblDaily[WardCode],"BF")),"")</f>
        <v/>
      </c>
      <c r="E462" s="5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5" t="str">
        <f>IFERROR(IF(SUMIFS(tblDaily[TransfersIn],tblDaily[EntryDate],DATE(2026,12,27),tblDaily[WardCode],"BF")=0,"",SUMIFS(tblDaily[TransfersIn],tblDaily[EntryDate],DATE(2026,12,27),tblDaily[WardCode],"BF")),"")</f>
        <v/>
      </c>
      <c r="G462" s="5" t="str">
        <f>IFERROR(IF(SUMIFS(tblDaily[TransfersOut],tblDaily[EntryDate],DATE(2026,12,27),tblDaily[WardCode],"BF")=0,"",SUMIFS(tblDaily[TransfersOut],tblDaily[EntryDate],DATE(2026,12,27),tblDaily[WardCode],"BF")),"")</f>
        <v/>
      </c>
      <c r="H462" s="5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IFERROR(IF(SUMIFS(tblDaily[Admissions],tblDaily[EntryDate],DATE(2026,12,28),tblDaily[WardCode],"BF")=0,"",SUMIFS(tblDaily[Admissions],tblDaily[EntryDate],DATE(2026,12,28),tblDaily[WardCode],"BF")),"")</f>
        <v/>
      </c>
      <c r="C463" s="5" t="str">
        <f>IFERROR(IF(SUMIFS(tblDaily[Discharges],tblDaily[EntryDate],DATE(2026,12,28),tblDaily[WardCode],"BF")=0,"",SUMIFS(tblDaily[Discharges],tblDaily[EntryDate],DATE(2026,12,28),tblDaily[WardCode],"BF")),"")</f>
        <v/>
      </c>
      <c r="D463" s="5" t="str">
        <f>IFERROR(IF(SUMIFS(tblDaily[Deaths],tblDaily[EntryDate],DATE(2026,12,28),tblDaily[WardCode],"BF")=0,"",SUMIFS(tblDaily[Deaths],tblDaily[EntryDate],DATE(2026,12,28),tblDaily[WardCode],"BF")),"")</f>
        <v/>
      </c>
      <c r="E463" s="5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5" t="str">
        <f>IFERROR(IF(SUMIFS(tblDaily[TransfersIn],tblDaily[EntryDate],DATE(2026,12,28),tblDaily[WardCode],"BF")=0,"",SUMIFS(tblDaily[TransfersIn],tblDaily[EntryDate],DATE(2026,12,28),tblDaily[WardCode],"BF")),"")</f>
        <v/>
      </c>
      <c r="G463" s="5" t="str">
        <f>IFERROR(IF(SUMIFS(tblDaily[TransfersOut],tblDaily[EntryDate],DATE(2026,12,28),tblDaily[WardCode],"BF")=0,"",SUMIFS(tblDaily[TransfersOut],tblDaily[EntryDate],DATE(2026,12,28),tblDaily[WardCode],"BF")),"")</f>
        <v/>
      </c>
      <c r="H463" s="5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IFERROR(IF(SUMIFS(tblDaily[Admissions],tblDaily[EntryDate],DATE(2026,12,29),tblDaily[WardCode],"BF")=0,"",SUMIFS(tblDaily[Admissions],tblDaily[EntryDate],DATE(2026,12,29),tblDaily[WardCode],"BF")),"")</f>
        <v/>
      </c>
      <c r="C464" s="5" t="str">
        <f>IFERROR(IF(SUMIFS(tblDaily[Discharges],tblDaily[EntryDate],DATE(2026,12,29),tblDaily[WardCode],"BF")=0,"",SUMIFS(tblDaily[Discharges],tblDaily[EntryDate],DATE(2026,12,29),tblDaily[WardCode],"BF")),"")</f>
        <v/>
      </c>
      <c r="D464" s="5" t="str">
        <f>IFERROR(IF(SUMIFS(tblDaily[Deaths],tblDaily[EntryDate],DATE(2026,12,29),tblDaily[WardCode],"BF")=0,"",SUMIFS(tblDaily[Deaths],tblDaily[EntryDate],DATE(2026,12,29),tblDaily[WardCode],"BF")),"")</f>
        <v/>
      </c>
      <c r="E464" s="5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5" t="str">
        <f>IFERROR(IF(SUMIFS(tblDaily[TransfersIn],tblDaily[EntryDate],DATE(2026,12,29),tblDaily[WardCode],"BF")=0,"",SUMIFS(tblDaily[TransfersIn],tblDaily[EntryDate],DATE(2026,12,29),tblDaily[WardCode],"BF")),"")</f>
        <v/>
      </c>
      <c r="G464" s="5" t="str">
        <f>IFERROR(IF(SUMIFS(tblDaily[TransfersOut],tblDaily[EntryDate],DATE(2026,12,29),tblDaily[WardCode],"BF")=0,"",SUMIFS(tblDaily[TransfersOut],tblDaily[EntryDate],DATE(2026,12,29),tblDaily[WardCode],"BF")),"")</f>
        <v/>
      </c>
      <c r="H464" s="5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IFERROR(IF(SUMIFS(tblDaily[Admissions],tblDaily[EntryDate],DATE(2026,12,30),tblDaily[WardCode],"BF")=0,"",SUMIFS(tblDaily[Admissions],tblDaily[EntryDate],DATE(2026,12,30),tblDaily[WardCode],"BF")),"")</f>
        <v/>
      </c>
      <c r="C465" s="5" t="str">
        <f>IFERROR(IF(SUMIFS(tblDaily[Discharges],tblDaily[EntryDate],DATE(2026,12,30),tblDaily[WardCode],"BF")=0,"",SUMIFS(tblDaily[Discharges],tblDaily[EntryDate],DATE(2026,12,30),tblDaily[WardCode],"BF")),"")</f>
        <v/>
      </c>
      <c r="D465" s="5" t="str">
        <f>IFERROR(IF(SUMIFS(tblDaily[Deaths],tblDaily[EntryDate],DATE(2026,12,30),tblDaily[WardCode],"BF")=0,"",SUMIFS(tblDaily[Deaths],tblDaily[EntryDate],DATE(2026,12,30),tblDaily[WardCode],"BF")),"")</f>
        <v/>
      </c>
      <c r="E465" s="5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5" t="str">
        <f>IFERROR(IF(SUMIFS(tblDaily[TransfersIn],tblDaily[EntryDate],DATE(2026,12,30),tblDaily[WardCode],"BF")=0,"",SUMIFS(tblDaily[TransfersIn],tblDaily[EntryDate],DATE(2026,12,30),tblDaily[WardCode],"BF")),"")</f>
        <v/>
      </c>
      <c r="G465" s="5" t="str">
        <f>IFERROR(IF(SUMIFS(tblDaily[TransfersOut],tblDaily[EntryDate],DATE(2026,12,30),tblDaily[WardCode],"BF")=0,"",SUMIFS(tblDaily[TransfersOut],tblDaily[EntryDate],DATE(2026,12,30),tblDaily[WardCode],"BF")),"")</f>
        <v/>
      </c>
      <c r="H465" s="5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IFERROR(IF(SUMIFS(tblDaily[Admissions],tblDaily[EntryDate],DATE(2026,12,31),tblDaily[WardCode],"BF")=0,"",SUMIFS(tblDaily[Admissions],tblDaily[EntryDate],DATE(2026,12,31),tblDaily[WardCode],"BF")),"")</f>
        <v/>
      </c>
      <c r="C466" s="5" t="str">
        <f>IFERROR(IF(SUMIFS(tblDaily[Discharges],tblDaily[EntryDate],DATE(2026,12,31),tblDaily[WardCode],"BF")=0,"",SUMIFS(tblDaily[Discharges],tblDaily[EntryDate],DATE(2026,12,31),tblDaily[WardCode],"BF")),"")</f>
        <v/>
      </c>
      <c r="D466" s="5" t="str">
        <f>IFERROR(IF(SUMIFS(tblDaily[Deaths],tblDaily[EntryDate],DATE(2026,12,31),tblDaily[WardCode],"BF")=0,"",SUMIFS(tblDaily[Deaths],tblDaily[EntryDate],DATE(2026,12,31),tblDaily[WardCode],"BF")),"")</f>
        <v/>
      </c>
      <c r="E466" s="5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5" t="str">
        <f>IFERROR(IF(SUMIFS(tblDaily[TransfersIn],tblDaily[EntryDate],DATE(2026,12,31),tblDaily[WardCode],"BF")=0,"",SUMIFS(tblDaily[TransfersIn],tblDaily[EntryDate],DATE(2026,12,31),tblDaily[WardCode],"BF")),"")</f>
        <v/>
      </c>
      <c r="G466" s="5" t="str">
        <f>IFERROR(IF(SUMIFS(tblDaily[TransfersOut],tblDaily[EntryDate],DATE(2026,12,31),tblDaily[WardCode],"BF")=0,"",SUMIFS(tblDaily[TransfersOut],tblDaily[EntryDate],DATE(2026,12,31),tblDaily[WardCode],"BF")),"")</f>
        <v/>
      </c>
      <c r="H466" s="5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95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99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IFERROR(INDEX(tblWardConfig[PrevYearRemaining],MATCH("BG",tblWardConfig[WardCode],0)),0)</f>
        <v>0</v>
      </c>
    </row>
    <row r="5" spans="1:8" x14ac:dyDescent="0.25">
      <c r="A5" s="1" t="s">
        <v>89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IFERROR(IF(SUMIFS(tblDaily[Admissions],tblDaily[EntryDate],DATE(2026,1,1),tblDaily[WardCode],"BG")=0,"",SUMIFS(tblDaily[Admissions],tblDaily[EntryDate],DATE(2026,1,1),tblDaily[WardCode],"BG")),"")</f>
        <v/>
      </c>
      <c r="C7" s="5" t="str">
        <f>IFERROR(IF(SUMIFS(tblDaily[Discharges],tblDaily[EntryDate],DATE(2026,1,1),tblDaily[WardCode],"BG")=0,"",SUMIFS(tblDaily[Discharges],tblDaily[EntryDate],DATE(2026,1,1),tblDaily[WardCode],"BG")),"")</f>
        <v/>
      </c>
      <c r="D7" s="5" t="str">
        <f>IFERROR(IF(SUMIFS(tblDaily[Deaths],tblDaily[EntryDate],DATE(2026,1,1),tblDaily[WardCode],"BG")=0,"",SUMIFS(tblDaily[Deaths],tblDaily[EntryDate],DATE(2026,1,1),tblDaily[WardCode],"BG")),"")</f>
        <v/>
      </c>
      <c r="E7" s="5" t="str">
        <f>IFERROR(IF(SUMIFS(tblDaily[DeathsUnder24Hrs],tblDaily[EntryDate],DATE(2026,1,1),tblDaily[WardCode],"BG")=0,"",SUMIFS(tblDaily[DeathsUnder24Hrs],tblDaily[EntryDate],DATE(2026,1,1),tblDaily[WardCode],"BG")),"")</f>
        <v/>
      </c>
      <c r="F7" s="5" t="str">
        <f>IFERROR(IF(SUMIFS(tblDaily[TransfersIn],tblDaily[EntryDate],DATE(2026,1,1),tblDaily[WardCode],"BG")=0,"",SUMIFS(tblDaily[TransfersIn],tblDaily[EntryDate],DATE(2026,1,1),tblDaily[WardCode],"BG")),"")</f>
        <v/>
      </c>
      <c r="G7" s="5" t="str">
        <f>IFERROR(IF(SUMIFS(tblDaily[TransfersOut],tblDaily[EntryDate],DATE(2026,1,1),tblDaily[WardCode],"BG")=0,"",SUMIFS(tblDaily[TransfersOut],tblDaily[EntryDate],DATE(2026,1,1),tblDaily[WardCode],"BG")),"")</f>
        <v/>
      </c>
      <c r="H7" s="5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IFERROR(IF(SUMIFS(tblDaily[Admissions],tblDaily[EntryDate],DATE(2026,1,2),tblDaily[WardCode],"BG")=0,"",SUMIFS(tblDaily[Admissions],tblDaily[EntryDate],DATE(2026,1,2),tblDaily[WardCode],"BG")),"")</f>
        <v/>
      </c>
      <c r="C8" s="5" t="str">
        <f>IFERROR(IF(SUMIFS(tblDaily[Discharges],tblDaily[EntryDate],DATE(2026,1,2),tblDaily[WardCode],"BG")=0,"",SUMIFS(tblDaily[Discharges],tblDaily[EntryDate],DATE(2026,1,2),tblDaily[WardCode],"BG")),"")</f>
        <v/>
      </c>
      <c r="D8" s="5" t="str">
        <f>IFERROR(IF(SUMIFS(tblDaily[Deaths],tblDaily[EntryDate],DATE(2026,1,2),tblDaily[WardCode],"BG")=0,"",SUMIFS(tblDaily[Deaths],tblDaily[EntryDate],DATE(2026,1,2),tblDaily[WardCode],"BG")),"")</f>
        <v/>
      </c>
      <c r="E8" s="5" t="str">
        <f>IFERROR(IF(SUMIFS(tblDaily[DeathsUnder24Hrs],tblDaily[EntryDate],DATE(2026,1,2),tblDaily[WardCode],"BG")=0,"",SUMIFS(tblDaily[DeathsUnder24Hrs],tblDaily[EntryDate],DATE(2026,1,2),tblDaily[WardCode],"BG")),"")</f>
        <v/>
      </c>
      <c r="F8" s="5" t="str">
        <f>IFERROR(IF(SUMIFS(tblDaily[TransfersIn],tblDaily[EntryDate],DATE(2026,1,2),tblDaily[WardCode],"BG")=0,"",SUMIFS(tblDaily[TransfersIn],tblDaily[EntryDate],DATE(2026,1,2),tblDaily[WardCode],"BG")),"")</f>
        <v/>
      </c>
      <c r="G8" s="5" t="str">
        <f>IFERROR(IF(SUMIFS(tblDaily[TransfersOut],tblDaily[EntryDate],DATE(2026,1,2),tblDaily[WardCode],"BG")=0,"",SUMIFS(tblDaily[TransfersOut],tblDaily[EntryDate],DATE(2026,1,2),tblDaily[WardCode],"BG")),"")</f>
        <v/>
      </c>
      <c r="H8" s="5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IFERROR(IF(SUMIFS(tblDaily[Admissions],tblDaily[EntryDate],DATE(2026,1,3),tblDaily[WardCode],"BG")=0,"",SUMIFS(tblDaily[Admissions],tblDaily[EntryDate],DATE(2026,1,3),tblDaily[WardCode],"BG")),"")</f>
        <v/>
      </c>
      <c r="C9" s="5" t="str">
        <f>IFERROR(IF(SUMIFS(tblDaily[Discharges],tblDaily[EntryDate],DATE(2026,1,3),tblDaily[WardCode],"BG")=0,"",SUMIFS(tblDaily[Discharges],tblDaily[EntryDate],DATE(2026,1,3),tblDaily[WardCode],"BG")),"")</f>
        <v/>
      </c>
      <c r="D9" s="5" t="str">
        <f>IFERROR(IF(SUMIFS(tblDaily[Deaths],tblDaily[EntryDate],DATE(2026,1,3),tblDaily[WardCode],"BG")=0,"",SUMIFS(tblDaily[Deaths],tblDaily[EntryDate],DATE(2026,1,3),tblDaily[WardCode],"BG")),"")</f>
        <v/>
      </c>
      <c r="E9" s="5" t="str">
        <f>IFERROR(IF(SUMIFS(tblDaily[DeathsUnder24Hrs],tblDaily[EntryDate],DATE(2026,1,3),tblDaily[WardCode],"BG")=0,"",SUMIFS(tblDaily[DeathsUnder24Hrs],tblDaily[EntryDate],DATE(2026,1,3),tblDaily[WardCode],"BG")),"")</f>
        <v/>
      </c>
      <c r="F9" s="5" t="str">
        <f>IFERROR(IF(SUMIFS(tblDaily[TransfersIn],tblDaily[EntryDate],DATE(2026,1,3),tblDaily[WardCode],"BG")=0,"",SUMIFS(tblDaily[TransfersIn],tblDaily[EntryDate],DATE(2026,1,3),tblDaily[WardCode],"BG")),"")</f>
        <v/>
      </c>
      <c r="G9" s="5" t="str">
        <f>IFERROR(IF(SUMIFS(tblDaily[TransfersOut],tblDaily[EntryDate],DATE(2026,1,3),tblDaily[WardCode],"BG")=0,"",SUMIFS(tblDaily[TransfersOut],tblDaily[EntryDate],DATE(2026,1,3),tblDaily[WardCode],"BG")),"")</f>
        <v/>
      </c>
      <c r="H9" s="5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IFERROR(IF(SUMIFS(tblDaily[Admissions],tblDaily[EntryDate],DATE(2026,1,4),tblDaily[WardCode],"BG")=0,"",SUMIFS(tblDaily[Admissions],tblDaily[EntryDate],DATE(2026,1,4),tblDaily[WardCode],"BG")),"")</f>
        <v/>
      </c>
      <c r="C10" s="5" t="str">
        <f>IFERROR(IF(SUMIFS(tblDaily[Discharges],tblDaily[EntryDate],DATE(2026,1,4),tblDaily[WardCode],"BG")=0,"",SUMIFS(tblDaily[Discharges],tblDaily[EntryDate],DATE(2026,1,4),tblDaily[WardCode],"BG")),"")</f>
        <v/>
      </c>
      <c r="D10" s="5" t="str">
        <f>IFERROR(IF(SUMIFS(tblDaily[Deaths],tblDaily[EntryDate],DATE(2026,1,4),tblDaily[WardCode],"BG")=0,"",SUMIFS(tblDaily[Deaths],tblDaily[EntryDate],DATE(2026,1,4),tblDaily[WardCode],"BG")),"")</f>
        <v/>
      </c>
      <c r="E10" s="5" t="str">
        <f>IFERROR(IF(SUMIFS(tblDaily[DeathsUnder24Hrs],tblDaily[EntryDate],DATE(2026,1,4),tblDaily[WardCode],"BG")=0,"",SUMIFS(tblDaily[DeathsUnder24Hrs],tblDaily[EntryDate],DATE(2026,1,4),tblDaily[WardCode],"BG")),"")</f>
        <v/>
      </c>
      <c r="F10" s="5" t="str">
        <f>IFERROR(IF(SUMIFS(tblDaily[TransfersIn],tblDaily[EntryDate],DATE(2026,1,4),tblDaily[WardCode],"BG")=0,"",SUMIFS(tblDaily[TransfersIn],tblDaily[EntryDate],DATE(2026,1,4),tblDaily[WardCode],"BG")),"")</f>
        <v/>
      </c>
      <c r="G10" s="5" t="str">
        <f>IFERROR(IF(SUMIFS(tblDaily[TransfersOut],tblDaily[EntryDate],DATE(2026,1,4),tblDaily[WardCode],"BG")=0,"",SUMIFS(tblDaily[TransfersOut],tblDaily[EntryDate],DATE(2026,1,4),tblDaily[WardCode],"BG")),"")</f>
        <v/>
      </c>
      <c r="H10" s="5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IFERROR(IF(SUMIFS(tblDaily[Admissions],tblDaily[EntryDate],DATE(2026,1,5),tblDaily[WardCode],"BG")=0,"",SUMIFS(tblDaily[Admissions],tblDaily[EntryDate],DATE(2026,1,5),tblDaily[WardCode],"BG")),"")</f>
        <v/>
      </c>
      <c r="C11" s="5" t="str">
        <f>IFERROR(IF(SUMIFS(tblDaily[Discharges],tblDaily[EntryDate],DATE(2026,1,5),tblDaily[WardCode],"BG")=0,"",SUMIFS(tblDaily[Discharges],tblDaily[EntryDate],DATE(2026,1,5),tblDaily[WardCode],"BG")),"")</f>
        <v/>
      </c>
      <c r="D11" s="5" t="str">
        <f>IFERROR(IF(SUMIFS(tblDaily[Deaths],tblDaily[EntryDate],DATE(2026,1,5),tblDaily[WardCode],"BG")=0,"",SUMIFS(tblDaily[Deaths],tblDaily[EntryDate],DATE(2026,1,5),tblDaily[WardCode],"BG")),"")</f>
        <v/>
      </c>
      <c r="E11" s="5" t="str">
        <f>IFERROR(IF(SUMIFS(tblDaily[DeathsUnder24Hrs],tblDaily[EntryDate],DATE(2026,1,5),tblDaily[WardCode],"BG")=0,"",SUMIFS(tblDaily[DeathsUnder24Hrs],tblDaily[EntryDate],DATE(2026,1,5),tblDaily[WardCode],"BG")),"")</f>
        <v/>
      </c>
      <c r="F11" s="5" t="str">
        <f>IFERROR(IF(SUMIFS(tblDaily[TransfersIn],tblDaily[EntryDate],DATE(2026,1,5),tblDaily[WardCode],"BG")=0,"",SUMIFS(tblDaily[TransfersIn],tblDaily[EntryDate],DATE(2026,1,5),tblDaily[WardCode],"BG")),"")</f>
        <v/>
      </c>
      <c r="G11" s="5" t="str">
        <f>IFERROR(IF(SUMIFS(tblDaily[TransfersOut],tblDaily[EntryDate],DATE(2026,1,5),tblDaily[WardCode],"BG")=0,"",SUMIFS(tblDaily[TransfersOut],tblDaily[EntryDate],DATE(2026,1,5),tblDaily[WardCode],"BG")),"")</f>
        <v/>
      </c>
      <c r="H11" s="5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IFERROR(IF(SUMIFS(tblDaily[Admissions],tblDaily[EntryDate],DATE(2026,1,6),tblDaily[WardCode],"BG")=0,"",SUMIFS(tblDaily[Admissions],tblDaily[EntryDate],DATE(2026,1,6),tblDaily[WardCode],"BG")),"")</f>
        <v/>
      </c>
      <c r="C12" s="5" t="str">
        <f>IFERROR(IF(SUMIFS(tblDaily[Discharges],tblDaily[EntryDate],DATE(2026,1,6),tblDaily[WardCode],"BG")=0,"",SUMIFS(tblDaily[Discharges],tblDaily[EntryDate],DATE(2026,1,6),tblDaily[WardCode],"BG")),"")</f>
        <v/>
      </c>
      <c r="D12" s="5" t="str">
        <f>IFERROR(IF(SUMIFS(tblDaily[Deaths],tblDaily[EntryDate],DATE(2026,1,6),tblDaily[WardCode],"BG")=0,"",SUMIFS(tblDaily[Deaths],tblDaily[EntryDate],DATE(2026,1,6),tblDaily[WardCode],"BG")),"")</f>
        <v/>
      </c>
      <c r="E12" s="5" t="str">
        <f>IFERROR(IF(SUMIFS(tblDaily[DeathsUnder24Hrs],tblDaily[EntryDate],DATE(2026,1,6),tblDaily[WardCode],"BG")=0,"",SUMIFS(tblDaily[DeathsUnder24Hrs],tblDaily[EntryDate],DATE(2026,1,6),tblDaily[WardCode],"BG")),"")</f>
        <v/>
      </c>
      <c r="F12" s="5" t="str">
        <f>IFERROR(IF(SUMIFS(tblDaily[TransfersIn],tblDaily[EntryDate],DATE(2026,1,6),tblDaily[WardCode],"BG")=0,"",SUMIFS(tblDaily[TransfersIn],tblDaily[EntryDate],DATE(2026,1,6),tblDaily[WardCode],"BG")),"")</f>
        <v/>
      </c>
      <c r="G12" s="5" t="str">
        <f>IFERROR(IF(SUMIFS(tblDaily[TransfersOut],tblDaily[EntryDate],DATE(2026,1,6),tblDaily[WardCode],"BG")=0,"",SUMIFS(tblDaily[TransfersOut],tblDaily[EntryDate],DATE(2026,1,6),tblDaily[WardCode],"BG")),"")</f>
        <v/>
      </c>
      <c r="H12" s="5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IFERROR(IF(SUMIFS(tblDaily[Admissions],tblDaily[EntryDate],DATE(2026,1,7),tblDaily[WardCode],"BG")=0,"",SUMIFS(tblDaily[Admissions],tblDaily[EntryDate],DATE(2026,1,7),tblDaily[WardCode],"BG")),"")</f>
        <v/>
      </c>
      <c r="C13" s="5" t="str">
        <f>IFERROR(IF(SUMIFS(tblDaily[Discharges],tblDaily[EntryDate],DATE(2026,1,7),tblDaily[WardCode],"BG")=0,"",SUMIFS(tblDaily[Discharges],tblDaily[EntryDate],DATE(2026,1,7),tblDaily[WardCode],"BG")),"")</f>
        <v/>
      </c>
      <c r="D13" s="5" t="str">
        <f>IFERROR(IF(SUMIFS(tblDaily[Deaths],tblDaily[EntryDate],DATE(2026,1,7),tblDaily[WardCode],"BG")=0,"",SUMIFS(tblDaily[Deaths],tblDaily[EntryDate],DATE(2026,1,7),tblDaily[WardCode],"BG")),"")</f>
        <v/>
      </c>
      <c r="E13" s="5" t="str">
        <f>IFERROR(IF(SUMIFS(tblDaily[DeathsUnder24Hrs],tblDaily[EntryDate],DATE(2026,1,7),tblDaily[WardCode],"BG")=0,"",SUMIFS(tblDaily[DeathsUnder24Hrs],tblDaily[EntryDate],DATE(2026,1,7),tblDaily[WardCode],"BG")),"")</f>
        <v/>
      </c>
      <c r="F13" s="5" t="str">
        <f>IFERROR(IF(SUMIFS(tblDaily[TransfersIn],tblDaily[EntryDate],DATE(2026,1,7),tblDaily[WardCode],"BG")=0,"",SUMIFS(tblDaily[TransfersIn],tblDaily[EntryDate],DATE(2026,1,7),tblDaily[WardCode],"BG")),"")</f>
        <v/>
      </c>
      <c r="G13" s="5" t="str">
        <f>IFERROR(IF(SUMIFS(tblDaily[TransfersOut],tblDaily[EntryDate],DATE(2026,1,7),tblDaily[WardCode],"BG")=0,"",SUMIFS(tblDaily[TransfersOut],tblDaily[EntryDate],DATE(2026,1,7),tblDaily[WardCode],"BG")),"")</f>
        <v/>
      </c>
      <c r="H13" s="5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IFERROR(IF(SUMIFS(tblDaily[Admissions],tblDaily[EntryDate],DATE(2026,1,8),tblDaily[WardCode],"BG")=0,"",SUMIFS(tblDaily[Admissions],tblDaily[EntryDate],DATE(2026,1,8),tblDaily[WardCode],"BG")),"")</f>
        <v/>
      </c>
      <c r="C14" s="5" t="str">
        <f>IFERROR(IF(SUMIFS(tblDaily[Discharges],tblDaily[EntryDate],DATE(2026,1,8),tblDaily[WardCode],"BG")=0,"",SUMIFS(tblDaily[Discharges],tblDaily[EntryDate],DATE(2026,1,8),tblDaily[WardCode],"BG")),"")</f>
        <v/>
      </c>
      <c r="D14" s="5" t="str">
        <f>IFERROR(IF(SUMIFS(tblDaily[Deaths],tblDaily[EntryDate],DATE(2026,1,8),tblDaily[WardCode],"BG")=0,"",SUMIFS(tblDaily[Deaths],tblDaily[EntryDate],DATE(2026,1,8),tblDaily[WardCode],"BG")),"")</f>
        <v/>
      </c>
      <c r="E14" s="5" t="str">
        <f>IFERROR(IF(SUMIFS(tblDaily[DeathsUnder24Hrs],tblDaily[EntryDate],DATE(2026,1,8),tblDaily[WardCode],"BG")=0,"",SUMIFS(tblDaily[DeathsUnder24Hrs],tblDaily[EntryDate],DATE(2026,1,8),tblDaily[WardCode],"BG")),"")</f>
        <v/>
      </c>
      <c r="F14" s="5" t="str">
        <f>IFERROR(IF(SUMIFS(tblDaily[TransfersIn],tblDaily[EntryDate],DATE(2026,1,8),tblDaily[WardCode],"BG")=0,"",SUMIFS(tblDaily[TransfersIn],tblDaily[EntryDate],DATE(2026,1,8),tblDaily[WardCode],"BG")),"")</f>
        <v/>
      </c>
      <c r="G14" s="5" t="str">
        <f>IFERROR(IF(SUMIFS(tblDaily[TransfersOut],tblDaily[EntryDate],DATE(2026,1,8),tblDaily[WardCode],"BG")=0,"",SUMIFS(tblDaily[TransfersOut],tblDaily[EntryDate],DATE(2026,1,8),tblDaily[WardCode],"BG")),"")</f>
        <v/>
      </c>
      <c r="H14" s="5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IFERROR(IF(SUMIFS(tblDaily[Admissions],tblDaily[EntryDate],DATE(2026,1,9),tblDaily[WardCode],"BG")=0,"",SUMIFS(tblDaily[Admissions],tblDaily[EntryDate],DATE(2026,1,9),tblDaily[WardCode],"BG")),"")</f>
        <v/>
      </c>
      <c r="C15" s="5" t="str">
        <f>IFERROR(IF(SUMIFS(tblDaily[Discharges],tblDaily[EntryDate],DATE(2026,1,9),tblDaily[WardCode],"BG")=0,"",SUMIFS(tblDaily[Discharges],tblDaily[EntryDate],DATE(2026,1,9),tblDaily[WardCode],"BG")),"")</f>
        <v/>
      </c>
      <c r="D15" s="5" t="str">
        <f>IFERROR(IF(SUMIFS(tblDaily[Deaths],tblDaily[EntryDate],DATE(2026,1,9),tblDaily[WardCode],"BG")=0,"",SUMIFS(tblDaily[Deaths],tblDaily[EntryDate],DATE(2026,1,9),tblDaily[WardCode],"BG")),"")</f>
        <v/>
      </c>
      <c r="E15" s="5" t="str">
        <f>IFERROR(IF(SUMIFS(tblDaily[DeathsUnder24Hrs],tblDaily[EntryDate],DATE(2026,1,9),tblDaily[WardCode],"BG")=0,"",SUMIFS(tblDaily[DeathsUnder24Hrs],tblDaily[EntryDate],DATE(2026,1,9),tblDaily[WardCode],"BG")),"")</f>
        <v/>
      </c>
      <c r="F15" s="5" t="str">
        <f>IFERROR(IF(SUMIFS(tblDaily[TransfersIn],tblDaily[EntryDate],DATE(2026,1,9),tblDaily[WardCode],"BG")=0,"",SUMIFS(tblDaily[TransfersIn],tblDaily[EntryDate],DATE(2026,1,9),tblDaily[WardCode],"BG")),"")</f>
        <v/>
      </c>
      <c r="G15" s="5" t="str">
        <f>IFERROR(IF(SUMIFS(tblDaily[TransfersOut],tblDaily[EntryDate],DATE(2026,1,9),tblDaily[WardCode],"BG")=0,"",SUMIFS(tblDaily[TransfersOut],tblDaily[EntryDate],DATE(2026,1,9),tblDaily[WardCode],"BG")),"")</f>
        <v/>
      </c>
      <c r="H15" s="5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IFERROR(IF(SUMIFS(tblDaily[Admissions],tblDaily[EntryDate],DATE(2026,1,10),tblDaily[WardCode],"BG")=0,"",SUMIFS(tblDaily[Admissions],tblDaily[EntryDate],DATE(2026,1,10),tblDaily[WardCode],"BG")),"")</f>
        <v/>
      </c>
      <c r="C16" s="5" t="str">
        <f>IFERROR(IF(SUMIFS(tblDaily[Discharges],tblDaily[EntryDate],DATE(2026,1,10),tblDaily[WardCode],"BG")=0,"",SUMIFS(tblDaily[Discharges],tblDaily[EntryDate],DATE(2026,1,10),tblDaily[WardCode],"BG")),"")</f>
        <v/>
      </c>
      <c r="D16" s="5" t="str">
        <f>IFERROR(IF(SUMIFS(tblDaily[Deaths],tblDaily[EntryDate],DATE(2026,1,10),tblDaily[WardCode],"BG")=0,"",SUMIFS(tblDaily[Deaths],tblDaily[EntryDate],DATE(2026,1,10),tblDaily[WardCode],"BG")),"")</f>
        <v/>
      </c>
      <c r="E16" s="5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5" t="str">
        <f>IFERROR(IF(SUMIFS(tblDaily[TransfersIn],tblDaily[EntryDate],DATE(2026,1,10),tblDaily[WardCode],"BG")=0,"",SUMIFS(tblDaily[TransfersIn],tblDaily[EntryDate],DATE(2026,1,10),tblDaily[WardCode],"BG")),"")</f>
        <v/>
      </c>
      <c r="G16" s="5" t="str">
        <f>IFERROR(IF(SUMIFS(tblDaily[TransfersOut],tblDaily[EntryDate],DATE(2026,1,10),tblDaily[WardCode],"BG")=0,"",SUMIFS(tblDaily[TransfersOut],tblDaily[EntryDate],DATE(2026,1,10),tblDaily[WardCode],"BG")),"")</f>
        <v/>
      </c>
      <c r="H16" s="5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IFERROR(IF(SUMIFS(tblDaily[Admissions],tblDaily[EntryDate],DATE(2026,1,11),tblDaily[WardCode],"BG")=0,"",SUMIFS(tblDaily[Admissions],tblDaily[EntryDate],DATE(2026,1,11),tblDaily[WardCode],"BG")),"")</f>
        <v/>
      </c>
      <c r="C17" s="5" t="str">
        <f>IFERROR(IF(SUMIFS(tblDaily[Discharges],tblDaily[EntryDate],DATE(2026,1,11),tblDaily[WardCode],"BG")=0,"",SUMIFS(tblDaily[Discharges],tblDaily[EntryDate],DATE(2026,1,11),tblDaily[WardCode],"BG")),"")</f>
        <v/>
      </c>
      <c r="D17" s="5" t="str">
        <f>IFERROR(IF(SUMIFS(tblDaily[Deaths],tblDaily[EntryDate],DATE(2026,1,11),tblDaily[WardCode],"BG")=0,"",SUMIFS(tblDaily[Deaths],tblDaily[EntryDate],DATE(2026,1,11),tblDaily[WardCode],"BG")),"")</f>
        <v/>
      </c>
      <c r="E17" s="5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5" t="str">
        <f>IFERROR(IF(SUMIFS(tblDaily[TransfersIn],tblDaily[EntryDate],DATE(2026,1,11),tblDaily[WardCode],"BG")=0,"",SUMIFS(tblDaily[TransfersIn],tblDaily[EntryDate],DATE(2026,1,11),tblDaily[WardCode],"BG")),"")</f>
        <v/>
      </c>
      <c r="G17" s="5" t="str">
        <f>IFERROR(IF(SUMIFS(tblDaily[TransfersOut],tblDaily[EntryDate],DATE(2026,1,11),tblDaily[WardCode],"BG")=0,"",SUMIFS(tblDaily[TransfersOut],tblDaily[EntryDate],DATE(2026,1,11),tblDaily[WardCode],"BG")),"")</f>
        <v/>
      </c>
      <c r="H17" s="5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IFERROR(IF(SUMIFS(tblDaily[Admissions],tblDaily[EntryDate],DATE(2026,1,12),tblDaily[WardCode],"BG")=0,"",SUMIFS(tblDaily[Admissions],tblDaily[EntryDate],DATE(2026,1,12),tblDaily[WardCode],"BG")),"")</f>
        <v/>
      </c>
      <c r="C18" s="5" t="str">
        <f>IFERROR(IF(SUMIFS(tblDaily[Discharges],tblDaily[EntryDate],DATE(2026,1,12),tblDaily[WardCode],"BG")=0,"",SUMIFS(tblDaily[Discharges],tblDaily[EntryDate],DATE(2026,1,12),tblDaily[WardCode],"BG")),"")</f>
        <v/>
      </c>
      <c r="D18" s="5" t="str">
        <f>IFERROR(IF(SUMIFS(tblDaily[Deaths],tblDaily[EntryDate],DATE(2026,1,12),tblDaily[WardCode],"BG")=0,"",SUMIFS(tblDaily[Deaths],tblDaily[EntryDate],DATE(2026,1,12),tblDaily[WardCode],"BG")),"")</f>
        <v/>
      </c>
      <c r="E18" s="5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5" t="str">
        <f>IFERROR(IF(SUMIFS(tblDaily[TransfersIn],tblDaily[EntryDate],DATE(2026,1,12),tblDaily[WardCode],"BG")=0,"",SUMIFS(tblDaily[TransfersIn],tblDaily[EntryDate],DATE(2026,1,12),tblDaily[WardCode],"BG")),"")</f>
        <v/>
      </c>
      <c r="G18" s="5" t="str">
        <f>IFERROR(IF(SUMIFS(tblDaily[TransfersOut],tblDaily[EntryDate],DATE(2026,1,12),tblDaily[WardCode],"BG")=0,"",SUMIFS(tblDaily[TransfersOut],tblDaily[EntryDate],DATE(2026,1,12),tblDaily[WardCode],"BG")),"")</f>
        <v/>
      </c>
      <c r="H18" s="5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IFERROR(IF(SUMIFS(tblDaily[Admissions],tblDaily[EntryDate],DATE(2026,1,13),tblDaily[WardCode],"BG")=0,"",SUMIFS(tblDaily[Admissions],tblDaily[EntryDate],DATE(2026,1,13),tblDaily[WardCode],"BG")),"")</f>
        <v/>
      </c>
      <c r="C19" s="5" t="str">
        <f>IFERROR(IF(SUMIFS(tblDaily[Discharges],tblDaily[EntryDate],DATE(2026,1,13),tblDaily[WardCode],"BG")=0,"",SUMIFS(tblDaily[Discharges],tblDaily[EntryDate],DATE(2026,1,13),tblDaily[WardCode],"BG")),"")</f>
        <v/>
      </c>
      <c r="D19" s="5" t="str">
        <f>IFERROR(IF(SUMIFS(tblDaily[Deaths],tblDaily[EntryDate],DATE(2026,1,13),tblDaily[WardCode],"BG")=0,"",SUMIFS(tblDaily[Deaths],tblDaily[EntryDate],DATE(2026,1,13),tblDaily[WardCode],"BG")),"")</f>
        <v/>
      </c>
      <c r="E19" s="5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5" t="str">
        <f>IFERROR(IF(SUMIFS(tblDaily[TransfersIn],tblDaily[EntryDate],DATE(2026,1,13),tblDaily[WardCode],"BG")=0,"",SUMIFS(tblDaily[TransfersIn],tblDaily[EntryDate],DATE(2026,1,13),tblDaily[WardCode],"BG")),"")</f>
        <v/>
      </c>
      <c r="G19" s="5" t="str">
        <f>IFERROR(IF(SUMIFS(tblDaily[TransfersOut],tblDaily[EntryDate],DATE(2026,1,13),tblDaily[WardCode],"BG")=0,"",SUMIFS(tblDaily[TransfersOut],tblDaily[EntryDate],DATE(2026,1,13),tblDaily[WardCode],"BG")),"")</f>
        <v/>
      </c>
      <c r="H19" s="5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IFERROR(IF(SUMIFS(tblDaily[Admissions],tblDaily[EntryDate],DATE(2026,1,14),tblDaily[WardCode],"BG")=0,"",SUMIFS(tblDaily[Admissions],tblDaily[EntryDate],DATE(2026,1,14),tblDaily[WardCode],"BG")),"")</f>
        <v/>
      </c>
      <c r="C20" s="5" t="str">
        <f>IFERROR(IF(SUMIFS(tblDaily[Discharges],tblDaily[EntryDate],DATE(2026,1,14),tblDaily[WardCode],"BG")=0,"",SUMIFS(tblDaily[Discharges],tblDaily[EntryDate],DATE(2026,1,14),tblDaily[WardCode],"BG")),"")</f>
        <v/>
      </c>
      <c r="D20" s="5" t="str">
        <f>IFERROR(IF(SUMIFS(tblDaily[Deaths],tblDaily[EntryDate],DATE(2026,1,14),tblDaily[WardCode],"BG")=0,"",SUMIFS(tblDaily[Deaths],tblDaily[EntryDate],DATE(2026,1,14),tblDaily[WardCode],"BG")),"")</f>
        <v/>
      </c>
      <c r="E20" s="5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5" t="str">
        <f>IFERROR(IF(SUMIFS(tblDaily[TransfersIn],tblDaily[EntryDate],DATE(2026,1,14),tblDaily[WardCode],"BG")=0,"",SUMIFS(tblDaily[TransfersIn],tblDaily[EntryDate],DATE(2026,1,14),tblDaily[WardCode],"BG")),"")</f>
        <v/>
      </c>
      <c r="G20" s="5" t="str">
        <f>IFERROR(IF(SUMIFS(tblDaily[TransfersOut],tblDaily[EntryDate],DATE(2026,1,14),tblDaily[WardCode],"BG")=0,"",SUMIFS(tblDaily[TransfersOut],tblDaily[EntryDate],DATE(2026,1,14),tblDaily[WardCode],"BG")),"")</f>
        <v/>
      </c>
      <c r="H20" s="5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IFERROR(IF(SUMIFS(tblDaily[Admissions],tblDaily[EntryDate],DATE(2026,1,15),tblDaily[WardCode],"BG")=0,"",SUMIFS(tblDaily[Admissions],tblDaily[EntryDate],DATE(2026,1,15),tblDaily[WardCode],"BG")),"")</f>
        <v/>
      </c>
      <c r="C21" s="5" t="str">
        <f>IFERROR(IF(SUMIFS(tblDaily[Discharges],tblDaily[EntryDate],DATE(2026,1,15),tblDaily[WardCode],"BG")=0,"",SUMIFS(tblDaily[Discharges],tblDaily[EntryDate],DATE(2026,1,15),tblDaily[WardCode],"BG")),"")</f>
        <v/>
      </c>
      <c r="D21" s="5" t="str">
        <f>IFERROR(IF(SUMIFS(tblDaily[Deaths],tblDaily[EntryDate],DATE(2026,1,15),tblDaily[WardCode],"BG")=0,"",SUMIFS(tblDaily[Deaths],tblDaily[EntryDate],DATE(2026,1,15),tblDaily[WardCode],"BG")),"")</f>
        <v/>
      </c>
      <c r="E21" s="5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5" t="str">
        <f>IFERROR(IF(SUMIFS(tblDaily[TransfersIn],tblDaily[EntryDate],DATE(2026,1,15),tblDaily[WardCode],"BG")=0,"",SUMIFS(tblDaily[TransfersIn],tblDaily[EntryDate],DATE(2026,1,15),tblDaily[WardCode],"BG")),"")</f>
        <v/>
      </c>
      <c r="G21" s="5" t="str">
        <f>IFERROR(IF(SUMIFS(tblDaily[TransfersOut],tblDaily[EntryDate],DATE(2026,1,15),tblDaily[WardCode],"BG")=0,"",SUMIFS(tblDaily[TransfersOut],tblDaily[EntryDate],DATE(2026,1,15),tblDaily[WardCode],"BG")),"")</f>
        <v/>
      </c>
      <c r="H21" s="5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IFERROR(IF(SUMIFS(tblDaily[Admissions],tblDaily[EntryDate],DATE(2026,1,16),tblDaily[WardCode],"BG")=0,"",SUMIFS(tblDaily[Admissions],tblDaily[EntryDate],DATE(2026,1,16),tblDaily[WardCode],"BG")),"")</f>
        <v/>
      </c>
      <c r="C22" s="5" t="str">
        <f>IFERROR(IF(SUMIFS(tblDaily[Discharges],tblDaily[EntryDate],DATE(2026,1,16),tblDaily[WardCode],"BG")=0,"",SUMIFS(tblDaily[Discharges],tblDaily[EntryDate],DATE(2026,1,16),tblDaily[WardCode],"BG")),"")</f>
        <v/>
      </c>
      <c r="D22" s="5" t="str">
        <f>IFERROR(IF(SUMIFS(tblDaily[Deaths],tblDaily[EntryDate],DATE(2026,1,16),tblDaily[WardCode],"BG")=0,"",SUMIFS(tblDaily[Deaths],tblDaily[EntryDate],DATE(2026,1,16),tblDaily[WardCode],"BG")),"")</f>
        <v/>
      </c>
      <c r="E22" s="5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5" t="str">
        <f>IFERROR(IF(SUMIFS(tblDaily[TransfersIn],tblDaily[EntryDate],DATE(2026,1,16),tblDaily[WardCode],"BG")=0,"",SUMIFS(tblDaily[TransfersIn],tblDaily[EntryDate],DATE(2026,1,16),tblDaily[WardCode],"BG")),"")</f>
        <v/>
      </c>
      <c r="G22" s="5" t="str">
        <f>IFERROR(IF(SUMIFS(tblDaily[TransfersOut],tblDaily[EntryDate],DATE(2026,1,16),tblDaily[WardCode],"BG")=0,"",SUMIFS(tblDaily[TransfersOut],tblDaily[EntryDate],DATE(2026,1,16),tblDaily[WardCode],"BG")),"")</f>
        <v/>
      </c>
      <c r="H22" s="5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IFERROR(IF(SUMIFS(tblDaily[Admissions],tblDaily[EntryDate],DATE(2026,1,17),tblDaily[WardCode],"BG")=0,"",SUMIFS(tblDaily[Admissions],tblDaily[EntryDate],DATE(2026,1,17),tblDaily[WardCode],"BG")),"")</f>
        <v/>
      </c>
      <c r="C23" s="5" t="str">
        <f>IFERROR(IF(SUMIFS(tblDaily[Discharges],tblDaily[EntryDate],DATE(2026,1,17),tblDaily[WardCode],"BG")=0,"",SUMIFS(tblDaily[Discharges],tblDaily[EntryDate],DATE(2026,1,17),tblDaily[WardCode],"BG")),"")</f>
        <v/>
      </c>
      <c r="D23" s="5" t="str">
        <f>IFERROR(IF(SUMIFS(tblDaily[Deaths],tblDaily[EntryDate],DATE(2026,1,17),tblDaily[WardCode],"BG")=0,"",SUMIFS(tblDaily[Deaths],tblDaily[EntryDate],DATE(2026,1,17),tblDaily[WardCode],"BG")),"")</f>
        <v/>
      </c>
      <c r="E23" s="5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5" t="str">
        <f>IFERROR(IF(SUMIFS(tblDaily[TransfersIn],tblDaily[EntryDate],DATE(2026,1,17),tblDaily[WardCode],"BG")=0,"",SUMIFS(tblDaily[TransfersIn],tblDaily[EntryDate],DATE(2026,1,17),tblDaily[WardCode],"BG")),"")</f>
        <v/>
      </c>
      <c r="G23" s="5" t="str">
        <f>IFERROR(IF(SUMIFS(tblDaily[TransfersOut],tblDaily[EntryDate],DATE(2026,1,17),tblDaily[WardCode],"BG")=0,"",SUMIFS(tblDaily[TransfersOut],tblDaily[EntryDate],DATE(2026,1,17),tblDaily[WardCode],"BG")),"")</f>
        <v/>
      </c>
      <c r="H23" s="5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IFERROR(IF(SUMIFS(tblDaily[Admissions],tblDaily[EntryDate],DATE(2026,1,18),tblDaily[WardCode],"BG")=0,"",SUMIFS(tblDaily[Admissions],tblDaily[EntryDate],DATE(2026,1,18),tblDaily[WardCode],"BG")),"")</f>
        <v/>
      </c>
      <c r="C24" s="5" t="str">
        <f>IFERROR(IF(SUMIFS(tblDaily[Discharges],tblDaily[EntryDate],DATE(2026,1,18),tblDaily[WardCode],"BG")=0,"",SUMIFS(tblDaily[Discharges],tblDaily[EntryDate],DATE(2026,1,18),tblDaily[WardCode],"BG")),"")</f>
        <v/>
      </c>
      <c r="D24" s="5" t="str">
        <f>IFERROR(IF(SUMIFS(tblDaily[Deaths],tblDaily[EntryDate],DATE(2026,1,18),tblDaily[WardCode],"BG")=0,"",SUMIFS(tblDaily[Deaths],tblDaily[EntryDate],DATE(2026,1,18),tblDaily[WardCode],"BG")),"")</f>
        <v/>
      </c>
      <c r="E24" s="5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5" t="str">
        <f>IFERROR(IF(SUMIFS(tblDaily[TransfersIn],tblDaily[EntryDate],DATE(2026,1,18),tblDaily[WardCode],"BG")=0,"",SUMIFS(tblDaily[TransfersIn],tblDaily[EntryDate],DATE(2026,1,18),tblDaily[WardCode],"BG")),"")</f>
        <v/>
      </c>
      <c r="G24" s="5" t="str">
        <f>IFERROR(IF(SUMIFS(tblDaily[TransfersOut],tblDaily[EntryDate],DATE(2026,1,18),tblDaily[WardCode],"BG")=0,"",SUMIFS(tblDaily[TransfersOut],tblDaily[EntryDate],DATE(2026,1,18),tblDaily[WardCode],"BG")),"")</f>
        <v/>
      </c>
      <c r="H24" s="5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IFERROR(IF(SUMIFS(tblDaily[Admissions],tblDaily[EntryDate],DATE(2026,1,19),tblDaily[WardCode],"BG")=0,"",SUMIFS(tblDaily[Admissions],tblDaily[EntryDate],DATE(2026,1,19),tblDaily[WardCode],"BG")),"")</f>
        <v/>
      </c>
      <c r="C25" s="5" t="str">
        <f>IFERROR(IF(SUMIFS(tblDaily[Discharges],tblDaily[EntryDate],DATE(2026,1,19),tblDaily[WardCode],"BG")=0,"",SUMIFS(tblDaily[Discharges],tblDaily[EntryDate],DATE(2026,1,19),tblDaily[WardCode],"BG")),"")</f>
        <v/>
      </c>
      <c r="D25" s="5" t="str">
        <f>IFERROR(IF(SUMIFS(tblDaily[Deaths],tblDaily[EntryDate],DATE(2026,1,19),tblDaily[WardCode],"BG")=0,"",SUMIFS(tblDaily[Deaths],tblDaily[EntryDate],DATE(2026,1,19),tblDaily[WardCode],"BG")),"")</f>
        <v/>
      </c>
      <c r="E25" s="5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5" t="str">
        <f>IFERROR(IF(SUMIFS(tblDaily[TransfersIn],tblDaily[EntryDate],DATE(2026,1,19),tblDaily[WardCode],"BG")=0,"",SUMIFS(tblDaily[TransfersIn],tblDaily[EntryDate],DATE(2026,1,19),tblDaily[WardCode],"BG")),"")</f>
        <v/>
      </c>
      <c r="G25" s="5" t="str">
        <f>IFERROR(IF(SUMIFS(tblDaily[TransfersOut],tblDaily[EntryDate],DATE(2026,1,19),tblDaily[WardCode],"BG")=0,"",SUMIFS(tblDaily[TransfersOut],tblDaily[EntryDate],DATE(2026,1,19),tblDaily[WardCode],"BG")),"")</f>
        <v/>
      </c>
      <c r="H25" s="5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IFERROR(IF(SUMIFS(tblDaily[Admissions],tblDaily[EntryDate],DATE(2026,1,20),tblDaily[WardCode],"BG")=0,"",SUMIFS(tblDaily[Admissions],tblDaily[EntryDate],DATE(2026,1,20),tblDaily[WardCode],"BG")),"")</f>
        <v/>
      </c>
      <c r="C26" s="5" t="str">
        <f>IFERROR(IF(SUMIFS(tblDaily[Discharges],tblDaily[EntryDate],DATE(2026,1,20),tblDaily[WardCode],"BG")=0,"",SUMIFS(tblDaily[Discharges],tblDaily[EntryDate],DATE(2026,1,20),tblDaily[WardCode],"BG")),"")</f>
        <v/>
      </c>
      <c r="D26" s="5" t="str">
        <f>IFERROR(IF(SUMIFS(tblDaily[Deaths],tblDaily[EntryDate],DATE(2026,1,20),tblDaily[WardCode],"BG")=0,"",SUMIFS(tblDaily[Deaths],tblDaily[EntryDate],DATE(2026,1,20),tblDaily[WardCode],"BG")),"")</f>
        <v/>
      </c>
      <c r="E26" s="5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5" t="str">
        <f>IFERROR(IF(SUMIFS(tblDaily[TransfersIn],tblDaily[EntryDate],DATE(2026,1,20),tblDaily[WardCode],"BG")=0,"",SUMIFS(tblDaily[TransfersIn],tblDaily[EntryDate],DATE(2026,1,20),tblDaily[WardCode],"BG")),"")</f>
        <v/>
      </c>
      <c r="G26" s="5" t="str">
        <f>IFERROR(IF(SUMIFS(tblDaily[TransfersOut],tblDaily[EntryDate],DATE(2026,1,20),tblDaily[WardCode],"BG")=0,"",SUMIFS(tblDaily[TransfersOut],tblDaily[EntryDate],DATE(2026,1,20),tblDaily[WardCode],"BG")),"")</f>
        <v/>
      </c>
      <c r="H26" s="5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IFERROR(IF(SUMIFS(tblDaily[Admissions],tblDaily[EntryDate],DATE(2026,1,21),tblDaily[WardCode],"BG")=0,"",SUMIFS(tblDaily[Admissions],tblDaily[EntryDate],DATE(2026,1,21),tblDaily[WardCode],"BG")),"")</f>
        <v/>
      </c>
      <c r="C27" s="5" t="str">
        <f>IFERROR(IF(SUMIFS(tblDaily[Discharges],tblDaily[EntryDate],DATE(2026,1,21),tblDaily[WardCode],"BG")=0,"",SUMIFS(tblDaily[Discharges],tblDaily[EntryDate],DATE(2026,1,21),tblDaily[WardCode],"BG")),"")</f>
        <v/>
      </c>
      <c r="D27" s="5" t="str">
        <f>IFERROR(IF(SUMIFS(tblDaily[Deaths],tblDaily[EntryDate],DATE(2026,1,21),tblDaily[WardCode],"BG")=0,"",SUMIFS(tblDaily[Deaths],tblDaily[EntryDate],DATE(2026,1,21),tblDaily[WardCode],"BG")),"")</f>
        <v/>
      </c>
      <c r="E27" s="5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5" t="str">
        <f>IFERROR(IF(SUMIFS(tblDaily[TransfersIn],tblDaily[EntryDate],DATE(2026,1,21),tblDaily[WardCode],"BG")=0,"",SUMIFS(tblDaily[TransfersIn],tblDaily[EntryDate],DATE(2026,1,21),tblDaily[WardCode],"BG")),"")</f>
        <v/>
      </c>
      <c r="G27" s="5" t="str">
        <f>IFERROR(IF(SUMIFS(tblDaily[TransfersOut],tblDaily[EntryDate],DATE(2026,1,21),tblDaily[WardCode],"BG")=0,"",SUMIFS(tblDaily[TransfersOut],tblDaily[EntryDate],DATE(2026,1,21),tblDaily[WardCode],"BG")),"")</f>
        <v/>
      </c>
      <c r="H27" s="5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IFERROR(IF(SUMIFS(tblDaily[Admissions],tblDaily[EntryDate],DATE(2026,1,22),tblDaily[WardCode],"BG")=0,"",SUMIFS(tblDaily[Admissions],tblDaily[EntryDate],DATE(2026,1,22),tblDaily[WardCode],"BG")),"")</f>
        <v/>
      </c>
      <c r="C28" s="5" t="str">
        <f>IFERROR(IF(SUMIFS(tblDaily[Discharges],tblDaily[EntryDate],DATE(2026,1,22),tblDaily[WardCode],"BG")=0,"",SUMIFS(tblDaily[Discharges],tblDaily[EntryDate],DATE(2026,1,22),tblDaily[WardCode],"BG")),"")</f>
        <v/>
      </c>
      <c r="D28" s="5" t="str">
        <f>IFERROR(IF(SUMIFS(tblDaily[Deaths],tblDaily[EntryDate],DATE(2026,1,22),tblDaily[WardCode],"BG")=0,"",SUMIFS(tblDaily[Deaths],tblDaily[EntryDate],DATE(2026,1,22),tblDaily[WardCode],"BG")),"")</f>
        <v/>
      </c>
      <c r="E28" s="5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5" t="str">
        <f>IFERROR(IF(SUMIFS(tblDaily[TransfersIn],tblDaily[EntryDate],DATE(2026,1,22),tblDaily[WardCode],"BG")=0,"",SUMIFS(tblDaily[TransfersIn],tblDaily[EntryDate],DATE(2026,1,22),tblDaily[WardCode],"BG")),"")</f>
        <v/>
      </c>
      <c r="G28" s="5" t="str">
        <f>IFERROR(IF(SUMIFS(tblDaily[TransfersOut],tblDaily[EntryDate],DATE(2026,1,22),tblDaily[WardCode],"BG")=0,"",SUMIFS(tblDaily[TransfersOut],tblDaily[EntryDate],DATE(2026,1,22),tblDaily[WardCode],"BG")),"")</f>
        <v/>
      </c>
      <c r="H28" s="5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IFERROR(IF(SUMIFS(tblDaily[Admissions],tblDaily[EntryDate],DATE(2026,1,23),tblDaily[WardCode],"BG")=0,"",SUMIFS(tblDaily[Admissions],tblDaily[EntryDate],DATE(2026,1,23),tblDaily[WardCode],"BG")),"")</f>
        <v/>
      </c>
      <c r="C29" s="5" t="str">
        <f>IFERROR(IF(SUMIFS(tblDaily[Discharges],tblDaily[EntryDate],DATE(2026,1,23),tblDaily[WardCode],"BG")=0,"",SUMIFS(tblDaily[Discharges],tblDaily[EntryDate],DATE(2026,1,23),tblDaily[WardCode],"BG")),"")</f>
        <v/>
      </c>
      <c r="D29" s="5" t="str">
        <f>IFERROR(IF(SUMIFS(tblDaily[Deaths],tblDaily[EntryDate],DATE(2026,1,23),tblDaily[WardCode],"BG")=0,"",SUMIFS(tblDaily[Deaths],tblDaily[EntryDate],DATE(2026,1,23),tblDaily[WardCode],"BG")),"")</f>
        <v/>
      </c>
      <c r="E29" s="5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5" t="str">
        <f>IFERROR(IF(SUMIFS(tblDaily[TransfersIn],tblDaily[EntryDate],DATE(2026,1,23),tblDaily[WardCode],"BG")=0,"",SUMIFS(tblDaily[TransfersIn],tblDaily[EntryDate],DATE(2026,1,23),tblDaily[WardCode],"BG")),"")</f>
        <v/>
      </c>
      <c r="G29" s="5" t="str">
        <f>IFERROR(IF(SUMIFS(tblDaily[TransfersOut],tblDaily[EntryDate],DATE(2026,1,23),tblDaily[WardCode],"BG")=0,"",SUMIFS(tblDaily[TransfersOut],tblDaily[EntryDate],DATE(2026,1,23),tblDaily[WardCode],"BG")),"")</f>
        <v/>
      </c>
      <c r="H29" s="5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IFERROR(IF(SUMIFS(tblDaily[Admissions],tblDaily[EntryDate],DATE(2026,1,24),tblDaily[WardCode],"BG")=0,"",SUMIFS(tblDaily[Admissions],tblDaily[EntryDate],DATE(2026,1,24),tblDaily[WardCode],"BG")),"")</f>
        <v/>
      </c>
      <c r="C30" s="5" t="str">
        <f>IFERROR(IF(SUMIFS(tblDaily[Discharges],tblDaily[EntryDate],DATE(2026,1,24),tblDaily[WardCode],"BG")=0,"",SUMIFS(tblDaily[Discharges],tblDaily[EntryDate],DATE(2026,1,24),tblDaily[WardCode],"BG")),"")</f>
        <v/>
      </c>
      <c r="D30" s="5" t="str">
        <f>IFERROR(IF(SUMIFS(tblDaily[Deaths],tblDaily[EntryDate],DATE(2026,1,24),tblDaily[WardCode],"BG")=0,"",SUMIFS(tblDaily[Deaths],tblDaily[EntryDate],DATE(2026,1,24),tblDaily[WardCode],"BG")),"")</f>
        <v/>
      </c>
      <c r="E30" s="5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5" t="str">
        <f>IFERROR(IF(SUMIFS(tblDaily[TransfersIn],tblDaily[EntryDate],DATE(2026,1,24),tblDaily[WardCode],"BG")=0,"",SUMIFS(tblDaily[TransfersIn],tblDaily[EntryDate],DATE(2026,1,24),tblDaily[WardCode],"BG")),"")</f>
        <v/>
      </c>
      <c r="G30" s="5" t="str">
        <f>IFERROR(IF(SUMIFS(tblDaily[TransfersOut],tblDaily[EntryDate],DATE(2026,1,24),tblDaily[WardCode],"BG")=0,"",SUMIFS(tblDaily[TransfersOut],tblDaily[EntryDate],DATE(2026,1,24),tblDaily[WardCode],"BG")),"")</f>
        <v/>
      </c>
      <c r="H30" s="5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IFERROR(IF(SUMIFS(tblDaily[Admissions],tblDaily[EntryDate],DATE(2026,1,25),tblDaily[WardCode],"BG")=0,"",SUMIFS(tblDaily[Admissions],tblDaily[EntryDate],DATE(2026,1,25),tblDaily[WardCode],"BG")),"")</f>
        <v/>
      </c>
      <c r="C31" s="5" t="str">
        <f>IFERROR(IF(SUMIFS(tblDaily[Discharges],tblDaily[EntryDate],DATE(2026,1,25),tblDaily[WardCode],"BG")=0,"",SUMIFS(tblDaily[Discharges],tblDaily[EntryDate],DATE(2026,1,25),tblDaily[WardCode],"BG")),"")</f>
        <v/>
      </c>
      <c r="D31" s="5" t="str">
        <f>IFERROR(IF(SUMIFS(tblDaily[Deaths],tblDaily[EntryDate],DATE(2026,1,25),tblDaily[WardCode],"BG")=0,"",SUMIFS(tblDaily[Deaths],tblDaily[EntryDate],DATE(2026,1,25),tblDaily[WardCode],"BG")),"")</f>
        <v/>
      </c>
      <c r="E31" s="5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5" t="str">
        <f>IFERROR(IF(SUMIFS(tblDaily[TransfersIn],tblDaily[EntryDate],DATE(2026,1,25),tblDaily[WardCode],"BG")=0,"",SUMIFS(tblDaily[TransfersIn],tblDaily[EntryDate],DATE(2026,1,25),tblDaily[WardCode],"BG")),"")</f>
        <v/>
      </c>
      <c r="G31" s="5" t="str">
        <f>IFERROR(IF(SUMIFS(tblDaily[TransfersOut],tblDaily[EntryDate],DATE(2026,1,25),tblDaily[WardCode],"BG")=0,"",SUMIFS(tblDaily[TransfersOut],tblDaily[EntryDate],DATE(2026,1,25),tblDaily[WardCode],"BG")),"")</f>
        <v/>
      </c>
      <c r="H31" s="5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IFERROR(IF(SUMIFS(tblDaily[Admissions],tblDaily[EntryDate],DATE(2026,1,26),tblDaily[WardCode],"BG")=0,"",SUMIFS(tblDaily[Admissions],tblDaily[EntryDate],DATE(2026,1,26),tblDaily[WardCode],"BG")),"")</f>
        <v/>
      </c>
      <c r="C32" s="5" t="str">
        <f>IFERROR(IF(SUMIFS(tblDaily[Discharges],tblDaily[EntryDate],DATE(2026,1,26),tblDaily[WardCode],"BG")=0,"",SUMIFS(tblDaily[Discharges],tblDaily[EntryDate],DATE(2026,1,26),tblDaily[WardCode],"BG")),"")</f>
        <v/>
      </c>
      <c r="D32" s="5" t="str">
        <f>IFERROR(IF(SUMIFS(tblDaily[Deaths],tblDaily[EntryDate],DATE(2026,1,26),tblDaily[WardCode],"BG")=0,"",SUMIFS(tblDaily[Deaths],tblDaily[EntryDate],DATE(2026,1,26),tblDaily[WardCode],"BG")),"")</f>
        <v/>
      </c>
      <c r="E32" s="5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5" t="str">
        <f>IFERROR(IF(SUMIFS(tblDaily[TransfersIn],tblDaily[EntryDate],DATE(2026,1,26),tblDaily[WardCode],"BG")=0,"",SUMIFS(tblDaily[TransfersIn],tblDaily[EntryDate],DATE(2026,1,26),tblDaily[WardCode],"BG")),"")</f>
        <v/>
      </c>
      <c r="G32" s="5" t="str">
        <f>IFERROR(IF(SUMIFS(tblDaily[TransfersOut],tblDaily[EntryDate],DATE(2026,1,26),tblDaily[WardCode],"BG")=0,"",SUMIFS(tblDaily[TransfersOut],tblDaily[EntryDate],DATE(2026,1,26),tblDaily[WardCode],"BG")),"")</f>
        <v/>
      </c>
      <c r="H32" s="5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IFERROR(IF(SUMIFS(tblDaily[Admissions],tblDaily[EntryDate],DATE(2026,1,27),tblDaily[WardCode],"BG")=0,"",SUMIFS(tblDaily[Admissions],tblDaily[EntryDate],DATE(2026,1,27),tblDaily[WardCode],"BG")),"")</f>
        <v/>
      </c>
      <c r="C33" s="5" t="str">
        <f>IFERROR(IF(SUMIFS(tblDaily[Discharges],tblDaily[EntryDate],DATE(2026,1,27),tblDaily[WardCode],"BG")=0,"",SUMIFS(tblDaily[Discharges],tblDaily[EntryDate],DATE(2026,1,27),tblDaily[WardCode],"BG")),"")</f>
        <v/>
      </c>
      <c r="D33" s="5" t="str">
        <f>IFERROR(IF(SUMIFS(tblDaily[Deaths],tblDaily[EntryDate],DATE(2026,1,27),tblDaily[WardCode],"BG")=0,"",SUMIFS(tblDaily[Deaths],tblDaily[EntryDate],DATE(2026,1,27),tblDaily[WardCode],"BG")),"")</f>
        <v/>
      </c>
      <c r="E33" s="5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5" t="str">
        <f>IFERROR(IF(SUMIFS(tblDaily[TransfersIn],tblDaily[EntryDate],DATE(2026,1,27),tblDaily[WardCode],"BG")=0,"",SUMIFS(tblDaily[TransfersIn],tblDaily[EntryDate],DATE(2026,1,27),tblDaily[WardCode],"BG")),"")</f>
        <v/>
      </c>
      <c r="G33" s="5" t="str">
        <f>IFERROR(IF(SUMIFS(tblDaily[TransfersOut],tblDaily[EntryDate],DATE(2026,1,27),tblDaily[WardCode],"BG")=0,"",SUMIFS(tblDaily[TransfersOut],tblDaily[EntryDate],DATE(2026,1,27),tblDaily[WardCode],"BG")),"")</f>
        <v/>
      </c>
      <c r="H33" s="5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IFERROR(IF(SUMIFS(tblDaily[Admissions],tblDaily[EntryDate],DATE(2026,1,28),tblDaily[WardCode],"BG")=0,"",SUMIFS(tblDaily[Admissions],tblDaily[EntryDate],DATE(2026,1,28),tblDaily[WardCode],"BG")),"")</f>
        <v/>
      </c>
      <c r="C34" s="5" t="str">
        <f>IFERROR(IF(SUMIFS(tblDaily[Discharges],tblDaily[EntryDate],DATE(2026,1,28),tblDaily[WardCode],"BG")=0,"",SUMIFS(tblDaily[Discharges],tblDaily[EntryDate],DATE(2026,1,28),tblDaily[WardCode],"BG")),"")</f>
        <v/>
      </c>
      <c r="D34" s="5" t="str">
        <f>IFERROR(IF(SUMIFS(tblDaily[Deaths],tblDaily[EntryDate],DATE(2026,1,28),tblDaily[WardCode],"BG")=0,"",SUMIFS(tblDaily[Deaths],tblDaily[EntryDate],DATE(2026,1,28),tblDaily[WardCode],"BG")),"")</f>
        <v/>
      </c>
      <c r="E34" s="5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5" t="str">
        <f>IFERROR(IF(SUMIFS(tblDaily[TransfersIn],tblDaily[EntryDate],DATE(2026,1,28),tblDaily[WardCode],"BG")=0,"",SUMIFS(tblDaily[TransfersIn],tblDaily[EntryDate],DATE(2026,1,28),tblDaily[WardCode],"BG")),"")</f>
        <v/>
      </c>
      <c r="G34" s="5" t="str">
        <f>IFERROR(IF(SUMIFS(tblDaily[TransfersOut],tblDaily[EntryDate],DATE(2026,1,28),tblDaily[WardCode],"BG")=0,"",SUMIFS(tblDaily[TransfersOut],tblDaily[EntryDate],DATE(2026,1,28),tblDaily[WardCode],"BG")),"")</f>
        <v/>
      </c>
      <c r="H34" s="5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IFERROR(IF(SUMIFS(tblDaily[Admissions],tblDaily[EntryDate],DATE(2026,1,29),tblDaily[WardCode],"BG")=0,"",SUMIFS(tblDaily[Admissions],tblDaily[EntryDate],DATE(2026,1,29),tblDaily[WardCode],"BG")),"")</f>
        <v/>
      </c>
      <c r="C35" s="5" t="str">
        <f>IFERROR(IF(SUMIFS(tblDaily[Discharges],tblDaily[EntryDate],DATE(2026,1,29),tblDaily[WardCode],"BG")=0,"",SUMIFS(tblDaily[Discharges],tblDaily[EntryDate],DATE(2026,1,29),tblDaily[WardCode],"BG")),"")</f>
        <v/>
      </c>
      <c r="D35" s="5" t="str">
        <f>IFERROR(IF(SUMIFS(tblDaily[Deaths],tblDaily[EntryDate],DATE(2026,1,29),tblDaily[WardCode],"BG")=0,"",SUMIFS(tblDaily[Deaths],tblDaily[EntryDate],DATE(2026,1,29),tblDaily[WardCode],"BG")),"")</f>
        <v/>
      </c>
      <c r="E35" s="5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5" t="str">
        <f>IFERROR(IF(SUMIFS(tblDaily[TransfersIn],tblDaily[EntryDate],DATE(2026,1,29),tblDaily[WardCode],"BG")=0,"",SUMIFS(tblDaily[TransfersIn],tblDaily[EntryDate],DATE(2026,1,29),tblDaily[WardCode],"BG")),"")</f>
        <v/>
      </c>
      <c r="G35" s="5" t="str">
        <f>IFERROR(IF(SUMIFS(tblDaily[TransfersOut],tblDaily[EntryDate],DATE(2026,1,29),tblDaily[WardCode],"BG")=0,"",SUMIFS(tblDaily[TransfersOut],tblDaily[EntryDate],DATE(2026,1,29),tblDaily[WardCode],"BG")),"")</f>
        <v/>
      </c>
      <c r="H35" s="5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IFERROR(IF(SUMIFS(tblDaily[Admissions],tblDaily[EntryDate],DATE(2026,1,30),tblDaily[WardCode],"BG")=0,"",SUMIFS(tblDaily[Admissions],tblDaily[EntryDate],DATE(2026,1,30),tblDaily[WardCode],"BG")),"")</f>
        <v/>
      </c>
      <c r="C36" s="5" t="str">
        <f>IFERROR(IF(SUMIFS(tblDaily[Discharges],tblDaily[EntryDate],DATE(2026,1,30),tblDaily[WardCode],"BG")=0,"",SUMIFS(tblDaily[Discharges],tblDaily[EntryDate],DATE(2026,1,30),tblDaily[WardCode],"BG")),"")</f>
        <v/>
      </c>
      <c r="D36" s="5" t="str">
        <f>IFERROR(IF(SUMIFS(tblDaily[Deaths],tblDaily[EntryDate],DATE(2026,1,30),tblDaily[WardCode],"BG")=0,"",SUMIFS(tblDaily[Deaths],tblDaily[EntryDate],DATE(2026,1,30),tblDaily[WardCode],"BG")),"")</f>
        <v/>
      </c>
      <c r="E36" s="5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5" t="str">
        <f>IFERROR(IF(SUMIFS(tblDaily[TransfersIn],tblDaily[EntryDate],DATE(2026,1,30),tblDaily[WardCode],"BG")=0,"",SUMIFS(tblDaily[TransfersIn],tblDaily[EntryDate],DATE(2026,1,30),tblDaily[WardCode],"BG")),"")</f>
        <v/>
      </c>
      <c r="G36" s="5" t="str">
        <f>IFERROR(IF(SUMIFS(tblDaily[TransfersOut],tblDaily[EntryDate],DATE(2026,1,30),tblDaily[WardCode],"BG")=0,"",SUMIFS(tblDaily[TransfersOut],tblDaily[EntryDate],DATE(2026,1,30),tblDaily[WardCode],"BG")),"")</f>
        <v/>
      </c>
      <c r="H36" s="5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IFERROR(IF(SUMIFS(tblDaily[Admissions],tblDaily[EntryDate],DATE(2026,1,31),tblDaily[WardCode],"BG")=0,"",SUMIFS(tblDaily[Admissions],tblDaily[EntryDate],DATE(2026,1,31),tblDaily[WardCode],"BG")),"")</f>
        <v/>
      </c>
      <c r="C37" s="5" t="str">
        <f>IFERROR(IF(SUMIFS(tblDaily[Discharges],tblDaily[EntryDate],DATE(2026,1,31),tblDaily[WardCode],"BG")=0,"",SUMIFS(tblDaily[Discharges],tblDaily[EntryDate],DATE(2026,1,31),tblDaily[WardCode],"BG")),"")</f>
        <v/>
      </c>
      <c r="D37" s="5" t="str">
        <f>IFERROR(IF(SUMIFS(tblDaily[Deaths],tblDaily[EntryDate],DATE(2026,1,31),tblDaily[WardCode],"BG")=0,"",SUMIFS(tblDaily[Deaths],tblDaily[EntryDate],DATE(2026,1,31),tblDaily[WardCode],"BG")),"")</f>
        <v/>
      </c>
      <c r="E37" s="5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5" t="str">
        <f>IFERROR(IF(SUMIFS(tblDaily[TransfersIn],tblDaily[EntryDate],DATE(2026,1,31),tblDaily[WardCode],"BG")=0,"",SUMIFS(tblDaily[TransfersIn],tblDaily[EntryDate],DATE(2026,1,31),tblDaily[WardCode],"BG")),"")</f>
        <v/>
      </c>
      <c r="G37" s="5" t="str">
        <f>IFERROR(IF(SUMIFS(tblDaily[TransfersOut],tblDaily[EntryDate],DATE(2026,1,31),tblDaily[WardCode],"BG")=0,"",SUMIFS(tblDaily[TransfersOut],tblDaily[EntryDate],DATE(2026,1,31),tblDaily[WardCode],"BG")),"")</f>
        <v/>
      </c>
      <c r="H37" s="5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9" t="s">
        <v>95</v>
      </c>
      <c r="B38" s="9">
        <f>SUMIFS(tblDaily[Admissions],tblDaily[Month],1,tblDaily[WardCode],"BG")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99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IFERROR(SUMIFS(tblDaily[Remaining],tblDaily[EntryDate],DATE(2026,1,31),tblDaily[WardCode],"BG"),0)</f>
        <v>0</v>
      </c>
    </row>
    <row r="44" spans="1:8" x14ac:dyDescent="0.25">
      <c r="A44" s="1" t="s">
        <v>89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IFERROR(IF(SUMIFS(tblDaily[Admissions],tblDaily[EntryDate],DATE(2026,2,1),tblDaily[WardCode],"BG")=0,"",SUMIFS(tblDaily[Admissions],tblDaily[EntryDate],DATE(2026,2,1),tblDaily[WardCode],"BG")),"")</f>
        <v/>
      </c>
      <c r="C46" s="5" t="str">
        <f>IFERROR(IF(SUMIFS(tblDaily[Discharges],tblDaily[EntryDate],DATE(2026,2,1),tblDaily[WardCode],"BG")=0,"",SUMIFS(tblDaily[Discharges],tblDaily[EntryDate],DATE(2026,2,1),tblDaily[WardCode],"BG")),"")</f>
        <v/>
      </c>
      <c r="D46" s="5" t="str">
        <f>IFERROR(IF(SUMIFS(tblDaily[Deaths],tblDaily[EntryDate],DATE(2026,2,1),tblDaily[WardCode],"BG")=0,"",SUMIFS(tblDaily[Deaths],tblDaily[EntryDate],DATE(2026,2,1),tblDaily[WardCode],"BG")),"")</f>
        <v/>
      </c>
      <c r="E46" s="5" t="str">
        <f>IFERROR(IF(SUMIFS(tblDaily[DeathsUnder24Hrs],tblDaily[EntryDate],DATE(2026,2,1),tblDaily[WardCode],"BG")=0,"",SUMIFS(tblDaily[DeathsUnder24Hrs],tblDaily[EntryDate],DATE(2026,2,1),tblDaily[WardCode],"BG")),"")</f>
        <v/>
      </c>
      <c r="F46" s="5" t="str">
        <f>IFERROR(IF(SUMIFS(tblDaily[TransfersIn],tblDaily[EntryDate],DATE(2026,2,1),tblDaily[WardCode],"BG")=0,"",SUMIFS(tblDaily[TransfersIn],tblDaily[EntryDate],DATE(2026,2,1),tblDaily[WardCode],"BG")),"")</f>
        <v/>
      </c>
      <c r="G46" s="5" t="str">
        <f>IFERROR(IF(SUMIFS(tblDaily[TransfersOut],tblDaily[EntryDate],DATE(2026,2,1),tblDaily[WardCode],"BG")=0,"",SUMIFS(tblDaily[TransfersOut],tblDaily[EntryDate],DATE(2026,2,1),tblDaily[WardCode],"BG")),"")</f>
        <v/>
      </c>
      <c r="H46" s="5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IFERROR(IF(SUMIFS(tblDaily[Admissions],tblDaily[EntryDate],DATE(2026,2,2),tblDaily[WardCode],"BG")=0,"",SUMIFS(tblDaily[Admissions],tblDaily[EntryDate],DATE(2026,2,2),tblDaily[WardCode],"BG")),"")</f>
        <v/>
      </c>
      <c r="C47" s="5" t="str">
        <f>IFERROR(IF(SUMIFS(tblDaily[Discharges],tblDaily[EntryDate],DATE(2026,2,2),tblDaily[WardCode],"BG")=0,"",SUMIFS(tblDaily[Discharges],tblDaily[EntryDate],DATE(2026,2,2),tblDaily[WardCode],"BG")),"")</f>
        <v/>
      </c>
      <c r="D47" s="5" t="str">
        <f>IFERROR(IF(SUMIFS(tblDaily[Deaths],tblDaily[EntryDate],DATE(2026,2,2),tblDaily[WardCode],"BG")=0,"",SUMIFS(tblDaily[Deaths],tblDaily[EntryDate],DATE(2026,2,2),tblDaily[WardCode],"BG")),"")</f>
        <v/>
      </c>
      <c r="E47" s="5" t="str">
        <f>IFERROR(IF(SUMIFS(tblDaily[DeathsUnder24Hrs],tblDaily[EntryDate],DATE(2026,2,2),tblDaily[WardCode],"BG")=0,"",SUMIFS(tblDaily[DeathsUnder24Hrs],tblDaily[EntryDate],DATE(2026,2,2),tblDaily[WardCode],"BG")),"")</f>
        <v/>
      </c>
      <c r="F47" s="5" t="str">
        <f>IFERROR(IF(SUMIFS(tblDaily[TransfersIn],tblDaily[EntryDate],DATE(2026,2,2),tblDaily[WardCode],"BG")=0,"",SUMIFS(tblDaily[TransfersIn],tblDaily[EntryDate],DATE(2026,2,2),tblDaily[WardCode],"BG")),"")</f>
        <v/>
      </c>
      <c r="G47" s="5" t="str">
        <f>IFERROR(IF(SUMIFS(tblDaily[TransfersOut],tblDaily[EntryDate],DATE(2026,2,2),tblDaily[WardCode],"BG")=0,"",SUMIFS(tblDaily[TransfersOut],tblDaily[EntryDate],DATE(2026,2,2),tblDaily[WardCode],"BG")),"")</f>
        <v/>
      </c>
      <c r="H47" s="5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IFERROR(IF(SUMIFS(tblDaily[Admissions],tblDaily[EntryDate],DATE(2026,2,3),tblDaily[WardCode],"BG")=0,"",SUMIFS(tblDaily[Admissions],tblDaily[EntryDate],DATE(2026,2,3),tblDaily[WardCode],"BG")),"")</f>
        <v/>
      </c>
      <c r="C48" s="5" t="str">
        <f>IFERROR(IF(SUMIFS(tblDaily[Discharges],tblDaily[EntryDate],DATE(2026,2,3),tblDaily[WardCode],"BG")=0,"",SUMIFS(tblDaily[Discharges],tblDaily[EntryDate],DATE(2026,2,3),tblDaily[WardCode],"BG")),"")</f>
        <v/>
      </c>
      <c r="D48" s="5" t="str">
        <f>IFERROR(IF(SUMIFS(tblDaily[Deaths],tblDaily[EntryDate],DATE(2026,2,3),tblDaily[WardCode],"BG")=0,"",SUMIFS(tblDaily[Deaths],tblDaily[EntryDate],DATE(2026,2,3),tblDaily[WardCode],"BG")),"")</f>
        <v/>
      </c>
      <c r="E48" s="5" t="str">
        <f>IFERROR(IF(SUMIFS(tblDaily[DeathsUnder24Hrs],tblDaily[EntryDate],DATE(2026,2,3),tblDaily[WardCode],"BG")=0,"",SUMIFS(tblDaily[DeathsUnder24Hrs],tblDaily[EntryDate],DATE(2026,2,3),tblDaily[WardCode],"BG")),"")</f>
        <v/>
      </c>
      <c r="F48" s="5" t="str">
        <f>IFERROR(IF(SUMIFS(tblDaily[TransfersIn],tblDaily[EntryDate],DATE(2026,2,3),tblDaily[WardCode],"BG")=0,"",SUMIFS(tblDaily[TransfersIn],tblDaily[EntryDate],DATE(2026,2,3),tblDaily[WardCode],"BG")),"")</f>
        <v/>
      </c>
      <c r="G48" s="5" t="str">
        <f>IFERROR(IF(SUMIFS(tblDaily[TransfersOut],tblDaily[EntryDate],DATE(2026,2,3),tblDaily[WardCode],"BG")=0,"",SUMIFS(tblDaily[TransfersOut],tblDaily[EntryDate],DATE(2026,2,3),tblDaily[WardCode],"BG")),"")</f>
        <v/>
      </c>
      <c r="H48" s="5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IFERROR(IF(SUMIFS(tblDaily[Admissions],tblDaily[EntryDate],DATE(2026,2,4),tblDaily[WardCode],"BG")=0,"",SUMIFS(tblDaily[Admissions],tblDaily[EntryDate],DATE(2026,2,4),tblDaily[WardCode],"BG")),"")</f>
        <v/>
      </c>
      <c r="C49" s="5" t="str">
        <f>IFERROR(IF(SUMIFS(tblDaily[Discharges],tblDaily[EntryDate],DATE(2026,2,4),tblDaily[WardCode],"BG")=0,"",SUMIFS(tblDaily[Discharges],tblDaily[EntryDate],DATE(2026,2,4),tblDaily[WardCode],"BG")),"")</f>
        <v/>
      </c>
      <c r="D49" s="5" t="str">
        <f>IFERROR(IF(SUMIFS(tblDaily[Deaths],tblDaily[EntryDate],DATE(2026,2,4),tblDaily[WardCode],"BG")=0,"",SUMIFS(tblDaily[Deaths],tblDaily[EntryDate],DATE(2026,2,4),tblDaily[WardCode],"BG")),"")</f>
        <v/>
      </c>
      <c r="E49" s="5" t="str">
        <f>IFERROR(IF(SUMIFS(tblDaily[DeathsUnder24Hrs],tblDaily[EntryDate],DATE(2026,2,4),tblDaily[WardCode],"BG")=0,"",SUMIFS(tblDaily[DeathsUnder24Hrs],tblDaily[EntryDate],DATE(2026,2,4),tblDaily[WardCode],"BG")),"")</f>
        <v/>
      </c>
      <c r="F49" s="5" t="str">
        <f>IFERROR(IF(SUMIFS(tblDaily[TransfersIn],tblDaily[EntryDate],DATE(2026,2,4),tblDaily[WardCode],"BG")=0,"",SUMIFS(tblDaily[TransfersIn],tblDaily[EntryDate],DATE(2026,2,4),tblDaily[WardCode],"BG")),"")</f>
        <v/>
      </c>
      <c r="G49" s="5" t="str">
        <f>IFERROR(IF(SUMIFS(tblDaily[TransfersOut],tblDaily[EntryDate],DATE(2026,2,4),tblDaily[WardCode],"BG")=0,"",SUMIFS(tblDaily[TransfersOut],tblDaily[EntryDate],DATE(2026,2,4),tblDaily[WardCode],"BG")),"")</f>
        <v/>
      </c>
      <c r="H49" s="5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IFERROR(IF(SUMIFS(tblDaily[Admissions],tblDaily[EntryDate],DATE(2026,2,5),tblDaily[WardCode],"BG")=0,"",SUMIFS(tblDaily[Admissions],tblDaily[EntryDate],DATE(2026,2,5),tblDaily[WardCode],"BG")),"")</f>
        <v/>
      </c>
      <c r="C50" s="5" t="str">
        <f>IFERROR(IF(SUMIFS(tblDaily[Discharges],tblDaily[EntryDate],DATE(2026,2,5),tblDaily[WardCode],"BG")=0,"",SUMIFS(tblDaily[Discharges],tblDaily[EntryDate],DATE(2026,2,5),tblDaily[WardCode],"BG")),"")</f>
        <v/>
      </c>
      <c r="D50" s="5" t="str">
        <f>IFERROR(IF(SUMIFS(tblDaily[Deaths],tblDaily[EntryDate],DATE(2026,2,5),tblDaily[WardCode],"BG")=0,"",SUMIFS(tblDaily[Deaths],tblDaily[EntryDate],DATE(2026,2,5),tblDaily[WardCode],"BG")),"")</f>
        <v/>
      </c>
      <c r="E50" s="5" t="str">
        <f>IFERROR(IF(SUMIFS(tblDaily[DeathsUnder24Hrs],tblDaily[EntryDate],DATE(2026,2,5),tblDaily[WardCode],"BG")=0,"",SUMIFS(tblDaily[DeathsUnder24Hrs],tblDaily[EntryDate],DATE(2026,2,5),tblDaily[WardCode],"BG")),"")</f>
        <v/>
      </c>
      <c r="F50" s="5" t="str">
        <f>IFERROR(IF(SUMIFS(tblDaily[TransfersIn],tblDaily[EntryDate],DATE(2026,2,5),tblDaily[WardCode],"BG")=0,"",SUMIFS(tblDaily[TransfersIn],tblDaily[EntryDate],DATE(2026,2,5),tblDaily[WardCode],"BG")),"")</f>
        <v/>
      </c>
      <c r="G50" s="5" t="str">
        <f>IFERROR(IF(SUMIFS(tblDaily[TransfersOut],tblDaily[EntryDate],DATE(2026,2,5),tblDaily[WardCode],"BG")=0,"",SUMIFS(tblDaily[TransfersOut],tblDaily[EntryDate],DATE(2026,2,5),tblDaily[WardCode],"BG")),"")</f>
        <v/>
      </c>
      <c r="H50" s="5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IFERROR(IF(SUMIFS(tblDaily[Admissions],tblDaily[EntryDate],DATE(2026,2,6),tblDaily[WardCode],"BG")=0,"",SUMIFS(tblDaily[Admissions],tblDaily[EntryDate],DATE(2026,2,6),tblDaily[WardCode],"BG")),"")</f>
        <v/>
      </c>
      <c r="C51" s="5" t="str">
        <f>IFERROR(IF(SUMIFS(tblDaily[Discharges],tblDaily[EntryDate],DATE(2026,2,6),tblDaily[WardCode],"BG")=0,"",SUMIFS(tblDaily[Discharges],tblDaily[EntryDate],DATE(2026,2,6),tblDaily[WardCode],"BG")),"")</f>
        <v/>
      </c>
      <c r="D51" s="5" t="str">
        <f>IFERROR(IF(SUMIFS(tblDaily[Deaths],tblDaily[EntryDate],DATE(2026,2,6),tblDaily[WardCode],"BG")=0,"",SUMIFS(tblDaily[Deaths],tblDaily[EntryDate],DATE(2026,2,6),tblDaily[WardCode],"BG")),"")</f>
        <v/>
      </c>
      <c r="E51" s="5" t="str">
        <f>IFERROR(IF(SUMIFS(tblDaily[DeathsUnder24Hrs],tblDaily[EntryDate],DATE(2026,2,6),tblDaily[WardCode],"BG")=0,"",SUMIFS(tblDaily[DeathsUnder24Hrs],tblDaily[EntryDate],DATE(2026,2,6),tblDaily[WardCode],"BG")),"")</f>
        <v/>
      </c>
      <c r="F51" s="5" t="str">
        <f>IFERROR(IF(SUMIFS(tblDaily[TransfersIn],tblDaily[EntryDate],DATE(2026,2,6),tblDaily[WardCode],"BG")=0,"",SUMIFS(tblDaily[TransfersIn],tblDaily[EntryDate],DATE(2026,2,6),tblDaily[WardCode],"BG")),"")</f>
        <v/>
      </c>
      <c r="G51" s="5" t="str">
        <f>IFERROR(IF(SUMIFS(tblDaily[TransfersOut],tblDaily[EntryDate],DATE(2026,2,6),tblDaily[WardCode],"BG")=0,"",SUMIFS(tblDaily[TransfersOut],tblDaily[EntryDate],DATE(2026,2,6),tblDaily[WardCode],"BG")),"")</f>
        <v/>
      </c>
      <c r="H51" s="5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IFERROR(IF(SUMIFS(tblDaily[Admissions],tblDaily[EntryDate],DATE(2026,2,7),tblDaily[WardCode],"BG")=0,"",SUMIFS(tblDaily[Admissions],tblDaily[EntryDate],DATE(2026,2,7),tblDaily[WardCode],"BG")),"")</f>
        <v/>
      </c>
      <c r="C52" s="5" t="str">
        <f>IFERROR(IF(SUMIFS(tblDaily[Discharges],tblDaily[EntryDate],DATE(2026,2,7),tblDaily[WardCode],"BG")=0,"",SUMIFS(tblDaily[Discharges],tblDaily[EntryDate],DATE(2026,2,7),tblDaily[WardCode],"BG")),"")</f>
        <v/>
      </c>
      <c r="D52" s="5" t="str">
        <f>IFERROR(IF(SUMIFS(tblDaily[Deaths],tblDaily[EntryDate],DATE(2026,2,7),tblDaily[WardCode],"BG")=0,"",SUMIFS(tblDaily[Deaths],tblDaily[EntryDate],DATE(2026,2,7),tblDaily[WardCode],"BG")),"")</f>
        <v/>
      </c>
      <c r="E52" s="5" t="str">
        <f>IFERROR(IF(SUMIFS(tblDaily[DeathsUnder24Hrs],tblDaily[EntryDate],DATE(2026,2,7),tblDaily[WardCode],"BG")=0,"",SUMIFS(tblDaily[DeathsUnder24Hrs],tblDaily[EntryDate],DATE(2026,2,7),tblDaily[WardCode],"BG")),"")</f>
        <v/>
      </c>
      <c r="F52" s="5" t="str">
        <f>IFERROR(IF(SUMIFS(tblDaily[TransfersIn],tblDaily[EntryDate],DATE(2026,2,7),tblDaily[WardCode],"BG")=0,"",SUMIFS(tblDaily[TransfersIn],tblDaily[EntryDate],DATE(2026,2,7),tblDaily[WardCode],"BG")),"")</f>
        <v/>
      </c>
      <c r="G52" s="5" t="str">
        <f>IFERROR(IF(SUMIFS(tblDaily[TransfersOut],tblDaily[EntryDate],DATE(2026,2,7),tblDaily[WardCode],"BG")=0,"",SUMIFS(tblDaily[TransfersOut],tblDaily[EntryDate],DATE(2026,2,7),tblDaily[WardCode],"BG")),"")</f>
        <v/>
      </c>
      <c r="H52" s="5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IFERROR(IF(SUMIFS(tblDaily[Admissions],tblDaily[EntryDate],DATE(2026,2,8),tblDaily[WardCode],"BG")=0,"",SUMIFS(tblDaily[Admissions],tblDaily[EntryDate],DATE(2026,2,8),tblDaily[WardCode],"BG")),"")</f>
        <v/>
      </c>
      <c r="C53" s="5" t="str">
        <f>IFERROR(IF(SUMIFS(tblDaily[Discharges],tblDaily[EntryDate],DATE(2026,2,8),tblDaily[WardCode],"BG")=0,"",SUMIFS(tblDaily[Discharges],tblDaily[EntryDate],DATE(2026,2,8),tblDaily[WardCode],"BG")),"")</f>
        <v/>
      </c>
      <c r="D53" s="5" t="str">
        <f>IFERROR(IF(SUMIFS(tblDaily[Deaths],tblDaily[EntryDate],DATE(2026,2,8),tblDaily[WardCode],"BG")=0,"",SUMIFS(tblDaily[Deaths],tblDaily[EntryDate],DATE(2026,2,8),tblDaily[WardCode],"BG")),"")</f>
        <v/>
      </c>
      <c r="E53" s="5" t="str">
        <f>IFERROR(IF(SUMIFS(tblDaily[DeathsUnder24Hrs],tblDaily[EntryDate],DATE(2026,2,8),tblDaily[WardCode],"BG")=0,"",SUMIFS(tblDaily[DeathsUnder24Hrs],tblDaily[EntryDate],DATE(2026,2,8),tblDaily[WardCode],"BG")),"")</f>
        <v/>
      </c>
      <c r="F53" s="5" t="str">
        <f>IFERROR(IF(SUMIFS(tblDaily[TransfersIn],tblDaily[EntryDate],DATE(2026,2,8),tblDaily[WardCode],"BG")=0,"",SUMIFS(tblDaily[TransfersIn],tblDaily[EntryDate],DATE(2026,2,8),tblDaily[WardCode],"BG")),"")</f>
        <v/>
      </c>
      <c r="G53" s="5" t="str">
        <f>IFERROR(IF(SUMIFS(tblDaily[TransfersOut],tblDaily[EntryDate],DATE(2026,2,8),tblDaily[WardCode],"BG")=0,"",SUMIFS(tblDaily[TransfersOut],tblDaily[EntryDate],DATE(2026,2,8),tblDaily[WardCode],"BG")),"")</f>
        <v/>
      </c>
      <c r="H53" s="5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IFERROR(IF(SUMIFS(tblDaily[Admissions],tblDaily[EntryDate],DATE(2026,2,9),tblDaily[WardCode],"BG")=0,"",SUMIFS(tblDaily[Admissions],tblDaily[EntryDate],DATE(2026,2,9),tblDaily[WardCode],"BG")),"")</f>
        <v/>
      </c>
      <c r="C54" s="5" t="str">
        <f>IFERROR(IF(SUMIFS(tblDaily[Discharges],tblDaily[EntryDate],DATE(2026,2,9),tblDaily[WardCode],"BG")=0,"",SUMIFS(tblDaily[Discharges],tblDaily[EntryDate],DATE(2026,2,9),tblDaily[WardCode],"BG")),"")</f>
        <v/>
      </c>
      <c r="D54" s="5" t="str">
        <f>IFERROR(IF(SUMIFS(tblDaily[Deaths],tblDaily[EntryDate],DATE(2026,2,9),tblDaily[WardCode],"BG")=0,"",SUMIFS(tblDaily[Deaths],tblDaily[EntryDate],DATE(2026,2,9),tblDaily[WardCode],"BG")),"")</f>
        <v/>
      </c>
      <c r="E54" s="5" t="str">
        <f>IFERROR(IF(SUMIFS(tblDaily[DeathsUnder24Hrs],tblDaily[EntryDate],DATE(2026,2,9),tblDaily[WardCode],"BG")=0,"",SUMIFS(tblDaily[DeathsUnder24Hrs],tblDaily[EntryDate],DATE(2026,2,9),tblDaily[WardCode],"BG")),"")</f>
        <v/>
      </c>
      <c r="F54" s="5" t="str">
        <f>IFERROR(IF(SUMIFS(tblDaily[TransfersIn],tblDaily[EntryDate],DATE(2026,2,9),tblDaily[WardCode],"BG")=0,"",SUMIFS(tblDaily[TransfersIn],tblDaily[EntryDate],DATE(2026,2,9),tblDaily[WardCode],"BG")),"")</f>
        <v/>
      </c>
      <c r="G54" s="5" t="str">
        <f>IFERROR(IF(SUMIFS(tblDaily[TransfersOut],tblDaily[EntryDate],DATE(2026,2,9),tblDaily[WardCode],"BG")=0,"",SUMIFS(tblDaily[TransfersOut],tblDaily[EntryDate],DATE(2026,2,9),tblDaily[WardCode],"BG")),"")</f>
        <v/>
      </c>
      <c r="H54" s="5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IFERROR(IF(SUMIFS(tblDaily[Admissions],tblDaily[EntryDate],DATE(2026,2,10),tblDaily[WardCode],"BG")=0,"",SUMIFS(tblDaily[Admissions],tblDaily[EntryDate],DATE(2026,2,10),tblDaily[WardCode],"BG")),"")</f>
        <v/>
      </c>
      <c r="C55" s="5" t="str">
        <f>IFERROR(IF(SUMIFS(tblDaily[Discharges],tblDaily[EntryDate],DATE(2026,2,10),tblDaily[WardCode],"BG")=0,"",SUMIFS(tblDaily[Discharges],tblDaily[EntryDate],DATE(2026,2,10),tblDaily[WardCode],"BG")),"")</f>
        <v/>
      </c>
      <c r="D55" s="5" t="str">
        <f>IFERROR(IF(SUMIFS(tblDaily[Deaths],tblDaily[EntryDate],DATE(2026,2,10),tblDaily[WardCode],"BG")=0,"",SUMIFS(tblDaily[Deaths],tblDaily[EntryDate],DATE(2026,2,10),tblDaily[WardCode],"BG")),"")</f>
        <v/>
      </c>
      <c r="E55" s="5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5" t="str">
        <f>IFERROR(IF(SUMIFS(tblDaily[TransfersIn],tblDaily[EntryDate],DATE(2026,2,10),tblDaily[WardCode],"BG")=0,"",SUMIFS(tblDaily[TransfersIn],tblDaily[EntryDate],DATE(2026,2,10),tblDaily[WardCode],"BG")),"")</f>
        <v/>
      </c>
      <c r="G55" s="5" t="str">
        <f>IFERROR(IF(SUMIFS(tblDaily[TransfersOut],tblDaily[EntryDate],DATE(2026,2,10),tblDaily[WardCode],"BG")=0,"",SUMIFS(tblDaily[TransfersOut],tblDaily[EntryDate],DATE(2026,2,10),tblDaily[WardCode],"BG")),"")</f>
        <v/>
      </c>
      <c r="H55" s="5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IFERROR(IF(SUMIFS(tblDaily[Admissions],tblDaily[EntryDate],DATE(2026,2,11),tblDaily[WardCode],"BG")=0,"",SUMIFS(tblDaily[Admissions],tblDaily[EntryDate],DATE(2026,2,11),tblDaily[WardCode],"BG")),"")</f>
        <v/>
      </c>
      <c r="C56" s="5" t="str">
        <f>IFERROR(IF(SUMIFS(tblDaily[Discharges],tblDaily[EntryDate],DATE(2026,2,11),tblDaily[WardCode],"BG")=0,"",SUMIFS(tblDaily[Discharges],tblDaily[EntryDate],DATE(2026,2,11),tblDaily[WardCode],"BG")),"")</f>
        <v/>
      </c>
      <c r="D56" s="5" t="str">
        <f>IFERROR(IF(SUMIFS(tblDaily[Deaths],tblDaily[EntryDate],DATE(2026,2,11),tblDaily[WardCode],"BG")=0,"",SUMIFS(tblDaily[Deaths],tblDaily[EntryDate],DATE(2026,2,11),tblDaily[WardCode],"BG")),"")</f>
        <v/>
      </c>
      <c r="E56" s="5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5" t="str">
        <f>IFERROR(IF(SUMIFS(tblDaily[TransfersIn],tblDaily[EntryDate],DATE(2026,2,11),tblDaily[WardCode],"BG")=0,"",SUMIFS(tblDaily[TransfersIn],tblDaily[EntryDate],DATE(2026,2,11),tblDaily[WardCode],"BG")),"")</f>
        <v/>
      </c>
      <c r="G56" s="5" t="str">
        <f>IFERROR(IF(SUMIFS(tblDaily[TransfersOut],tblDaily[EntryDate],DATE(2026,2,11),tblDaily[WardCode],"BG")=0,"",SUMIFS(tblDaily[TransfersOut],tblDaily[EntryDate],DATE(2026,2,11),tblDaily[WardCode],"BG")),"")</f>
        <v/>
      </c>
      <c r="H56" s="5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IFERROR(IF(SUMIFS(tblDaily[Admissions],tblDaily[EntryDate],DATE(2026,2,12),tblDaily[WardCode],"BG")=0,"",SUMIFS(tblDaily[Admissions],tblDaily[EntryDate],DATE(2026,2,12),tblDaily[WardCode],"BG")),"")</f>
        <v/>
      </c>
      <c r="C57" s="5" t="str">
        <f>IFERROR(IF(SUMIFS(tblDaily[Discharges],tblDaily[EntryDate],DATE(2026,2,12),tblDaily[WardCode],"BG")=0,"",SUMIFS(tblDaily[Discharges],tblDaily[EntryDate],DATE(2026,2,12),tblDaily[WardCode],"BG")),"")</f>
        <v/>
      </c>
      <c r="D57" s="5" t="str">
        <f>IFERROR(IF(SUMIFS(tblDaily[Deaths],tblDaily[EntryDate],DATE(2026,2,12),tblDaily[WardCode],"BG")=0,"",SUMIFS(tblDaily[Deaths],tblDaily[EntryDate],DATE(2026,2,12),tblDaily[WardCode],"BG")),"")</f>
        <v/>
      </c>
      <c r="E57" s="5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5" t="str">
        <f>IFERROR(IF(SUMIFS(tblDaily[TransfersIn],tblDaily[EntryDate],DATE(2026,2,12),tblDaily[WardCode],"BG")=0,"",SUMIFS(tblDaily[TransfersIn],tblDaily[EntryDate],DATE(2026,2,12),tblDaily[WardCode],"BG")),"")</f>
        <v/>
      </c>
      <c r="G57" s="5" t="str">
        <f>IFERROR(IF(SUMIFS(tblDaily[TransfersOut],tblDaily[EntryDate],DATE(2026,2,12),tblDaily[WardCode],"BG")=0,"",SUMIFS(tblDaily[TransfersOut],tblDaily[EntryDate],DATE(2026,2,12),tblDaily[WardCode],"BG")),"")</f>
        <v/>
      </c>
      <c r="H57" s="5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IFERROR(IF(SUMIFS(tblDaily[Admissions],tblDaily[EntryDate],DATE(2026,2,13),tblDaily[WardCode],"BG")=0,"",SUMIFS(tblDaily[Admissions],tblDaily[EntryDate],DATE(2026,2,13),tblDaily[WardCode],"BG")),"")</f>
        <v/>
      </c>
      <c r="C58" s="5" t="str">
        <f>IFERROR(IF(SUMIFS(tblDaily[Discharges],tblDaily[EntryDate],DATE(2026,2,13),tblDaily[WardCode],"BG")=0,"",SUMIFS(tblDaily[Discharges],tblDaily[EntryDate],DATE(2026,2,13),tblDaily[WardCode],"BG")),"")</f>
        <v/>
      </c>
      <c r="D58" s="5" t="str">
        <f>IFERROR(IF(SUMIFS(tblDaily[Deaths],tblDaily[EntryDate],DATE(2026,2,13),tblDaily[WardCode],"BG")=0,"",SUMIFS(tblDaily[Deaths],tblDaily[EntryDate],DATE(2026,2,13),tblDaily[WardCode],"BG")),"")</f>
        <v/>
      </c>
      <c r="E58" s="5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5" t="str">
        <f>IFERROR(IF(SUMIFS(tblDaily[TransfersIn],tblDaily[EntryDate],DATE(2026,2,13),tblDaily[WardCode],"BG")=0,"",SUMIFS(tblDaily[TransfersIn],tblDaily[EntryDate],DATE(2026,2,13),tblDaily[WardCode],"BG")),"")</f>
        <v/>
      </c>
      <c r="G58" s="5" t="str">
        <f>IFERROR(IF(SUMIFS(tblDaily[TransfersOut],tblDaily[EntryDate],DATE(2026,2,13),tblDaily[WardCode],"BG")=0,"",SUMIFS(tblDaily[TransfersOut],tblDaily[EntryDate],DATE(2026,2,13),tblDaily[WardCode],"BG")),"")</f>
        <v/>
      </c>
      <c r="H58" s="5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IFERROR(IF(SUMIFS(tblDaily[Admissions],tblDaily[EntryDate],DATE(2026,2,14),tblDaily[WardCode],"BG")=0,"",SUMIFS(tblDaily[Admissions],tblDaily[EntryDate],DATE(2026,2,14),tblDaily[WardCode],"BG")),"")</f>
        <v/>
      </c>
      <c r="C59" s="5" t="str">
        <f>IFERROR(IF(SUMIFS(tblDaily[Discharges],tblDaily[EntryDate],DATE(2026,2,14),tblDaily[WardCode],"BG")=0,"",SUMIFS(tblDaily[Discharges],tblDaily[EntryDate],DATE(2026,2,14),tblDaily[WardCode],"BG")),"")</f>
        <v/>
      </c>
      <c r="D59" s="5" t="str">
        <f>IFERROR(IF(SUMIFS(tblDaily[Deaths],tblDaily[EntryDate],DATE(2026,2,14),tblDaily[WardCode],"BG")=0,"",SUMIFS(tblDaily[Deaths],tblDaily[EntryDate],DATE(2026,2,14),tblDaily[WardCode],"BG")),"")</f>
        <v/>
      </c>
      <c r="E59" s="5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5" t="str">
        <f>IFERROR(IF(SUMIFS(tblDaily[TransfersIn],tblDaily[EntryDate],DATE(2026,2,14),tblDaily[WardCode],"BG")=0,"",SUMIFS(tblDaily[TransfersIn],tblDaily[EntryDate],DATE(2026,2,14),tblDaily[WardCode],"BG")),"")</f>
        <v/>
      </c>
      <c r="G59" s="5" t="str">
        <f>IFERROR(IF(SUMIFS(tblDaily[TransfersOut],tblDaily[EntryDate],DATE(2026,2,14),tblDaily[WardCode],"BG")=0,"",SUMIFS(tblDaily[TransfersOut],tblDaily[EntryDate],DATE(2026,2,14),tblDaily[WardCode],"BG")),"")</f>
        <v/>
      </c>
      <c r="H59" s="5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IFERROR(IF(SUMIFS(tblDaily[Admissions],tblDaily[EntryDate],DATE(2026,2,15),tblDaily[WardCode],"BG")=0,"",SUMIFS(tblDaily[Admissions],tblDaily[EntryDate],DATE(2026,2,15),tblDaily[WardCode],"BG")),"")</f>
        <v/>
      </c>
      <c r="C60" s="5" t="str">
        <f>IFERROR(IF(SUMIFS(tblDaily[Discharges],tblDaily[EntryDate],DATE(2026,2,15),tblDaily[WardCode],"BG")=0,"",SUMIFS(tblDaily[Discharges],tblDaily[EntryDate],DATE(2026,2,15),tblDaily[WardCode],"BG")),"")</f>
        <v/>
      </c>
      <c r="D60" s="5" t="str">
        <f>IFERROR(IF(SUMIFS(tblDaily[Deaths],tblDaily[EntryDate],DATE(2026,2,15),tblDaily[WardCode],"BG")=0,"",SUMIFS(tblDaily[Deaths],tblDaily[EntryDate],DATE(2026,2,15),tblDaily[WardCode],"BG")),"")</f>
        <v/>
      </c>
      <c r="E60" s="5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5" t="str">
        <f>IFERROR(IF(SUMIFS(tblDaily[TransfersIn],tblDaily[EntryDate],DATE(2026,2,15),tblDaily[WardCode],"BG")=0,"",SUMIFS(tblDaily[TransfersIn],tblDaily[EntryDate],DATE(2026,2,15),tblDaily[WardCode],"BG")),"")</f>
        <v/>
      </c>
      <c r="G60" s="5" t="str">
        <f>IFERROR(IF(SUMIFS(tblDaily[TransfersOut],tblDaily[EntryDate],DATE(2026,2,15),tblDaily[WardCode],"BG")=0,"",SUMIFS(tblDaily[TransfersOut],tblDaily[EntryDate],DATE(2026,2,15),tblDaily[WardCode],"BG")),"")</f>
        <v/>
      </c>
      <c r="H60" s="5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IFERROR(IF(SUMIFS(tblDaily[Admissions],tblDaily[EntryDate],DATE(2026,2,16),tblDaily[WardCode],"BG")=0,"",SUMIFS(tblDaily[Admissions],tblDaily[EntryDate],DATE(2026,2,16),tblDaily[WardCode],"BG")),"")</f>
        <v/>
      </c>
      <c r="C61" s="5" t="str">
        <f>IFERROR(IF(SUMIFS(tblDaily[Discharges],tblDaily[EntryDate],DATE(2026,2,16),tblDaily[WardCode],"BG")=0,"",SUMIFS(tblDaily[Discharges],tblDaily[EntryDate],DATE(2026,2,16),tblDaily[WardCode],"BG")),"")</f>
        <v/>
      </c>
      <c r="D61" s="5" t="str">
        <f>IFERROR(IF(SUMIFS(tblDaily[Deaths],tblDaily[EntryDate],DATE(2026,2,16),tblDaily[WardCode],"BG")=0,"",SUMIFS(tblDaily[Deaths],tblDaily[EntryDate],DATE(2026,2,16),tblDaily[WardCode],"BG")),"")</f>
        <v/>
      </c>
      <c r="E61" s="5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5" t="str">
        <f>IFERROR(IF(SUMIFS(tblDaily[TransfersIn],tblDaily[EntryDate],DATE(2026,2,16),tblDaily[WardCode],"BG")=0,"",SUMIFS(tblDaily[TransfersIn],tblDaily[EntryDate],DATE(2026,2,16),tblDaily[WardCode],"BG")),"")</f>
        <v/>
      </c>
      <c r="G61" s="5" t="str">
        <f>IFERROR(IF(SUMIFS(tblDaily[TransfersOut],tblDaily[EntryDate],DATE(2026,2,16),tblDaily[WardCode],"BG")=0,"",SUMIFS(tblDaily[TransfersOut],tblDaily[EntryDate],DATE(2026,2,16),tblDaily[WardCode],"BG")),"")</f>
        <v/>
      </c>
      <c r="H61" s="5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IFERROR(IF(SUMIFS(tblDaily[Admissions],tblDaily[EntryDate],DATE(2026,2,17),tblDaily[WardCode],"BG")=0,"",SUMIFS(tblDaily[Admissions],tblDaily[EntryDate],DATE(2026,2,17),tblDaily[WardCode],"BG")),"")</f>
        <v/>
      </c>
      <c r="C62" s="5" t="str">
        <f>IFERROR(IF(SUMIFS(tblDaily[Discharges],tblDaily[EntryDate],DATE(2026,2,17),tblDaily[WardCode],"BG")=0,"",SUMIFS(tblDaily[Discharges],tblDaily[EntryDate],DATE(2026,2,17),tblDaily[WardCode],"BG")),"")</f>
        <v/>
      </c>
      <c r="D62" s="5" t="str">
        <f>IFERROR(IF(SUMIFS(tblDaily[Deaths],tblDaily[EntryDate],DATE(2026,2,17),tblDaily[WardCode],"BG")=0,"",SUMIFS(tblDaily[Deaths],tblDaily[EntryDate],DATE(2026,2,17),tblDaily[WardCode],"BG")),"")</f>
        <v/>
      </c>
      <c r="E62" s="5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5" t="str">
        <f>IFERROR(IF(SUMIFS(tblDaily[TransfersIn],tblDaily[EntryDate],DATE(2026,2,17),tblDaily[WardCode],"BG")=0,"",SUMIFS(tblDaily[TransfersIn],tblDaily[EntryDate],DATE(2026,2,17),tblDaily[WardCode],"BG")),"")</f>
        <v/>
      </c>
      <c r="G62" s="5" t="str">
        <f>IFERROR(IF(SUMIFS(tblDaily[TransfersOut],tblDaily[EntryDate],DATE(2026,2,17),tblDaily[WardCode],"BG")=0,"",SUMIFS(tblDaily[TransfersOut],tblDaily[EntryDate],DATE(2026,2,17),tblDaily[WardCode],"BG")),"")</f>
        <v/>
      </c>
      <c r="H62" s="5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IFERROR(IF(SUMIFS(tblDaily[Admissions],tblDaily[EntryDate],DATE(2026,2,18),tblDaily[WardCode],"BG")=0,"",SUMIFS(tblDaily[Admissions],tblDaily[EntryDate],DATE(2026,2,18),tblDaily[WardCode],"BG")),"")</f>
        <v/>
      </c>
      <c r="C63" s="5" t="str">
        <f>IFERROR(IF(SUMIFS(tblDaily[Discharges],tblDaily[EntryDate],DATE(2026,2,18),tblDaily[WardCode],"BG")=0,"",SUMIFS(tblDaily[Discharges],tblDaily[EntryDate],DATE(2026,2,18),tblDaily[WardCode],"BG")),"")</f>
        <v/>
      </c>
      <c r="D63" s="5" t="str">
        <f>IFERROR(IF(SUMIFS(tblDaily[Deaths],tblDaily[EntryDate],DATE(2026,2,18),tblDaily[WardCode],"BG")=0,"",SUMIFS(tblDaily[Deaths],tblDaily[EntryDate],DATE(2026,2,18),tblDaily[WardCode],"BG")),"")</f>
        <v/>
      </c>
      <c r="E63" s="5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5" t="str">
        <f>IFERROR(IF(SUMIFS(tblDaily[TransfersIn],tblDaily[EntryDate],DATE(2026,2,18),tblDaily[WardCode],"BG")=0,"",SUMIFS(tblDaily[TransfersIn],tblDaily[EntryDate],DATE(2026,2,18),tblDaily[WardCode],"BG")),"")</f>
        <v/>
      </c>
      <c r="G63" s="5" t="str">
        <f>IFERROR(IF(SUMIFS(tblDaily[TransfersOut],tblDaily[EntryDate],DATE(2026,2,18),tblDaily[WardCode],"BG")=0,"",SUMIFS(tblDaily[TransfersOut],tblDaily[EntryDate],DATE(2026,2,18),tblDaily[WardCode],"BG")),"")</f>
        <v/>
      </c>
      <c r="H63" s="5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IFERROR(IF(SUMIFS(tblDaily[Admissions],tblDaily[EntryDate],DATE(2026,2,19),tblDaily[WardCode],"BG")=0,"",SUMIFS(tblDaily[Admissions],tblDaily[EntryDate],DATE(2026,2,19),tblDaily[WardCode],"BG")),"")</f>
        <v/>
      </c>
      <c r="C64" s="5" t="str">
        <f>IFERROR(IF(SUMIFS(tblDaily[Discharges],tblDaily[EntryDate],DATE(2026,2,19),tblDaily[WardCode],"BG")=0,"",SUMIFS(tblDaily[Discharges],tblDaily[EntryDate],DATE(2026,2,19),tblDaily[WardCode],"BG")),"")</f>
        <v/>
      </c>
      <c r="D64" s="5" t="str">
        <f>IFERROR(IF(SUMIFS(tblDaily[Deaths],tblDaily[EntryDate],DATE(2026,2,19),tblDaily[WardCode],"BG")=0,"",SUMIFS(tblDaily[Deaths],tblDaily[EntryDate],DATE(2026,2,19),tblDaily[WardCode],"BG")),"")</f>
        <v/>
      </c>
      <c r="E64" s="5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5" t="str">
        <f>IFERROR(IF(SUMIFS(tblDaily[TransfersIn],tblDaily[EntryDate],DATE(2026,2,19),tblDaily[WardCode],"BG")=0,"",SUMIFS(tblDaily[TransfersIn],tblDaily[EntryDate],DATE(2026,2,19),tblDaily[WardCode],"BG")),"")</f>
        <v/>
      </c>
      <c r="G64" s="5" t="str">
        <f>IFERROR(IF(SUMIFS(tblDaily[TransfersOut],tblDaily[EntryDate],DATE(2026,2,19),tblDaily[WardCode],"BG")=0,"",SUMIFS(tblDaily[TransfersOut],tblDaily[EntryDate],DATE(2026,2,19),tblDaily[WardCode],"BG")),"")</f>
        <v/>
      </c>
      <c r="H64" s="5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IFERROR(IF(SUMIFS(tblDaily[Admissions],tblDaily[EntryDate],DATE(2026,2,20),tblDaily[WardCode],"BG")=0,"",SUMIFS(tblDaily[Admissions],tblDaily[EntryDate],DATE(2026,2,20),tblDaily[WardCode],"BG")),"")</f>
        <v/>
      </c>
      <c r="C65" s="5" t="str">
        <f>IFERROR(IF(SUMIFS(tblDaily[Discharges],tblDaily[EntryDate],DATE(2026,2,20),tblDaily[WardCode],"BG")=0,"",SUMIFS(tblDaily[Discharges],tblDaily[EntryDate],DATE(2026,2,20),tblDaily[WardCode],"BG")),"")</f>
        <v/>
      </c>
      <c r="D65" s="5" t="str">
        <f>IFERROR(IF(SUMIFS(tblDaily[Deaths],tblDaily[EntryDate],DATE(2026,2,20),tblDaily[WardCode],"BG")=0,"",SUMIFS(tblDaily[Deaths],tblDaily[EntryDate],DATE(2026,2,20),tblDaily[WardCode],"BG")),"")</f>
        <v/>
      </c>
      <c r="E65" s="5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5" t="str">
        <f>IFERROR(IF(SUMIFS(tblDaily[TransfersIn],tblDaily[EntryDate],DATE(2026,2,20),tblDaily[WardCode],"BG")=0,"",SUMIFS(tblDaily[TransfersIn],tblDaily[EntryDate],DATE(2026,2,20),tblDaily[WardCode],"BG")),"")</f>
        <v/>
      </c>
      <c r="G65" s="5" t="str">
        <f>IFERROR(IF(SUMIFS(tblDaily[TransfersOut],tblDaily[EntryDate],DATE(2026,2,20),tblDaily[WardCode],"BG")=0,"",SUMIFS(tblDaily[TransfersOut],tblDaily[EntryDate],DATE(2026,2,20),tblDaily[WardCode],"BG")),"")</f>
        <v/>
      </c>
      <c r="H65" s="5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IFERROR(IF(SUMIFS(tblDaily[Admissions],tblDaily[EntryDate],DATE(2026,2,21),tblDaily[WardCode],"BG")=0,"",SUMIFS(tblDaily[Admissions],tblDaily[EntryDate],DATE(2026,2,21),tblDaily[WardCode],"BG")),"")</f>
        <v/>
      </c>
      <c r="C66" s="5" t="str">
        <f>IFERROR(IF(SUMIFS(tblDaily[Discharges],tblDaily[EntryDate],DATE(2026,2,21),tblDaily[WardCode],"BG")=0,"",SUMIFS(tblDaily[Discharges],tblDaily[EntryDate],DATE(2026,2,21),tblDaily[WardCode],"BG")),"")</f>
        <v/>
      </c>
      <c r="D66" s="5" t="str">
        <f>IFERROR(IF(SUMIFS(tblDaily[Deaths],tblDaily[EntryDate],DATE(2026,2,21),tblDaily[WardCode],"BG")=0,"",SUMIFS(tblDaily[Deaths],tblDaily[EntryDate],DATE(2026,2,21),tblDaily[WardCode],"BG")),"")</f>
        <v/>
      </c>
      <c r="E66" s="5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5" t="str">
        <f>IFERROR(IF(SUMIFS(tblDaily[TransfersIn],tblDaily[EntryDate],DATE(2026,2,21),tblDaily[WardCode],"BG")=0,"",SUMIFS(tblDaily[TransfersIn],tblDaily[EntryDate],DATE(2026,2,21),tblDaily[WardCode],"BG")),"")</f>
        <v/>
      </c>
      <c r="G66" s="5" t="str">
        <f>IFERROR(IF(SUMIFS(tblDaily[TransfersOut],tblDaily[EntryDate],DATE(2026,2,21),tblDaily[WardCode],"BG")=0,"",SUMIFS(tblDaily[TransfersOut],tblDaily[EntryDate],DATE(2026,2,21),tblDaily[WardCode],"BG")),"")</f>
        <v/>
      </c>
      <c r="H66" s="5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IFERROR(IF(SUMIFS(tblDaily[Admissions],tblDaily[EntryDate],DATE(2026,2,22),tblDaily[WardCode],"BG")=0,"",SUMIFS(tblDaily[Admissions],tblDaily[EntryDate],DATE(2026,2,22),tblDaily[WardCode],"BG")),"")</f>
        <v/>
      </c>
      <c r="C67" s="5" t="str">
        <f>IFERROR(IF(SUMIFS(tblDaily[Discharges],tblDaily[EntryDate],DATE(2026,2,22),tblDaily[WardCode],"BG")=0,"",SUMIFS(tblDaily[Discharges],tblDaily[EntryDate],DATE(2026,2,22),tblDaily[WardCode],"BG")),"")</f>
        <v/>
      </c>
      <c r="D67" s="5" t="str">
        <f>IFERROR(IF(SUMIFS(tblDaily[Deaths],tblDaily[EntryDate],DATE(2026,2,22),tblDaily[WardCode],"BG")=0,"",SUMIFS(tblDaily[Deaths],tblDaily[EntryDate],DATE(2026,2,22),tblDaily[WardCode],"BG")),"")</f>
        <v/>
      </c>
      <c r="E67" s="5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5" t="str">
        <f>IFERROR(IF(SUMIFS(tblDaily[TransfersIn],tblDaily[EntryDate],DATE(2026,2,22),tblDaily[WardCode],"BG")=0,"",SUMIFS(tblDaily[TransfersIn],tblDaily[EntryDate],DATE(2026,2,22),tblDaily[WardCode],"BG")),"")</f>
        <v/>
      </c>
      <c r="G67" s="5" t="str">
        <f>IFERROR(IF(SUMIFS(tblDaily[TransfersOut],tblDaily[EntryDate],DATE(2026,2,22),tblDaily[WardCode],"BG")=0,"",SUMIFS(tblDaily[TransfersOut],tblDaily[EntryDate],DATE(2026,2,22),tblDaily[WardCode],"BG")),"")</f>
        <v/>
      </c>
      <c r="H67" s="5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IFERROR(IF(SUMIFS(tblDaily[Admissions],tblDaily[EntryDate],DATE(2026,2,23),tblDaily[WardCode],"BG")=0,"",SUMIFS(tblDaily[Admissions],tblDaily[EntryDate],DATE(2026,2,23),tblDaily[WardCode],"BG")),"")</f>
        <v/>
      </c>
      <c r="C68" s="5" t="str">
        <f>IFERROR(IF(SUMIFS(tblDaily[Discharges],tblDaily[EntryDate],DATE(2026,2,23),tblDaily[WardCode],"BG")=0,"",SUMIFS(tblDaily[Discharges],tblDaily[EntryDate],DATE(2026,2,23),tblDaily[WardCode],"BG")),"")</f>
        <v/>
      </c>
      <c r="D68" s="5" t="str">
        <f>IFERROR(IF(SUMIFS(tblDaily[Deaths],tblDaily[EntryDate],DATE(2026,2,23),tblDaily[WardCode],"BG")=0,"",SUMIFS(tblDaily[Deaths],tblDaily[EntryDate],DATE(2026,2,23),tblDaily[WardCode],"BG")),"")</f>
        <v/>
      </c>
      <c r="E68" s="5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5" t="str">
        <f>IFERROR(IF(SUMIFS(tblDaily[TransfersIn],tblDaily[EntryDate],DATE(2026,2,23),tblDaily[WardCode],"BG")=0,"",SUMIFS(tblDaily[TransfersIn],tblDaily[EntryDate],DATE(2026,2,23),tblDaily[WardCode],"BG")),"")</f>
        <v/>
      </c>
      <c r="G68" s="5" t="str">
        <f>IFERROR(IF(SUMIFS(tblDaily[TransfersOut],tblDaily[EntryDate],DATE(2026,2,23),tblDaily[WardCode],"BG")=0,"",SUMIFS(tblDaily[TransfersOut],tblDaily[EntryDate],DATE(2026,2,23),tblDaily[WardCode],"BG")),"")</f>
        <v/>
      </c>
      <c r="H68" s="5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IFERROR(IF(SUMIFS(tblDaily[Admissions],tblDaily[EntryDate],DATE(2026,2,24),tblDaily[WardCode],"BG")=0,"",SUMIFS(tblDaily[Admissions],tblDaily[EntryDate],DATE(2026,2,24),tblDaily[WardCode],"BG")),"")</f>
        <v/>
      </c>
      <c r="C69" s="5" t="str">
        <f>IFERROR(IF(SUMIFS(tblDaily[Discharges],tblDaily[EntryDate],DATE(2026,2,24),tblDaily[WardCode],"BG")=0,"",SUMIFS(tblDaily[Discharges],tblDaily[EntryDate],DATE(2026,2,24),tblDaily[WardCode],"BG")),"")</f>
        <v/>
      </c>
      <c r="D69" s="5" t="str">
        <f>IFERROR(IF(SUMIFS(tblDaily[Deaths],tblDaily[EntryDate],DATE(2026,2,24),tblDaily[WardCode],"BG")=0,"",SUMIFS(tblDaily[Deaths],tblDaily[EntryDate],DATE(2026,2,24),tblDaily[WardCode],"BG")),"")</f>
        <v/>
      </c>
      <c r="E69" s="5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5" t="str">
        <f>IFERROR(IF(SUMIFS(tblDaily[TransfersIn],tblDaily[EntryDate],DATE(2026,2,24),tblDaily[WardCode],"BG")=0,"",SUMIFS(tblDaily[TransfersIn],tblDaily[EntryDate],DATE(2026,2,24),tblDaily[WardCode],"BG")),"")</f>
        <v/>
      </c>
      <c r="G69" s="5" t="str">
        <f>IFERROR(IF(SUMIFS(tblDaily[TransfersOut],tblDaily[EntryDate],DATE(2026,2,24),tblDaily[WardCode],"BG")=0,"",SUMIFS(tblDaily[TransfersOut],tblDaily[EntryDate],DATE(2026,2,24),tblDaily[WardCode],"BG")),"")</f>
        <v/>
      </c>
      <c r="H69" s="5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IFERROR(IF(SUMIFS(tblDaily[Admissions],tblDaily[EntryDate],DATE(2026,2,25),tblDaily[WardCode],"BG")=0,"",SUMIFS(tblDaily[Admissions],tblDaily[EntryDate],DATE(2026,2,25),tblDaily[WardCode],"BG")),"")</f>
        <v/>
      </c>
      <c r="C70" s="5" t="str">
        <f>IFERROR(IF(SUMIFS(tblDaily[Discharges],tblDaily[EntryDate],DATE(2026,2,25),tblDaily[WardCode],"BG")=0,"",SUMIFS(tblDaily[Discharges],tblDaily[EntryDate],DATE(2026,2,25),tblDaily[WardCode],"BG")),"")</f>
        <v/>
      </c>
      <c r="D70" s="5" t="str">
        <f>IFERROR(IF(SUMIFS(tblDaily[Deaths],tblDaily[EntryDate],DATE(2026,2,25),tblDaily[WardCode],"BG")=0,"",SUMIFS(tblDaily[Deaths],tblDaily[EntryDate],DATE(2026,2,25),tblDaily[WardCode],"BG")),"")</f>
        <v/>
      </c>
      <c r="E70" s="5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5" t="str">
        <f>IFERROR(IF(SUMIFS(tblDaily[TransfersIn],tblDaily[EntryDate],DATE(2026,2,25),tblDaily[WardCode],"BG")=0,"",SUMIFS(tblDaily[TransfersIn],tblDaily[EntryDate],DATE(2026,2,25),tblDaily[WardCode],"BG")),"")</f>
        <v/>
      </c>
      <c r="G70" s="5" t="str">
        <f>IFERROR(IF(SUMIFS(tblDaily[TransfersOut],tblDaily[EntryDate],DATE(2026,2,25),tblDaily[WardCode],"BG")=0,"",SUMIFS(tblDaily[TransfersOut],tblDaily[EntryDate],DATE(2026,2,25),tblDaily[WardCode],"BG")),"")</f>
        <v/>
      </c>
      <c r="H70" s="5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IFERROR(IF(SUMIFS(tblDaily[Admissions],tblDaily[EntryDate],DATE(2026,2,26),tblDaily[WardCode],"BG")=0,"",SUMIFS(tblDaily[Admissions],tblDaily[EntryDate],DATE(2026,2,26),tblDaily[WardCode],"BG")),"")</f>
        <v/>
      </c>
      <c r="C71" s="5" t="str">
        <f>IFERROR(IF(SUMIFS(tblDaily[Discharges],tblDaily[EntryDate],DATE(2026,2,26),tblDaily[WardCode],"BG")=0,"",SUMIFS(tblDaily[Discharges],tblDaily[EntryDate],DATE(2026,2,26),tblDaily[WardCode],"BG")),"")</f>
        <v/>
      </c>
      <c r="D71" s="5" t="str">
        <f>IFERROR(IF(SUMIFS(tblDaily[Deaths],tblDaily[EntryDate],DATE(2026,2,26),tblDaily[WardCode],"BG")=0,"",SUMIFS(tblDaily[Deaths],tblDaily[EntryDate],DATE(2026,2,26),tblDaily[WardCode],"BG")),"")</f>
        <v/>
      </c>
      <c r="E71" s="5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5" t="str">
        <f>IFERROR(IF(SUMIFS(tblDaily[TransfersIn],tblDaily[EntryDate],DATE(2026,2,26),tblDaily[WardCode],"BG")=0,"",SUMIFS(tblDaily[TransfersIn],tblDaily[EntryDate],DATE(2026,2,26),tblDaily[WardCode],"BG")),"")</f>
        <v/>
      </c>
      <c r="G71" s="5" t="str">
        <f>IFERROR(IF(SUMIFS(tblDaily[TransfersOut],tblDaily[EntryDate],DATE(2026,2,26),tblDaily[WardCode],"BG")=0,"",SUMIFS(tblDaily[TransfersOut],tblDaily[EntryDate],DATE(2026,2,26),tblDaily[WardCode],"BG")),"")</f>
        <v/>
      </c>
      <c r="H71" s="5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IFERROR(IF(SUMIFS(tblDaily[Admissions],tblDaily[EntryDate],DATE(2026,2,27),tblDaily[WardCode],"BG")=0,"",SUMIFS(tblDaily[Admissions],tblDaily[EntryDate],DATE(2026,2,27),tblDaily[WardCode],"BG")),"")</f>
        <v/>
      </c>
      <c r="C72" s="5" t="str">
        <f>IFERROR(IF(SUMIFS(tblDaily[Discharges],tblDaily[EntryDate],DATE(2026,2,27),tblDaily[WardCode],"BG")=0,"",SUMIFS(tblDaily[Discharges],tblDaily[EntryDate],DATE(2026,2,27),tblDaily[WardCode],"BG")),"")</f>
        <v/>
      </c>
      <c r="D72" s="5" t="str">
        <f>IFERROR(IF(SUMIFS(tblDaily[Deaths],tblDaily[EntryDate],DATE(2026,2,27),tblDaily[WardCode],"BG")=0,"",SUMIFS(tblDaily[Deaths],tblDaily[EntryDate],DATE(2026,2,27),tblDaily[WardCode],"BG")),"")</f>
        <v/>
      </c>
      <c r="E72" s="5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5" t="str">
        <f>IFERROR(IF(SUMIFS(tblDaily[TransfersIn],tblDaily[EntryDate],DATE(2026,2,27),tblDaily[WardCode],"BG")=0,"",SUMIFS(tblDaily[TransfersIn],tblDaily[EntryDate],DATE(2026,2,27),tblDaily[WardCode],"BG")),"")</f>
        <v/>
      </c>
      <c r="G72" s="5" t="str">
        <f>IFERROR(IF(SUMIFS(tblDaily[TransfersOut],tblDaily[EntryDate],DATE(2026,2,27),tblDaily[WardCode],"BG")=0,"",SUMIFS(tblDaily[TransfersOut],tblDaily[EntryDate],DATE(2026,2,27),tblDaily[WardCode],"BG")),"")</f>
        <v/>
      </c>
      <c r="H72" s="5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IFERROR(IF(SUMIFS(tblDaily[Admissions],tblDaily[EntryDate],DATE(2026,2,28),tblDaily[WardCode],"BG")=0,"",SUMIFS(tblDaily[Admissions],tblDaily[EntryDate],DATE(2026,2,28),tblDaily[WardCode],"BG")),"")</f>
        <v/>
      </c>
      <c r="C73" s="5" t="str">
        <f>IFERROR(IF(SUMIFS(tblDaily[Discharges],tblDaily[EntryDate],DATE(2026,2,28),tblDaily[WardCode],"BG")=0,"",SUMIFS(tblDaily[Discharges],tblDaily[EntryDate],DATE(2026,2,28),tblDaily[WardCode],"BG")),"")</f>
        <v/>
      </c>
      <c r="D73" s="5" t="str">
        <f>IFERROR(IF(SUMIFS(tblDaily[Deaths],tblDaily[EntryDate],DATE(2026,2,28),tblDaily[WardCode],"BG")=0,"",SUMIFS(tblDaily[Deaths],tblDaily[EntryDate],DATE(2026,2,28),tblDaily[WardCode],"BG")),"")</f>
        <v/>
      </c>
      <c r="E73" s="5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5" t="str">
        <f>IFERROR(IF(SUMIFS(tblDaily[TransfersIn],tblDaily[EntryDate],DATE(2026,2,28),tblDaily[WardCode],"BG")=0,"",SUMIFS(tblDaily[TransfersIn],tblDaily[EntryDate],DATE(2026,2,28),tblDaily[WardCode],"BG")),"")</f>
        <v/>
      </c>
      <c r="G73" s="5" t="str">
        <f>IFERROR(IF(SUMIFS(tblDaily[TransfersOut],tblDaily[EntryDate],DATE(2026,2,28),tblDaily[WardCode],"BG")=0,"",SUMIFS(tblDaily[TransfersOut],tblDaily[EntryDate],DATE(2026,2,28),tblDaily[WardCode],"BG")),"")</f>
        <v/>
      </c>
      <c r="H73" s="5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99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89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IFERROR(IF(SUMIFS(tblDaily[Admissions],tblDaily[EntryDate],DATE(2026,3,1),tblDaily[WardCode],"BG")=0,"",SUMIFS(tblDaily[Admissions],tblDaily[EntryDate],DATE(2026,3,1),tblDaily[WardCode],"BG")),"")</f>
        <v/>
      </c>
      <c r="C85" s="5" t="str">
        <f>IFERROR(IF(SUMIFS(tblDaily[Discharges],tblDaily[EntryDate],DATE(2026,3,1),tblDaily[WardCode],"BG")=0,"",SUMIFS(tblDaily[Discharges],tblDaily[EntryDate],DATE(2026,3,1),tblDaily[WardCode],"BG")),"")</f>
        <v/>
      </c>
      <c r="D85" s="5" t="str">
        <f>IFERROR(IF(SUMIFS(tblDaily[Deaths],tblDaily[EntryDate],DATE(2026,3,1),tblDaily[WardCode],"BG")=0,"",SUMIFS(tblDaily[Deaths],tblDaily[EntryDate],DATE(2026,3,1),tblDaily[WardCode],"BG")),"")</f>
        <v/>
      </c>
      <c r="E85" s="5" t="str">
        <f>IFERROR(IF(SUMIFS(tblDaily[DeathsUnder24Hrs],tblDaily[EntryDate],DATE(2026,3,1),tblDaily[WardCode],"BG")=0,"",SUMIFS(tblDaily[DeathsUnder24Hrs],tblDaily[EntryDate],DATE(2026,3,1),tblDaily[WardCode],"BG")),"")</f>
        <v/>
      </c>
      <c r="F85" s="5" t="str">
        <f>IFERROR(IF(SUMIFS(tblDaily[TransfersIn],tblDaily[EntryDate],DATE(2026,3,1),tblDaily[WardCode],"BG")=0,"",SUMIFS(tblDaily[TransfersIn],tblDaily[EntryDate],DATE(2026,3,1),tblDaily[WardCode],"BG")),"")</f>
        <v/>
      </c>
      <c r="G85" s="5" t="str">
        <f>IFERROR(IF(SUMIFS(tblDaily[TransfersOut],tblDaily[EntryDate],DATE(2026,3,1),tblDaily[WardCode],"BG")=0,"",SUMIFS(tblDaily[TransfersOut],tblDaily[EntryDate],DATE(2026,3,1),tblDaily[WardCode],"BG")),"")</f>
        <v/>
      </c>
      <c r="H85" s="5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IFERROR(IF(SUMIFS(tblDaily[Admissions],tblDaily[EntryDate],DATE(2026,3,2),tblDaily[WardCode],"BG")=0,"",SUMIFS(tblDaily[Admissions],tblDaily[EntryDate],DATE(2026,3,2),tblDaily[WardCode],"BG")),"")</f>
        <v/>
      </c>
      <c r="C86" s="5" t="str">
        <f>IFERROR(IF(SUMIFS(tblDaily[Discharges],tblDaily[EntryDate],DATE(2026,3,2),tblDaily[WardCode],"BG")=0,"",SUMIFS(tblDaily[Discharges],tblDaily[EntryDate],DATE(2026,3,2),tblDaily[WardCode],"BG")),"")</f>
        <v/>
      </c>
      <c r="D86" s="5" t="str">
        <f>IFERROR(IF(SUMIFS(tblDaily[Deaths],tblDaily[EntryDate],DATE(2026,3,2),tblDaily[WardCode],"BG")=0,"",SUMIFS(tblDaily[Deaths],tblDaily[EntryDate],DATE(2026,3,2),tblDaily[WardCode],"BG")),"")</f>
        <v/>
      </c>
      <c r="E86" s="5" t="str">
        <f>IFERROR(IF(SUMIFS(tblDaily[DeathsUnder24Hrs],tblDaily[EntryDate],DATE(2026,3,2),tblDaily[WardCode],"BG")=0,"",SUMIFS(tblDaily[DeathsUnder24Hrs],tblDaily[EntryDate],DATE(2026,3,2),tblDaily[WardCode],"BG")),"")</f>
        <v/>
      </c>
      <c r="F86" s="5" t="str">
        <f>IFERROR(IF(SUMIFS(tblDaily[TransfersIn],tblDaily[EntryDate],DATE(2026,3,2),tblDaily[WardCode],"BG")=0,"",SUMIFS(tblDaily[TransfersIn],tblDaily[EntryDate],DATE(2026,3,2),tblDaily[WardCode],"BG")),"")</f>
        <v/>
      </c>
      <c r="G86" s="5" t="str">
        <f>IFERROR(IF(SUMIFS(tblDaily[TransfersOut],tblDaily[EntryDate],DATE(2026,3,2),tblDaily[WardCode],"BG")=0,"",SUMIFS(tblDaily[TransfersOut],tblDaily[EntryDate],DATE(2026,3,2),tblDaily[WardCode],"BG")),"")</f>
        <v/>
      </c>
      <c r="H86" s="5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IFERROR(IF(SUMIFS(tblDaily[Admissions],tblDaily[EntryDate],DATE(2026,3,3),tblDaily[WardCode],"BG")=0,"",SUMIFS(tblDaily[Admissions],tblDaily[EntryDate],DATE(2026,3,3),tblDaily[WardCode],"BG")),"")</f>
        <v/>
      </c>
      <c r="C87" s="5" t="str">
        <f>IFERROR(IF(SUMIFS(tblDaily[Discharges],tblDaily[EntryDate],DATE(2026,3,3),tblDaily[WardCode],"BG")=0,"",SUMIFS(tblDaily[Discharges],tblDaily[EntryDate],DATE(2026,3,3),tblDaily[WardCode],"BG")),"")</f>
        <v/>
      </c>
      <c r="D87" s="5" t="str">
        <f>IFERROR(IF(SUMIFS(tblDaily[Deaths],tblDaily[EntryDate],DATE(2026,3,3),tblDaily[WardCode],"BG")=0,"",SUMIFS(tblDaily[Deaths],tblDaily[EntryDate],DATE(2026,3,3),tblDaily[WardCode],"BG")),"")</f>
        <v/>
      </c>
      <c r="E87" s="5" t="str">
        <f>IFERROR(IF(SUMIFS(tblDaily[DeathsUnder24Hrs],tblDaily[EntryDate],DATE(2026,3,3),tblDaily[WardCode],"BG")=0,"",SUMIFS(tblDaily[DeathsUnder24Hrs],tblDaily[EntryDate],DATE(2026,3,3),tblDaily[WardCode],"BG")),"")</f>
        <v/>
      </c>
      <c r="F87" s="5" t="str">
        <f>IFERROR(IF(SUMIFS(tblDaily[TransfersIn],tblDaily[EntryDate],DATE(2026,3,3),tblDaily[WardCode],"BG")=0,"",SUMIFS(tblDaily[TransfersIn],tblDaily[EntryDate],DATE(2026,3,3),tblDaily[WardCode],"BG")),"")</f>
        <v/>
      </c>
      <c r="G87" s="5" t="str">
        <f>IFERROR(IF(SUMIFS(tblDaily[TransfersOut],tblDaily[EntryDate],DATE(2026,3,3),tblDaily[WardCode],"BG")=0,"",SUMIFS(tblDaily[TransfersOut],tblDaily[EntryDate],DATE(2026,3,3),tblDaily[WardCode],"BG")),"")</f>
        <v/>
      </c>
      <c r="H87" s="5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IFERROR(IF(SUMIFS(tblDaily[Admissions],tblDaily[EntryDate],DATE(2026,3,4),tblDaily[WardCode],"BG")=0,"",SUMIFS(tblDaily[Admissions],tblDaily[EntryDate],DATE(2026,3,4),tblDaily[WardCode],"BG")),"")</f>
        <v/>
      </c>
      <c r="C88" s="5" t="str">
        <f>IFERROR(IF(SUMIFS(tblDaily[Discharges],tblDaily[EntryDate],DATE(2026,3,4),tblDaily[WardCode],"BG")=0,"",SUMIFS(tblDaily[Discharges],tblDaily[EntryDate],DATE(2026,3,4),tblDaily[WardCode],"BG")),"")</f>
        <v/>
      </c>
      <c r="D88" s="5" t="str">
        <f>IFERROR(IF(SUMIFS(tblDaily[Deaths],tblDaily[EntryDate],DATE(2026,3,4),tblDaily[WardCode],"BG")=0,"",SUMIFS(tblDaily[Deaths],tblDaily[EntryDate],DATE(2026,3,4),tblDaily[WardCode],"BG")),"")</f>
        <v/>
      </c>
      <c r="E88" s="5" t="str">
        <f>IFERROR(IF(SUMIFS(tblDaily[DeathsUnder24Hrs],tblDaily[EntryDate],DATE(2026,3,4),tblDaily[WardCode],"BG")=0,"",SUMIFS(tblDaily[DeathsUnder24Hrs],tblDaily[EntryDate],DATE(2026,3,4),tblDaily[WardCode],"BG")),"")</f>
        <v/>
      </c>
      <c r="F88" s="5" t="str">
        <f>IFERROR(IF(SUMIFS(tblDaily[TransfersIn],tblDaily[EntryDate],DATE(2026,3,4),tblDaily[WardCode],"BG")=0,"",SUMIFS(tblDaily[TransfersIn],tblDaily[EntryDate],DATE(2026,3,4),tblDaily[WardCode],"BG")),"")</f>
        <v/>
      </c>
      <c r="G88" s="5" t="str">
        <f>IFERROR(IF(SUMIFS(tblDaily[TransfersOut],tblDaily[EntryDate],DATE(2026,3,4),tblDaily[WardCode],"BG")=0,"",SUMIFS(tblDaily[TransfersOut],tblDaily[EntryDate],DATE(2026,3,4),tblDaily[WardCode],"BG")),"")</f>
        <v/>
      </c>
      <c r="H88" s="5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IFERROR(IF(SUMIFS(tblDaily[Admissions],tblDaily[EntryDate],DATE(2026,3,5),tblDaily[WardCode],"BG")=0,"",SUMIFS(tblDaily[Admissions],tblDaily[EntryDate],DATE(2026,3,5),tblDaily[WardCode],"BG")),"")</f>
        <v/>
      </c>
      <c r="C89" s="5" t="str">
        <f>IFERROR(IF(SUMIFS(tblDaily[Discharges],tblDaily[EntryDate],DATE(2026,3,5),tblDaily[WardCode],"BG")=0,"",SUMIFS(tblDaily[Discharges],tblDaily[EntryDate],DATE(2026,3,5),tblDaily[WardCode],"BG")),"")</f>
        <v/>
      </c>
      <c r="D89" s="5" t="str">
        <f>IFERROR(IF(SUMIFS(tblDaily[Deaths],tblDaily[EntryDate],DATE(2026,3,5),tblDaily[WardCode],"BG")=0,"",SUMIFS(tblDaily[Deaths],tblDaily[EntryDate],DATE(2026,3,5),tblDaily[WardCode],"BG")),"")</f>
        <v/>
      </c>
      <c r="E89" s="5" t="str">
        <f>IFERROR(IF(SUMIFS(tblDaily[DeathsUnder24Hrs],tblDaily[EntryDate],DATE(2026,3,5),tblDaily[WardCode],"BG")=0,"",SUMIFS(tblDaily[DeathsUnder24Hrs],tblDaily[EntryDate],DATE(2026,3,5),tblDaily[WardCode],"BG")),"")</f>
        <v/>
      </c>
      <c r="F89" s="5" t="str">
        <f>IFERROR(IF(SUMIFS(tblDaily[TransfersIn],tblDaily[EntryDate],DATE(2026,3,5),tblDaily[WardCode],"BG")=0,"",SUMIFS(tblDaily[TransfersIn],tblDaily[EntryDate],DATE(2026,3,5),tblDaily[WardCode],"BG")),"")</f>
        <v/>
      </c>
      <c r="G89" s="5" t="str">
        <f>IFERROR(IF(SUMIFS(tblDaily[TransfersOut],tblDaily[EntryDate],DATE(2026,3,5),tblDaily[WardCode],"BG")=0,"",SUMIFS(tblDaily[TransfersOut],tblDaily[EntryDate],DATE(2026,3,5),tblDaily[WardCode],"BG")),"")</f>
        <v/>
      </c>
      <c r="H89" s="5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IFERROR(IF(SUMIFS(tblDaily[Admissions],tblDaily[EntryDate],DATE(2026,3,6),tblDaily[WardCode],"BG")=0,"",SUMIFS(tblDaily[Admissions],tblDaily[EntryDate],DATE(2026,3,6),tblDaily[WardCode],"BG")),"")</f>
        <v/>
      </c>
      <c r="C90" s="5" t="str">
        <f>IFERROR(IF(SUMIFS(tblDaily[Discharges],tblDaily[EntryDate],DATE(2026,3,6),tblDaily[WardCode],"BG")=0,"",SUMIFS(tblDaily[Discharges],tblDaily[EntryDate],DATE(2026,3,6),tblDaily[WardCode],"BG")),"")</f>
        <v/>
      </c>
      <c r="D90" s="5" t="str">
        <f>IFERROR(IF(SUMIFS(tblDaily[Deaths],tblDaily[EntryDate],DATE(2026,3,6),tblDaily[WardCode],"BG")=0,"",SUMIFS(tblDaily[Deaths],tblDaily[EntryDate],DATE(2026,3,6),tblDaily[WardCode],"BG")),"")</f>
        <v/>
      </c>
      <c r="E90" s="5" t="str">
        <f>IFERROR(IF(SUMIFS(tblDaily[DeathsUnder24Hrs],tblDaily[EntryDate],DATE(2026,3,6),tblDaily[WardCode],"BG")=0,"",SUMIFS(tblDaily[DeathsUnder24Hrs],tblDaily[EntryDate],DATE(2026,3,6),tblDaily[WardCode],"BG")),"")</f>
        <v/>
      </c>
      <c r="F90" s="5" t="str">
        <f>IFERROR(IF(SUMIFS(tblDaily[TransfersIn],tblDaily[EntryDate],DATE(2026,3,6),tblDaily[WardCode],"BG")=0,"",SUMIFS(tblDaily[TransfersIn],tblDaily[EntryDate],DATE(2026,3,6),tblDaily[WardCode],"BG")),"")</f>
        <v/>
      </c>
      <c r="G90" s="5" t="str">
        <f>IFERROR(IF(SUMIFS(tblDaily[TransfersOut],tblDaily[EntryDate],DATE(2026,3,6),tblDaily[WardCode],"BG")=0,"",SUMIFS(tblDaily[TransfersOut],tblDaily[EntryDate],DATE(2026,3,6),tblDaily[WardCode],"BG")),"")</f>
        <v/>
      </c>
      <c r="H90" s="5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IFERROR(IF(SUMIFS(tblDaily[Admissions],tblDaily[EntryDate],DATE(2026,3,7),tblDaily[WardCode],"BG")=0,"",SUMIFS(tblDaily[Admissions],tblDaily[EntryDate],DATE(2026,3,7),tblDaily[WardCode],"BG")),"")</f>
        <v/>
      </c>
      <c r="C91" s="5" t="str">
        <f>IFERROR(IF(SUMIFS(tblDaily[Discharges],tblDaily[EntryDate],DATE(2026,3,7),tblDaily[WardCode],"BG")=0,"",SUMIFS(tblDaily[Discharges],tblDaily[EntryDate],DATE(2026,3,7),tblDaily[WardCode],"BG")),"")</f>
        <v/>
      </c>
      <c r="D91" s="5" t="str">
        <f>IFERROR(IF(SUMIFS(tblDaily[Deaths],tblDaily[EntryDate],DATE(2026,3,7),tblDaily[WardCode],"BG")=0,"",SUMIFS(tblDaily[Deaths],tblDaily[EntryDate],DATE(2026,3,7),tblDaily[WardCode],"BG")),"")</f>
        <v/>
      </c>
      <c r="E91" s="5" t="str">
        <f>IFERROR(IF(SUMIFS(tblDaily[DeathsUnder24Hrs],tblDaily[EntryDate],DATE(2026,3,7),tblDaily[WardCode],"BG")=0,"",SUMIFS(tblDaily[DeathsUnder24Hrs],tblDaily[EntryDate],DATE(2026,3,7),tblDaily[WardCode],"BG")),"")</f>
        <v/>
      </c>
      <c r="F91" s="5" t="str">
        <f>IFERROR(IF(SUMIFS(tblDaily[TransfersIn],tblDaily[EntryDate],DATE(2026,3,7),tblDaily[WardCode],"BG")=0,"",SUMIFS(tblDaily[TransfersIn],tblDaily[EntryDate],DATE(2026,3,7),tblDaily[WardCode],"BG")),"")</f>
        <v/>
      </c>
      <c r="G91" s="5" t="str">
        <f>IFERROR(IF(SUMIFS(tblDaily[TransfersOut],tblDaily[EntryDate],DATE(2026,3,7),tblDaily[WardCode],"BG")=0,"",SUMIFS(tblDaily[TransfersOut],tblDaily[EntryDate],DATE(2026,3,7),tblDaily[WardCode],"BG")),"")</f>
        <v/>
      </c>
      <c r="H91" s="5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IFERROR(IF(SUMIFS(tblDaily[Admissions],tblDaily[EntryDate],DATE(2026,3,8),tblDaily[WardCode],"BG")=0,"",SUMIFS(tblDaily[Admissions],tblDaily[EntryDate],DATE(2026,3,8),tblDaily[WardCode],"BG")),"")</f>
        <v/>
      </c>
      <c r="C92" s="5" t="str">
        <f>IFERROR(IF(SUMIFS(tblDaily[Discharges],tblDaily[EntryDate],DATE(2026,3,8),tblDaily[WardCode],"BG")=0,"",SUMIFS(tblDaily[Discharges],tblDaily[EntryDate],DATE(2026,3,8),tblDaily[WardCode],"BG")),"")</f>
        <v/>
      </c>
      <c r="D92" s="5" t="str">
        <f>IFERROR(IF(SUMIFS(tblDaily[Deaths],tblDaily[EntryDate],DATE(2026,3,8),tblDaily[WardCode],"BG")=0,"",SUMIFS(tblDaily[Deaths],tblDaily[EntryDate],DATE(2026,3,8),tblDaily[WardCode],"BG")),"")</f>
        <v/>
      </c>
      <c r="E92" s="5" t="str">
        <f>IFERROR(IF(SUMIFS(tblDaily[DeathsUnder24Hrs],tblDaily[EntryDate],DATE(2026,3,8),tblDaily[WardCode],"BG")=0,"",SUMIFS(tblDaily[DeathsUnder24Hrs],tblDaily[EntryDate],DATE(2026,3,8),tblDaily[WardCode],"BG")),"")</f>
        <v/>
      </c>
      <c r="F92" s="5" t="str">
        <f>IFERROR(IF(SUMIFS(tblDaily[TransfersIn],tblDaily[EntryDate],DATE(2026,3,8),tblDaily[WardCode],"BG")=0,"",SUMIFS(tblDaily[TransfersIn],tblDaily[EntryDate],DATE(2026,3,8),tblDaily[WardCode],"BG")),"")</f>
        <v/>
      </c>
      <c r="G92" s="5" t="str">
        <f>IFERROR(IF(SUMIFS(tblDaily[TransfersOut],tblDaily[EntryDate],DATE(2026,3,8),tblDaily[WardCode],"BG")=0,"",SUMIFS(tblDaily[TransfersOut],tblDaily[EntryDate],DATE(2026,3,8),tblDaily[WardCode],"BG")),"")</f>
        <v/>
      </c>
      <c r="H92" s="5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IFERROR(IF(SUMIFS(tblDaily[Admissions],tblDaily[EntryDate],DATE(2026,3,9),tblDaily[WardCode],"BG")=0,"",SUMIFS(tblDaily[Admissions],tblDaily[EntryDate],DATE(2026,3,9),tblDaily[WardCode],"BG")),"")</f>
        <v/>
      </c>
      <c r="C93" s="5" t="str">
        <f>IFERROR(IF(SUMIFS(tblDaily[Discharges],tblDaily[EntryDate],DATE(2026,3,9),tblDaily[WardCode],"BG")=0,"",SUMIFS(tblDaily[Discharges],tblDaily[EntryDate],DATE(2026,3,9),tblDaily[WardCode],"BG")),"")</f>
        <v/>
      </c>
      <c r="D93" s="5" t="str">
        <f>IFERROR(IF(SUMIFS(tblDaily[Deaths],tblDaily[EntryDate],DATE(2026,3,9),tblDaily[WardCode],"BG")=0,"",SUMIFS(tblDaily[Deaths],tblDaily[EntryDate],DATE(2026,3,9),tblDaily[WardCode],"BG")),"")</f>
        <v/>
      </c>
      <c r="E93" s="5" t="str">
        <f>IFERROR(IF(SUMIFS(tblDaily[DeathsUnder24Hrs],tblDaily[EntryDate],DATE(2026,3,9),tblDaily[WardCode],"BG")=0,"",SUMIFS(tblDaily[DeathsUnder24Hrs],tblDaily[EntryDate],DATE(2026,3,9),tblDaily[WardCode],"BG")),"")</f>
        <v/>
      </c>
      <c r="F93" s="5" t="str">
        <f>IFERROR(IF(SUMIFS(tblDaily[TransfersIn],tblDaily[EntryDate],DATE(2026,3,9),tblDaily[WardCode],"BG")=0,"",SUMIFS(tblDaily[TransfersIn],tblDaily[EntryDate],DATE(2026,3,9),tblDaily[WardCode],"BG")),"")</f>
        <v/>
      </c>
      <c r="G93" s="5" t="str">
        <f>IFERROR(IF(SUMIFS(tblDaily[TransfersOut],tblDaily[EntryDate],DATE(2026,3,9),tblDaily[WardCode],"BG")=0,"",SUMIFS(tblDaily[TransfersOut],tblDaily[EntryDate],DATE(2026,3,9),tblDaily[WardCode],"BG")),"")</f>
        <v/>
      </c>
      <c r="H93" s="5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IFERROR(IF(SUMIFS(tblDaily[Admissions],tblDaily[EntryDate],DATE(2026,3,10),tblDaily[WardCode],"BG")=0,"",SUMIFS(tblDaily[Admissions],tblDaily[EntryDate],DATE(2026,3,10),tblDaily[WardCode],"BG")),"")</f>
        <v/>
      </c>
      <c r="C94" s="5" t="str">
        <f>IFERROR(IF(SUMIFS(tblDaily[Discharges],tblDaily[EntryDate],DATE(2026,3,10),tblDaily[WardCode],"BG")=0,"",SUMIFS(tblDaily[Discharges],tblDaily[EntryDate],DATE(2026,3,10),tblDaily[WardCode],"BG")),"")</f>
        <v/>
      </c>
      <c r="D94" s="5" t="str">
        <f>IFERROR(IF(SUMIFS(tblDaily[Deaths],tblDaily[EntryDate],DATE(2026,3,10),tblDaily[WardCode],"BG")=0,"",SUMIFS(tblDaily[Deaths],tblDaily[EntryDate],DATE(2026,3,10),tblDaily[WardCode],"BG")),"")</f>
        <v/>
      </c>
      <c r="E94" s="5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5" t="str">
        <f>IFERROR(IF(SUMIFS(tblDaily[TransfersIn],tblDaily[EntryDate],DATE(2026,3,10),tblDaily[WardCode],"BG")=0,"",SUMIFS(tblDaily[TransfersIn],tblDaily[EntryDate],DATE(2026,3,10),tblDaily[WardCode],"BG")),"")</f>
        <v/>
      </c>
      <c r="G94" s="5" t="str">
        <f>IFERROR(IF(SUMIFS(tblDaily[TransfersOut],tblDaily[EntryDate],DATE(2026,3,10),tblDaily[WardCode],"BG")=0,"",SUMIFS(tblDaily[TransfersOut],tblDaily[EntryDate],DATE(2026,3,10),tblDaily[WardCode],"BG")),"")</f>
        <v/>
      </c>
      <c r="H94" s="5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IFERROR(IF(SUMIFS(tblDaily[Admissions],tblDaily[EntryDate],DATE(2026,3,11),tblDaily[WardCode],"BG")=0,"",SUMIFS(tblDaily[Admissions],tblDaily[EntryDate],DATE(2026,3,11),tblDaily[WardCode],"BG")),"")</f>
        <v/>
      </c>
      <c r="C95" s="5" t="str">
        <f>IFERROR(IF(SUMIFS(tblDaily[Discharges],tblDaily[EntryDate],DATE(2026,3,11),tblDaily[WardCode],"BG")=0,"",SUMIFS(tblDaily[Discharges],tblDaily[EntryDate],DATE(2026,3,11),tblDaily[WardCode],"BG")),"")</f>
        <v/>
      </c>
      <c r="D95" s="5" t="str">
        <f>IFERROR(IF(SUMIFS(tblDaily[Deaths],tblDaily[EntryDate],DATE(2026,3,11),tblDaily[WardCode],"BG")=0,"",SUMIFS(tblDaily[Deaths],tblDaily[EntryDate],DATE(2026,3,11),tblDaily[WardCode],"BG")),"")</f>
        <v/>
      </c>
      <c r="E95" s="5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5" t="str">
        <f>IFERROR(IF(SUMIFS(tblDaily[TransfersIn],tblDaily[EntryDate],DATE(2026,3,11),tblDaily[WardCode],"BG")=0,"",SUMIFS(tblDaily[TransfersIn],tblDaily[EntryDate],DATE(2026,3,11),tblDaily[WardCode],"BG")),"")</f>
        <v/>
      </c>
      <c r="G95" s="5" t="str">
        <f>IFERROR(IF(SUMIFS(tblDaily[TransfersOut],tblDaily[EntryDate],DATE(2026,3,11),tblDaily[WardCode],"BG")=0,"",SUMIFS(tblDaily[TransfersOut],tblDaily[EntryDate],DATE(2026,3,11),tblDaily[WardCode],"BG")),"")</f>
        <v/>
      </c>
      <c r="H95" s="5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IFERROR(IF(SUMIFS(tblDaily[Admissions],tblDaily[EntryDate],DATE(2026,3,12),tblDaily[WardCode],"BG")=0,"",SUMIFS(tblDaily[Admissions],tblDaily[EntryDate],DATE(2026,3,12),tblDaily[WardCode],"BG")),"")</f>
        <v/>
      </c>
      <c r="C96" s="5" t="str">
        <f>IFERROR(IF(SUMIFS(tblDaily[Discharges],tblDaily[EntryDate],DATE(2026,3,12),tblDaily[WardCode],"BG")=0,"",SUMIFS(tblDaily[Discharges],tblDaily[EntryDate],DATE(2026,3,12),tblDaily[WardCode],"BG")),"")</f>
        <v/>
      </c>
      <c r="D96" s="5" t="str">
        <f>IFERROR(IF(SUMIFS(tblDaily[Deaths],tblDaily[EntryDate],DATE(2026,3,12),tblDaily[WardCode],"BG")=0,"",SUMIFS(tblDaily[Deaths],tblDaily[EntryDate],DATE(2026,3,12),tblDaily[WardCode],"BG")),"")</f>
        <v/>
      </c>
      <c r="E96" s="5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5" t="str">
        <f>IFERROR(IF(SUMIFS(tblDaily[TransfersIn],tblDaily[EntryDate],DATE(2026,3,12),tblDaily[WardCode],"BG")=0,"",SUMIFS(tblDaily[TransfersIn],tblDaily[EntryDate],DATE(2026,3,12),tblDaily[WardCode],"BG")),"")</f>
        <v/>
      </c>
      <c r="G96" s="5" t="str">
        <f>IFERROR(IF(SUMIFS(tblDaily[TransfersOut],tblDaily[EntryDate],DATE(2026,3,12),tblDaily[WardCode],"BG")=0,"",SUMIFS(tblDaily[TransfersOut],tblDaily[EntryDate],DATE(2026,3,12),tblDaily[WardCode],"BG")),"")</f>
        <v/>
      </c>
      <c r="H96" s="5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IFERROR(IF(SUMIFS(tblDaily[Admissions],tblDaily[EntryDate],DATE(2026,3,13),tblDaily[WardCode],"BG")=0,"",SUMIFS(tblDaily[Admissions],tblDaily[EntryDate],DATE(2026,3,13),tblDaily[WardCode],"BG")),"")</f>
        <v/>
      </c>
      <c r="C97" s="5" t="str">
        <f>IFERROR(IF(SUMIFS(tblDaily[Discharges],tblDaily[EntryDate],DATE(2026,3,13),tblDaily[WardCode],"BG")=0,"",SUMIFS(tblDaily[Discharges],tblDaily[EntryDate],DATE(2026,3,13),tblDaily[WardCode],"BG")),"")</f>
        <v/>
      </c>
      <c r="D97" s="5" t="str">
        <f>IFERROR(IF(SUMIFS(tblDaily[Deaths],tblDaily[EntryDate],DATE(2026,3,13),tblDaily[WardCode],"BG")=0,"",SUMIFS(tblDaily[Deaths],tblDaily[EntryDate],DATE(2026,3,13),tblDaily[WardCode],"BG")),"")</f>
        <v/>
      </c>
      <c r="E97" s="5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5" t="str">
        <f>IFERROR(IF(SUMIFS(tblDaily[TransfersIn],tblDaily[EntryDate],DATE(2026,3,13),tblDaily[WardCode],"BG")=0,"",SUMIFS(tblDaily[TransfersIn],tblDaily[EntryDate],DATE(2026,3,13),tblDaily[WardCode],"BG")),"")</f>
        <v/>
      </c>
      <c r="G97" s="5" t="str">
        <f>IFERROR(IF(SUMIFS(tblDaily[TransfersOut],tblDaily[EntryDate],DATE(2026,3,13),tblDaily[WardCode],"BG")=0,"",SUMIFS(tblDaily[TransfersOut],tblDaily[EntryDate],DATE(2026,3,13),tblDaily[WardCode],"BG")),"")</f>
        <v/>
      </c>
      <c r="H97" s="5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IFERROR(IF(SUMIFS(tblDaily[Admissions],tblDaily[EntryDate],DATE(2026,3,14),tblDaily[WardCode],"BG")=0,"",SUMIFS(tblDaily[Admissions],tblDaily[EntryDate],DATE(2026,3,14),tblDaily[WardCode],"BG")),"")</f>
        <v/>
      </c>
      <c r="C98" s="5" t="str">
        <f>IFERROR(IF(SUMIFS(tblDaily[Discharges],tblDaily[EntryDate],DATE(2026,3,14),tblDaily[WardCode],"BG")=0,"",SUMIFS(tblDaily[Discharges],tblDaily[EntryDate],DATE(2026,3,14),tblDaily[WardCode],"BG")),"")</f>
        <v/>
      </c>
      <c r="D98" s="5" t="str">
        <f>IFERROR(IF(SUMIFS(tblDaily[Deaths],tblDaily[EntryDate],DATE(2026,3,14),tblDaily[WardCode],"BG")=0,"",SUMIFS(tblDaily[Deaths],tblDaily[EntryDate],DATE(2026,3,14),tblDaily[WardCode],"BG")),"")</f>
        <v/>
      </c>
      <c r="E98" s="5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5" t="str">
        <f>IFERROR(IF(SUMIFS(tblDaily[TransfersIn],tblDaily[EntryDate],DATE(2026,3,14),tblDaily[WardCode],"BG")=0,"",SUMIFS(tblDaily[TransfersIn],tblDaily[EntryDate],DATE(2026,3,14),tblDaily[WardCode],"BG")),"")</f>
        <v/>
      </c>
      <c r="G98" s="5" t="str">
        <f>IFERROR(IF(SUMIFS(tblDaily[TransfersOut],tblDaily[EntryDate],DATE(2026,3,14),tblDaily[WardCode],"BG")=0,"",SUMIFS(tblDaily[TransfersOut],tblDaily[EntryDate],DATE(2026,3,14),tblDaily[WardCode],"BG")),"")</f>
        <v/>
      </c>
      <c r="H98" s="5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IFERROR(IF(SUMIFS(tblDaily[Admissions],tblDaily[EntryDate],DATE(2026,3,15),tblDaily[WardCode],"BG")=0,"",SUMIFS(tblDaily[Admissions],tblDaily[EntryDate],DATE(2026,3,15),tblDaily[WardCode],"BG")),"")</f>
        <v/>
      </c>
      <c r="C99" s="5" t="str">
        <f>IFERROR(IF(SUMIFS(tblDaily[Discharges],tblDaily[EntryDate],DATE(2026,3,15),tblDaily[WardCode],"BG")=0,"",SUMIFS(tblDaily[Discharges],tblDaily[EntryDate],DATE(2026,3,15),tblDaily[WardCode],"BG")),"")</f>
        <v/>
      </c>
      <c r="D99" s="5" t="str">
        <f>IFERROR(IF(SUMIFS(tblDaily[Deaths],tblDaily[EntryDate],DATE(2026,3,15),tblDaily[WardCode],"BG")=0,"",SUMIFS(tblDaily[Deaths],tblDaily[EntryDate],DATE(2026,3,15),tblDaily[WardCode],"BG")),"")</f>
        <v/>
      </c>
      <c r="E99" s="5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5" t="str">
        <f>IFERROR(IF(SUMIFS(tblDaily[TransfersIn],tblDaily[EntryDate],DATE(2026,3,15),tblDaily[WardCode],"BG")=0,"",SUMIFS(tblDaily[TransfersIn],tblDaily[EntryDate],DATE(2026,3,15),tblDaily[WardCode],"BG")),"")</f>
        <v/>
      </c>
      <c r="G99" s="5" t="str">
        <f>IFERROR(IF(SUMIFS(tblDaily[TransfersOut],tblDaily[EntryDate],DATE(2026,3,15),tblDaily[WardCode],"BG")=0,"",SUMIFS(tblDaily[TransfersOut],tblDaily[EntryDate],DATE(2026,3,15),tblDaily[WardCode],"BG")),"")</f>
        <v/>
      </c>
      <c r="H99" s="5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IFERROR(IF(SUMIFS(tblDaily[Admissions],tblDaily[EntryDate],DATE(2026,3,16),tblDaily[WardCode],"BG")=0,"",SUMIFS(tblDaily[Admissions],tblDaily[EntryDate],DATE(2026,3,16),tblDaily[WardCode],"BG")),"")</f>
        <v/>
      </c>
      <c r="C100" s="5" t="str">
        <f>IFERROR(IF(SUMIFS(tblDaily[Discharges],tblDaily[EntryDate],DATE(2026,3,16),tblDaily[WardCode],"BG")=0,"",SUMIFS(tblDaily[Discharges],tblDaily[EntryDate],DATE(2026,3,16),tblDaily[WardCode],"BG")),"")</f>
        <v/>
      </c>
      <c r="D100" s="5" t="str">
        <f>IFERROR(IF(SUMIFS(tblDaily[Deaths],tblDaily[EntryDate],DATE(2026,3,16),tblDaily[WardCode],"BG")=0,"",SUMIFS(tblDaily[Deaths],tblDaily[EntryDate],DATE(2026,3,16),tblDaily[WardCode],"BG")),"")</f>
        <v/>
      </c>
      <c r="E100" s="5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5" t="str">
        <f>IFERROR(IF(SUMIFS(tblDaily[TransfersIn],tblDaily[EntryDate],DATE(2026,3,16),tblDaily[WardCode],"BG")=0,"",SUMIFS(tblDaily[TransfersIn],tblDaily[EntryDate],DATE(2026,3,16),tblDaily[WardCode],"BG")),"")</f>
        <v/>
      </c>
      <c r="G100" s="5" t="str">
        <f>IFERROR(IF(SUMIFS(tblDaily[TransfersOut],tblDaily[EntryDate],DATE(2026,3,16),tblDaily[WardCode],"BG")=0,"",SUMIFS(tblDaily[TransfersOut],tblDaily[EntryDate],DATE(2026,3,16),tblDaily[WardCode],"BG")),"")</f>
        <v/>
      </c>
      <c r="H100" s="5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IFERROR(IF(SUMIFS(tblDaily[Admissions],tblDaily[EntryDate],DATE(2026,3,17),tblDaily[WardCode],"BG")=0,"",SUMIFS(tblDaily[Admissions],tblDaily[EntryDate],DATE(2026,3,17),tblDaily[WardCode],"BG")),"")</f>
        <v/>
      </c>
      <c r="C101" s="5" t="str">
        <f>IFERROR(IF(SUMIFS(tblDaily[Discharges],tblDaily[EntryDate],DATE(2026,3,17),tblDaily[WardCode],"BG")=0,"",SUMIFS(tblDaily[Discharges],tblDaily[EntryDate],DATE(2026,3,17),tblDaily[WardCode],"BG")),"")</f>
        <v/>
      </c>
      <c r="D101" s="5" t="str">
        <f>IFERROR(IF(SUMIFS(tblDaily[Deaths],tblDaily[EntryDate],DATE(2026,3,17),tblDaily[WardCode],"BG")=0,"",SUMIFS(tblDaily[Deaths],tblDaily[EntryDate],DATE(2026,3,17),tblDaily[WardCode],"BG")),"")</f>
        <v/>
      </c>
      <c r="E101" s="5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5" t="str">
        <f>IFERROR(IF(SUMIFS(tblDaily[TransfersIn],tblDaily[EntryDate],DATE(2026,3,17),tblDaily[WardCode],"BG")=0,"",SUMIFS(tblDaily[TransfersIn],tblDaily[EntryDate],DATE(2026,3,17),tblDaily[WardCode],"BG")),"")</f>
        <v/>
      </c>
      <c r="G101" s="5" t="str">
        <f>IFERROR(IF(SUMIFS(tblDaily[TransfersOut],tblDaily[EntryDate],DATE(2026,3,17),tblDaily[WardCode],"BG")=0,"",SUMIFS(tblDaily[TransfersOut],tblDaily[EntryDate],DATE(2026,3,17),tblDaily[WardCode],"BG")),"")</f>
        <v/>
      </c>
      <c r="H101" s="5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IFERROR(IF(SUMIFS(tblDaily[Admissions],tblDaily[EntryDate],DATE(2026,3,18),tblDaily[WardCode],"BG")=0,"",SUMIFS(tblDaily[Admissions],tblDaily[EntryDate],DATE(2026,3,18),tblDaily[WardCode],"BG")),"")</f>
        <v/>
      </c>
      <c r="C102" s="5" t="str">
        <f>IFERROR(IF(SUMIFS(tblDaily[Discharges],tblDaily[EntryDate],DATE(2026,3,18),tblDaily[WardCode],"BG")=0,"",SUMIFS(tblDaily[Discharges],tblDaily[EntryDate],DATE(2026,3,18),tblDaily[WardCode],"BG")),"")</f>
        <v/>
      </c>
      <c r="D102" s="5" t="str">
        <f>IFERROR(IF(SUMIFS(tblDaily[Deaths],tblDaily[EntryDate],DATE(2026,3,18),tblDaily[WardCode],"BG")=0,"",SUMIFS(tblDaily[Deaths],tblDaily[EntryDate],DATE(2026,3,18),tblDaily[WardCode],"BG")),"")</f>
        <v/>
      </c>
      <c r="E102" s="5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5" t="str">
        <f>IFERROR(IF(SUMIFS(tblDaily[TransfersIn],tblDaily[EntryDate],DATE(2026,3,18),tblDaily[WardCode],"BG")=0,"",SUMIFS(tblDaily[TransfersIn],tblDaily[EntryDate],DATE(2026,3,18),tblDaily[WardCode],"BG")),"")</f>
        <v/>
      </c>
      <c r="G102" s="5" t="str">
        <f>IFERROR(IF(SUMIFS(tblDaily[TransfersOut],tblDaily[EntryDate],DATE(2026,3,18),tblDaily[WardCode],"BG")=0,"",SUMIFS(tblDaily[TransfersOut],tblDaily[EntryDate],DATE(2026,3,18),tblDaily[WardCode],"BG")),"")</f>
        <v/>
      </c>
      <c r="H102" s="5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IFERROR(IF(SUMIFS(tblDaily[Admissions],tblDaily[EntryDate],DATE(2026,3,19),tblDaily[WardCode],"BG")=0,"",SUMIFS(tblDaily[Admissions],tblDaily[EntryDate],DATE(2026,3,19),tblDaily[WardCode],"BG")),"")</f>
        <v/>
      </c>
      <c r="C103" s="5" t="str">
        <f>IFERROR(IF(SUMIFS(tblDaily[Discharges],tblDaily[EntryDate],DATE(2026,3,19),tblDaily[WardCode],"BG")=0,"",SUMIFS(tblDaily[Discharges],tblDaily[EntryDate],DATE(2026,3,19),tblDaily[WardCode],"BG")),"")</f>
        <v/>
      </c>
      <c r="D103" s="5" t="str">
        <f>IFERROR(IF(SUMIFS(tblDaily[Deaths],tblDaily[EntryDate],DATE(2026,3,19),tblDaily[WardCode],"BG")=0,"",SUMIFS(tblDaily[Deaths],tblDaily[EntryDate],DATE(2026,3,19),tblDaily[WardCode],"BG")),"")</f>
        <v/>
      </c>
      <c r="E103" s="5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5" t="str">
        <f>IFERROR(IF(SUMIFS(tblDaily[TransfersIn],tblDaily[EntryDate],DATE(2026,3,19),tblDaily[WardCode],"BG")=0,"",SUMIFS(tblDaily[TransfersIn],tblDaily[EntryDate],DATE(2026,3,19),tblDaily[WardCode],"BG")),"")</f>
        <v/>
      </c>
      <c r="G103" s="5" t="str">
        <f>IFERROR(IF(SUMIFS(tblDaily[TransfersOut],tblDaily[EntryDate],DATE(2026,3,19),tblDaily[WardCode],"BG")=0,"",SUMIFS(tblDaily[TransfersOut],tblDaily[EntryDate],DATE(2026,3,19),tblDaily[WardCode],"BG")),"")</f>
        <v/>
      </c>
      <c r="H103" s="5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IFERROR(IF(SUMIFS(tblDaily[Admissions],tblDaily[EntryDate],DATE(2026,3,20),tblDaily[WardCode],"BG")=0,"",SUMIFS(tblDaily[Admissions],tblDaily[EntryDate],DATE(2026,3,20),tblDaily[WardCode],"BG")),"")</f>
        <v/>
      </c>
      <c r="C104" s="5" t="str">
        <f>IFERROR(IF(SUMIFS(tblDaily[Discharges],tblDaily[EntryDate],DATE(2026,3,20),tblDaily[WardCode],"BG")=0,"",SUMIFS(tblDaily[Discharges],tblDaily[EntryDate],DATE(2026,3,20),tblDaily[WardCode],"BG")),"")</f>
        <v/>
      </c>
      <c r="D104" s="5" t="str">
        <f>IFERROR(IF(SUMIFS(tblDaily[Deaths],tblDaily[EntryDate],DATE(2026,3,20),tblDaily[WardCode],"BG")=0,"",SUMIFS(tblDaily[Deaths],tblDaily[EntryDate],DATE(2026,3,20),tblDaily[WardCode],"BG")),"")</f>
        <v/>
      </c>
      <c r="E104" s="5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5" t="str">
        <f>IFERROR(IF(SUMIFS(tblDaily[TransfersIn],tblDaily[EntryDate],DATE(2026,3,20),tblDaily[WardCode],"BG")=0,"",SUMIFS(tblDaily[TransfersIn],tblDaily[EntryDate],DATE(2026,3,20),tblDaily[WardCode],"BG")),"")</f>
        <v/>
      </c>
      <c r="G104" s="5" t="str">
        <f>IFERROR(IF(SUMIFS(tblDaily[TransfersOut],tblDaily[EntryDate],DATE(2026,3,20),tblDaily[WardCode],"BG")=0,"",SUMIFS(tblDaily[TransfersOut],tblDaily[EntryDate],DATE(2026,3,20),tblDaily[WardCode],"BG")),"")</f>
        <v/>
      </c>
      <c r="H104" s="5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IFERROR(IF(SUMIFS(tblDaily[Admissions],tblDaily[EntryDate],DATE(2026,3,21),tblDaily[WardCode],"BG")=0,"",SUMIFS(tblDaily[Admissions],tblDaily[EntryDate],DATE(2026,3,21),tblDaily[WardCode],"BG")),"")</f>
        <v/>
      </c>
      <c r="C105" s="5" t="str">
        <f>IFERROR(IF(SUMIFS(tblDaily[Discharges],tblDaily[EntryDate],DATE(2026,3,21),tblDaily[WardCode],"BG")=0,"",SUMIFS(tblDaily[Discharges],tblDaily[EntryDate],DATE(2026,3,21),tblDaily[WardCode],"BG")),"")</f>
        <v/>
      </c>
      <c r="D105" s="5" t="str">
        <f>IFERROR(IF(SUMIFS(tblDaily[Deaths],tblDaily[EntryDate],DATE(2026,3,21),tblDaily[WardCode],"BG")=0,"",SUMIFS(tblDaily[Deaths],tblDaily[EntryDate],DATE(2026,3,21),tblDaily[WardCode],"BG")),"")</f>
        <v/>
      </c>
      <c r="E105" s="5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5" t="str">
        <f>IFERROR(IF(SUMIFS(tblDaily[TransfersIn],tblDaily[EntryDate],DATE(2026,3,21),tblDaily[WardCode],"BG")=0,"",SUMIFS(tblDaily[TransfersIn],tblDaily[EntryDate],DATE(2026,3,21),tblDaily[WardCode],"BG")),"")</f>
        <v/>
      </c>
      <c r="G105" s="5" t="str">
        <f>IFERROR(IF(SUMIFS(tblDaily[TransfersOut],tblDaily[EntryDate],DATE(2026,3,21),tblDaily[WardCode],"BG")=0,"",SUMIFS(tblDaily[TransfersOut],tblDaily[EntryDate],DATE(2026,3,21),tblDaily[WardCode],"BG")),"")</f>
        <v/>
      </c>
      <c r="H105" s="5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IFERROR(IF(SUMIFS(tblDaily[Admissions],tblDaily[EntryDate],DATE(2026,3,22),tblDaily[WardCode],"BG")=0,"",SUMIFS(tblDaily[Admissions],tblDaily[EntryDate],DATE(2026,3,22),tblDaily[WardCode],"BG")),"")</f>
        <v/>
      </c>
      <c r="C106" s="5" t="str">
        <f>IFERROR(IF(SUMIFS(tblDaily[Discharges],tblDaily[EntryDate],DATE(2026,3,22),tblDaily[WardCode],"BG")=0,"",SUMIFS(tblDaily[Discharges],tblDaily[EntryDate],DATE(2026,3,22),tblDaily[WardCode],"BG")),"")</f>
        <v/>
      </c>
      <c r="D106" s="5" t="str">
        <f>IFERROR(IF(SUMIFS(tblDaily[Deaths],tblDaily[EntryDate],DATE(2026,3,22),tblDaily[WardCode],"BG")=0,"",SUMIFS(tblDaily[Deaths],tblDaily[EntryDate],DATE(2026,3,22),tblDaily[WardCode],"BG")),"")</f>
        <v/>
      </c>
      <c r="E106" s="5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5" t="str">
        <f>IFERROR(IF(SUMIFS(tblDaily[TransfersIn],tblDaily[EntryDate],DATE(2026,3,22),tblDaily[WardCode],"BG")=0,"",SUMIFS(tblDaily[TransfersIn],tblDaily[EntryDate],DATE(2026,3,22),tblDaily[WardCode],"BG")),"")</f>
        <v/>
      </c>
      <c r="G106" s="5" t="str">
        <f>IFERROR(IF(SUMIFS(tblDaily[TransfersOut],tblDaily[EntryDate],DATE(2026,3,22),tblDaily[WardCode],"BG")=0,"",SUMIFS(tblDaily[TransfersOut],tblDaily[EntryDate],DATE(2026,3,22),tblDaily[WardCode],"BG")),"")</f>
        <v/>
      </c>
      <c r="H106" s="5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IFERROR(IF(SUMIFS(tblDaily[Admissions],tblDaily[EntryDate],DATE(2026,3,23),tblDaily[WardCode],"BG")=0,"",SUMIFS(tblDaily[Admissions],tblDaily[EntryDate],DATE(2026,3,23),tblDaily[WardCode],"BG")),"")</f>
        <v/>
      </c>
      <c r="C107" s="5" t="str">
        <f>IFERROR(IF(SUMIFS(tblDaily[Discharges],tblDaily[EntryDate],DATE(2026,3,23),tblDaily[WardCode],"BG")=0,"",SUMIFS(tblDaily[Discharges],tblDaily[EntryDate],DATE(2026,3,23),tblDaily[WardCode],"BG")),"")</f>
        <v/>
      </c>
      <c r="D107" s="5" t="str">
        <f>IFERROR(IF(SUMIFS(tblDaily[Deaths],tblDaily[EntryDate],DATE(2026,3,23),tblDaily[WardCode],"BG")=0,"",SUMIFS(tblDaily[Deaths],tblDaily[EntryDate],DATE(2026,3,23),tblDaily[WardCode],"BG")),"")</f>
        <v/>
      </c>
      <c r="E107" s="5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5" t="str">
        <f>IFERROR(IF(SUMIFS(tblDaily[TransfersIn],tblDaily[EntryDate],DATE(2026,3,23),tblDaily[WardCode],"BG")=0,"",SUMIFS(tblDaily[TransfersIn],tblDaily[EntryDate],DATE(2026,3,23),tblDaily[WardCode],"BG")),"")</f>
        <v/>
      </c>
      <c r="G107" s="5" t="str">
        <f>IFERROR(IF(SUMIFS(tblDaily[TransfersOut],tblDaily[EntryDate],DATE(2026,3,23),tblDaily[WardCode],"BG")=0,"",SUMIFS(tblDaily[TransfersOut],tblDaily[EntryDate],DATE(2026,3,23),tblDaily[WardCode],"BG")),"")</f>
        <v/>
      </c>
      <c r="H107" s="5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IFERROR(IF(SUMIFS(tblDaily[Admissions],tblDaily[EntryDate],DATE(2026,3,24),tblDaily[WardCode],"BG")=0,"",SUMIFS(tblDaily[Admissions],tblDaily[EntryDate],DATE(2026,3,24),tblDaily[WardCode],"BG")),"")</f>
        <v/>
      </c>
      <c r="C108" s="5" t="str">
        <f>IFERROR(IF(SUMIFS(tblDaily[Discharges],tblDaily[EntryDate],DATE(2026,3,24),tblDaily[WardCode],"BG")=0,"",SUMIFS(tblDaily[Discharges],tblDaily[EntryDate],DATE(2026,3,24),tblDaily[WardCode],"BG")),"")</f>
        <v/>
      </c>
      <c r="D108" s="5" t="str">
        <f>IFERROR(IF(SUMIFS(tblDaily[Deaths],tblDaily[EntryDate],DATE(2026,3,24),tblDaily[WardCode],"BG")=0,"",SUMIFS(tblDaily[Deaths],tblDaily[EntryDate],DATE(2026,3,24),tblDaily[WardCode],"BG")),"")</f>
        <v/>
      </c>
      <c r="E108" s="5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5" t="str">
        <f>IFERROR(IF(SUMIFS(tblDaily[TransfersIn],tblDaily[EntryDate],DATE(2026,3,24),tblDaily[WardCode],"BG")=0,"",SUMIFS(tblDaily[TransfersIn],tblDaily[EntryDate],DATE(2026,3,24),tblDaily[WardCode],"BG")),"")</f>
        <v/>
      </c>
      <c r="G108" s="5" t="str">
        <f>IFERROR(IF(SUMIFS(tblDaily[TransfersOut],tblDaily[EntryDate],DATE(2026,3,24),tblDaily[WardCode],"BG")=0,"",SUMIFS(tblDaily[TransfersOut],tblDaily[EntryDate],DATE(2026,3,24),tblDaily[WardCode],"BG")),"")</f>
        <v/>
      </c>
      <c r="H108" s="5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IFERROR(IF(SUMIFS(tblDaily[Admissions],tblDaily[EntryDate],DATE(2026,3,25),tblDaily[WardCode],"BG")=0,"",SUMIFS(tblDaily[Admissions],tblDaily[EntryDate],DATE(2026,3,25),tblDaily[WardCode],"BG")),"")</f>
        <v/>
      </c>
      <c r="C109" s="5" t="str">
        <f>IFERROR(IF(SUMIFS(tblDaily[Discharges],tblDaily[EntryDate],DATE(2026,3,25),tblDaily[WardCode],"BG")=0,"",SUMIFS(tblDaily[Discharges],tblDaily[EntryDate],DATE(2026,3,25),tblDaily[WardCode],"BG")),"")</f>
        <v/>
      </c>
      <c r="D109" s="5" t="str">
        <f>IFERROR(IF(SUMIFS(tblDaily[Deaths],tblDaily[EntryDate],DATE(2026,3,25),tblDaily[WardCode],"BG")=0,"",SUMIFS(tblDaily[Deaths],tblDaily[EntryDate],DATE(2026,3,25),tblDaily[WardCode],"BG")),"")</f>
        <v/>
      </c>
      <c r="E109" s="5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5" t="str">
        <f>IFERROR(IF(SUMIFS(tblDaily[TransfersIn],tblDaily[EntryDate],DATE(2026,3,25),tblDaily[WardCode],"BG")=0,"",SUMIFS(tblDaily[TransfersIn],tblDaily[EntryDate],DATE(2026,3,25),tblDaily[WardCode],"BG")),"")</f>
        <v/>
      </c>
      <c r="G109" s="5" t="str">
        <f>IFERROR(IF(SUMIFS(tblDaily[TransfersOut],tblDaily[EntryDate],DATE(2026,3,25),tblDaily[WardCode],"BG")=0,"",SUMIFS(tblDaily[TransfersOut],tblDaily[EntryDate],DATE(2026,3,25),tblDaily[WardCode],"BG")),"")</f>
        <v/>
      </c>
      <c r="H109" s="5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IFERROR(IF(SUMIFS(tblDaily[Admissions],tblDaily[EntryDate],DATE(2026,3,26),tblDaily[WardCode],"BG")=0,"",SUMIFS(tblDaily[Admissions],tblDaily[EntryDate],DATE(2026,3,26),tblDaily[WardCode],"BG")),"")</f>
        <v/>
      </c>
      <c r="C110" s="5" t="str">
        <f>IFERROR(IF(SUMIFS(tblDaily[Discharges],tblDaily[EntryDate],DATE(2026,3,26),tblDaily[WardCode],"BG")=0,"",SUMIFS(tblDaily[Discharges],tblDaily[EntryDate],DATE(2026,3,26),tblDaily[WardCode],"BG")),"")</f>
        <v/>
      </c>
      <c r="D110" s="5" t="str">
        <f>IFERROR(IF(SUMIFS(tblDaily[Deaths],tblDaily[EntryDate],DATE(2026,3,26),tblDaily[WardCode],"BG")=0,"",SUMIFS(tblDaily[Deaths],tblDaily[EntryDate],DATE(2026,3,26),tblDaily[WardCode],"BG")),"")</f>
        <v/>
      </c>
      <c r="E110" s="5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5" t="str">
        <f>IFERROR(IF(SUMIFS(tblDaily[TransfersIn],tblDaily[EntryDate],DATE(2026,3,26),tblDaily[WardCode],"BG")=0,"",SUMIFS(tblDaily[TransfersIn],tblDaily[EntryDate],DATE(2026,3,26),tblDaily[WardCode],"BG")),"")</f>
        <v/>
      </c>
      <c r="G110" s="5" t="str">
        <f>IFERROR(IF(SUMIFS(tblDaily[TransfersOut],tblDaily[EntryDate],DATE(2026,3,26),tblDaily[WardCode],"BG")=0,"",SUMIFS(tblDaily[TransfersOut],tblDaily[EntryDate],DATE(2026,3,26),tblDaily[WardCode],"BG")),"")</f>
        <v/>
      </c>
      <c r="H110" s="5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IFERROR(IF(SUMIFS(tblDaily[Admissions],tblDaily[EntryDate],DATE(2026,3,27),tblDaily[WardCode],"BG")=0,"",SUMIFS(tblDaily[Admissions],tblDaily[EntryDate],DATE(2026,3,27),tblDaily[WardCode],"BG")),"")</f>
        <v/>
      </c>
      <c r="C111" s="5" t="str">
        <f>IFERROR(IF(SUMIFS(tblDaily[Discharges],tblDaily[EntryDate],DATE(2026,3,27),tblDaily[WardCode],"BG")=0,"",SUMIFS(tblDaily[Discharges],tblDaily[EntryDate],DATE(2026,3,27),tblDaily[WardCode],"BG")),"")</f>
        <v/>
      </c>
      <c r="D111" s="5" t="str">
        <f>IFERROR(IF(SUMIFS(tblDaily[Deaths],tblDaily[EntryDate],DATE(2026,3,27),tblDaily[WardCode],"BG")=0,"",SUMIFS(tblDaily[Deaths],tblDaily[EntryDate],DATE(2026,3,27),tblDaily[WardCode],"BG")),"")</f>
        <v/>
      </c>
      <c r="E111" s="5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5" t="str">
        <f>IFERROR(IF(SUMIFS(tblDaily[TransfersIn],tblDaily[EntryDate],DATE(2026,3,27),tblDaily[WardCode],"BG")=0,"",SUMIFS(tblDaily[TransfersIn],tblDaily[EntryDate],DATE(2026,3,27),tblDaily[WardCode],"BG")),"")</f>
        <v/>
      </c>
      <c r="G111" s="5" t="str">
        <f>IFERROR(IF(SUMIFS(tblDaily[TransfersOut],tblDaily[EntryDate],DATE(2026,3,27),tblDaily[WardCode],"BG")=0,"",SUMIFS(tblDaily[TransfersOut],tblDaily[EntryDate],DATE(2026,3,27),tblDaily[WardCode],"BG")),"")</f>
        <v/>
      </c>
      <c r="H111" s="5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IFERROR(IF(SUMIFS(tblDaily[Admissions],tblDaily[EntryDate],DATE(2026,3,28),tblDaily[WardCode],"BG")=0,"",SUMIFS(tblDaily[Admissions],tblDaily[EntryDate],DATE(2026,3,28),tblDaily[WardCode],"BG")),"")</f>
        <v/>
      </c>
      <c r="C112" s="5" t="str">
        <f>IFERROR(IF(SUMIFS(tblDaily[Discharges],tblDaily[EntryDate],DATE(2026,3,28),tblDaily[WardCode],"BG")=0,"",SUMIFS(tblDaily[Discharges],tblDaily[EntryDate],DATE(2026,3,28),tblDaily[WardCode],"BG")),"")</f>
        <v/>
      </c>
      <c r="D112" s="5" t="str">
        <f>IFERROR(IF(SUMIFS(tblDaily[Deaths],tblDaily[EntryDate],DATE(2026,3,28),tblDaily[WardCode],"BG")=0,"",SUMIFS(tblDaily[Deaths],tblDaily[EntryDate],DATE(2026,3,28),tblDaily[WardCode],"BG")),"")</f>
        <v/>
      </c>
      <c r="E112" s="5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5" t="str">
        <f>IFERROR(IF(SUMIFS(tblDaily[TransfersIn],tblDaily[EntryDate],DATE(2026,3,28),tblDaily[WardCode],"BG")=0,"",SUMIFS(tblDaily[TransfersIn],tblDaily[EntryDate],DATE(2026,3,28),tblDaily[WardCode],"BG")),"")</f>
        <v/>
      </c>
      <c r="G112" s="5" t="str">
        <f>IFERROR(IF(SUMIFS(tblDaily[TransfersOut],tblDaily[EntryDate],DATE(2026,3,28),tblDaily[WardCode],"BG")=0,"",SUMIFS(tblDaily[TransfersOut],tblDaily[EntryDate],DATE(2026,3,28),tblDaily[WardCode],"BG")),"")</f>
        <v/>
      </c>
      <c r="H112" s="5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IFERROR(IF(SUMIFS(tblDaily[Admissions],tblDaily[EntryDate],DATE(2026,3,29),tblDaily[WardCode],"BG")=0,"",SUMIFS(tblDaily[Admissions],tblDaily[EntryDate],DATE(2026,3,29),tblDaily[WardCode],"BG")),"")</f>
        <v/>
      </c>
      <c r="C113" s="5" t="str">
        <f>IFERROR(IF(SUMIFS(tblDaily[Discharges],tblDaily[EntryDate],DATE(2026,3,29),tblDaily[WardCode],"BG")=0,"",SUMIFS(tblDaily[Discharges],tblDaily[EntryDate],DATE(2026,3,29),tblDaily[WardCode],"BG")),"")</f>
        <v/>
      </c>
      <c r="D113" s="5" t="str">
        <f>IFERROR(IF(SUMIFS(tblDaily[Deaths],tblDaily[EntryDate],DATE(2026,3,29),tblDaily[WardCode],"BG")=0,"",SUMIFS(tblDaily[Deaths],tblDaily[EntryDate],DATE(2026,3,29),tblDaily[WardCode],"BG")),"")</f>
        <v/>
      </c>
      <c r="E113" s="5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5" t="str">
        <f>IFERROR(IF(SUMIFS(tblDaily[TransfersIn],tblDaily[EntryDate],DATE(2026,3,29),tblDaily[WardCode],"BG")=0,"",SUMIFS(tblDaily[TransfersIn],tblDaily[EntryDate],DATE(2026,3,29),tblDaily[WardCode],"BG")),"")</f>
        <v/>
      </c>
      <c r="G113" s="5" t="str">
        <f>IFERROR(IF(SUMIFS(tblDaily[TransfersOut],tblDaily[EntryDate],DATE(2026,3,29),tblDaily[WardCode],"BG")=0,"",SUMIFS(tblDaily[TransfersOut],tblDaily[EntryDate],DATE(2026,3,29),tblDaily[WardCode],"BG")),"")</f>
        <v/>
      </c>
      <c r="H113" s="5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IFERROR(IF(SUMIFS(tblDaily[Admissions],tblDaily[EntryDate],DATE(2026,3,30),tblDaily[WardCode],"BG")=0,"",SUMIFS(tblDaily[Admissions],tblDaily[EntryDate],DATE(2026,3,30),tblDaily[WardCode],"BG")),"")</f>
        <v/>
      </c>
      <c r="C114" s="5" t="str">
        <f>IFERROR(IF(SUMIFS(tblDaily[Discharges],tblDaily[EntryDate],DATE(2026,3,30),tblDaily[WardCode],"BG")=0,"",SUMIFS(tblDaily[Discharges],tblDaily[EntryDate],DATE(2026,3,30),tblDaily[WardCode],"BG")),"")</f>
        <v/>
      </c>
      <c r="D114" s="5" t="str">
        <f>IFERROR(IF(SUMIFS(tblDaily[Deaths],tblDaily[EntryDate],DATE(2026,3,30),tblDaily[WardCode],"BG")=0,"",SUMIFS(tblDaily[Deaths],tblDaily[EntryDate],DATE(2026,3,30),tblDaily[WardCode],"BG")),"")</f>
        <v/>
      </c>
      <c r="E114" s="5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5" t="str">
        <f>IFERROR(IF(SUMIFS(tblDaily[TransfersIn],tblDaily[EntryDate],DATE(2026,3,30),tblDaily[WardCode],"BG")=0,"",SUMIFS(tblDaily[TransfersIn],tblDaily[EntryDate],DATE(2026,3,30),tblDaily[WardCode],"BG")),"")</f>
        <v/>
      </c>
      <c r="G114" s="5" t="str">
        <f>IFERROR(IF(SUMIFS(tblDaily[TransfersOut],tblDaily[EntryDate],DATE(2026,3,30),tblDaily[WardCode],"BG")=0,"",SUMIFS(tblDaily[TransfersOut],tblDaily[EntryDate],DATE(2026,3,30),tblDaily[WardCode],"BG")),"")</f>
        <v/>
      </c>
      <c r="H114" s="5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IFERROR(IF(SUMIFS(tblDaily[Admissions],tblDaily[EntryDate],DATE(2026,3,31),tblDaily[WardCode],"BG")=0,"",SUMIFS(tblDaily[Admissions],tblDaily[EntryDate],DATE(2026,3,31),tblDaily[WardCode],"BG")),"")</f>
        <v/>
      </c>
      <c r="C115" s="5" t="str">
        <f>IFERROR(IF(SUMIFS(tblDaily[Discharges],tblDaily[EntryDate],DATE(2026,3,31),tblDaily[WardCode],"BG")=0,"",SUMIFS(tblDaily[Discharges],tblDaily[EntryDate],DATE(2026,3,31),tblDaily[WardCode],"BG")),"")</f>
        <v/>
      </c>
      <c r="D115" s="5" t="str">
        <f>IFERROR(IF(SUMIFS(tblDaily[Deaths],tblDaily[EntryDate],DATE(2026,3,31),tblDaily[WardCode],"BG")=0,"",SUMIFS(tblDaily[Deaths],tblDaily[EntryDate],DATE(2026,3,31),tblDaily[WardCode],"BG")),"")</f>
        <v/>
      </c>
      <c r="E115" s="5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5" t="str">
        <f>IFERROR(IF(SUMIFS(tblDaily[TransfersIn],tblDaily[EntryDate],DATE(2026,3,31),tblDaily[WardCode],"BG")=0,"",SUMIFS(tblDaily[TransfersIn],tblDaily[EntryDate],DATE(2026,3,31),tblDaily[WardCode],"BG")),"")</f>
        <v/>
      </c>
      <c r="G115" s="5" t="str">
        <f>IFERROR(IF(SUMIFS(tblDaily[TransfersOut],tblDaily[EntryDate],DATE(2026,3,31),tblDaily[WardCode],"BG")=0,"",SUMIFS(tblDaily[TransfersOut],tblDaily[EntryDate],DATE(2026,3,31),tblDaily[WardCode],"BG")),"")</f>
        <v/>
      </c>
      <c r="H115" s="5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95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99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89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IFERROR(IF(SUMIFS(tblDaily[Admissions],tblDaily[EntryDate],DATE(2026,4,1),tblDaily[WardCode],"BG")=0,"",SUMIFS(tblDaily[Admissions],tblDaily[EntryDate],DATE(2026,4,1),tblDaily[WardCode],"BG")),"")</f>
        <v/>
      </c>
      <c r="C124" s="5" t="str">
        <f>IFERROR(IF(SUMIFS(tblDaily[Discharges],tblDaily[EntryDate],DATE(2026,4,1),tblDaily[WardCode],"BG")=0,"",SUMIFS(tblDaily[Discharges],tblDaily[EntryDate],DATE(2026,4,1),tblDaily[WardCode],"BG")),"")</f>
        <v/>
      </c>
      <c r="D124" s="5" t="str">
        <f>IFERROR(IF(SUMIFS(tblDaily[Deaths],tblDaily[EntryDate],DATE(2026,4,1),tblDaily[WardCode],"BG")=0,"",SUMIFS(tblDaily[Deaths],tblDaily[EntryDate],DATE(2026,4,1),tblDaily[WardCode],"BG")),"")</f>
        <v/>
      </c>
      <c r="E124" s="5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5" t="str">
        <f>IFERROR(IF(SUMIFS(tblDaily[TransfersIn],tblDaily[EntryDate],DATE(2026,4,1),tblDaily[WardCode],"BG")=0,"",SUMIFS(tblDaily[TransfersIn],tblDaily[EntryDate],DATE(2026,4,1),tblDaily[WardCode],"BG")),"")</f>
        <v/>
      </c>
      <c r="G124" s="5" t="str">
        <f>IFERROR(IF(SUMIFS(tblDaily[TransfersOut],tblDaily[EntryDate],DATE(2026,4,1),tblDaily[WardCode],"BG")=0,"",SUMIFS(tblDaily[TransfersOut],tblDaily[EntryDate],DATE(2026,4,1),tblDaily[WardCode],"BG")),"")</f>
        <v/>
      </c>
      <c r="H124" s="5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IFERROR(IF(SUMIFS(tblDaily[Admissions],tblDaily[EntryDate],DATE(2026,4,2),tblDaily[WardCode],"BG")=0,"",SUMIFS(tblDaily[Admissions],tblDaily[EntryDate],DATE(2026,4,2),tblDaily[WardCode],"BG")),"")</f>
        <v/>
      </c>
      <c r="C125" s="5" t="str">
        <f>IFERROR(IF(SUMIFS(tblDaily[Discharges],tblDaily[EntryDate],DATE(2026,4,2),tblDaily[WardCode],"BG")=0,"",SUMIFS(tblDaily[Discharges],tblDaily[EntryDate],DATE(2026,4,2),tblDaily[WardCode],"BG")),"")</f>
        <v/>
      </c>
      <c r="D125" s="5" t="str">
        <f>IFERROR(IF(SUMIFS(tblDaily[Deaths],tblDaily[EntryDate],DATE(2026,4,2),tblDaily[WardCode],"BG")=0,"",SUMIFS(tblDaily[Deaths],tblDaily[EntryDate],DATE(2026,4,2),tblDaily[WardCode],"BG")),"")</f>
        <v/>
      </c>
      <c r="E125" s="5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5" t="str">
        <f>IFERROR(IF(SUMIFS(tblDaily[TransfersIn],tblDaily[EntryDate],DATE(2026,4,2),tblDaily[WardCode],"BG")=0,"",SUMIFS(tblDaily[TransfersIn],tblDaily[EntryDate],DATE(2026,4,2),tblDaily[WardCode],"BG")),"")</f>
        <v/>
      </c>
      <c r="G125" s="5" t="str">
        <f>IFERROR(IF(SUMIFS(tblDaily[TransfersOut],tblDaily[EntryDate],DATE(2026,4,2),tblDaily[WardCode],"BG")=0,"",SUMIFS(tblDaily[TransfersOut],tblDaily[EntryDate],DATE(2026,4,2),tblDaily[WardCode],"BG")),"")</f>
        <v/>
      </c>
      <c r="H125" s="5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IFERROR(IF(SUMIFS(tblDaily[Admissions],tblDaily[EntryDate],DATE(2026,4,3),tblDaily[WardCode],"BG")=0,"",SUMIFS(tblDaily[Admissions],tblDaily[EntryDate],DATE(2026,4,3),tblDaily[WardCode],"BG")),"")</f>
        <v/>
      </c>
      <c r="C126" s="5" t="str">
        <f>IFERROR(IF(SUMIFS(tblDaily[Discharges],tblDaily[EntryDate],DATE(2026,4,3),tblDaily[WardCode],"BG")=0,"",SUMIFS(tblDaily[Discharges],tblDaily[EntryDate],DATE(2026,4,3),tblDaily[WardCode],"BG")),"")</f>
        <v/>
      </c>
      <c r="D126" s="5" t="str">
        <f>IFERROR(IF(SUMIFS(tblDaily[Deaths],tblDaily[EntryDate],DATE(2026,4,3),tblDaily[WardCode],"BG")=0,"",SUMIFS(tblDaily[Deaths],tblDaily[EntryDate],DATE(2026,4,3),tblDaily[WardCode],"BG")),"")</f>
        <v/>
      </c>
      <c r="E126" s="5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5" t="str">
        <f>IFERROR(IF(SUMIFS(tblDaily[TransfersIn],tblDaily[EntryDate],DATE(2026,4,3),tblDaily[WardCode],"BG")=0,"",SUMIFS(tblDaily[TransfersIn],tblDaily[EntryDate],DATE(2026,4,3),tblDaily[WardCode],"BG")),"")</f>
        <v/>
      </c>
      <c r="G126" s="5" t="str">
        <f>IFERROR(IF(SUMIFS(tblDaily[TransfersOut],tblDaily[EntryDate],DATE(2026,4,3),tblDaily[WardCode],"BG")=0,"",SUMIFS(tblDaily[TransfersOut],tblDaily[EntryDate],DATE(2026,4,3),tblDaily[WardCode],"BG")),"")</f>
        <v/>
      </c>
      <c r="H126" s="5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IFERROR(IF(SUMIFS(tblDaily[Admissions],tblDaily[EntryDate],DATE(2026,4,4),tblDaily[WardCode],"BG")=0,"",SUMIFS(tblDaily[Admissions],tblDaily[EntryDate],DATE(2026,4,4),tblDaily[WardCode],"BG")),"")</f>
        <v/>
      </c>
      <c r="C127" s="5" t="str">
        <f>IFERROR(IF(SUMIFS(tblDaily[Discharges],tblDaily[EntryDate],DATE(2026,4,4),tblDaily[WardCode],"BG")=0,"",SUMIFS(tblDaily[Discharges],tblDaily[EntryDate],DATE(2026,4,4),tblDaily[WardCode],"BG")),"")</f>
        <v/>
      </c>
      <c r="D127" s="5" t="str">
        <f>IFERROR(IF(SUMIFS(tblDaily[Deaths],tblDaily[EntryDate],DATE(2026,4,4),tblDaily[WardCode],"BG")=0,"",SUMIFS(tblDaily[Deaths],tblDaily[EntryDate],DATE(2026,4,4),tblDaily[WardCode],"BG")),"")</f>
        <v/>
      </c>
      <c r="E127" s="5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5" t="str">
        <f>IFERROR(IF(SUMIFS(tblDaily[TransfersIn],tblDaily[EntryDate],DATE(2026,4,4),tblDaily[WardCode],"BG")=0,"",SUMIFS(tblDaily[TransfersIn],tblDaily[EntryDate],DATE(2026,4,4),tblDaily[WardCode],"BG")),"")</f>
        <v/>
      </c>
      <c r="G127" s="5" t="str">
        <f>IFERROR(IF(SUMIFS(tblDaily[TransfersOut],tblDaily[EntryDate],DATE(2026,4,4),tblDaily[WardCode],"BG")=0,"",SUMIFS(tblDaily[TransfersOut],tblDaily[EntryDate],DATE(2026,4,4),tblDaily[WardCode],"BG")),"")</f>
        <v/>
      </c>
      <c r="H127" s="5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IFERROR(IF(SUMIFS(tblDaily[Admissions],tblDaily[EntryDate],DATE(2026,4,5),tblDaily[WardCode],"BG")=0,"",SUMIFS(tblDaily[Admissions],tblDaily[EntryDate],DATE(2026,4,5),tblDaily[WardCode],"BG")),"")</f>
        <v/>
      </c>
      <c r="C128" s="5" t="str">
        <f>IFERROR(IF(SUMIFS(tblDaily[Discharges],tblDaily[EntryDate],DATE(2026,4,5),tblDaily[WardCode],"BG")=0,"",SUMIFS(tblDaily[Discharges],tblDaily[EntryDate],DATE(2026,4,5),tblDaily[WardCode],"BG")),"")</f>
        <v/>
      </c>
      <c r="D128" s="5" t="str">
        <f>IFERROR(IF(SUMIFS(tblDaily[Deaths],tblDaily[EntryDate],DATE(2026,4,5),tblDaily[WardCode],"BG")=0,"",SUMIFS(tblDaily[Deaths],tblDaily[EntryDate],DATE(2026,4,5),tblDaily[WardCode],"BG")),"")</f>
        <v/>
      </c>
      <c r="E128" s="5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5" t="str">
        <f>IFERROR(IF(SUMIFS(tblDaily[TransfersIn],tblDaily[EntryDate],DATE(2026,4,5),tblDaily[WardCode],"BG")=0,"",SUMIFS(tblDaily[TransfersIn],tblDaily[EntryDate],DATE(2026,4,5),tblDaily[WardCode],"BG")),"")</f>
        <v/>
      </c>
      <c r="G128" s="5" t="str">
        <f>IFERROR(IF(SUMIFS(tblDaily[TransfersOut],tblDaily[EntryDate],DATE(2026,4,5),tblDaily[WardCode],"BG")=0,"",SUMIFS(tblDaily[TransfersOut],tblDaily[EntryDate],DATE(2026,4,5),tblDaily[WardCode],"BG")),"")</f>
        <v/>
      </c>
      <c r="H128" s="5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IFERROR(IF(SUMIFS(tblDaily[Admissions],tblDaily[EntryDate],DATE(2026,4,6),tblDaily[WardCode],"BG")=0,"",SUMIFS(tblDaily[Admissions],tblDaily[EntryDate],DATE(2026,4,6),tblDaily[WardCode],"BG")),"")</f>
        <v/>
      </c>
      <c r="C129" s="5" t="str">
        <f>IFERROR(IF(SUMIFS(tblDaily[Discharges],tblDaily[EntryDate],DATE(2026,4,6),tblDaily[WardCode],"BG")=0,"",SUMIFS(tblDaily[Discharges],tblDaily[EntryDate],DATE(2026,4,6),tblDaily[WardCode],"BG")),"")</f>
        <v/>
      </c>
      <c r="D129" s="5" t="str">
        <f>IFERROR(IF(SUMIFS(tblDaily[Deaths],tblDaily[EntryDate],DATE(2026,4,6),tblDaily[WardCode],"BG")=0,"",SUMIFS(tblDaily[Deaths],tblDaily[EntryDate],DATE(2026,4,6),tblDaily[WardCode],"BG")),"")</f>
        <v/>
      </c>
      <c r="E129" s="5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5" t="str">
        <f>IFERROR(IF(SUMIFS(tblDaily[TransfersIn],tblDaily[EntryDate],DATE(2026,4,6),tblDaily[WardCode],"BG")=0,"",SUMIFS(tblDaily[TransfersIn],tblDaily[EntryDate],DATE(2026,4,6),tblDaily[WardCode],"BG")),"")</f>
        <v/>
      </c>
      <c r="G129" s="5" t="str">
        <f>IFERROR(IF(SUMIFS(tblDaily[TransfersOut],tblDaily[EntryDate],DATE(2026,4,6),tblDaily[WardCode],"BG")=0,"",SUMIFS(tblDaily[TransfersOut],tblDaily[EntryDate],DATE(2026,4,6),tblDaily[WardCode],"BG")),"")</f>
        <v/>
      </c>
      <c r="H129" s="5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IFERROR(IF(SUMIFS(tblDaily[Admissions],tblDaily[EntryDate],DATE(2026,4,7),tblDaily[WardCode],"BG")=0,"",SUMIFS(tblDaily[Admissions],tblDaily[EntryDate],DATE(2026,4,7),tblDaily[WardCode],"BG")),"")</f>
        <v/>
      </c>
      <c r="C130" s="5" t="str">
        <f>IFERROR(IF(SUMIFS(tblDaily[Discharges],tblDaily[EntryDate],DATE(2026,4,7),tblDaily[WardCode],"BG")=0,"",SUMIFS(tblDaily[Discharges],tblDaily[EntryDate],DATE(2026,4,7),tblDaily[WardCode],"BG")),"")</f>
        <v/>
      </c>
      <c r="D130" s="5" t="str">
        <f>IFERROR(IF(SUMIFS(tblDaily[Deaths],tblDaily[EntryDate],DATE(2026,4,7),tblDaily[WardCode],"BG")=0,"",SUMIFS(tblDaily[Deaths],tblDaily[EntryDate],DATE(2026,4,7),tblDaily[WardCode],"BG")),"")</f>
        <v/>
      </c>
      <c r="E130" s="5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5" t="str">
        <f>IFERROR(IF(SUMIFS(tblDaily[TransfersIn],tblDaily[EntryDate],DATE(2026,4,7),tblDaily[WardCode],"BG")=0,"",SUMIFS(tblDaily[TransfersIn],tblDaily[EntryDate],DATE(2026,4,7),tblDaily[WardCode],"BG")),"")</f>
        <v/>
      </c>
      <c r="G130" s="5" t="str">
        <f>IFERROR(IF(SUMIFS(tblDaily[TransfersOut],tblDaily[EntryDate],DATE(2026,4,7),tblDaily[WardCode],"BG")=0,"",SUMIFS(tblDaily[TransfersOut],tblDaily[EntryDate],DATE(2026,4,7),tblDaily[WardCode],"BG")),"")</f>
        <v/>
      </c>
      <c r="H130" s="5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IFERROR(IF(SUMIFS(tblDaily[Admissions],tblDaily[EntryDate],DATE(2026,4,8),tblDaily[WardCode],"BG")=0,"",SUMIFS(tblDaily[Admissions],tblDaily[EntryDate],DATE(2026,4,8),tblDaily[WardCode],"BG")),"")</f>
        <v/>
      </c>
      <c r="C131" s="5" t="str">
        <f>IFERROR(IF(SUMIFS(tblDaily[Discharges],tblDaily[EntryDate],DATE(2026,4,8),tblDaily[WardCode],"BG")=0,"",SUMIFS(tblDaily[Discharges],tblDaily[EntryDate],DATE(2026,4,8),tblDaily[WardCode],"BG")),"")</f>
        <v/>
      </c>
      <c r="D131" s="5" t="str">
        <f>IFERROR(IF(SUMIFS(tblDaily[Deaths],tblDaily[EntryDate],DATE(2026,4,8),tblDaily[WardCode],"BG")=0,"",SUMIFS(tblDaily[Deaths],tblDaily[EntryDate],DATE(2026,4,8),tblDaily[WardCode],"BG")),"")</f>
        <v/>
      </c>
      <c r="E131" s="5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5" t="str">
        <f>IFERROR(IF(SUMIFS(tblDaily[TransfersIn],tblDaily[EntryDate],DATE(2026,4,8),tblDaily[WardCode],"BG")=0,"",SUMIFS(tblDaily[TransfersIn],tblDaily[EntryDate],DATE(2026,4,8),tblDaily[WardCode],"BG")),"")</f>
        <v/>
      </c>
      <c r="G131" s="5" t="str">
        <f>IFERROR(IF(SUMIFS(tblDaily[TransfersOut],tblDaily[EntryDate],DATE(2026,4,8),tblDaily[WardCode],"BG")=0,"",SUMIFS(tblDaily[TransfersOut],tblDaily[EntryDate],DATE(2026,4,8),tblDaily[WardCode],"BG")),"")</f>
        <v/>
      </c>
      <c r="H131" s="5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IFERROR(IF(SUMIFS(tblDaily[Admissions],tblDaily[EntryDate],DATE(2026,4,9),tblDaily[WardCode],"BG")=0,"",SUMIFS(tblDaily[Admissions],tblDaily[EntryDate],DATE(2026,4,9),tblDaily[WardCode],"BG")),"")</f>
        <v/>
      </c>
      <c r="C132" s="5" t="str">
        <f>IFERROR(IF(SUMIFS(tblDaily[Discharges],tblDaily[EntryDate],DATE(2026,4,9),tblDaily[WardCode],"BG")=0,"",SUMIFS(tblDaily[Discharges],tblDaily[EntryDate],DATE(2026,4,9),tblDaily[WardCode],"BG")),"")</f>
        <v/>
      </c>
      <c r="D132" s="5" t="str">
        <f>IFERROR(IF(SUMIFS(tblDaily[Deaths],tblDaily[EntryDate],DATE(2026,4,9),tblDaily[WardCode],"BG")=0,"",SUMIFS(tblDaily[Deaths],tblDaily[EntryDate],DATE(2026,4,9),tblDaily[WardCode],"BG")),"")</f>
        <v/>
      </c>
      <c r="E132" s="5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5" t="str">
        <f>IFERROR(IF(SUMIFS(tblDaily[TransfersIn],tblDaily[EntryDate],DATE(2026,4,9),tblDaily[WardCode],"BG")=0,"",SUMIFS(tblDaily[TransfersIn],tblDaily[EntryDate],DATE(2026,4,9),tblDaily[WardCode],"BG")),"")</f>
        <v/>
      </c>
      <c r="G132" s="5" t="str">
        <f>IFERROR(IF(SUMIFS(tblDaily[TransfersOut],tblDaily[EntryDate],DATE(2026,4,9),tblDaily[WardCode],"BG")=0,"",SUMIFS(tblDaily[TransfersOut],tblDaily[EntryDate],DATE(2026,4,9),tblDaily[WardCode],"BG")),"")</f>
        <v/>
      </c>
      <c r="H132" s="5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IFERROR(IF(SUMIFS(tblDaily[Admissions],tblDaily[EntryDate],DATE(2026,4,10),tblDaily[WardCode],"BG")=0,"",SUMIFS(tblDaily[Admissions],tblDaily[EntryDate],DATE(2026,4,10),tblDaily[WardCode],"BG")),"")</f>
        <v/>
      </c>
      <c r="C133" s="5" t="str">
        <f>IFERROR(IF(SUMIFS(tblDaily[Discharges],tblDaily[EntryDate],DATE(2026,4,10),tblDaily[WardCode],"BG")=0,"",SUMIFS(tblDaily[Discharges],tblDaily[EntryDate],DATE(2026,4,10),tblDaily[WardCode],"BG")),"")</f>
        <v/>
      </c>
      <c r="D133" s="5" t="str">
        <f>IFERROR(IF(SUMIFS(tblDaily[Deaths],tblDaily[EntryDate],DATE(2026,4,10),tblDaily[WardCode],"BG")=0,"",SUMIFS(tblDaily[Deaths],tblDaily[EntryDate],DATE(2026,4,10),tblDaily[WardCode],"BG")),"")</f>
        <v/>
      </c>
      <c r="E133" s="5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5" t="str">
        <f>IFERROR(IF(SUMIFS(tblDaily[TransfersIn],tblDaily[EntryDate],DATE(2026,4,10),tblDaily[WardCode],"BG")=0,"",SUMIFS(tblDaily[TransfersIn],tblDaily[EntryDate],DATE(2026,4,10),tblDaily[WardCode],"BG")),"")</f>
        <v/>
      </c>
      <c r="G133" s="5" t="str">
        <f>IFERROR(IF(SUMIFS(tblDaily[TransfersOut],tblDaily[EntryDate],DATE(2026,4,10),tblDaily[WardCode],"BG")=0,"",SUMIFS(tblDaily[TransfersOut],tblDaily[EntryDate],DATE(2026,4,10),tblDaily[WardCode],"BG")),"")</f>
        <v/>
      </c>
      <c r="H133" s="5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IFERROR(IF(SUMIFS(tblDaily[Admissions],tblDaily[EntryDate],DATE(2026,4,11),tblDaily[WardCode],"BG")=0,"",SUMIFS(tblDaily[Admissions],tblDaily[EntryDate],DATE(2026,4,11),tblDaily[WardCode],"BG")),"")</f>
        <v/>
      </c>
      <c r="C134" s="5" t="str">
        <f>IFERROR(IF(SUMIFS(tblDaily[Discharges],tblDaily[EntryDate],DATE(2026,4,11),tblDaily[WardCode],"BG")=0,"",SUMIFS(tblDaily[Discharges],tblDaily[EntryDate],DATE(2026,4,11),tblDaily[WardCode],"BG")),"")</f>
        <v/>
      </c>
      <c r="D134" s="5" t="str">
        <f>IFERROR(IF(SUMIFS(tblDaily[Deaths],tblDaily[EntryDate],DATE(2026,4,11),tblDaily[WardCode],"BG")=0,"",SUMIFS(tblDaily[Deaths],tblDaily[EntryDate],DATE(2026,4,11),tblDaily[WardCode],"BG")),"")</f>
        <v/>
      </c>
      <c r="E134" s="5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5" t="str">
        <f>IFERROR(IF(SUMIFS(tblDaily[TransfersIn],tblDaily[EntryDate],DATE(2026,4,11),tblDaily[WardCode],"BG")=0,"",SUMIFS(tblDaily[TransfersIn],tblDaily[EntryDate],DATE(2026,4,11),tblDaily[WardCode],"BG")),"")</f>
        <v/>
      </c>
      <c r="G134" s="5" t="str">
        <f>IFERROR(IF(SUMIFS(tblDaily[TransfersOut],tblDaily[EntryDate],DATE(2026,4,11),tblDaily[WardCode],"BG")=0,"",SUMIFS(tblDaily[TransfersOut],tblDaily[EntryDate],DATE(2026,4,11),tblDaily[WardCode],"BG")),"")</f>
        <v/>
      </c>
      <c r="H134" s="5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IFERROR(IF(SUMIFS(tblDaily[Admissions],tblDaily[EntryDate],DATE(2026,4,12),tblDaily[WardCode],"BG")=0,"",SUMIFS(tblDaily[Admissions],tblDaily[EntryDate],DATE(2026,4,12),tblDaily[WardCode],"BG")),"")</f>
        <v/>
      </c>
      <c r="C135" s="5" t="str">
        <f>IFERROR(IF(SUMIFS(tblDaily[Discharges],tblDaily[EntryDate],DATE(2026,4,12),tblDaily[WardCode],"BG")=0,"",SUMIFS(tblDaily[Discharges],tblDaily[EntryDate],DATE(2026,4,12),tblDaily[WardCode],"BG")),"")</f>
        <v/>
      </c>
      <c r="D135" s="5" t="str">
        <f>IFERROR(IF(SUMIFS(tblDaily[Deaths],tblDaily[EntryDate],DATE(2026,4,12),tblDaily[WardCode],"BG")=0,"",SUMIFS(tblDaily[Deaths],tblDaily[EntryDate],DATE(2026,4,12),tblDaily[WardCode],"BG")),"")</f>
        <v/>
      </c>
      <c r="E135" s="5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5" t="str">
        <f>IFERROR(IF(SUMIFS(tblDaily[TransfersIn],tblDaily[EntryDate],DATE(2026,4,12),tblDaily[WardCode],"BG")=0,"",SUMIFS(tblDaily[TransfersIn],tblDaily[EntryDate],DATE(2026,4,12),tblDaily[WardCode],"BG")),"")</f>
        <v/>
      </c>
      <c r="G135" s="5" t="str">
        <f>IFERROR(IF(SUMIFS(tblDaily[TransfersOut],tblDaily[EntryDate],DATE(2026,4,12),tblDaily[WardCode],"BG")=0,"",SUMIFS(tblDaily[TransfersOut],tblDaily[EntryDate],DATE(2026,4,12),tblDaily[WardCode],"BG")),"")</f>
        <v/>
      </c>
      <c r="H135" s="5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IFERROR(IF(SUMIFS(tblDaily[Admissions],tblDaily[EntryDate],DATE(2026,4,13),tblDaily[WardCode],"BG")=0,"",SUMIFS(tblDaily[Admissions],tblDaily[EntryDate],DATE(2026,4,13),tblDaily[WardCode],"BG")),"")</f>
        <v/>
      </c>
      <c r="C136" s="5" t="str">
        <f>IFERROR(IF(SUMIFS(tblDaily[Discharges],tblDaily[EntryDate],DATE(2026,4,13),tblDaily[WardCode],"BG")=0,"",SUMIFS(tblDaily[Discharges],tblDaily[EntryDate],DATE(2026,4,13),tblDaily[WardCode],"BG")),"")</f>
        <v/>
      </c>
      <c r="D136" s="5" t="str">
        <f>IFERROR(IF(SUMIFS(tblDaily[Deaths],tblDaily[EntryDate],DATE(2026,4,13),tblDaily[WardCode],"BG")=0,"",SUMIFS(tblDaily[Deaths],tblDaily[EntryDate],DATE(2026,4,13),tblDaily[WardCode],"BG")),"")</f>
        <v/>
      </c>
      <c r="E136" s="5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5" t="str">
        <f>IFERROR(IF(SUMIFS(tblDaily[TransfersIn],tblDaily[EntryDate],DATE(2026,4,13),tblDaily[WardCode],"BG")=0,"",SUMIFS(tblDaily[TransfersIn],tblDaily[EntryDate],DATE(2026,4,13),tblDaily[WardCode],"BG")),"")</f>
        <v/>
      </c>
      <c r="G136" s="5" t="str">
        <f>IFERROR(IF(SUMIFS(tblDaily[TransfersOut],tblDaily[EntryDate],DATE(2026,4,13),tblDaily[WardCode],"BG")=0,"",SUMIFS(tblDaily[TransfersOut],tblDaily[EntryDate],DATE(2026,4,13),tblDaily[WardCode],"BG")),"")</f>
        <v/>
      </c>
      <c r="H136" s="5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IFERROR(IF(SUMIFS(tblDaily[Admissions],tblDaily[EntryDate],DATE(2026,4,14),tblDaily[WardCode],"BG")=0,"",SUMIFS(tblDaily[Admissions],tblDaily[EntryDate],DATE(2026,4,14),tblDaily[WardCode],"BG")),"")</f>
        <v/>
      </c>
      <c r="C137" s="5" t="str">
        <f>IFERROR(IF(SUMIFS(tblDaily[Discharges],tblDaily[EntryDate],DATE(2026,4,14),tblDaily[WardCode],"BG")=0,"",SUMIFS(tblDaily[Discharges],tblDaily[EntryDate],DATE(2026,4,14),tblDaily[WardCode],"BG")),"")</f>
        <v/>
      </c>
      <c r="D137" s="5" t="str">
        <f>IFERROR(IF(SUMIFS(tblDaily[Deaths],tblDaily[EntryDate],DATE(2026,4,14),tblDaily[WardCode],"BG")=0,"",SUMIFS(tblDaily[Deaths],tblDaily[EntryDate],DATE(2026,4,14),tblDaily[WardCode],"BG")),"")</f>
        <v/>
      </c>
      <c r="E137" s="5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5" t="str">
        <f>IFERROR(IF(SUMIFS(tblDaily[TransfersIn],tblDaily[EntryDate],DATE(2026,4,14),tblDaily[WardCode],"BG")=0,"",SUMIFS(tblDaily[TransfersIn],tblDaily[EntryDate],DATE(2026,4,14),tblDaily[WardCode],"BG")),"")</f>
        <v/>
      </c>
      <c r="G137" s="5" t="str">
        <f>IFERROR(IF(SUMIFS(tblDaily[TransfersOut],tblDaily[EntryDate],DATE(2026,4,14),tblDaily[WardCode],"BG")=0,"",SUMIFS(tblDaily[TransfersOut],tblDaily[EntryDate],DATE(2026,4,14),tblDaily[WardCode],"BG")),"")</f>
        <v/>
      </c>
      <c r="H137" s="5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IFERROR(IF(SUMIFS(tblDaily[Admissions],tblDaily[EntryDate],DATE(2026,4,15),tblDaily[WardCode],"BG")=0,"",SUMIFS(tblDaily[Admissions],tblDaily[EntryDate],DATE(2026,4,15),tblDaily[WardCode],"BG")),"")</f>
        <v/>
      </c>
      <c r="C138" s="5" t="str">
        <f>IFERROR(IF(SUMIFS(tblDaily[Discharges],tblDaily[EntryDate],DATE(2026,4,15),tblDaily[WardCode],"BG")=0,"",SUMIFS(tblDaily[Discharges],tblDaily[EntryDate],DATE(2026,4,15),tblDaily[WardCode],"BG")),"")</f>
        <v/>
      </c>
      <c r="D138" s="5" t="str">
        <f>IFERROR(IF(SUMIFS(tblDaily[Deaths],tblDaily[EntryDate],DATE(2026,4,15),tblDaily[WardCode],"BG")=0,"",SUMIFS(tblDaily[Deaths],tblDaily[EntryDate],DATE(2026,4,15),tblDaily[WardCode],"BG")),"")</f>
        <v/>
      </c>
      <c r="E138" s="5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5" t="str">
        <f>IFERROR(IF(SUMIFS(tblDaily[TransfersIn],tblDaily[EntryDate],DATE(2026,4,15),tblDaily[WardCode],"BG")=0,"",SUMIFS(tblDaily[TransfersIn],tblDaily[EntryDate],DATE(2026,4,15),tblDaily[WardCode],"BG")),"")</f>
        <v/>
      </c>
      <c r="G138" s="5" t="str">
        <f>IFERROR(IF(SUMIFS(tblDaily[TransfersOut],tblDaily[EntryDate],DATE(2026,4,15),tblDaily[WardCode],"BG")=0,"",SUMIFS(tblDaily[TransfersOut],tblDaily[EntryDate],DATE(2026,4,15),tblDaily[WardCode],"BG")),"")</f>
        <v/>
      </c>
      <c r="H138" s="5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IFERROR(IF(SUMIFS(tblDaily[Admissions],tblDaily[EntryDate],DATE(2026,4,16),tblDaily[WardCode],"BG")=0,"",SUMIFS(tblDaily[Admissions],tblDaily[EntryDate],DATE(2026,4,16),tblDaily[WardCode],"BG")),"")</f>
        <v/>
      </c>
      <c r="C139" s="5" t="str">
        <f>IFERROR(IF(SUMIFS(tblDaily[Discharges],tblDaily[EntryDate],DATE(2026,4,16),tblDaily[WardCode],"BG")=0,"",SUMIFS(tblDaily[Discharges],tblDaily[EntryDate],DATE(2026,4,16),tblDaily[WardCode],"BG")),"")</f>
        <v/>
      </c>
      <c r="D139" s="5" t="str">
        <f>IFERROR(IF(SUMIFS(tblDaily[Deaths],tblDaily[EntryDate],DATE(2026,4,16),tblDaily[WardCode],"BG")=0,"",SUMIFS(tblDaily[Deaths],tblDaily[EntryDate],DATE(2026,4,16),tblDaily[WardCode],"BG")),"")</f>
        <v/>
      </c>
      <c r="E139" s="5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5" t="str">
        <f>IFERROR(IF(SUMIFS(tblDaily[TransfersIn],tblDaily[EntryDate],DATE(2026,4,16),tblDaily[WardCode],"BG")=0,"",SUMIFS(tblDaily[TransfersIn],tblDaily[EntryDate],DATE(2026,4,16),tblDaily[WardCode],"BG")),"")</f>
        <v/>
      </c>
      <c r="G139" s="5" t="str">
        <f>IFERROR(IF(SUMIFS(tblDaily[TransfersOut],tblDaily[EntryDate],DATE(2026,4,16),tblDaily[WardCode],"BG")=0,"",SUMIFS(tblDaily[TransfersOut],tblDaily[EntryDate],DATE(2026,4,16),tblDaily[WardCode],"BG")),"")</f>
        <v/>
      </c>
      <c r="H139" s="5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IFERROR(IF(SUMIFS(tblDaily[Admissions],tblDaily[EntryDate],DATE(2026,4,17),tblDaily[WardCode],"BG")=0,"",SUMIFS(tblDaily[Admissions],tblDaily[EntryDate],DATE(2026,4,17),tblDaily[WardCode],"BG")),"")</f>
        <v/>
      </c>
      <c r="C140" s="5" t="str">
        <f>IFERROR(IF(SUMIFS(tblDaily[Discharges],tblDaily[EntryDate],DATE(2026,4,17),tblDaily[WardCode],"BG")=0,"",SUMIFS(tblDaily[Discharges],tblDaily[EntryDate],DATE(2026,4,17),tblDaily[WardCode],"BG")),"")</f>
        <v/>
      </c>
      <c r="D140" s="5" t="str">
        <f>IFERROR(IF(SUMIFS(tblDaily[Deaths],tblDaily[EntryDate],DATE(2026,4,17),tblDaily[WardCode],"BG")=0,"",SUMIFS(tblDaily[Deaths],tblDaily[EntryDate],DATE(2026,4,17),tblDaily[WardCode],"BG")),"")</f>
        <v/>
      </c>
      <c r="E140" s="5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5" t="str">
        <f>IFERROR(IF(SUMIFS(tblDaily[TransfersIn],tblDaily[EntryDate],DATE(2026,4,17),tblDaily[WardCode],"BG")=0,"",SUMIFS(tblDaily[TransfersIn],tblDaily[EntryDate],DATE(2026,4,17),tblDaily[WardCode],"BG")),"")</f>
        <v/>
      </c>
      <c r="G140" s="5" t="str">
        <f>IFERROR(IF(SUMIFS(tblDaily[TransfersOut],tblDaily[EntryDate],DATE(2026,4,17),tblDaily[WardCode],"BG")=0,"",SUMIFS(tblDaily[TransfersOut],tblDaily[EntryDate],DATE(2026,4,17),tblDaily[WardCode],"BG")),"")</f>
        <v/>
      </c>
      <c r="H140" s="5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IFERROR(IF(SUMIFS(tblDaily[Admissions],tblDaily[EntryDate],DATE(2026,4,18),tblDaily[WardCode],"BG")=0,"",SUMIFS(tblDaily[Admissions],tblDaily[EntryDate],DATE(2026,4,18),tblDaily[WardCode],"BG")),"")</f>
        <v/>
      </c>
      <c r="C141" s="5" t="str">
        <f>IFERROR(IF(SUMIFS(tblDaily[Discharges],tblDaily[EntryDate],DATE(2026,4,18),tblDaily[WardCode],"BG")=0,"",SUMIFS(tblDaily[Discharges],tblDaily[EntryDate],DATE(2026,4,18),tblDaily[WardCode],"BG")),"")</f>
        <v/>
      </c>
      <c r="D141" s="5" t="str">
        <f>IFERROR(IF(SUMIFS(tblDaily[Deaths],tblDaily[EntryDate],DATE(2026,4,18),tblDaily[WardCode],"BG")=0,"",SUMIFS(tblDaily[Deaths],tblDaily[EntryDate],DATE(2026,4,18),tblDaily[WardCode],"BG")),"")</f>
        <v/>
      </c>
      <c r="E141" s="5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5" t="str">
        <f>IFERROR(IF(SUMIFS(tblDaily[TransfersIn],tblDaily[EntryDate],DATE(2026,4,18),tblDaily[WardCode],"BG")=0,"",SUMIFS(tblDaily[TransfersIn],tblDaily[EntryDate],DATE(2026,4,18),tblDaily[WardCode],"BG")),"")</f>
        <v/>
      </c>
      <c r="G141" s="5" t="str">
        <f>IFERROR(IF(SUMIFS(tblDaily[TransfersOut],tblDaily[EntryDate],DATE(2026,4,18),tblDaily[WardCode],"BG")=0,"",SUMIFS(tblDaily[TransfersOut],tblDaily[EntryDate],DATE(2026,4,18),tblDaily[WardCode],"BG")),"")</f>
        <v/>
      </c>
      <c r="H141" s="5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IFERROR(IF(SUMIFS(tblDaily[Admissions],tblDaily[EntryDate],DATE(2026,4,19),tblDaily[WardCode],"BG")=0,"",SUMIFS(tblDaily[Admissions],tblDaily[EntryDate],DATE(2026,4,19),tblDaily[WardCode],"BG")),"")</f>
        <v/>
      </c>
      <c r="C142" s="5" t="str">
        <f>IFERROR(IF(SUMIFS(tblDaily[Discharges],tblDaily[EntryDate],DATE(2026,4,19),tblDaily[WardCode],"BG")=0,"",SUMIFS(tblDaily[Discharges],tblDaily[EntryDate],DATE(2026,4,19),tblDaily[WardCode],"BG")),"")</f>
        <v/>
      </c>
      <c r="D142" s="5" t="str">
        <f>IFERROR(IF(SUMIFS(tblDaily[Deaths],tblDaily[EntryDate],DATE(2026,4,19),tblDaily[WardCode],"BG")=0,"",SUMIFS(tblDaily[Deaths],tblDaily[EntryDate],DATE(2026,4,19),tblDaily[WardCode],"BG")),"")</f>
        <v/>
      </c>
      <c r="E142" s="5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5" t="str">
        <f>IFERROR(IF(SUMIFS(tblDaily[TransfersIn],tblDaily[EntryDate],DATE(2026,4,19),tblDaily[WardCode],"BG")=0,"",SUMIFS(tblDaily[TransfersIn],tblDaily[EntryDate],DATE(2026,4,19),tblDaily[WardCode],"BG")),"")</f>
        <v/>
      </c>
      <c r="G142" s="5" t="str">
        <f>IFERROR(IF(SUMIFS(tblDaily[TransfersOut],tblDaily[EntryDate],DATE(2026,4,19),tblDaily[WardCode],"BG")=0,"",SUMIFS(tblDaily[TransfersOut],tblDaily[EntryDate],DATE(2026,4,19),tblDaily[WardCode],"BG")),"")</f>
        <v/>
      </c>
      <c r="H142" s="5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IFERROR(IF(SUMIFS(tblDaily[Admissions],tblDaily[EntryDate],DATE(2026,4,20),tblDaily[WardCode],"BG")=0,"",SUMIFS(tblDaily[Admissions],tblDaily[EntryDate],DATE(2026,4,20),tblDaily[WardCode],"BG")),"")</f>
        <v/>
      </c>
      <c r="C143" s="5" t="str">
        <f>IFERROR(IF(SUMIFS(tblDaily[Discharges],tblDaily[EntryDate],DATE(2026,4,20),tblDaily[WardCode],"BG")=0,"",SUMIFS(tblDaily[Discharges],tblDaily[EntryDate],DATE(2026,4,20),tblDaily[WardCode],"BG")),"")</f>
        <v/>
      </c>
      <c r="D143" s="5" t="str">
        <f>IFERROR(IF(SUMIFS(tblDaily[Deaths],tblDaily[EntryDate],DATE(2026,4,20),tblDaily[WardCode],"BG")=0,"",SUMIFS(tblDaily[Deaths],tblDaily[EntryDate],DATE(2026,4,20),tblDaily[WardCode],"BG")),"")</f>
        <v/>
      </c>
      <c r="E143" s="5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5" t="str">
        <f>IFERROR(IF(SUMIFS(tblDaily[TransfersIn],tblDaily[EntryDate],DATE(2026,4,20),tblDaily[WardCode],"BG")=0,"",SUMIFS(tblDaily[TransfersIn],tblDaily[EntryDate],DATE(2026,4,20),tblDaily[WardCode],"BG")),"")</f>
        <v/>
      </c>
      <c r="G143" s="5" t="str">
        <f>IFERROR(IF(SUMIFS(tblDaily[TransfersOut],tblDaily[EntryDate],DATE(2026,4,20),tblDaily[WardCode],"BG")=0,"",SUMIFS(tblDaily[TransfersOut],tblDaily[EntryDate],DATE(2026,4,20),tblDaily[WardCode],"BG")),"")</f>
        <v/>
      </c>
      <c r="H143" s="5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IFERROR(IF(SUMIFS(tblDaily[Admissions],tblDaily[EntryDate],DATE(2026,4,21),tblDaily[WardCode],"BG")=0,"",SUMIFS(tblDaily[Admissions],tblDaily[EntryDate],DATE(2026,4,21),tblDaily[WardCode],"BG")),"")</f>
        <v/>
      </c>
      <c r="C144" s="5" t="str">
        <f>IFERROR(IF(SUMIFS(tblDaily[Discharges],tblDaily[EntryDate],DATE(2026,4,21),tblDaily[WardCode],"BG")=0,"",SUMIFS(tblDaily[Discharges],tblDaily[EntryDate],DATE(2026,4,21),tblDaily[WardCode],"BG")),"")</f>
        <v/>
      </c>
      <c r="D144" s="5" t="str">
        <f>IFERROR(IF(SUMIFS(tblDaily[Deaths],tblDaily[EntryDate],DATE(2026,4,21),tblDaily[WardCode],"BG")=0,"",SUMIFS(tblDaily[Deaths],tblDaily[EntryDate],DATE(2026,4,21),tblDaily[WardCode],"BG")),"")</f>
        <v/>
      </c>
      <c r="E144" s="5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5" t="str">
        <f>IFERROR(IF(SUMIFS(tblDaily[TransfersIn],tblDaily[EntryDate],DATE(2026,4,21),tblDaily[WardCode],"BG")=0,"",SUMIFS(tblDaily[TransfersIn],tblDaily[EntryDate],DATE(2026,4,21),tblDaily[WardCode],"BG")),"")</f>
        <v/>
      </c>
      <c r="G144" s="5" t="str">
        <f>IFERROR(IF(SUMIFS(tblDaily[TransfersOut],tblDaily[EntryDate],DATE(2026,4,21),tblDaily[WardCode],"BG")=0,"",SUMIFS(tblDaily[TransfersOut],tblDaily[EntryDate],DATE(2026,4,21),tblDaily[WardCode],"BG")),"")</f>
        <v/>
      </c>
      <c r="H144" s="5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IFERROR(IF(SUMIFS(tblDaily[Admissions],tblDaily[EntryDate],DATE(2026,4,22),tblDaily[WardCode],"BG")=0,"",SUMIFS(tblDaily[Admissions],tblDaily[EntryDate],DATE(2026,4,22),tblDaily[WardCode],"BG")),"")</f>
        <v/>
      </c>
      <c r="C145" s="5" t="str">
        <f>IFERROR(IF(SUMIFS(tblDaily[Discharges],tblDaily[EntryDate],DATE(2026,4,22),tblDaily[WardCode],"BG")=0,"",SUMIFS(tblDaily[Discharges],tblDaily[EntryDate],DATE(2026,4,22),tblDaily[WardCode],"BG")),"")</f>
        <v/>
      </c>
      <c r="D145" s="5" t="str">
        <f>IFERROR(IF(SUMIFS(tblDaily[Deaths],tblDaily[EntryDate],DATE(2026,4,22),tblDaily[WardCode],"BG")=0,"",SUMIFS(tblDaily[Deaths],tblDaily[EntryDate],DATE(2026,4,22),tblDaily[WardCode],"BG")),"")</f>
        <v/>
      </c>
      <c r="E145" s="5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5" t="str">
        <f>IFERROR(IF(SUMIFS(tblDaily[TransfersIn],tblDaily[EntryDate],DATE(2026,4,22),tblDaily[WardCode],"BG")=0,"",SUMIFS(tblDaily[TransfersIn],tblDaily[EntryDate],DATE(2026,4,22),tblDaily[WardCode],"BG")),"")</f>
        <v/>
      </c>
      <c r="G145" s="5" t="str">
        <f>IFERROR(IF(SUMIFS(tblDaily[TransfersOut],tblDaily[EntryDate],DATE(2026,4,22),tblDaily[WardCode],"BG")=0,"",SUMIFS(tblDaily[TransfersOut],tblDaily[EntryDate],DATE(2026,4,22),tblDaily[WardCode],"BG")),"")</f>
        <v/>
      </c>
      <c r="H145" s="5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IFERROR(IF(SUMIFS(tblDaily[Admissions],tblDaily[EntryDate],DATE(2026,4,23),tblDaily[WardCode],"BG")=0,"",SUMIFS(tblDaily[Admissions],tblDaily[EntryDate],DATE(2026,4,23),tblDaily[WardCode],"BG")),"")</f>
        <v/>
      </c>
      <c r="C146" s="5" t="str">
        <f>IFERROR(IF(SUMIFS(tblDaily[Discharges],tblDaily[EntryDate],DATE(2026,4,23),tblDaily[WardCode],"BG")=0,"",SUMIFS(tblDaily[Discharges],tblDaily[EntryDate],DATE(2026,4,23),tblDaily[WardCode],"BG")),"")</f>
        <v/>
      </c>
      <c r="D146" s="5" t="str">
        <f>IFERROR(IF(SUMIFS(tblDaily[Deaths],tblDaily[EntryDate],DATE(2026,4,23),tblDaily[WardCode],"BG")=0,"",SUMIFS(tblDaily[Deaths],tblDaily[EntryDate],DATE(2026,4,23),tblDaily[WardCode],"BG")),"")</f>
        <v/>
      </c>
      <c r="E146" s="5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5" t="str">
        <f>IFERROR(IF(SUMIFS(tblDaily[TransfersIn],tblDaily[EntryDate],DATE(2026,4,23),tblDaily[WardCode],"BG")=0,"",SUMIFS(tblDaily[TransfersIn],tblDaily[EntryDate],DATE(2026,4,23),tblDaily[WardCode],"BG")),"")</f>
        <v/>
      </c>
      <c r="G146" s="5" t="str">
        <f>IFERROR(IF(SUMIFS(tblDaily[TransfersOut],tblDaily[EntryDate],DATE(2026,4,23),tblDaily[WardCode],"BG")=0,"",SUMIFS(tblDaily[TransfersOut],tblDaily[EntryDate],DATE(2026,4,23),tblDaily[WardCode],"BG")),"")</f>
        <v/>
      </c>
      <c r="H146" s="5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IFERROR(IF(SUMIFS(tblDaily[Admissions],tblDaily[EntryDate],DATE(2026,4,24),tblDaily[WardCode],"BG")=0,"",SUMIFS(tblDaily[Admissions],tblDaily[EntryDate],DATE(2026,4,24),tblDaily[WardCode],"BG")),"")</f>
        <v/>
      </c>
      <c r="C147" s="5" t="str">
        <f>IFERROR(IF(SUMIFS(tblDaily[Discharges],tblDaily[EntryDate],DATE(2026,4,24),tblDaily[WardCode],"BG")=0,"",SUMIFS(tblDaily[Discharges],tblDaily[EntryDate],DATE(2026,4,24),tblDaily[WardCode],"BG")),"")</f>
        <v/>
      </c>
      <c r="D147" s="5" t="str">
        <f>IFERROR(IF(SUMIFS(tblDaily[Deaths],tblDaily[EntryDate],DATE(2026,4,24),tblDaily[WardCode],"BG")=0,"",SUMIFS(tblDaily[Deaths],tblDaily[EntryDate],DATE(2026,4,24),tblDaily[WardCode],"BG")),"")</f>
        <v/>
      </c>
      <c r="E147" s="5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5" t="str">
        <f>IFERROR(IF(SUMIFS(tblDaily[TransfersIn],tblDaily[EntryDate],DATE(2026,4,24),tblDaily[WardCode],"BG")=0,"",SUMIFS(tblDaily[TransfersIn],tblDaily[EntryDate],DATE(2026,4,24),tblDaily[WardCode],"BG")),"")</f>
        <v/>
      </c>
      <c r="G147" s="5" t="str">
        <f>IFERROR(IF(SUMIFS(tblDaily[TransfersOut],tblDaily[EntryDate],DATE(2026,4,24),tblDaily[WardCode],"BG")=0,"",SUMIFS(tblDaily[TransfersOut],tblDaily[EntryDate],DATE(2026,4,24),tblDaily[WardCode],"BG")),"")</f>
        <v/>
      </c>
      <c r="H147" s="5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IFERROR(IF(SUMIFS(tblDaily[Admissions],tblDaily[EntryDate],DATE(2026,4,25),tblDaily[WardCode],"BG")=0,"",SUMIFS(tblDaily[Admissions],tblDaily[EntryDate],DATE(2026,4,25),tblDaily[WardCode],"BG")),"")</f>
        <v/>
      </c>
      <c r="C148" s="5" t="str">
        <f>IFERROR(IF(SUMIFS(tblDaily[Discharges],tblDaily[EntryDate],DATE(2026,4,25),tblDaily[WardCode],"BG")=0,"",SUMIFS(tblDaily[Discharges],tblDaily[EntryDate],DATE(2026,4,25),tblDaily[WardCode],"BG")),"")</f>
        <v/>
      </c>
      <c r="D148" s="5" t="str">
        <f>IFERROR(IF(SUMIFS(tblDaily[Deaths],tblDaily[EntryDate],DATE(2026,4,25),tblDaily[WardCode],"BG")=0,"",SUMIFS(tblDaily[Deaths],tblDaily[EntryDate],DATE(2026,4,25),tblDaily[WardCode],"BG")),"")</f>
        <v/>
      </c>
      <c r="E148" s="5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5" t="str">
        <f>IFERROR(IF(SUMIFS(tblDaily[TransfersIn],tblDaily[EntryDate],DATE(2026,4,25),tblDaily[WardCode],"BG")=0,"",SUMIFS(tblDaily[TransfersIn],tblDaily[EntryDate],DATE(2026,4,25),tblDaily[WardCode],"BG")),"")</f>
        <v/>
      </c>
      <c r="G148" s="5" t="str">
        <f>IFERROR(IF(SUMIFS(tblDaily[TransfersOut],tblDaily[EntryDate],DATE(2026,4,25),tblDaily[WardCode],"BG")=0,"",SUMIFS(tblDaily[TransfersOut],tblDaily[EntryDate],DATE(2026,4,25),tblDaily[WardCode],"BG")),"")</f>
        <v/>
      </c>
      <c r="H148" s="5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IFERROR(IF(SUMIFS(tblDaily[Admissions],tblDaily[EntryDate],DATE(2026,4,26),tblDaily[WardCode],"BG")=0,"",SUMIFS(tblDaily[Admissions],tblDaily[EntryDate],DATE(2026,4,26),tblDaily[WardCode],"BG")),"")</f>
        <v/>
      </c>
      <c r="C149" s="5" t="str">
        <f>IFERROR(IF(SUMIFS(tblDaily[Discharges],tblDaily[EntryDate],DATE(2026,4,26),tblDaily[WardCode],"BG")=0,"",SUMIFS(tblDaily[Discharges],tblDaily[EntryDate],DATE(2026,4,26),tblDaily[WardCode],"BG")),"")</f>
        <v/>
      </c>
      <c r="D149" s="5" t="str">
        <f>IFERROR(IF(SUMIFS(tblDaily[Deaths],tblDaily[EntryDate],DATE(2026,4,26),tblDaily[WardCode],"BG")=0,"",SUMIFS(tblDaily[Deaths],tblDaily[EntryDate],DATE(2026,4,26),tblDaily[WardCode],"BG")),"")</f>
        <v/>
      </c>
      <c r="E149" s="5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5" t="str">
        <f>IFERROR(IF(SUMIFS(tblDaily[TransfersIn],tblDaily[EntryDate],DATE(2026,4,26),tblDaily[WardCode],"BG")=0,"",SUMIFS(tblDaily[TransfersIn],tblDaily[EntryDate],DATE(2026,4,26),tblDaily[WardCode],"BG")),"")</f>
        <v/>
      </c>
      <c r="G149" s="5" t="str">
        <f>IFERROR(IF(SUMIFS(tblDaily[TransfersOut],tblDaily[EntryDate],DATE(2026,4,26),tblDaily[WardCode],"BG")=0,"",SUMIFS(tblDaily[TransfersOut],tblDaily[EntryDate],DATE(2026,4,26),tblDaily[WardCode],"BG")),"")</f>
        <v/>
      </c>
      <c r="H149" s="5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IFERROR(IF(SUMIFS(tblDaily[Admissions],tblDaily[EntryDate],DATE(2026,4,27),tblDaily[WardCode],"BG")=0,"",SUMIFS(tblDaily[Admissions],tblDaily[EntryDate],DATE(2026,4,27),tblDaily[WardCode],"BG")),"")</f>
        <v/>
      </c>
      <c r="C150" s="5" t="str">
        <f>IFERROR(IF(SUMIFS(tblDaily[Discharges],tblDaily[EntryDate],DATE(2026,4,27),tblDaily[WardCode],"BG")=0,"",SUMIFS(tblDaily[Discharges],tblDaily[EntryDate],DATE(2026,4,27),tblDaily[WardCode],"BG")),"")</f>
        <v/>
      </c>
      <c r="D150" s="5" t="str">
        <f>IFERROR(IF(SUMIFS(tblDaily[Deaths],tblDaily[EntryDate],DATE(2026,4,27),tblDaily[WardCode],"BG")=0,"",SUMIFS(tblDaily[Deaths],tblDaily[EntryDate],DATE(2026,4,27),tblDaily[WardCode],"BG")),"")</f>
        <v/>
      </c>
      <c r="E150" s="5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5" t="str">
        <f>IFERROR(IF(SUMIFS(tblDaily[TransfersIn],tblDaily[EntryDate],DATE(2026,4,27),tblDaily[WardCode],"BG")=0,"",SUMIFS(tblDaily[TransfersIn],tblDaily[EntryDate],DATE(2026,4,27),tblDaily[WardCode],"BG")),"")</f>
        <v/>
      </c>
      <c r="G150" s="5" t="str">
        <f>IFERROR(IF(SUMIFS(tblDaily[TransfersOut],tblDaily[EntryDate],DATE(2026,4,27),tblDaily[WardCode],"BG")=0,"",SUMIFS(tblDaily[TransfersOut],tblDaily[EntryDate],DATE(2026,4,27),tblDaily[WardCode],"BG")),"")</f>
        <v/>
      </c>
      <c r="H150" s="5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IFERROR(IF(SUMIFS(tblDaily[Admissions],tblDaily[EntryDate],DATE(2026,4,28),tblDaily[WardCode],"BG")=0,"",SUMIFS(tblDaily[Admissions],tblDaily[EntryDate],DATE(2026,4,28),tblDaily[WardCode],"BG")),"")</f>
        <v/>
      </c>
      <c r="C151" s="5" t="str">
        <f>IFERROR(IF(SUMIFS(tblDaily[Discharges],tblDaily[EntryDate],DATE(2026,4,28),tblDaily[WardCode],"BG")=0,"",SUMIFS(tblDaily[Discharges],tblDaily[EntryDate],DATE(2026,4,28),tblDaily[WardCode],"BG")),"")</f>
        <v/>
      </c>
      <c r="D151" s="5" t="str">
        <f>IFERROR(IF(SUMIFS(tblDaily[Deaths],tblDaily[EntryDate],DATE(2026,4,28),tblDaily[WardCode],"BG")=0,"",SUMIFS(tblDaily[Deaths],tblDaily[EntryDate],DATE(2026,4,28),tblDaily[WardCode],"BG")),"")</f>
        <v/>
      </c>
      <c r="E151" s="5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5" t="str">
        <f>IFERROR(IF(SUMIFS(tblDaily[TransfersIn],tblDaily[EntryDate],DATE(2026,4,28),tblDaily[WardCode],"BG")=0,"",SUMIFS(tblDaily[TransfersIn],tblDaily[EntryDate],DATE(2026,4,28),tblDaily[WardCode],"BG")),"")</f>
        <v/>
      </c>
      <c r="G151" s="5" t="str">
        <f>IFERROR(IF(SUMIFS(tblDaily[TransfersOut],tblDaily[EntryDate],DATE(2026,4,28),tblDaily[WardCode],"BG")=0,"",SUMIFS(tblDaily[TransfersOut],tblDaily[EntryDate],DATE(2026,4,28),tblDaily[WardCode],"BG")),"")</f>
        <v/>
      </c>
      <c r="H151" s="5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IFERROR(IF(SUMIFS(tblDaily[Admissions],tblDaily[EntryDate],DATE(2026,4,29),tblDaily[WardCode],"BG")=0,"",SUMIFS(tblDaily[Admissions],tblDaily[EntryDate],DATE(2026,4,29),tblDaily[WardCode],"BG")),"")</f>
        <v/>
      </c>
      <c r="C152" s="5" t="str">
        <f>IFERROR(IF(SUMIFS(tblDaily[Discharges],tblDaily[EntryDate],DATE(2026,4,29),tblDaily[WardCode],"BG")=0,"",SUMIFS(tblDaily[Discharges],tblDaily[EntryDate],DATE(2026,4,29),tblDaily[WardCode],"BG")),"")</f>
        <v/>
      </c>
      <c r="D152" s="5" t="str">
        <f>IFERROR(IF(SUMIFS(tblDaily[Deaths],tblDaily[EntryDate],DATE(2026,4,29),tblDaily[WardCode],"BG")=0,"",SUMIFS(tblDaily[Deaths],tblDaily[EntryDate],DATE(2026,4,29),tblDaily[WardCode],"BG")),"")</f>
        <v/>
      </c>
      <c r="E152" s="5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5" t="str">
        <f>IFERROR(IF(SUMIFS(tblDaily[TransfersIn],tblDaily[EntryDate],DATE(2026,4,29),tblDaily[WardCode],"BG")=0,"",SUMIFS(tblDaily[TransfersIn],tblDaily[EntryDate],DATE(2026,4,29),tblDaily[WardCode],"BG")),"")</f>
        <v/>
      </c>
      <c r="G152" s="5" t="str">
        <f>IFERROR(IF(SUMIFS(tblDaily[TransfersOut],tblDaily[EntryDate],DATE(2026,4,29),tblDaily[WardCode],"BG")=0,"",SUMIFS(tblDaily[TransfersOut],tblDaily[EntryDate],DATE(2026,4,29),tblDaily[WardCode],"BG")),"")</f>
        <v/>
      </c>
      <c r="H152" s="5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IFERROR(IF(SUMIFS(tblDaily[Admissions],tblDaily[EntryDate],DATE(2026,4,30),tblDaily[WardCode],"BG")=0,"",SUMIFS(tblDaily[Admissions],tblDaily[EntryDate],DATE(2026,4,30),tblDaily[WardCode],"BG")),"")</f>
        <v/>
      </c>
      <c r="C153" s="5" t="str">
        <f>IFERROR(IF(SUMIFS(tblDaily[Discharges],tblDaily[EntryDate],DATE(2026,4,30),tblDaily[WardCode],"BG")=0,"",SUMIFS(tblDaily[Discharges],tblDaily[EntryDate],DATE(2026,4,30),tblDaily[WardCode],"BG")),"")</f>
        <v/>
      </c>
      <c r="D153" s="5" t="str">
        <f>IFERROR(IF(SUMIFS(tblDaily[Deaths],tblDaily[EntryDate],DATE(2026,4,30),tblDaily[WardCode],"BG")=0,"",SUMIFS(tblDaily[Deaths],tblDaily[EntryDate],DATE(2026,4,30),tblDaily[WardCode],"BG")),"")</f>
        <v/>
      </c>
      <c r="E153" s="5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5" t="str">
        <f>IFERROR(IF(SUMIFS(tblDaily[TransfersIn],tblDaily[EntryDate],DATE(2026,4,30),tblDaily[WardCode],"BG")=0,"",SUMIFS(tblDaily[TransfersIn],tblDaily[EntryDate],DATE(2026,4,30),tblDaily[WardCode],"BG")),"")</f>
        <v/>
      </c>
      <c r="G153" s="5" t="str">
        <f>IFERROR(IF(SUMIFS(tblDaily[TransfersOut],tblDaily[EntryDate],DATE(2026,4,30),tblDaily[WardCode],"BG")=0,"",SUMIFS(tblDaily[TransfersOut],tblDaily[EntryDate],DATE(2026,4,30),tblDaily[WardCode],"BG")),"")</f>
        <v/>
      </c>
      <c r="H153" s="5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99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89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IFERROR(IF(SUMIFS(tblDaily[Admissions],tblDaily[EntryDate],DATE(2026,5,1),tblDaily[WardCode],"BG")=0,"",SUMIFS(tblDaily[Admissions],tblDaily[EntryDate],DATE(2026,5,1),tblDaily[WardCode],"BG")),"")</f>
        <v/>
      </c>
      <c r="C163" s="5" t="str">
        <f>IFERROR(IF(SUMIFS(tblDaily[Discharges],tblDaily[EntryDate],DATE(2026,5,1),tblDaily[WardCode],"BG")=0,"",SUMIFS(tblDaily[Discharges],tblDaily[EntryDate],DATE(2026,5,1),tblDaily[WardCode],"BG")),"")</f>
        <v/>
      </c>
      <c r="D163" s="5" t="str">
        <f>IFERROR(IF(SUMIFS(tblDaily[Deaths],tblDaily[EntryDate],DATE(2026,5,1),tblDaily[WardCode],"BG")=0,"",SUMIFS(tblDaily[Deaths],tblDaily[EntryDate],DATE(2026,5,1),tblDaily[WardCode],"BG")),"")</f>
        <v/>
      </c>
      <c r="E163" s="5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5" t="str">
        <f>IFERROR(IF(SUMIFS(tblDaily[TransfersIn],tblDaily[EntryDate],DATE(2026,5,1),tblDaily[WardCode],"BG")=0,"",SUMIFS(tblDaily[TransfersIn],tblDaily[EntryDate],DATE(2026,5,1),tblDaily[WardCode],"BG")),"")</f>
        <v/>
      </c>
      <c r="G163" s="5" t="str">
        <f>IFERROR(IF(SUMIFS(tblDaily[TransfersOut],tblDaily[EntryDate],DATE(2026,5,1),tblDaily[WardCode],"BG")=0,"",SUMIFS(tblDaily[TransfersOut],tblDaily[EntryDate],DATE(2026,5,1),tblDaily[WardCode],"BG")),"")</f>
        <v/>
      </c>
      <c r="H163" s="5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IFERROR(IF(SUMIFS(tblDaily[Admissions],tblDaily[EntryDate],DATE(2026,5,2),tblDaily[WardCode],"BG")=0,"",SUMIFS(tblDaily[Admissions],tblDaily[EntryDate],DATE(2026,5,2),tblDaily[WardCode],"BG")),"")</f>
        <v/>
      </c>
      <c r="C164" s="5" t="str">
        <f>IFERROR(IF(SUMIFS(tblDaily[Discharges],tblDaily[EntryDate],DATE(2026,5,2),tblDaily[WardCode],"BG")=0,"",SUMIFS(tblDaily[Discharges],tblDaily[EntryDate],DATE(2026,5,2),tblDaily[WardCode],"BG")),"")</f>
        <v/>
      </c>
      <c r="D164" s="5" t="str">
        <f>IFERROR(IF(SUMIFS(tblDaily[Deaths],tblDaily[EntryDate],DATE(2026,5,2),tblDaily[WardCode],"BG")=0,"",SUMIFS(tblDaily[Deaths],tblDaily[EntryDate],DATE(2026,5,2),tblDaily[WardCode],"BG")),"")</f>
        <v/>
      </c>
      <c r="E164" s="5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5" t="str">
        <f>IFERROR(IF(SUMIFS(tblDaily[TransfersIn],tblDaily[EntryDate],DATE(2026,5,2),tblDaily[WardCode],"BG")=0,"",SUMIFS(tblDaily[TransfersIn],tblDaily[EntryDate],DATE(2026,5,2),tblDaily[WardCode],"BG")),"")</f>
        <v/>
      </c>
      <c r="G164" s="5" t="str">
        <f>IFERROR(IF(SUMIFS(tblDaily[TransfersOut],tblDaily[EntryDate],DATE(2026,5,2),tblDaily[WardCode],"BG")=0,"",SUMIFS(tblDaily[TransfersOut],tblDaily[EntryDate],DATE(2026,5,2),tblDaily[WardCode],"BG")),"")</f>
        <v/>
      </c>
      <c r="H164" s="5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IFERROR(IF(SUMIFS(tblDaily[Admissions],tblDaily[EntryDate],DATE(2026,5,3),tblDaily[WardCode],"BG")=0,"",SUMIFS(tblDaily[Admissions],tblDaily[EntryDate],DATE(2026,5,3),tblDaily[WardCode],"BG")),"")</f>
        <v/>
      </c>
      <c r="C165" s="5" t="str">
        <f>IFERROR(IF(SUMIFS(tblDaily[Discharges],tblDaily[EntryDate],DATE(2026,5,3),tblDaily[WardCode],"BG")=0,"",SUMIFS(tblDaily[Discharges],tblDaily[EntryDate],DATE(2026,5,3),tblDaily[WardCode],"BG")),"")</f>
        <v/>
      </c>
      <c r="D165" s="5" t="str">
        <f>IFERROR(IF(SUMIFS(tblDaily[Deaths],tblDaily[EntryDate],DATE(2026,5,3),tblDaily[WardCode],"BG")=0,"",SUMIFS(tblDaily[Deaths],tblDaily[EntryDate],DATE(2026,5,3),tblDaily[WardCode],"BG")),"")</f>
        <v/>
      </c>
      <c r="E165" s="5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5" t="str">
        <f>IFERROR(IF(SUMIFS(tblDaily[TransfersIn],tblDaily[EntryDate],DATE(2026,5,3),tblDaily[WardCode],"BG")=0,"",SUMIFS(tblDaily[TransfersIn],tblDaily[EntryDate],DATE(2026,5,3),tblDaily[WardCode],"BG")),"")</f>
        <v/>
      </c>
      <c r="G165" s="5" t="str">
        <f>IFERROR(IF(SUMIFS(tblDaily[TransfersOut],tblDaily[EntryDate],DATE(2026,5,3),tblDaily[WardCode],"BG")=0,"",SUMIFS(tblDaily[TransfersOut],tblDaily[EntryDate],DATE(2026,5,3),tblDaily[WardCode],"BG")),"")</f>
        <v/>
      </c>
      <c r="H165" s="5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IFERROR(IF(SUMIFS(tblDaily[Admissions],tblDaily[EntryDate],DATE(2026,5,4),tblDaily[WardCode],"BG")=0,"",SUMIFS(tblDaily[Admissions],tblDaily[EntryDate],DATE(2026,5,4),tblDaily[WardCode],"BG")),"")</f>
        <v/>
      </c>
      <c r="C166" s="5" t="str">
        <f>IFERROR(IF(SUMIFS(tblDaily[Discharges],tblDaily[EntryDate],DATE(2026,5,4),tblDaily[WardCode],"BG")=0,"",SUMIFS(tblDaily[Discharges],tblDaily[EntryDate],DATE(2026,5,4),tblDaily[WardCode],"BG")),"")</f>
        <v/>
      </c>
      <c r="D166" s="5" t="str">
        <f>IFERROR(IF(SUMIFS(tblDaily[Deaths],tblDaily[EntryDate],DATE(2026,5,4),tblDaily[WardCode],"BG")=0,"",SUMIFS(tblDaily[Deaths],tblDaily[EntryDate],DATE(2026,5,4),tblDaily[WardCode],"BG")),"")</f>
        <v/>
      </c>
      <c r="E166" s="5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5" t="str">
        <f>IFERROR(IF(SUMIFS(tblDaily[TransfersIn],tblDaily[EntryDate],DATE(2026,5,4),tblDaily[WardCode],"BG")=0,"",SUMIFS(tblDaily[TransfersIn],tblDaily[EntryDate],DATE(2026,5,4),tblDaily[WardCode],"BG")),"")</f>
        <v/>
      </c>
      <c r="G166" s="5" t="str">
        <f>IFERROR(IF(SUMIFS(tblDaily[TransfersOut],tblDaily[EntryDate],DATE(2026,5,4),tblDaily[WardCode],"BG")=0,"",SUMIFS(tblDaily[TransfersOut],tblDaily[EntryDate],DATE(2026,5,4),tblDaily[WardCode],"BG")),"")</f>
        <v/>
      </c>
      <c r="H166" s="5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IFERROR(IF(SUMIFS(tblDaily[Admissions],tblDaily[EntryDate],DATE(2026,5,5),tblDaily[WardCode],"BG")=0,"",SUMIFS(tblDaily[Admissions],tblDaily[EntryDate],DATE(2026,5,5),tblDaily[WardCode],"BG")),"")</f>
        <v/>
      </c>
      <c r="C167" s="5" t="str">
        <f>IFERROR(IF(SUMIFS(tblDaily[Discharges],tblDaily[EntryDate],DATE(2026,5,5),tblDaily[WardCode],"BG")=0,"",SUMIFS(tblDaily[Discharges],tblDaily[EntryDate],DATE(2026,5,5),tblDaily[WardCode],"BG")),"")</f>
        <v/>
      </c>
      <c r="D167" s="5" t="str">
        <f>IFERROR(IF(SUMIFS(tblDaily[Deaths],tblDaily[EntryDate],DATE(2026,5,5),tblDaily[WardCode],"BG")=0,"",SUMIFS(tblDaily[Deaths],tblDaily[EntryDate],DATE(2026,5,5),tblDaily[WardCode],"BG")),"")</f>
        <v/>
      </c>
      <c r="E167" s="5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5" t="str">
        <f>IFERROR(IF(SUMIFS(tblDaily[TransfersIn],tblDaily[EntryDate],DATE(2026,5,5),tblDaily[WardCode],"BG")=0,"",SUMIFS(tblDaily[TransfersIn],tblDaily[EntryDate],DATE(2026,5,5),tblDaily[WardCode],"BG")),"")</f>
        <v/>
      </c>
      <c r="G167" s="5" t="str">
        <f>IFERROR(IF(SUMIFS(tblDaily[TransfersOut],tblDaily[EntryDate],DATE(2026,5,5),tblDaily[WardCode],"BG")=0,"",SUMIFS(tblDaily[TransfersOut],tblDaily[EntryDate],DATE(2026,5,5),tblDaily[WardCode],"BG")),"")</f>
        <v/>
      </c>
      <c r="H167" s="5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IFERROR(IF(SUMIFS(tblDaily[Admissions],tblDaily[EntryDate],DATE(2026,5,6),tblDaily[WardCode],"BG")=0,"",SUMIFS(tblDaily[Admissions],tblDaily[EntryDate],DATE(2026,5,6),tblDaily[WardCode],"BG")),"")</f>
        <v/>
      </c>
      <c r="C168" s="5" t="str">
        <f>IFERROR(IF(SUMIFS(tblDaily[Discharges],tblDaily[EntryDate],DATE(2026,5,6),tblDaily[WardCode],"BG")=0,"",SUMIFS(tblDaily[Discharges],tblDaily[EntryDate],DATE(2026,5,6),tblDaily[WardCode],"BG")),"")</f>
        <v/>
      </c>
      <c r="D168" s="5" t="str">
        <f>IFERROR(IF(SUMIFS(tblDaily[Deaths],tblDaily[EntryDate],DATE(2026,5,6),tblDaily[WardCode],"BG")=0,"",SUMIFS(tblDaily[Deaths],tblDaily[EntryDate],DATE(2026,5,6),tblDaily[WardCode],"BG")),"")</f>
        <v/>
      </c>
      <c r="E168" s="5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5" t="str">
        <f>IFERROR(IF(SUMIFS(tblDaily[TransfersIn],tblDaily[EntryDate],DATE(2026,5,6),tblDaily[WardCode],"BG")=0,"",SUMIFS(tblDaily[TransfersIn],tblDaily[EntryDate],DATE(2026,5,6),tblDaily[WardCode],"BG")),"")</f>
        <v/>
      </c>
      <c r="G168" s="5" t="str">
        <f>IFERROR(IF(SUMIFS(tblDaily[TransfersOut],tblDaily[EntryDate],DATE(2026,5,6),tblDaily[WardCode],"BG")=0,"",SUMIFS(tblDaily[TransfersOut],tblDaily[EntryDate],DATE(2026,5,6),tblDaily[WardCode],"BG")),"")</f>
        <v/>
      </c>
      <c r="H168" s="5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IFERROR(IF(SUMIFS(tblDaily[Admissions],tblDaily[EntryDate],DATE(2026,5,7),tblDaily[WardCode],"BG")=0,"",SUMIFS(tblDaily[Admissions],tblDaily[EntryDate],DATE(2026,5,7),tblDaily[WardCode],"BG")),"")</f>
        <v/>
      </c>
      <c r="C169" s="5" t="str">
        <f>IFERROR(IF(SUMIFS(tblDaily[Discharges],tblDaily[EntryDate],DATE(2026,5,7),tblDaily[WardCode],"BG")=0,"",SUMIFS(tblDaily[Discharges],tblDaily[EntryDate],DATE(2026,5,7),tblDaily[WardCode],"BG")),"")</f>
        <v/>
      </c>
      <c r="D169" s="5" t="str">
        <f>IFERROR(IF(SUMIFS(tblDaily[Deaths],tblDaily[EntryDate],DATE(2026,5,7),tblDaily[WardCode],"BG")=0,"",SUMIFS(tblDaily[Deaths],tblDaily[EntryDate],DATE(2026,5,7),tblDaily[WardCode],"BG")),"")</f>
        <v/>
      </c>
      <c r="E169" s="5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5" t="str">
        <f>IFERROR(IF(SUMIFS(tblDaily[TransfersIn],tblDaily[EntryDate],DATE(2026,5,7),tblDaily[WardCode],"BG")=0,"",SUMIFS(tblDaily[TransfersIn],tblDaily[EntryDate],DATE(2026,5,7),tblDaily[WardCode],"BG")),"")</f>
        <v/>
      </c>
      <c r="G169" s="5" t="str">
        <f>IFERROR(IF(SUMIFS(tblDaily[TransfersOut],tblDaily[EntryDate],DATE(2026,5,7),tblDaily[WardCode],"BG")=0,"",SUMIFS(tblDaily[TransfersOut],tblDaily[EntryDate],DATE(2026,5,7),tblDaily[WardCode],"BG")),"")</f>
        <v/>
      </c>
      <c r="H169" s="5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IFERROR(IF(SUMIFS(tblDaily[Admissions],tblDaily[EntryDate],DATE(2026,5,8),tblDaily[WardCode],"BG")=0,"",SUMIFS(tblDaily[Admissions],tblDaily[EntryDate],DATE(2026,5,8),tblDaily[WardCode],"BG")),"")</f>
        <v/>
      </c>
      <c r="C170" s="5" t="str">
        <f>IFERROR(IF(SUMIFS(tblDaily[Discharges],tblDaily[EntryDate],DATE(2026,5,8),tblDaily[WardCode],"BG")=0,"",SUMIFS(tblDaily[Discharges],tblDaily[EntryDate],DATE(2026,5,8),tblDaily[WardCode],"BG")),"")</f>
        <v/>
      </c>
      <c r="D170" s="5" t="str">
        <f>IFERROR(IF(SUMIFS(tblDaily[Deaths],tblDaily[EntryDate],DATE(2026,5,8),tblDaily[WardCode],"BG")=0,"",SUMIFS(tblDaily[Deaths],tblDaily[EntryDate],DATE(2026,5,8),tblDaily[WardCode],"BG")),"")</f>
        <v/>
      </c>
      <c r="E170" s="5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5" t="str">
        <f>IFERROR(IF(SUMIFS(tblDaily[TransfersIn],tblDaily[EntryDate],DATE(2026,5,8),tblDaily[WardCode],"BG")=0,"",SUMIFS(tblDaily[TransfersIn],tblDaily[EntryDate],DATE(2026,5,8),tblDaily[WardCode],"BG")),"")</f>
        <v/>
      </c>
      <c r="G170" s="5" t="str">
        <f>IFERROR(IF(SUMIFS(tblDaily[TransfersOut],tblDaily[EntryDate],DATE(2026,5,8),tblDaily[WardCode],"BG")=0,"",SUMIFS(tblDaily[TransfersOut],tblDaily[EntryDate],DATE(2026,5,8),tblDaily[WardCode],"BG")),"")</f>
        <v/>
      </c>
      <c r="H170" s="5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IFERROR(IF(SUMIFS(tblDaily[Admissions],tblDaily[EntryDate],DATE(2026,5,9),tblDaily[WardCode],"BG")=0,"",SUMIFS(tblDaily[Admissions],tblDaily[EntryDate],DATE(2026,5,9),tblDaily[WardCode],"BG")),"")</f>
        <v/>
      </c>
      <c r="C171" s="5" t="str">
        <f>IFERROR(IF(SUMIFS(tblDaily[Discharges],tblDaily[EntryDate],DATE(2026,5,9),tblDaily[WardCode],"BG")=0,"",SUMIFS(tblDaily[Discharges],tblDaily[EntryDate],DATE(2026,5,9),tblDaily[WardCode],"BG")),"")</f>
        <v/>
      </c>
      <c r="D171" s="5" t="str">
        <f>IFERROR(IF(SUMIFS(tblDaily[Deaths],tblDaily[EntryDate],DATE(2026,5,9),tblDaily[WardCode],"BG")=0,"",SUMIFS(tblDaily[Deaths],tblDaily[EntryDate],DATE(2026,5,9),tblDaily[WardCode],"BG")),"")</f>
        <v/>
      </c>
      <c r="E171" s="5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5" t="str">
        <f>IFERROR(IF(SUMIFS(tblDaily[TransfersIn],tblDaily[EntryDate],DATE(2026,5,9),tblDaily[WardCode],"BG")=0,"",SUMIFS(tblDaily[TransfersIn],tblDaily[EntryDate],DATE(2026,5,9),tblDaily[WardCode],"BG")),"")</f>
        <v/>
      </c>
      <c r="G171" s="5" t="str">
        <f>IFERROR(IF(SUMIFS(tblDaily[TransfersOut],tblDaily[EntryDate],DATE(2026,5,9),tblDaily[WardCode],"BG")=0,"",SUMIFS(tblDaily[TransfersOut],tblDaily[EntryDate],DATE(2026,5,9),tblDaily[WardCode],"BG")),"")</f>
        <v/>
      </c>
      <c r="H171" s="5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IFERROR(IF(SUMIFS(tblDaily[Admissions],tblDaily[EntryDate],DATE(2026,5,10),tblDaily[WardCode],"BG")=0,"",SUMIFS(tblDaily[Admissions],tblDaily[EntryDate],DATE(2026,5,10),tblDaily[WardCode],"BG")),"")</f>
        <v/>
      </c>
      <c r="C172" s="5" t="str">
        <f>IFERROR(IF(SUMIFS(tblDaily[Discharges],tblDaily[EntryDate],DATE(2026,5,10),tblDaily[WardCode],"BG")=0,"",SUMIFS(tblDaily[Discharges],tblDaily[EntryDate],DATE(2026,5,10),tblDaily[WardCode],"BG")),"")</f>
        <v/>
      </c>
      <c r="D172" s="5" t="str">
        <f>IFERROR(IF(SUMIFS(tblDaily[Deaths],tblDaily[EntryDate],DATE(2026,5,10),tblDaily[WardCode],"BG")=0,"",SUMIFS(tblDaily[Deaths],tblDaily[EntryDate],DATE(2026,5,10),tblDaily[WardCode],"BG")),"")</f>
        <v/>
      </c>
      <c r="E172" s="5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5" t="str">
        <f>IFERROR(IF(SUMIFS(tblDaily[TransfersIn],tblDaily[EntryDate],DATE(2026,5,10),tblDaily[WardCode],"BG")=0,"",SUMIFS(tblDaily[TransfersIn],tblDaily[EntryDate],DATE(2026,5,10),tblDaily[WardCode],"BG")),"")</f>
        <v/>
      </c>
      <c r="G172" s="5" t="str">
        <f>IFERROR(IF(SUMIFS(tblDaily[TransfersOut],tblDaily[EntryDate],DATE(2026,5,10),tblDaily[WardCode],"BG")=0,"",SUMIFS(tblDaily[TransfersOut],tblDaily[EntryDate],DATE(2026,5,10),tblDaily[WardCode],"BG")),"")</f>
        <v/>
      </c>
      <c r="H172" s="5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IFERROR(IF(SUMIFS(tblDaily[Admissions],tblDaily[EntryDate],DATE(2026,5,11),tblDaily[WardCode],"BG")=0,"",SUMIFS(tblDaily[Admissions],tblDaily[EntryDate],DATE(2026,5,11),tblDaily[WardCode],"BG")),"")</f>
        <v/>
      </c>
      <c r="C173" s="5" t="str">
        <f>IFERROR(IF(SUMIFS(tblDaily[Discharges],tblDaily[EntryDate],DATE(2026,5,11),tblDaily[WardCode],"BG")=0,"",SUMIFS(tblDaily[Discharges],tblDaily[EntryDate],DATE(2026,5,11),tblDaily[WardCode],"BG")),"")</f>
        <v/>
      </c>
      <c r="D173" s="5" t="str">
        <f>IFERROR(IF(SUMIFS(tblDaily[Deaths],tblDaily[EntryDate],DATE(2026,5,11),tblDaily[WardCode],"BG")=0,"",SUMIFS(tblDaily[Deaths],tblDaily[EntryDate],DATE(2026,5,11),tblDaily[WardCode],"BG")),"")</f>
        <v/>
      </c>
      <c r="E173" s="5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5" t="str">
        <f>IFERROR(IF(SUMIFS(tblDaily[TransfersIn],tblDaily[EntryDate],DATE(2026,5,11),tblDaily[WardCode],"BG")=0,"",SUMIFS(tblDaily[TransfersIn],tblDaily[EntryDate],DATE(2026,5,11),tblDaily[WardCode],"BG")),"")</f>
        <v/>
      </c>
      <c r="G173" s="5" t="str">
        <f>IFERROR(IF(SUMIFS(tblDaily[TransfersOut],tblDaily[EntryDate],DATE(2026,5,11),tblDaily[WardCode],"BG")=0,"",SUMIFS(tblDaily[TransfersOut],tblDaily[EntryDate],DATE(2026,5,11),tblDaily[WardCode],"BG")),"")</f>
        <v/>
      </c>
      <c r="H173" s="5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IFERROR(IF(SUMIFS(tblDaily[Admissions],tblDaily[EntryDate],DATE(2026,5,12),tblDaily[WardCode],"BG")=0,"",SUMIFS(tblDaily[Admissions],tblDaily[EntryDate],DATE(2026,5,12),tblDaily[WardCode],"BG")),"")</f>
        <v/>
      </c>
      <c r="C174" s="5" t="str">
        <f>IFERROR(IF(SUMIFS(tblDaily[Discharges],tblDaily[EntryDate],DATE(2026,5,12),tblDaily[WardCode],"BG")=0,"",SUMIFS(tblDaily[Discharges],tblDaily[EntryDate],DATE(2026,5,12),tblDaily[WardCode],"BG")),"")</f>
        <v/>
      </c>
      <c r="D174" s="5" t="str">
        <f>IFERROR(IF(SUMIFS(tblDaily[Deaths],tblDaily[EntryDate],DATE(2026,5,12),tblDaily[WardCode],"BG")=0,"",SUMIFS(tblDaily[Deaths],tblDaily[EntryDate],DATE(2026,5,12),tblDaily[WardCode],"BG")),"")</f>
        <v/>
      </c>
      <c r="E174" s="5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5" t="str">
        <f>IFERROR(IF(SUMIFS(tblDaily[TransfersIn],tblDaily[EntryDate],DATE(2026,5,12),tblDaily[WardCode],"BG")=0,"",SUMIFS(tblDaily[TransfersIn],tblDaily[EntryDate],DATE(2026,5,12),tblDaily[WardCode],"BG")),"")</f>
        <v/>
      </c>
      <c r="G174" s="5" t="str">
        <f>IFERROR(IF(SUMIFS(tblDaily[TransfersOut],tblDaily[EntryDate],DATE(2026,5,12),tblDaily[WardCode],"BG")=0,"",SUMIFS(tblDaily[TransfersOut],tblDaily[EntryDate],DATE(2026,5,12),tblDaily[WardCode],"BG")),"")</f>
        <v/>
      </c>
      <c r="H174" s="5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IFERROR(IF(SUMIFS(tblDaily[Admissions],tblDaily[EntryDate],DATE(2026,5,13),tblDaily[WardCode],"BG")=0,"",SUMIFS(tblDaily[Admissions],tblDaily[EntryDate],DATE(2026,5,13),tblDaily[WardCode],"BG")),"")</f>
        <v/>
      </c>
      <c r="C175" s="5" t="str">
        <f>IFERROR(IF(SUMIFS(tblDaily[Discharges],tblDaily[EntryDate],DATE(2026,5,13),tblDaily[WardCode],"BG")=0,"",SUMIFS(tblDaily[Discharges],tblDaily[EntryDate],DATE(2026,5,13),tblDaily[WardCode],"BG")),"")</f>
        <v/>
      </c>
      <c r="D175" s="5" t="str">
        <f>IFERROR(IF(SUMIFS(tblDaily[Deaths],tblDaily[EntryDate],DATE(2026,5,13),tblDaily[WardCode],"BG")=0,"",SUMIFS(tblDaily[Deaths],tblDaily[EntryDate],DATE(2026,5,13),tblDaily[WardCode],"BG")),"")</f>
        <v/>
      </c>
      <c r="E175" s="5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5" t="str">
        <f>IFERROR(IF(SUMIFS(tblDaily[TransfersIn],tblDaily[EntryDate],DATE(2026,5,13),tblDaily[WardCode],"BG")=0,"",SUMIFS(tblDaily[TransfersIn],tblDaily[EntryDate],DATE(2026,5,13),tblDaily[WardCode],"BG")),"")</f>
        <v/>
      </c>
      <c r="G175" s="5" t="str">
        <f>IFERROR(IF(SUMIFS(tblDaily[TransfersOut],tblDaily[EntryDate],DATE(2026,5,13),tblDaily[WardCode],"BG")=0,"",SUMIFS(tblDaily[TransfersOut],tblDaily[EntryDate],DATE(2026,5,13),tblDaily[WardCode],"BG")),"")</f>
        <v/>
      </c>
      <c r="H175" s="5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IFERROR(IF(SUMIFS(tblDaily[Admissions],tblDaily[EntryDate],DATE(2026,5,14),tblDaily[WardCode],"BG")=0,"",SUMIFS(tblDaily[Admissions],tblDaily[EntryDate],DATE(2026,5,14),tblDaily[WardCode],"BG")),"")</f>
        <v/>
      </c>
      <c r="C176" s="5" t="str">
        <f>IFERROR(IF(SUMIFS(tblDaily[Discharges],tblDaily[EntryDate],DATE(2026,5,14),tblDaily[WardCode],"BG")=0,"",SUMIFS(tblDaily[Discharges],tblDaily[EntryDate],DATE(2026,5,14),tblDaily[WardCode],"BG")),"")</f>
        <v/>
      </c>
      <c r="D176" s="5" t="str">
        <f>IFERROR(IF(SUMIFS(tblDaily[Deaths],tblDaily[EntryDate],DATE(2026,5,14),tblDaily[WardCode],"BG")=0,"",SUMIFS(tblDaily[Deaths],tblDaily[EntryDate],DATE(2026,5,14),tblDaily[WardCode],"BG")),"")</f>
        <v/>
      </c>
      <c r="E176" s="5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5" t="str">
        <f>IFERROR(IF(SUMIFS(tblDaily[TransfersIn],tblDaily[EntryDate],DATE(2026,5,14),tblDaily[WardCode],"BG")=0,"",SUMIFS(tblDaily[TransfersIn],tblDaily[EntryDate],DATE(2026,5,14),tblDaily[WardCode],"BG")),"")</f>
        <v/>
      </c>
      <c r="G176" s="5" t="str">
        <f>IFERROR(IF(SUMIFS(tblDaily[TransfersOut],tblDaily[EntryDate],DATE(2026,5,14),tblDaily[WardCode],"BG")=0,"",SUMIFS(tblDaily[TransfersOut],tblDaily[EntryDate],DATE(2026,5,14),tblDaily[WardCode],"BG")),"")</f>
        <v/>
      </c>
      <c r="H176" s="5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IFERROR(IF(SUMIFS(tblDaily[Admissions],tblDaily[EntryDate],DATE(2026,5,15),tblDaily[WardCode],"BG")=0,"",SUMIFS(tblDaily[Admissions],tblDaily[EntryDate],DATE(2026,5,15),tblDaily[WardCode],"BG")),"")</f>
        <v/>
      </c>
      <c r="C177" s="5" t="str">
        <f>IFERROR(IF(SUMIFS(tblDaily[Discharges],tblDaily[EntryDate],DATE(2026,5,15),tblDaily[WardCode],"BG")=0,"",SUMIFS(tblDaily[Discharges],tblDaily[EntryDate],DATE(2026,5,15),tblDaily[WardCode],"BG")),"")</f>
        <v/>
      </c>
      <c r="D177" s="5" t="str">
        <f>IFERROR(IF(SUMIFS(tblDaily[Deaths],tblDaily[EntryDate],DATE(2026,5,15),tblDaily[WardCode],"BG")=0,"",SUMIFS(tblDaily[Deaths],tblDaily[EntryDate],DATE(2026,5,15),tblDaily[WardCode],"BG")),"")</f>
        <v/>
      </c>
      <c r="E177" s="5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5" t="str">
        <f>IFERROR(IF(SUMIFS(tblDaily[TransfersIn],tblDaily[EntryDate],DATE(2026,5,15),tblDaily[WardCode],"BG")=0,"",SUMIFS(tblDaily[TransfersIn],tblDaily[EntryDate],DATE(2026,5,15),tblDaily[WardCode],"BG")),"")</f>
        <v/>
      </c>
      <c r="G177" s="5" t="str">
        <f>IFERROR(IF(SUMIFS(tblDaily[TransfersOut],tblDaily[EntryDate],DATE(2026,5,15),tblDaily[WardCode],"BG")=0,"",SUMIFS(tblDaily[TransfersOut],tblDaily[EntryDate],DATE(2026,5,15),tblDaily[WardCode],"BG")),"")</f>
        <v/>
      </c>
      <c r="H177" s="5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IFERROR(IF(SUMIFS(tblDaily[Admissions],tblDaily[EntryDate],DATE(2026,5,16),tblDaily[WardCode],"BG")=0,"",SUMIFS(tblDaily[Admissions],tblDaily[EntryDate],DATE(2026,5,16),tblDaily[WardCode],"BG")),"")</f>
        <v/>
      </c>
      <c r="C178" s="5" t="str">
        <f>IFERROR(IF(SUMIFS(tblDaily[Discharges],tblDaily[EntryDate],DATE(2026,5,16),tblDaily[WardCode],"BG")=0,"",SUMIFS(tblDaily[Discharges],tblDaily[EntryDate],DATE(2026,5,16),tblDaily[WardCode],"BG")),"")</f>
        <v/>
      </c>
      <c r="D178" s="5" t="str">
        <f>IFERROR(IF(SUMIFS(tblDaily[Deaths],tblDaily[EntryDate],DATE(2026,5,16),tblDaily[WardCode],"BG")=0,"",SUMIFS(tblDaily[Deaths],tblDaily[EntryDate],DATE(2026,5,16),tblDaily[WardCode],"BG")),"")</f>
        <v/>
      </c>
      <c r="E178" s="5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5" t="str">
        <f>IFERROR(IF(SUMIFS(tblDaily[TransfersIn],tblDaily[EntryDate],DATE(2026,5,16),tblDaily[WardCode],"BG")=0,"",SUMIFS(tblDaily[TransfersIn],tblDaily[EntryDate],DATE(2026,5,16),tblDaily[WardCode],"BG")),"")</f>
        <v/>
      </c>
      <c r="G178" s="5" t="str">
        <f>IFERROR(IF(SUMIFS(tblDaily[TransfersOut],tblDaily[EntryDate],DATE(2026,5,16),tblDaily[WardCode],"BG")=0,"",SUMIFS(tblDaily[TransfersOut],tblDaily[EntryDate],DATE(2026,5,16),tblDaily[WardCode],"BG")),"")</f>
        <v/>
      </c>
      <c r="H178" s="5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IFERROR(IF(SUMIFS(tblDaily[Admissions],tblDaily[EntryDate],DATE(2026,5,17),tblDaily[WardCode],"BG")=0,"",SUMIFS(tblDaily[Admissions],tblDaily[EntryDate],DATE(2026,5,17),tblDaily[WardCode],"BG")),"")</f>
        <v/>
      </c>
      <c r="C179" s="5" t="str">
        <f>IFERROR(IF(SUMIFS(tblDaily[Discharges],tblDaily[EntryDate],DATE(2026,5,17),tblDaily[WardCode],"BG")=0,"",SUMIFS(tblDaily[Discharges],tblDaily[EntryDate],DATE(2026,5,17),tblDaily[WardCode],"BG")),"")</f>
        <v/>
      </c>
      <c r="D179" s="5" t="str">
        <f>IFERROR(IF(SUMIFS(tblDaily[Deaths],tblDaily[EntryDate],DATE(2026,5,17),tblDaily[WardCode],"BG")=0,"",SUMIFS(tblDaily[Deaths],tblDaily[EntryDate],DATE(2026,5,17),tblDaily[WardCode],"BG")),"")</f>
        <v/>
      </c>
      <c r="E179" s="5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5" t="str">
        <f>IFERROR(IF(SUMIFS(tblDaily[TransfersIn],tblDaily[EntryDate],DATE(2026,5,17),tblDaily[WardCode],"BG")=0,"",SUMIFS(tblDaily[TransfersIn],tblDaily[EntryDate],DATE(2026,5,17),tblDaily[WardCode],"BG")),"")</f>
        <v/>
      </c>
      <c r="G179" s="5" t="str">
        <f>IFERROR(IF(SUMIFS(tblDaily[TransfersOut],tblDaily[EntryDate],DATE(2026,5,17),tblDaily[WardCode],"BG")=0,"",SUMIFS(tblDaily[TransfersOut],tblDaily[EntryDate],DATE(2026,5,17),tblDaily[WardCode],"BG")),"")</f>
        <v/>
      </c>
      <c r="H179" s="5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IFERROR(IF(SUMIFS(tblDaily[Admissions],tblDaily[EntryDate],DATE(2026,5,18),tblDaily[WardCode],"BG")=0,"",SUMIFS(tblDaily[Admissions],tblDaily[EntryDate],DATE(2026,5,18),tblDaily[WardCode],"BG")),"")</f>
        <v/>
      </c>
      <c r="C180" s="5" t="str">
        <f>IFERROR(IF(SUMIFS(tblDaily[Discharges],tblDaily[EntryDate],DATE(2026,5,18),tblDaily[WardCode],"BG")=0,"",SUMIFS(tblDaily[Discharges],tblDaily[EntryDate],DATE(2026,5,18),tblDaily[WardCode],"BG")),"")</f>
        <v/>
      </c>
      <c r="D180" s="5" t="str">
        <f>IFERROR(IF(SUMIFS(tblDaily[Deaths],tblDaily[EntryDate],DATE(2026,5,18),tblDaily[WardCode],"BG")=0,"",SUMIFS(tblDaily[Deaths],tblDaily[EntryDate],DATE(2026,5,18),tblDaily[WardCode],"BG")),"")</f>
        <v/>
      </c>
      <c r="E180" s="5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5" t="str">
        <f>IFERROR(IF(SUMIFS(tblDaily[TransfersIn],tblDaily[EntryDate],DATE(2026,5,18),tblDaily[WardCode],"BG")=0,"",SUMIFS(tblDaily[TransfersIn],tblDaily[EntryDate],DATE(2026,5,18),tblDaily[WardCode],"BG")),"")</f>
        <v/>
      </c>
      <c r="G180" s="5" t="str">
        <f>IFERROR(IF(SUMIFS(tblDaily[TransfersOut],tblDaily[EntryDate],DATE(2026,5,18),tblDaily[WardCode],"BG")=0,"",SUMIFS(tblDaily[TransfersOut],tblDaily[EntryDate],DATE(2026,5,18),tblDaily[WardCode],"BG")),"")</f>
        <v/>
      </c>
      <c r="H180" s="5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IFERROR(IF(SUMIFS(tblDaily[Admissions],tblDaily[EntryDate],DATE(2026,5,19),tblDaily[WardCode],"BG")=0,"",SUMIFS(tblDaily[Admissions],tblDaily[EntryDate],DATE(2026,5,19),tblDaily[WardCode],"BG")),"")</f>
        <v/>
      </c>
      <c r="C181" s="5" t="str">
        <f>IFERROR(IF(SUMIFS(tblDaily[Discharges],tblDaily[EntryDate],DATE(2026,5,19),tblDaily[WardCode],"BG")=0,"",SUMIFS(tblDaily[Discharges],tblDaily[EntryDate],DATE(2026,5,19),tblDaily[WardCode],"BG")),"")</f>
        <v/>
      </c>
      <c r="D181" s="5" t="str">
        <f>IFERROR(IF(SUMIFS(tblDaily[Deaths],tblDaily[EntryDate],DATE(2026,5,19),tblDaily[WardCode],"BG")=0,"",SUMIFS(tblDaily[Deaths],tblDaily[EntryDate],DATE(2026,5,19),tblDaily[WardCode],"BG")),"")</f>
        <v/>
      </c>
      <c r="E181" s="5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5" t="str">
        <f>IFERROR(IF(SUMIFS(tblDaily[TransfersIn],tblDaily[EntryDate],DATE(2026,5,19),tblDaily[WardCode],"BG")=0,"",SUMIFS(tblDaily[TransfersIn],tblDaily[EntryDate],DATE(2026,5,19),tblDaily[WardCode],"BG")),"")</f>
        <v/>
      </c>
      <c r="G181" s="5" t="str">
        <f>IFERROR(IF(SUMIFS(tblDaily[TransfersOut],tblDaily[EntryDate],DATE(2026,5,19),tblDaily[WardCode],"BG")=0,"",SUMIFS(tblDaily[TransfersOut],tblDaily[EntryDate],DATE(2026,5,19),tblDaily[WardCode],"BG")),"")</f>
        <v/>
      </c>
      <c r="H181" s="5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IFERROR(IF(SUMIFS(tblDaily[Admissions],tblDaily[EntryDate],DATE(2026,5,20),tblDaily[WardCode],"BG")=0,"",SUMIFS(tblDaily[Admissions],tblDaily[EntryDate],DATE(2026,5,20),tblDaily[WardCode],"BG")),"")</f>
        <v/>
      </c>
      <c r="C182" s="5" t="str">
        <f>IFERROR(IF(SUMIFS(tblDaily[Discharges],tblDaily[EntryDate],DATE(2026,5,20),tblDaily[WardCode],"BG")=0,"",SUMIFS(tblDaily[Discharges],tblDaily[EntryDate],DATE(2026,5,20),tblDaily[WardCode],"BG")),"")</f>
        <v/>
      </c>
      <c r="D182" s="5" t="str">
        <f>IFERROR(IF(SUMIFS(tblDaily[Deaths],tblDaily[EntryDate],DATE(2026,5,20),tblDaily[WardCode],"BG")=0,"",SUMIFS(tblDaily[Deaths],tblDaily[EntryDate],DATE(2026,5,20),tblDaily[WardCode],"BG")),"")</f>
        <v/>
      </c>
      <c r="E182" s="5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5" t="str">
        <f>IFERROR(IF(SUMIFS(tblDaily[TransfersIn],tblDaily[EntryDate],DATE(2026,5,20),tblDaily[WardCode],"BG")=0,"",SUMIFS(tblDaily[TransfersIn],tblDaily[EntryDate],DATE(2026,5,20),tblDaily[WardCode],"BG")),"")</f>
        <v/>
      </c>
      <c r="G182" s="5" t="str">
        <f>IFERROR(IF(SUMIFS(tblDaily[TransfersOut],tblDaily[EntryDate],DATE(2026,5,20),tblDaily[WardCode],"BG")=0,"",SUMIFS(tblDaily[TransfersOut],tblDaily[EntryDate],DATE(2026,5,20),tblDaily[WardCode],"BG")),"")</f>
        <v/>
      </c>
      <c r="H182" s="5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IFERROR(IF(SUMIFS(tblDaily[Admissions],tblDaily[EntryDate],DATE(2026,5,21),tblDaily[WardCode],"BG")=0,"",SUMIFS(tblDaily[Admissions],tblDaily[EntryDate],DATE(2026,5,21),tblDaily[WardCode],"BG")),"")</f>
        <v/>
      </c>
      <c r="C183" s="5" t="str">
        <f>IFERROR(IF(SUMIFS(tblDaily[Discharges],tblDaily[EntryDate],DATE(2026,5,21),tblDaily[WardCode],"BG")=0,"",SUMIFS(tblDaily[Discharges],tblDaily[EntryDate],DATE(2026,5,21),tblDaily[WardCode],"BG")),"")</f>
        <v/>
      </c>
      <c r="D183" s="5" t="str">
        <f>IFERROR(IF(SUMIFS(tblDaily[Deaths],tblDaily[EntryDate],DATE(2026,5,21),tblDaily[WardCode],"BG")=0,"",SUMIFS(tblDaily[Deaths],tblDaily[EntryDate],DATE(2026,5,21),tblDaily[WardCode],"BG")),"")</f>
        <v/>
      </c>
      <c r="E183" s="5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5" t="str">
        <f>IFERROR(IF(SUMIFS(tblDaily[TransfersIn],tblDaily[EntryDate],DATE(2026,5,21),tblDaily[WardCode],"BG")=0,"",SUMIFS(tblDaily[TransfersIn],tblDaily[EntryDate],DATE(2026,5,21),tblDaily[WardCode],"BG")),"")</f>
        <v/>
      </c>
      <c r="G183" s="5" t="str">
        <f>IFERROR(IF(SUMIFS(tblDaily[TransfersOut],tblDaily[EntryDate],DATE(2026,5,21),tblDaily[WardCode],"BG")=0,"",SUMIFS(tblDaily[TransfersOut],tblDaily[EntryDate],DATE(2026,5,21),tblDaily[WardCode],"BG")),"")</f>
        <v/>
      </c>
      <c r="H183" s="5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IFERROR(IF(SUMIFS(tblDaily[Admissions],tblDaily[EntryDate],DATE(2026,5,22),tblDaily[WardCode],"BG")=0,"",SUMIFS(tblDaily[Admissions],tblDaily[EntryDate],DATE(2026,5,22),tblDaily[WardCode],"BG")),"")</f>
        <v/>
      </c>
      <c r="C184" s="5" t="str">
        <f>IFERROR(IF(SUMIFS(tblDaily[Discharges],tblDaily[EntryDate],DATE(2026,5,22),tblDaily[WardCode],"BG")=0,"",SUMIFS(tblDaily[Discharges],tblDaily[EntryDate],DATE(2026,5,22),tblDaily[WardCode],"BG")),"")</f>
        <v/>
      </c>
      <c r="D184" s="5" t="str">
        <f>IFERROR(IF(SUMIFS(tblDaily[Deaths],tblDaily[EntryDate],DATE(2026,5,22),tblDaily[WardCode],"BG")=0,"",SUMIFS(tblDaily[Deaths],tblDaily[EntryDate],DATE(2026,5,22),tblDaily[WardCode],"BG")),"")</f>
        <v/>
      </c>
      <c r="E184" s="5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5" t="str">
        <f>IFERROR(IF(SUMIFS(tblDaily[TransfersIn],tblDaily[EntryDate],DATE(2026,5,22),tblDaily[WardCode],"BG")=0,"",SUMIFS(tblDaily[TransfersIn],tblDaily[EntryDate],DATE(2026,5,22),tblDaily[WardCode],"BG")),"")</f>
        <v/>
      </c>
      <c r="G184" s="5" t="str">
        <f>IFERROR(IF(SUMIFS(tblDaily[TransfersOut],tblDaily[EntryDate],DATE(2026,5,22),tblDaily[WardCode],"BG")=0,"",SUMIFS(tblDaily[TransfersOut],tblDaily[EntryDate],DATE(2026,5,22),tblDaily[WardCode],"BG")),"")</f>
        <v/>
      </c>
      <c r="H184" s="5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IFERROR(IF(SUMIFS(tblDaily[Admissions],tblDaily[EntryDate],DATE(2026,5,23),tblDaily[WardCode],"BG")=0,"",SUMIFS(tblDaily[Admissions],tblDaily[EntryDate],DATE(2026,5,23),tblDaily[WardCode],"BG")),"")</f>
        <v/>
      </c>
      <c r="C185" s="5" t="str">
        <f>IFERROR(IF(SUMIFS(tblDaily[Discharges],tblDaily[EntryDate],DATE(2026,5,23),tblDaily[WardCode],"BG")=0,"",SUMIFS(tblDaily[Discharges],tblDaily[EntryDate],DATE(2026,5,23),tblDaily[WardCode],"BG")),"")</f>
        <v/>
      </c>
      <c r="D185" s="5" t="str">
        <f>IFERROR(IF(SUMIFS(tblDaily[Deaths],tblDaily[EntryDate],DATE(2026,5,23),tblDaily[WardCode],"BG")=0,"",SUMIFS(tblDaily[Deaths],tblDaily[EntryDate],DATE(2026,5,23),tblDaily[WardCode],"BG")),"")</f>
        <v/>
      </c>
      <c r="E185" s="5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5" t="str">
        <f>IFERROR(IF(SUMIFS(tblDaily[TransfersIn],tblDaily[EntryDate],DATE(2026,5,23),tblDaily[WardCode],"BG")=0,"",SUMIFS(tblDaily[TransfersIn],tblDaily[EntryDate],DATE(2026,5,23),tblDaily[WardCode],"BG")),"")</f>
        <v/>
      </c>
      <c r="G185" s="5" t="str">
        <f>IFERROR(IF(SUMIFS(tblDaily[TransfersOut],tblDaily[EntryDate],DATE(2026,5,23),tblDaily[WardCode],"BG")=0,"",SUMIFS(tblDaily[TransfersOut],tblDaily[EntryDate],DATE(2026,5,23),tblDaily[WardCode],"BG")),"")</f>
        <v/>
      </c>
      <c r="H185" s="5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IFERROR(IF(SUMIFS(tblDaily[Admissions],tblDaily[EntryDate],DATE(2026,5,24),tblDaily[WardCode],"BG")=0,"",SUMIFS(tblDaily[Admissions],tblDaily[EntryDate],DATE(2026,5,24),tblDaily[WardCode],"BG")),"")</f>
        <v/>
      </c>
      <c r="C186" s="5" t="str">
        <f>IFERROR(IF(SUMIFS(tblDaily[Discharges],tblDaily[EntryDate],DATE(2026,5,24),tblDaily[WardCode],"BG")=0,"",SUMIFS(tblDaily[Discharges],tblDaily[EntryDate],DATE(2026,5,24),tblDaily[WardCode],"BG")),"")</f>
        <v/>
      </c>
      <c r="D186" s="5" t="str">
        <f>IFERROR(IF(SUMIFS(tblDaily[Deaths],tblDaily[EntryDate],DATE(2026,5,24),tblDaily[WardCode],"BG")=0,"",SUMIFS(tblDaily[Deaths],tblDaily[EntryDate],DATE(2026,5,24),tblDaily[WardCode],"BG")),"")</f>
        <v/>
      </c>
      <c r="E186" s="5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5" t="str">
        <f>IFERROR(IF(SUMIFS(tblDaily[TransfersIn],tblDaily[EntryDate],DATE(2026,5,24),tblDaily[WardCode],"BG")=0,"",SUMIFS(tblDaily[TransfersIn],tblDaily[EntryDate],DATE(2026,5,24),tblDaily[WardCode],"BG")),"")</f>
        <v/>
      </c>
      <c r="G186" s="5" t="str">
        <f>IFERROR(IF(SUMIFS(tblDaily[TransfersOut],tblDaily[EntryDate],DATE(2026,5,24),tblDaily[WardCode],"BG")=0,"",SUMIFS(tblDaily[TransfersOut],tblDaily[EntryDate],DATE(2026,5,24),tblDaily[WardCode],"BG")),"")</f>
        <v/>
      </c>
      <c r="H186" s="5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IFERROR(IF(SUMIFS(tblDaily[Admissions],tblDaily[EntryDate],DATE(2026,5,25),tblDaily[WardCode],"BG")=0,"",SUMIFS(tblDaily[Admissions],tblDaily[EntryDate],DATE(2026,5,25),tblDaily[WardCode],"BG")),"")</f>
        <v/>
      </c>
      <c r="C187" s="5" t="str">
        <f>IFERROR(IF(SUMIFS(tblDaily[Discharges],tblDaily[EntryDate],DATE(2026,5,25),tblDaily[WardCode],"BG")=0,"",SUMIFS(tblDaily[Discharges],tblDaily[EntryDate],DATE(2026,5,25),tblDaily[WardCode],"BG")),"")</f>
        <v/>
      </c>
      <c r="D187" s="5" t="str">
        <f>IFERROR(IF(SUMIFS(tblDaily[Deaths],tblDaily[EntryDate],DATE(2026,5,25),tblDaily[WardCode],"BG")=0,"",SUMIFS(tblDaily[Deaths],tblDaily[EntryDate],DATE(2026,5,25),tblDaily[WardCode],"BG")),"")</f>
        <v/>
      </c>
      <c r="E187" s="5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5" t="str">
        <f>IFERROR(IF(SUMIFS(tblDaily[TransfersIn],tblDaily[EntryDate],DATE(2026,5,25),tblDaily[WardCode],"BG")=0,"",SUMIFS(tblDaily[TransfersIn],tblDaily[EntryDate],DATE(2026,5,25),tblDaily[WardCode],"BG")),"")</f>
        <v/>
      </c>
      <c r="G187" s="5" t="str">
        <f>IFERROR(IF(SUMIFS(tblDaily[TransfersOut],tblDaily[EntryDate],DATE(2026,5,25),tblDaily[WardCode],"BG")=0,"",SUMIFS(tblDaily[TransfersOut],tblDaily[EntryDate],DATE(2026,5,25),tblDaily[WardCode],"BG")),"")</f>
        <v/>
      </c>
      <c r="H187" s="5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IFERROR(IF(SUMIFS(tblDaily[Admissions],tblDaily[EntryDate],DATE(2026,5,26),tblDaily[WardCode],"BG")=0,"",SUMIFS(tblDaily[Admissions],tblDaily[EntryDate],DATE(2026,5,26),tblDaily[WardCode],"BG")),"")</f>
        <v/>
      </c>
      <c r="C188" s="5" t="str">
        <f>IFERROR(IF(SUMIFS(tblDaily[Discharges],tblDaily[EntryDate],DATE(2026,5,26),tblDaily[WardCode],"BG")=0,"",SUMIFS(tblDaily[Discharges],tblDaily[EntryDate],DATE(2026,5,26),tblDaily[WardCode],"BG")),"")</f>
        <v/>
      </c>
      <c r="D188" s="5" t="str">
        <f>IFERROR(IF(SUMIFS(tblDaily[Deaths],tblDaily[EntryDate],DATE(2026,5,26),tblDaily[WardCode],"BG")=0,"",SUMIFS(tblDaily[Deaths],tblDaily[EntryDate],DATE(2026,5,26),tblDaily[WardCode],"BG")),"")</f>
        <v/>
      </c>
      <c r="E188" s="5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5" t="str">
        <f>IFERROR(IF(SUMIFS(tblDaily[TransfersIn],tblDaily[EntryDate],DATE(2026,5,26),tblDaily[WardCode],"BG")=0,"",SUMIFS(tblDaily[TransfersIn],tblDaily[EntryDate],DATE(2026,5,26),tblDaily[WardCode],"BG")),"")</f>
        <v/>
      </c>
      <c r="G188" s="5" t="str">
        <f>IFERROR(IF(SUMIFS(tblDaily[TransfersOut],tblDaily[EntryDate],DATE(2026,5,26),tblDaily[WardCode],"BG")=0,"",SUMIFS(tblDaily[TransfersOut],tblDaily[EntryDate],DATE(2026,5,26),tblDaily[WardCode],"BG")),"")</f>
        <v/>
      </c>
      <c r="H188" s="5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IFERROR(IF(SUMIFS(tblDaily[Admissions],tblDaily[EntryDate],DATE(2026,5,27),tblDaily[WardCode],"BG")=0,"",SUMIFS(tblDaily[Admissions],tblDaily[EntryDate],DATE(2026,5,27),tblDaily[WardCode],"BG")),"")</f>
        <v/>
      </c>
      <c r="C189" s="5" t="str">
        <f>IFERROR(IF(SUMIFS(tblDaily[Discharges],tblDaily[EntryDate],DATE(2026,5,27),tblDaily[WardCode],"BG")=0,"",SUMIFS(tblDaily[Discharges],tblDaily[EntryDate],DATE(2026,5,27),tblDaily[WardCode],"BG")),"")</f>
        <v/>
      </c>
      <c r="D189" s="5" t="str">
        <f>IFERROR(IF(SUMIFS(tblDaily[Deaths],tblDaily[EntryDate],DATE(2026,5,27),tblDaily[WardCode],"BG")=0,"",SUMIFS(tblDaily[Deaths],tblDaily[EntryDate],DATE(2026,5,27),tblDaily[WardCode],"BG")),"")</f>
        <v/>
      </c>
      <c r="E189" s="5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5" t="str">
        <f>IFERROR(IF(SUMIFS(tblDaily[TransfersIn],tblDaily[EntryDate],DATE(2026,5,27),tblDaily[WardCode],"BG")=0,"",SUMIFS(tblDaily[TransfersIn],tblDaily[EntryDate],DATE(2026,5,27),tblDaily[WardCode],"BG")),"")</f>
        <v/>
      </c>
      <c r="G189" s="5" t="str">
        <f>IFERROR(IF(SUMIFS(tblDaily[TransfersOut],tblDaily[EntryDate],DATE(2026,5,27),tblDaily[WardCode],"BG")=0,"",SUMIFS(tblDaily[TransfersOut],tblDaily[EntryDate],DATE(2026,5,27),tblDaily[WardCode],"BG")),"")</f>
        <v/>
      </c>
      <c r="H189" s="5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IFERROR(IF(SUMIFS(tblDaily[Admissions],tblDaily[EntryDate],DATE(2026,5,28),tblDaily[WardCode],"BG")=0,"",SUMIFS(tblDaily[Admissions],tblDaily[EntryDate],DATE(2026,5,28),tblDaily[WardCode],"BG")),"")</f>
        <v/>
      </c>
      <c r="C190" s="5" t="str">
        <f>IFERROR(IF(SUMIFS(tblDaily[Discharges],tblDaily[EntryDate],DATE(2026,5,28),tblDaily[WardCode],"BG")=0,"",SUMIFS(tblDaily[Discharges],tblDaily[EntryDate],DATE(2026,5,28),tblDaily[WardCode],"BG")),"")</f>
        <v/>
      </c>
      <c r="D190" s="5" t="str">
        <f>IFERROR(IF(SUMIFS(tblDaily[Deaths],tblDaily[EntryDate],DATE(2026,5,28),tblDaily[WardCode],"BG")=0,"",SUMIFS(tblDaily[Deaths],tblDaily[EntryDate],DATE(2026,5,28),tblDaily[WardCode],"BG")),"")</f>
        <v/>
      </c>
      <c r="E190" s="5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5" t="str">
        <f>IFERROR(IF(SUMIFS(tblDaily[TransfersIn],tblDaily[EntryDate],DATE(2026,5,28),tblDaily[WardCode],"BG")=0,"",SUMIFS(tblDaily[TransfersIn],tblDaily[EntryDate],DATE(2026,5,28),tblDaily[WardCode],"BG")),"")</f>
        <v/>
      </c>
      <c r="G190" s="5" t="str">
        <f>IFERROR(IF(SUMIFS(tblDaily[TransfersOut],tblDaily[EntryDate],DATE(2026,5,28),tblDaily[WardCode],"BG")=0,"",SUMIFS(tblDaily[TransfersOut],tblDaily[EntryDate],DATE(2026,5,28),tblDaily[WardCode],"BG")),"")</f>
        <v/>
      </c>
      <c r="H190" s="5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IFERROR(IF(SUMIFS(tblDaily[Admissions],tblDaily[EntryDate],DATE(2026,5,29),tblDaily[WardCode],"BG")=0,"",SUMIFS(tblDaily[Admissions],tblDaily[EntryDate],DATE(2026,5,29),tblDaily[WardCode],"BG")),"")</f>
        <v/>
      </c>
      <c r="C191" s="5" t="str">
        <f>IFERROR(IF(SUMIFS(tblDaily[Discharges],tblDaily[EntryDate],DATE(2026,5,29),tblDaily[WardCode],"BG")=0,"",SUMIFS(tblDaily[Discharges],tblDaily[EntryDate],DATE(2026,5,29),tblDaily[WardCode],"BG")),"")</f>
        <v/>
      </c>
      <c r="D191" s="5" t="str">
        <f>IFERROR(IF(SUMIFS(tblDaily[Deaths],tblDaily[EntryDate],DATE(2026,5,29),tblDaily[WardCode],"BG")=0,"",SUMIFS(tblDaily[Deaths],tblDaily[EntryDate],DATE(2026,5,29),tblDaily[WardCode],"BG")),"")</f>
        <v/>
      </c>
      <c r="E191" s="5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5" t="str">
        <f>IFERROR(IF(SUMIFS(tblDaily[TransfersIn],tblDaily[EntryDate],DATE(2026,5,29),tblDaily[WardCode],"BG")=0,"",SUMIFS(tblDaily[TransfersIn],tblDaily[EntryDate],DATE(2026,5,29),tblDaily[WardCode],"BG")),"")</f>
        <v/>
      </c>
      <c r="G191" s="5" t="str">
        <f>IFERROR(IF(SUMIFS(tblDaily[TransfersOut],tblDaily[EntryDate],DATE(2026,5,29),tblDaily[WardCode],"BG")=0,"",SUMIFS(tblDaily[TransfersOut],tblDaily[EntryDate],DATE(2026,5,29),tblDaily[WardCode],"BG")),"")</f>
        <v/>
      </c>
      <c r="H191" s="5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IFERROR(IF(SUMIFS(tblDaily[Admissions],tblDaily[EntryDate],DATE(2026,5,30),tblDaily[WardCode],"BG")=0,"",SUMIFS(tblDaily[Admissions],tblDaily[EntryDate],DATE(2026,5,30),tblDaily[WardCode],"BG")),"")</f>
        <v/>
      </c>
      <c r="C192" s="5" t="str">
        <f>IFERROR(IF(SUMIFS(tblDaily[Discharges],tblDaily[EntryDate],DATE(2026,5,30),tblDaily[WardCode],"BG")=0,"",SUMIFS(tblDaily[Discharges],tblDaily[EntryDate],DATE(2026,5,30),tblDaily[WardCode],"BG")),"")</f>
        <v/>
      </c>
      <c r="D192" s="5" t="str">
        <f>IFERROR(IF(SUMIFS(tblDaily[Deaths],tblDaily[EntryDate],DATE(2026,5,30),tblDaily[WardCode],"BG")=0,"",SUMIFS(tblDaily[Deaths],tblDaily[EntryDate],DATE(2026,5,30),tblDaily[WardCode],"BG")),"")</f>
        <v/>
      </c>
      <c r="E192" s="5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5" t="str">
        <f>IFERROR(IF(SUMIFS(tblDaily[TransfersIn],tblDaily[EntryDate],DATE(2026,5,30),tblDaily[WardCode],"BG")=0,"",SUMIFS(tblDaily[TransfersIn],tblDaily[EntryDate],DATE(2026,5,30),tblDaily[WardCode],"BG")),"")</f>
        <v/>
      </c>
      <c r="G192" s="5" t="str">
        <f>IFERROR(IF(SUMIFS(tblDaily[TransfersOut],tblDaily[EntryDate],DATE(2026,5,30),tblDaily[WardCode],"BG")=0,"",SUMIFS(tblDaily[TransfersOut],tblDaily[EntryDate],DATE(2026,5,30),tblDaily[WardCode],"BG")),"")</f>
        <v/>
      </c>
      <c r="H192" s="5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IFERROR(IF(SUMIFS(tblDaily[Admissions],tblDaily[EntryDate],DATE(2026,5,31),tblDaily[WardCode],"BG")=0,"",SUMIFS(tblDaily[Admissions],tblDaily[EntryDate],DATE(2026,5,31),tblDaily[WardCode],"BG")),"")</f>
        <v/>
      </c>
      <c r="C193" s="5" t="str">
        <f>IFERROR(IF(SUMIFS(tblDaily[Discharges],tblDaily[EntryDate],DATE(2026,5,31),tblDaily[WardCode],"BG")=0,"",SUMIFS(tblDaily[Discharges],tblDaily[EntryDate],DATE(2026,5,31),tblDaily[WardCode],"BG")),"")</f>
        <v/>
      </c>
      <c r="D193" s="5" t="str">
        <f>IFERROR(IF(SUMIFS(tblDaily[Deaths],tblDaily[EntryDate],DATE(2026,5,31),tblDaily[WardCode],"BG")=0,"",SUMIFS(tblDaily[Deaths],tblDaily[EntryDate],DATE(2026,5,31),tblDaily[WardCode],"BG")),"")</f>
        <v/>
      </c>
      <c r="E193" s="5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5" t="str">
        <f>IFERROR(IF(SUMIFS(tblDaily[TransfersIn],tblDaily[EntryDate],DATE(2026,5,31),tblDaily[WardCode],"BG")=0,"",SUMIFS(tblDaily[TransfersIn],tblDaily[EntryDate],DATE(2026,5,31),tblDaily[WardCode],"BG")),"")</f>
        <v/>
      </c>
      <c r="G193" s="5" t="str">
        <f>IFERROR(IF(SUMIFS(tblDaily[TransfersOut],tblDaily[EntryDate],DATE(2026,5,31),tblDaily[WardCode],"BG")=0,"",SUMIFS(tblDaily[TransfersOut],tblDaily[EntryDate],DATE(2026,5,31),tblDaily[WardCode],"BG")),"")</f>
        <v/>
      </c>
      <c r="H193" s="5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95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99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89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IFERROR(IF(SUMIFS(tblDaily[Admissions],tblDaily[EntryDate],DATE(2026,6,1),tblDaily[WardCode],"BG")=0,"",SUMIFS(tblDaily[Admissions],tblDaily[EntryDate],DATE(2026,6,1),tblDaily[WardCode],"BG")),"")</f>
        <v/>
      </c>
      <c r="C202" s="5" t="str">
        <f>IFERROR(IF(SUMIFS(tblDaily[Discharges],tblDaily[EntryDate],DATE(2026,6,1),tblDaily[WardCode],"BG")=0,"",SUMIFS(tblDaily[Discharges],tblDaily[EntryDate],DATE(2026,6,1),tblDaily[WardCode],"BG")),"")</f>
        <v/>
      </c>
      <c r="D202" s="5" t="str">
        <f>IFERROR(IF(SUMIFS(tblDaily[Deaths],tblDaily[EntryDate],DATE(2026,6,1),tblDaily[WardCode],"BG")=0,"",SUMIFS(tblDaily[Deaths],tblDaily[EntryDate],DATE(2026,6,1),tblDaily[WardCode],"BG")),"")</f>
        <v/>
      </c>
      <c r="E202" s="5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5" t="str">
        <f>IFERROR(IF(SUMIFS(tblDaily[TransfersIn],tblDaily[EntryDate],DATE(2026,6,1),tblDaily[WardCode],"BG")=0,"",SUMIFS(tblDaily[TransfersIn],tblDaily[EntryDate],DATE(2026,6,1),tblDaily[WardCode],"BG")),"")</f>
        <v/>
      </c>
      <c r="G202" s="5" t="str">
        <f>IFERROR(IF(SUMIFS(tblDaily[TransfersOut],tblDaily[EntryDate],DATE(2026,6,1),tblDaily[WardCode],"BG")=0,"",SUMIFS(tblDaily[TransfersOut],tblDaily[EntryDate],DATE(2026,6,1),tblDaily[WardCode],"BG")),"")</f>
        <v/>
      </c>
      <c r="H202" s="5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IFERROR(IF(SUMIFS(tblDaily[Admissions],tblDaily[EntryDate],DATE(2026,6,2),tblDaily[WardCode],"BG")=0,"",SUMIFS(tblDaily[Admissions],tblDaily[EntryDate],DATE(2026,6,2),tblDaily[WardCode],"BG")),"")</f>
        <v/>
      </c>
      <c r="C203" s="5" t="str">
        <f>IFERROR(IF(SUMIFS(tblDaily[Discharges],tblDaily[EntryDate],DATE(2026,6,2),tblDaily[WardCode],"BG")=0,"",SUMIFS(tblDaily[Discharges],tblDaily[EntryDate],DATE(2026,6,2),tblDaily[WardCode],"BG")),"")</f>
        <v/>
      </c>
      <c r="D203" s="5" t="str">
        <f>IFERROR(IF(SUMIFS(tblDaily[Deaths],tblDaily[EntryDate],DATE(2026,6,2),tblDaily[WardCode],"BG")=0,"",SUMIFS(tblDaily[Deaths],tblDaily[EntryDate],DATE(2026,6,2),tblDaily[WardCode],"BG")),"")</f>
        <v/>
      </c>
      <c r="E203" s="5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5" t="str">
        <f>IFERROR(IF(SUMIFS(tblDaily[TransfersIn],tblDaily[EntryDate],DATE(2026,6,2),tblDaily[WardCode],"BG")=0,"",SUMIFS(tblDaily[TransfersIn],tblDaily[EntryDate],DATE(2026,6,2),tblDaily[WardCode],"BG")),"")</f>
        <v/>
      </c>
      <c r="G203" s="5" t="str">
        <f>IFERROR(IF(SUMIFS(tblDaily[TransfersOut],tblDaily[EntryDate],DATE(2026,6,2),tblDaily[WardCode],"BG")=0,"",SUMIFS(tblDaily[TransfersOut],tblDaily[EntryDate],DATE(2026,6,2),tblDaily[WardCode],"BG")),"")</f>
        <v/>
      </c>
      <c r="H203" s="5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IFERROR(IF(SUMIFS(tblDaily[Admissions],tblDaily[EntryDate],DATE(2026,6,3),tblDaily[WardCode],"BG")=0,"",SUMIFS(tblDaily[Admissions],tblDaily[EntryDate],DATE(2026,6,3),tblDaily[WardCode],"BG")),"")</f>
        <v/>
      </c>
      <c r="C204" s="5" t="str">
        <f>IFERROR(IF(SUMIFS(tblDaily[Discharges],tblDaily[EntryDate],DATE(2026,6,3),tblDaily[WardCode],"BG")=0,"",SUMIFS(tblDaily[Discharges],tblDaily[EntryDate],DATE(2026,6,3),tblDaily[WardCode],"BG")),"")</f>
        <v/>
      </c>
      <c r="D204" s="5" t="str">
        <f>IFERROR(IF(SUMIFS(tblDaily[Deaths],tblDaily[EntryDate],DATE(2026,6,3),tblDaily[WardCode],"BG")=0,"",SUMIFS(tblDaily[Deaths],tblDaily[EntryDate],DATE(2026,6,3),tblDaily[WardCode],"BG")),"")</f>
        <v/>
      </c>
      <c r="E204" s="5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5" t="str">
        <f>IFERROR(IF(SUMIFS(tblDaily[TransfersIn],tblDaily[EntryDate],DATE(2026,6,3),tblDaily[WardCode],"BG")=0,"",SUMIFS(tblDaily[TransfersIn],tblDaily[EntryDate],DATE(2026,6,3),tblDaily[WardCode],"BG")),"")</f>
        <v/>
      </c>
      <c r="G204" s="5" t="str">
        <f>IFERROR(IF(SUMIFS(tblDaily[TransfersOut],tblDaily[EntryDate],DATE(2026,6,3),tblDaily[WardCode],"BG")=0,"",SUMIFS(tblDaily[TransfersOut],tblDaily[EntryDate],DATE(2026,6,3),tblDaily[WardCode],"BG")),"")</f>
        <v/>
      </c>
      <c r="H204" s="5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IFERROR(IF(SUMIFS(tblDaily[Admissions],tblDaily[EntryDate],DATE(2026,6,4),tblDaily[WardCode],"BG")=0,"",SUMIFS(tblDaily[Admissions],tblDaily[EntryDate],DATE(2026,6,4),tblDaily[WardCode],"BG")),"")</f>
        <v/>
      </c>
      <c r="C205" s="5" t="str">
        <f>IFERROR(IF(SUMIFS(tblDaily[Discharges],tblDaily[EntryDate],DATE(2026,6,4),tblDaily[WardCode],"BG")=0,"",SUMIFS(tblDaily[Discharges],tblDaily[EntryDate],DATE(2026,6,4),tblDaily[WardCode],"BG")),"")</f>
        <v/>
      </c>
      <c r="D205" s="5" t="str">
        <f>IFERROR(IF(SUMIFS(tblDaily[Deaths],tblDaily[EntryDate],DATE(2026,6,4),tblDaily[WardCode],"BG")=0,"",SUMIFS(tblDaily[Deaths],tblDaily[EntryDate],DATE(2026,6,4),tblDaily[WardCode],"BG")),"")</f>
        <v/>
      </c>
      <c r="E205" s="5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5" t="str">
        <f>IFERROR(IF(SUMIFS(tblDaily[TransfersIn],tblDaily[EntryDate],DATE(2026,6,4),tblDaily[WardCode],"BG")=0,"",SUMIFS(tblDaily[TransfersIn],tblDaily[EntryDate],DATE(2026,6,4),tblDaily[WardCode],"BG")),"")</f>
        <v/>
      </c>
      <c r="G205" s="5" t="str">
        <f>IFERROR(IF(SUMIFS(tblDaily[TransfersOut],tblDaily[EntryDate],DATE(2026,6,4),tblDaily[WardCode],"BG")=0,"",SUMIFS(tblDaily[TransfersOut],tblDaily[EntryDate],DATE(2026,6,4),tblDaily[WardCode],"BG")),"")</f>
        <v/>
      </c>
      <c r="H205" s="5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IFERROR(IF(SUMIFS(tblDaily[Admissions],tblDaily[EntryDate],DATE(2026,6,5),tblDaily[WardCode],"BG")=0,"",SUMIFS(tblDaily[Admissions],tblDaily[EntryDate],DATE(2026,6,5),tblDaily[WardCode],"BG")),"")</f>
        <v/>
      </c>
      <c r="C206" s="5" t="str">
        <f>IFERROR(IF(SUMIFS(tblDaily[Discharges],tblDaily[EntryDate],DATE(2026,6,5),tblDaily[WardCode],"BG")=0,"",SUMIFS(tblDaily[Discharges],tblDaily[EntryDate],DATE(2026,6,5),tblDaily[WardCode],"BG")),"")</f>
        <v/>
      </c>
      <c r="D206" s="5" t="str">
        <f>IFERROR(IF(SUMIFS(tblDaily[Deaths],tblDaily[EntryDate],DATE(2026,6,5),tblDaily[WardCode],"BG")=0,"",SUMIFS(tblDaily[Deaths],tblDaily[EntryDate],DATE(2026,6,5),tblDaily[WardCode],"BG")),"")</f>
        <v/>
      </c>
      <c r="E206" s="5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5" t="str">
        <f>IFERROR(IF(SUMIFS(tblDaily[TransfersIn],tblDaily[EntryDate],DATE(2026,6,5),tblDaily[WardCode],"BG")=0,"",SUMIFS(tblDaily[TransfersIn],tblDaily[EntryDate],DATE(2026,6,5),tblDaily[WardCode],"BG")),"")</f>
        <v/>
      </c>
      <c r="G206" s="5" t="str">
        <f>IFERROR(IF(SUMIFS(tblDaily[TransfersOut],tblDaily[EntryDate],DATE(2026,6,5),tblDaily[WardCode],"BG")=0,"",SUMIFS(tblDaily[TransfersOut],tblDaily[EntryDate],DATE(2026,6,5),tblDaily[WardCode],"BG")),"")</f>
        <v/>
      </c>
      <c r="H206" s="5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IFERROR(IF(SUMIFS(tblDaily[Admissions],tblDaily[EntryDate],DATE(2026,6,6),tblDaily[WardCode],"BG")=0,"",SUMIFS(tblDaily[Admissions],tblDaily[EntryDate],DATE(2026,6,6),tblDaily[WardCode],"BG")),"")</f>
        <v/>
      </c>
      <c r="C207" s="5" t="str">
        <f>IFERROR(IF(SUMIFS(tblDaily[Discharges],tblDaily[EntryDate],DATE(2026,6,6),tblDaily[WardCode],"BG")=0,"",SUMIFS(tblDaily[Discharges],tblDaily[EntryDate],DATE(2026,6,6),tblDaily[WardCode],"BG")),"")</f>
        <v/>
      </c>
      <c r="D207" s="5" t="str">
        <f>IFERROR(IF(SUMIFS(tblDaily[Deaths],tblDaily[EntryDate],DATE(2026,6,6),tblDaily[WardCode],"BG")=0,"",SUMIFS(tblDaily[Deaths],tblDaily[EntryDate],DATE(2026,6,6),tblDaily[WardCode],"BG")),"")</f>
        <v/>
      </c>
      <c r="E207" s="5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5" t="str">
        <f>IFERROR(IF(SUMIFS(tblDaily[TransfersIn],tblDaily[EntryDate],DATE(2026,6,6),tblDaily[WardCode],"BG")=0,"",SUMIFS(tblDaily[TransfersIn],tblDaily[EntryDate],DATE(2026,6,6),tblDaily[WardCode],"BG")),"")</f>
        <v/>
      </c>
      <c r="G207" s="5" t="str">
        <f>IFERROR(IF(SUMIFS(tblDaily[TransfersOut],tblDaily[EntryDate],DATE(2026,6,6),tblDaily[WardCode],"BG")=0,"",SUMIFS(tblDaily[TransfersOut],tblDaily[EntryDate],DATE(2026,6,6),tblDaily[WardCode],"BG")),"")</f>
        <v/>
      </c>
      <c r="H207" s="5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IFERROR(IF(SUMIFS(tblDaily[Admissions],tblDaily[EntryDate],DATE(2026,6,7),tblDaily[WardCode],"BG")=0,"",SUMIFS(tblDaily[Admissions],tblDaily[EntryDate],DATE(2026,6,7),tblDaily[WardCode],"BG")),"")</f>
        <v/>
      </c>
      <c r="C208" s="5" t="str">
        <f>IFERROR(IF(SUMIFS(tblDaily[Discharges],tblDaily[EntryDate],DATE(2026,6,7),tblDaily[WardCode],"BG")=0,"",SUMIFS(tblDaily[Discharges],tblDaily[EntryDate],DATE(2026,6,7),tblDaily[WardCode],"BG")),"")</f>
        <v/>
      </c>
      <c r="D208" s="5" t="str">
        <f>IFERROR(IF(SUMIFS(tblDaily[Deaths],tblDaily[EntryDate],DATE(2026,6,7),tblDaily[WardCode],"BG")=0,"",SUMIFS(tblDaily[Deaths],tblDaily[EntryDate],DATE(2026,6,7),tblDaily[WardCode],"BG")),"")</f>
        <v/>
      </c>
      <c r="E208" s="5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5" t="str">
        <f>IFERROR(IF(SUMIFS(tblDaily[TransfersIn],tblDaily[EntryDate],DATE(2026,6,7),tblDaily[WardCode],"BG")=0,"",SUMIFS(tblDaily[TransfersIn],tblDaily[EntryDate],DATE(2026,6,7),tblDaily[WardCode],"BG")),"")</f>
        <v/>
      </c>
      <c r="G208" s="5" t="str">
        <f>IFERROR(IF(SUMIFS(tblDaily[TransfersOut],tblDaily[EntryDate],DATE(2026,6,7),tblDaily[WardCode],"BG")=0,"",SUMIFS(tblDaily[TransfersOut],tblDaily[EntryDate],DATE(2026,6,7),tblDaily[WardCode],"BG")),"")</f>
        <v/>
      </c>
      <c r="H208" s="5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IFERROR(IF(SUMIFS(tblDaily[Admissions],tblDaily[EntryDate],DATE(2026,6,8),tblDaily[WardCode],"BG")=0,"",SUMIFS(tblDaily[Admissions],tblDaily[EntryDate],DATE(2026,6,8),tblDaily[WardCode],"BG")),"")</f>
        <v/>
      </c>
      <c r="C209" s="5" t="str">
        <f>IFERROR(IF(SUMIFS(tblDaily[Discharges],tblDaily[EntryDate],DATE(2026,6,8),tblDaily[WardCode],"BG")=0,"",SUMIFS(tblDaily[Discharges],tblDaily[EntryDate],DATE(2026,6,8),tblDaily[WardCode],"BG")),"")</f>
        <v/>
      </c>
      <c r="D209" s="5" t="str">
        <f>IFERROR(IF(SUMIFS(tblDaily[Deaths],tblDaily[EntryDate],DATE(2026,6,8),tblDaily[WardCode],"BG")=0,"",SUMIFS(tblDaily[Deaths],tblDaily[EntryDate],DATE(2026,6,8),tblDaily[WardCode],"BG")),"")</f>
        <v/>
      </c>
      <c r="E209" s="5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5" t="str">
        <f>IFERROR(IF(SUMIFS(tblDaily[TransfersIn],tblDaily[EntryDate],DATE(2026,6,8),tblDaily[WardCode],"BG")=0,"",SUMIFS(tblDaily[TransfersIn],tblDaily[EntryDate],DATE(2026,6,8),tblDaily[WardCode],"BG")),"")</f>
        <v/>
      </c>
      <c r="G209" s="5" t="str">
        <f>IFERROR(IF(SUMIFS(tblDaily[TransfersOut],tblDaily[EntryDate],DATE(2026,6,8),tblDaily[WardCode],"BG")=0,"",SUMIFS(tblDaily[TransfersOut],tblDaily[EntryDate],DATE(2026,6,8),tblDaily[WardCode],"BG")),"")</f>
        <v/>
      </c>
      <c r="H209" s="5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IFERROR(IF(SUMIFS(tblDaily[Admissions],tblDaily[EntryDate],DATE(2026,6,9),tblDaily[WardCode],"BG")=0,"",SUMIFS(tblDaily[Admissions],tblDaily[EntryDate],DATE(2026,6,9),tblDaily[WardCode],"BG")),"")</f>
        <v/>
      </c>
      <c r="C210" s="5" t="str">
        <f>IFERROR(IF(SUMIFS(tblDaily[Discharges],tblDaily[EntryDate],DATE(2026,6,9),tblDaily[WardCode],"BG")=0,"",SUMIFS(tblDaily[Discharges],tblDaily[EntryDate],DATE(2026,6,9),tblDaily[WardCode],"BG")),"")</f>
        <v/>
      </c>
      <c r="D210" s="5" t="str">
        <f>IFERROR(IF(SUMIFS(tblDaily[Deaths],tblDaily[EntryDate],DATE(2026,6,9),tblDaily[WardCode],"BG")=0,"",SUMIFS(tblDaily[Deaths],tblDaily[EntryDate],DATE(2026,6,9),tblDaily[WardCode],"BG")),"")</f>
        <v/>
      </c>
      <c r="E210" s="5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5" t="str">
        <f>IFERROR(IF(SUMIFS(tblDaily[TransfersIn],tblDaily[EntryDate],DATE(2026,6,9),tblDaily[WardCode],"BG")=0,"",SUMIFS(tblDaily[TransfersIn],tblDaily[EntryDate],DATE(2026,6,9),tblDaily[WardCode],"BG")),"")</f>
        <v/>
      </c>
      <c r="G210" s="5" t="str">
        <f>IFERROR(IF(SUMIFS(tblDaily[TransfersOut],tblDaily[EntryDate],DATE(2026,6,9),tblDaily[WardCode],"BG")=0,"",SUMIFS(tblDaily[TransfersOut],tblDaily[EntryDate],DATE(2026,6,9),tblDaily[WardCode],"BG")),"")</f>
        <v/>
      </c>
      <c r="H210" s="5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IFERROR(IF(SUMIFS(tblDaily[Admissions],tblDaily[EntryDate],DATE(2026,6,10),tblDaily[WardCode],"BG")=0,"",SUMIFS(tblDaily[Admissions],tblDaily[EntryDate],DATE(2026,6,10),tblDaily[WardCode],"BG")),"")</f>
        <v/>
      </c>
      <c r="C211" s="5" t="str">
        <f>IFERROR(IF(SUMIFS(tblDaily[Discharges],tblDaily[EntryDate],DATE(2026,6,10),tblDaily[WardCode],"BG")=0,"",SUMIFS(tblDaily[Discharges],tblDaily[EntryDate],DATE(2026,6,10),tblDaily[WardCode],"BG")),"")</f>
        <v/>
      </c>
      <c r="D211" s="5" t="str">
        <f>IFERROR(IF(SUMIFS(tblDaily[Deaths],tblDaily[EntryDate],DATE(2026,6,10),tblDaily[WardCode],"BG")=0,"",SUMIFS(tblDaily[Deaths],tblDaily[EntryDate],DATE(2026,6,10),tblDaily[WardCode],"BG")),"")</f>
        <v/>
      </c>
      <c r="E211" s="5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5" t="str">
        <f>IFERROR(IF(SUMIFS(tblDaily[TransfersIn],tblDaily[EntryDate],DATE(2026,6,10),tblDaily[WardCode],"BG")=0,"",SUMIFS(tblDaily[TransfersIn],tblDaily[EntryDate],DATE(2026,6,10),tblDaily[WardCode],"BG")),"")</f>
        <v/>
      </c>
      <c r="G211" s="5" t="str">
        <f>IFERROR(IF(SUMIFS(tblDaily[TransfersOut],tblDaily[EntryDate],DATE(2026,6,10),tblDaily[WardCode],"BG")=0,"",SUMIFS(tblDaily[TransfersOut],tblDaily[EntryDate],DATE(2026,6,10),tblDaily[WardCode],"BG")),"")</f>
        <v/>
      </c>
      <c r="H211" s="5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IFERROR(IF(SUMIFS(tblDaily[Admissions],tblDaily[EntryDate],DATE(2026,6,11),tblDaily[WardCode],"BG")=0,"",SUMIFS(tblDaily[Admissions],tblDaily[EntryDate],DATE(2026,6,11),tblDaily[WardCode],"BG")),"")</f>
        <v/>
      </c>
      <c r="C212" s="5" t="str">
        <f>IFERROR(IF(SUMIFS(tblDaily[Discharges],tblDaily[EntryDate],DATE(2026,6,11),tblDaily[WardCode],"BG")=0,"",SUMIFS(tblDaily[Discharges],tblDaily[EntryDate],DATE(2026,6,11),tblDaily[WardCode],"BG")),"")</f>
        <v/>
      </c>
      <c r="D212" s="5" t="str">
        <f>IFERROR(IF(SUMIFS(tblDaily[Deaths],tblDaily[EntryDate],DATE(2026,6,11),tblDaily[WardCode],"BG")=0,"",SUMIFS(tblDaily[Deaths],tblDaily[EntryDate],DATE(2026,6,11),tblDaily[WardCode],"BG")),"")</f>
        <v/>
      </c>
      <c r="E212" s="5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5" t="str">
        <f>IFERROR(IF(SUMIFS(tblDaily[TransfersIn],tblDaily[EntryDate],DATE(2026,6,11),tblDaily[WardCode],"BG")=0,"",SUMIFS(tblDaily[TransfersIn],tblDaily[EntryDate],DATE(2026,6,11),tblDaily[WardCode],"BG")),"")</f>
        <v/>
      </c>
      <c r="G212" s="5" t="str">
        <f>IFERROR(IF(SUMIFS(tblDaily[TransfersOut],tblDaily[EntryDate],DATE(2026,6,11),tblDaily[WardCode],"BG")=0,"",SUMIFS(tblDaily[TransfersOut],tblDaily[EntryDate],DATE(2026,6,11),tblDaily[WardCode],"BG")),"")</f>
        <v/>
      </c>
      <c r="H212" s="5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IFERROR(IF(SUMIFS(tblDaily[Admissions],tblDaily[EntryDate],DATE(2026,6,12),tblDaily[WardCode],"BG")=0,"",SUMIFS(tblDaily[Admissions],tblDaily[EntryDate],DATE(2026,6,12),tblDaily[WardCode],"BG")),"")</f>
        <v/>
      </c>
      <c r="C213" s="5" t="str">
        <f>IFERROR(IF(SUMIFS(tblDaily[Discharges],tblDaily[EntryDate],DATE(2026,6,12),tblDaily[WardCode],"BG")=0,"",SUMIFS(tblDaily[Discharges],tblDaily[EntryDate],DATE(2026,6,12),tblDaily[WardCode],"BG")),"")</f>
        <v/>
      </c>
      <c r="D213" s="5" t="str">
        <f>IFERROR(IF(SUMIFS(tblDaily[Deaths],tblDaily[EntryDate],DATE(2026,6,12),tblDaily[WardCode],"BG")=0,"",SUMIFS(tblDaily[Deaths],tblDaily[EntryDate],DATE(2026,6,12),tblDaily[WardCode],"BG")),"")</f>
        <v/>
      </c>
      <c r="E213" s="5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5" t="str">
        <f>IFERROR(IF(SUMIFS(tblDaily[TransfersIn],tblDaily[EntryDate],DATE(2026,6,12),tblDaily[WardCode],"BG")=0,"",SUMIFS(tblDaily[TransfersIn],tblDaily[EntryDate],DATE(2026,6,12),tblDaily[WardCode],"BG")),"")</f>
        <v/>
      </c>
      <c r="G213" s="5" t="str">
        <f>IFERROR(IF(SUMIFS(tblDaily[TransfersOut],tblDaily[EntryDate],DATE(2026,6,12),tblDaily[WardCode],"BG")=0,"",SUMIFS(tblDaily[TransfersOut],tblDaily[EntryDate],DATE(2026,6,12),tblDaily[WardCode],"BG")),"")</f>
        <v/>
      </c>
      <c r="H213" s="5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IFERROR(IF(SUMIFS(tblDaily[Admissions],tblDaily[EntryDate],DATE(2026,6,13),tblDaily[WardCode],"BG")=0,"",SUMIFS(tblDaily[Admissions],tblDaily[EntryDate],DATE(2026,6,13),tblDaily[WardCode],"BG")),"")</f>
        <v/>
      </c>
      <c r="C214" s="5" t="str">
        <f>IFERROR(IF(SUMIFS(tblDaily[Discharges],tblDaily[EntryDate],DATE(2026,6,13),tblDaily[WardCode],"BG")=0,"",SUMIFS(tblDaily[Discharges],tblDaily[EntryDate],DATE(2026,6,13),tblDaily[WardCode],"BG")),"")</f>
        <v/>
      </c>
      <c r="D214" s="5" t="str">
        <f>IFERROR(IF(SUMIFS(tblDaily[Deaths],tblDaily[EntryDate],DATE(2026,6,13),tblDaily[WardCode],"BG")=0,"",SUMIFS(tblDaily[Deaths],tblDaily[EntryDate],DATE(2026,6,13),tblDaily[WardCode],"BG")),"")</f>
        <v/>
      </c>
      <c r="E214" s="5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5" t="str">
        <f>IFERROR(IF(SUMIFS(tblDaily[TransfersIn],tblDaily[EntryDate],DATE(2026,6,13),tblDaily[WardCode],"BG")=0,"",SUMIFS(tblDaily[TransfersIn],tblDaily[EntryDate],DATE(2026,6,13),tblDaily[WardCode],"BG")),"")</f>
        <v/>
      </c>
      <c r="G214" s="5" t="str">
        <f>IFERROR(IF(SUMIFS(tblDaily[TransfersOut],tblDaily[EntryDate],DATE(2026,6,13),tblDaily[WardCode],"BG")=0,"",SUMIFS(tblDaily[TransfersOut],tblDaily[EntryDate],DATE(2026,6,13),tblDaily[WardCode],"BG")),"")</f>
        <v/>
      </c>
      <c r="H214" s="5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IFERROR(IF(SUMIFS(tblDaily[Admissions],tblDaily[EntryDate],DATE(2026,6,14),tblDaily[WardCode],"BG")=0,"",SUMIFS(tblDaily[Admissions],tblDaily[EntryDate],DATE(2026,6,14),tblDaily[WardCode],"BG")),"")</f>
        <v/>
      </c>
      <c r="C215" s="5" t="str">
        <f>IFERROR(IF(SUMIFS(tblDaily[Discharges],tblDaily[EntryDate],DATE(2026,6,14),tblDaily[WardCode],"BG")=0,"",SUMIFS(tblDaily[Discharges],tblDaily[EntryDate],DATE(2026,6,14),tblDaily[WardCode],"BG")),"")</f>
        <v/>
      </c>
      <c r="D215" s="5" t="str">
        <f>IFERROR(IF(SUMIFS(tblDaily[Deaths],tblDaily[EntryDate],DATE(2026,6,14),tblDaily[WardCode],"BG")=0,"",SUMIFS(tblDaily[Deaths],tblDaily[EntryDate],DATE(2026,6,14),tblDaily[WardCode],"BG")),"")</f>
        <v/>
      </c>
      <c r="E215" s="5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5" t="str">
        <f>IFERROR(IF(SUMIFS(tblDaily[TransfersIn],tblDaily[EntryDate],DATE(2026,6,14),tblDaily[WardCode],"BG")=0,"",SUMIFS(tblDaily[TransfersIn],tblDaily[EntryDate],DATE(2026,6,14),tblDaily[WardCode],"BG")),"")</f>
        <v/>
      </c>
      <c r="G215" s="5" t="str">
        <f>IFERROR(IF(SUMIFS(tblDaily[TransfersOut],tblDaily[EntryDate],DATE(2026,6,14),tblDaily[WardCode],"BG")=0,"",SUMIFS(tblDaily[TransfersOut],tblDaily[EntryDate],DATE(2026,6,14),tblDaily[WardCode],"BG")),"")</f>
        <v/>
      </c>
      <c r="H215" s="5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IFERROR(IF(SUMIFS(tblDaily[Admissions],tblDaily[EntryDate],DATE(2026,6,15),tblDaily[WardCode],"BG")=0,"",SUMIFS(tblDaily[Admissions],tblDaily[EntryDate],DATE(2026,6,15),tblDaily[WardCode],"BG")),"")</f>
        <v/>
      </c>
      <c r="C216" s="5" t="str">
        <f>IFERROR(IF(SUMIFS(tblDaily[Discharges],tblDaily[EntryDate],DATE(2026,6,15),tblDaily[WardCode],"BG")=0,"",SUMIFS(tblDaily[Discharges],tblDaily[EntryDate],DATE(2026,6,15),tblDaily[WardCode],"BG")),"")</f>
        <v/>
      </c>
      <c r="D216" s="5" t="str">
        <f>IFERROR(IF(SUMIFS(tblDaily[Deaths],tblDaily[EntryDate],DATE(2026,6,15),tblDaily[WardCode],"BG")=0,"",SUMIFS(tblDaily[Deaths],tblDaily[EntryDate],DATE(2026,6,15),tblDaily[WardCode],"BG")),"")</f>
        <v/>
      </c>
      <c r="E216" s="5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5" t="str">
        <f>IFERROR(IF(SUMIFS(tblDaily[TransfersIn],tblDaily[EntryDate],DATE(2026,6,15),tblDaily[WardCode],"BG")=0,"",SUMIFS(tblDaily[TransfersIn],tblDaily[EntryDate],DATE(2026,6,15),tblDaily[WardCode],"BG")),"")</f>
        <v/>
      </c>
      <c r="G216" s="5" t="str">
        <f>IFERROR(IF(SUMIFS(tblDaily[TransfersOut],tblDaily[EntryDate],DATE(2026,6,15),tblDaily[WardCode],"BG")=0,"",SUMIFS(tblDaily[TransfersOut],tblDaily[EntryDate],DATE(2026,6,15),tblDaily[WardCode],"BG")),"")</f>
        <v/>
      </c>
      <c r="H216" s="5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IFERROR(IF(SUMIFS(tblDaily[Admissions],tblDaily[EntryDate],DATE(2026,6,16),tblDaily[WardCode],"BG")=0,"",SUMIFS(tblDaily[Admissions],tblDaily[EntryDate],DATE(2026,6,16),tblDaily[WardCode],"BG")),"")</f>
        <v/>
      </c>
      <c r="C217" s="5" t="str">
        <f>IFERROR(IF(SUMIFS(tblDaily[Discharges],tblDaily[EntryDate],DATE(2026,6,16),tblDaily[WardCode],"BG")=0,"",SUMIFS(tblDaily[Discharges],tblDaily[EntryDate],DATE(2026,6,16),tblDaily[WardCode],"BG")),"")</f>
        <v/>
      </c>
      <c r="D217" s="5" t="str">
        <f>IFERROR(IF(SUMIFS(tblDaily[Deaths],tblDaily[EntryDate],DATE(2026,6,16),tblDaily[WardCode],"BG")=0,"",SUMIFS(tblDaily[Deaths],tblDaily[EntryDate],DATE(2026,6,16),tblDaily[WardCode],"BG")),"")</f>
        <v/>
      </c>
      <c r="E217" s="5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5" t="str">
        <f>IFERROR(IF(SUMIFS(tblDaily[TransfersIn],tblDaily[EntryDate],DATE(2026,6,16),tblDaily[WardCode],"BG")=0,"",SUMIFS(tblDaily[TransfersIn],tblDaily[EntryDate],DATE(2026,6,16),tblDaily[WardCode],"BG")),"")</f>
        <v/>
      </c>
      <c r="G217" s="5" t="str">
        <f>IFERROR(IF(SUMIFS(tblDaily[TransfersOut],tblDaily[EntryDate],DATE(2026,6,16),tblDaily[WardCode],"BG")=0,"",SUMIFS(tblDaily[TransfersOut],tblDaily[EntryDate],DATE(2026,6,16),tblDaily[WardCode],"BG")),"")</f>
        <v/>
      </c>
      <c r="H217" s="5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IFERROR(IF(SUMIFS(tblDaily[Admissions],tblDaily[EntryDate],DATE(2026,6,17),tblDaily[WardCode],"BG")=0,"",SUMIFS(tblDaily[Admissions],tblDaily[EntryDate],DATE(2026,6,17),tblDaily[WardCode],"BG")),"")</f>
        <v/>
      </c>
      <c r="C218" s="5" t="str">
        <f>IFERROR(IF(SUMIFS(tblDaily[Discharges],tblDaily[EntryDate],DATE(2026,6,17),tblDaily[WardCode],"BG")=0,"",SUMIFS(tblDaily[Discharges],tblDaily[EntryDate],DATE(2026,6,17),tblDaily[WardCode],"BG")),"")</f>
        <v/>
      </c>
      <c r="D218" s="5" t="str">
        <f>IFERROR(IF(SUMIFS(tblDaily[Deaths],tblDaily[EntryDate],DATE(2026,6,17),tblDaily[WardCode],"BG")=0,"",SUMIFS(tblDaily[Deaths],tblDaily[EntryDate],DATE(2026,6,17),tblDaily[WardCode],"BG")),"")</f>
        <v/>
      </c>
      <c r="E218" s="5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5" t="str">
        <f>IFERROR(IF(SUMIFS(tblDaily[TransfersIn],tblDaily[EntryDate],DATE(2026,6,17),tblDaily[WardCode],"BG")=0,"",SUMIFS(tblDaily[TransfersIn],tblDaily[EntryDate],DATE(2026,6,17),tblDaily[WardCode],"BG")),"")</f>
        <v/>
      </c>
      <c r="G218" s="5" t="str">
        <f>IFERROR(IF(SUMIFS(tblDaily[TransfersOut],tblDaily[EntryDate],DATE(2026,6,17),tblDaily[WardCode],"BG")=0,"",SUMIFS(tblDaily[TransfersOut],tblDaily[EntryDate],DATE(2026,6,17),tblDaily[WardCode],"BG")),"")</f>
        <v/>
      </c>
      <c r="H218" s="5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IFERROR(IF(SUMIFS(tblDaily[Admissions],tblDaily[EntryDate],DATE(2026,6,18),tblDaily[WardCode],"BG")=0,"",SUMIFS(tblDaily[Admissions],tblDaily[EntryDate],DATE(2026,6,18),tblDaily[WardCode],"BG")),"")</f>
        <v/>
      </c>
      <c r="C219" s="5" t="str">
        <f>IFERROR(IF(SUMIFS(tblDaily[Discharges],tblDaily[EntryDate],DATE(2026,6,18),tblDaily[WardCode],"BG")=0,"",SUMIFS(tblDaily[Discharges],tblDaily[EntryDate],DATE(2026,6,18),tblDaily[WardCode],"BG")),"")</f>
        <v/>
      </c>
      <c r="D219" s="5" t="str">
        <f>IFERROR(IF(SUMIFS(tblDaily[Deaths],tblDaily[EntryDate],DATE(2026,6,18),tblDaily[WardCode],"BG")=0,"",SUMIFS(tblDaily[Deaths],tblDaily[EntryDate],DATE(2026,6,18),tblDaily[WardCode],"BG")),"")</f>
        <v/>
      </c>
      <c r="E219" s="5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5" t="str">
        <f>IFERROR(IF(SUMIFS(tblDaily[TransfersIn],tblDaily[EntryDate],DATE(2026,6,18),tblDaily[WardCode],"BG")=0,"",SUMIFS(tblDaily[TransfersIn],tblDaily[EntryDate],DATE(2026,6,18),tblDaily[WardCode],"BG")),"")</f>
        <v/>
      </c>
      <c r="G219" s="5" t="str">
        <f>IFERROR(IF(SUMIFS(tblDaily[TransfersOut],tblDaily[EntryDate],DATE(2026,6,18),tblDaily[WardCode],"BG")=0,"",SUMIFS(tblDaily[TransfersOut],tblDaily[EntryDate],DATE(2026,6,18),tblDaily[WardCode],"BG")),"")</f>
        <v/>
      </c>
      <c r="H219" s="5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IFERROR(IF(SUMIFS(tblDaily[Admissions],tblDaily[EntryDate],DATE(2026,6,19),tblDaily[WardCode],"BG")=0,"",SUMIFS(tblDaily[Admissions],tblDaily[EntryDate],DATE(2026,6,19),tblDaily[WardCode],"BG")),"")</f>
        <v/>
      </c>
      <c r="C220" s="5" t="str">
        <f>IFERROR(IF(SUMIFS(tblDaily[Discharges],tblDaily[EntryDate],DATE(2026,6,19),tblDaily[WardCode],"BG")=0,"",SUMIFS(tblDaily[Discharges],tblDaily[EntryDate],DATE(2026,6,19),tblDaily[WardCode],"BG")),"")</f>
        <v/>
      </c>
      <c r="D220" s="5" t="str">
        <f>IFERROR(IF(SUMIFS(tblDaily[Deaths],tblDaily[EntryDate],DATE(2026,6,19),tblDaily[WardCode],"BG")=0,"",SUMIFS(tblDaily[Deaths],tblDaily[EntryDate],DATE(2026,6,19),tblDaily[WardCode],"BG")),"")</f>
        <v/>
      </c>
      <c r="E220" s="5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5" t="str">
        <f>IFERROR(IF(SUMIFS(tblDaily[TransfersIn],tblDaily[EntryDate],DATE(2026,6,19),tblDaily[WardCode],"BG")=0,"",SUMIFS(tblDaily[TransfersIn],tblDaily[EntryDate],DATE(2026,6,19),tblDaily[WardCode],"BG")),"")</f>
        <v/>
      </c>
      <c r="G220" s="5" t="str">
        <f>IFERROR(IF(SUMIFS(tblDaily[TransfersOut],tblDaily[EntryDate],DATE(2026,6,19),tblDaily[WardCode],"BG")=0,"",SUMIFS(tblDaily[TransfersOut],tblDaily[EntryDate],DATE(2026,6,19),tblDaily[WardCode],"BG")),"")</f>
        <v/>
      </c>
      <c r="H220" s="5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IFERROR(IF(SUMIFS(tblDaily[Admissions],tblDaily[EntryDate],DATE(2026,6,20),tblDaily[WardCode],"BG")=0,"",SUMIFS(tblDaily[Admissions],tblDaily[EntryDate],DATE(2026,6,20),tblDaily[WardCode],"BG")),"")</f>
        <v/>
      </c>
      <c r="C221" s="5" t="str">
        <f>IFERROR(IF(SUMIFS(tblDaily[Discharges],tblDaily[EntryDate],DATE(2026,6,20),tblDaily[WardCode],"BG")=0,"",SUMIFS(tblDaily[Discharges],tblDaily[EntryDate],DATE(2026,6,20),tblDaily[WardCode],"BG")),"")</f>
        <v/>
      </c>
      <c r="D221" s="5" t="str">
        <f>IFERROR(IF(SUMIFS(tblDaily[Deaths],tblDaily[EntryDate],DATE(2026,6,20),tblDaily[WardCode],"BG")=0,"",SUMIFS(tblDaily[Deaths],tblDaily[EntryDate],DATE(2026,6,20),tblDaily[WardCode],"BG")),"")</f>
        <v/>
      </c>
      <c r="E221" s="5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5" t="str">
        <f>IFERROR(IF(SUMIFS(tblDaily[TransfersIn],tblDaily[EntryDate],DATE(2026,6,20),tblDaily[WardCode],"BG")=0,"",SUMIFS(tblDaily[TransfersIn],tblDaily[EntryDate],DATE(2026,6,20),tblDaily[WardCode],"BG")),"")</f>
        <v/>
      </c>
      <c r="G221" s="5" t="str">
        <f>IFERROR(IF(SUMIFS(tblDaily[TransfersOut],tblDaily[EntryDate],DATE(2026,6,20),tblDaily[WardCode],"BG")=0,"",SUMIFS(tblDaily[TransfersOut],tblDaily[EntryDate],DATE(2026,6,20),tblDaily[WardCode],"BG")),"")</f>
        <v/>
      </c>
      <c r="H221" s="5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IFERROR(IF(SUMIFS(tblDaily[Admissions],tblDaily[EntryDate],DATE(2026,6,21),tblDaily[WardCode],"BG")=0,"",SUMIFS(tblDaily[Admissions],tblDaily[EntryDate],DATE(2026,6,21),tblDaily[WardCode],"BG")),"")</f>
        <v/>
      </c>
      <c r="C222" s="5" t="str">
        <f>IFERROR(IF(SUMIFS(tblDaily[Discharges],tblDaily[EntryDate],DATE(2026,6,21),tblDaily[WardCode],"BG")=0,"",SUMIFS(tblDaily[Discharges],tblDaily[EntryDate],DATE(2026,6,21),tblDaily[WardCode],"BG")),"")</f>
        <v/>
      </c>
      <c r="D222" s="5" t="str">
        <f>IFERROR(IF(SUMIFS(tblDaily[Deaths],tblDaily[EntryDate],DATE(2026,6,21),tblDaily[WardCode],"BG")=0,"",SUMIFS(tblDaily[Deaths],tblDaily[EntryDate],DATE(2026,6,21),tblDaily[WardCode],"BG")),"")</f>
        <v/>
      </c>
      <c r="E222" s="5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5" t="str">
        <f>IFERROR(IF(SUMIFS(tblDaily[TransfersIn],tblDaily[EntryDate],DATE(2026,6,21),tblDaily[WardCode],"BG")=0,"",SUMIFS(tblDaily[TransfersIn],tblDaily[EntryDate],DATE(2026,6,21),tblDaily[WardCode],"BG")),"")</f>
        <v/>
      </c>
      <c r="G222" s="5" t="str">
        <f>IFERROR(IF(SUMIFS(tblDaily[TransfersOut],tblDaily[EntryDate],DATE(2026,6,21),tblDaily[WardCode],"BG")=0,"",SUMIFS(tblDaily[TransfersOut],tblDaily[EntryDate],DATE(2026,6,21),tblDaily[WardCode],"BG")),"")</f>
        <v/>
      </c>
      <c r="H222" s="5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IFERROR(IF(SUMIFS(tblDaily[Admissions],tblDaily[EntryDate],DATE(2026,6,22),tblDaily[WardCode],"BG")=0,"",SUMIFS(tblDaily[Admissions],tblDaily[EntryDate],DATE(2026,6,22),tblDaily[WardCode],"BG")),"")</f>
        <v/>
      </c>
      <c r="C223" s="5" t="str">
        <f>IFERROR(IF(SUMIFS(tblDaily[Discharges],tblDaily[EntryDate],DATE(2026,6,22),tblDaily[WardCode],"BG")=0,"",SUMIFS(tblDaily[Discharges],tblDaily[EntryDate],DATE(2026,6,22),tblDaily[WardCode],"BG")),"")</f>
        <v/>
      </c>
      <c r="D223" s="5" t="str">
        <f>IFERROR(IF(SUMIFS(tblDaily[Deaths],tblDaily[EntryDate],DATE(2026,6,22),tblDaily[WardCode],"BG")=0,"",SUMIFS(tblDaily[Deaths],tblDaily[EntryDate],DATE(2026,6,22),tblDaily[WardCode],"BG")),"")</f>
        <v/>
      </c>
      <c r="E223" s="5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5" t="str">
        <f>IFERROR(IF(SUMIFS(tblDaily[TransfersIn],tblDaily[EntryDate],DATE(2026,6,22),tblDaily[WardCode],"BG")=0,"",SUMIFS(tblDaily[TransfersIn],tblDaily[EntryDate],DATE(2026,6,22),tblDaily[WardCode],"BG")),"")</f>
        <v/>
      </c>
      <c r="G223" s="5" t="str">
        <f>IFERROR(IF(SUMIFS(tblDaily[TransfersOut],tblDaily[EntryDate],DATE(2026,6,22),tblDaily[WardCode],"BG")=0,"",SUMIFS(tblDaily[TransfersOut],tblDaily[EntryDate],DATE(2026,6,22),tblDaily[WardCode],"BG")),"")</f>
        <v/>
      </c>
      <c r="H223" s="5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IFERROR(IF(SUMIFS(tblDaily[Admissions],tblDaily[EntryDate],DATE(2026,6,23),tblDaily[WardCode],"BG")=0,"",SUMIFS(tblDaily[Admissions],tblDaily[EntryDate],DATE(2026,6,23),tblDaily[WardCode],"BG")),"")</f>
        <v/>
      </c>
      <c r="C224" s="5" t="str">
        <f>IFERROR(IF(SUMIFS(tblDaily[Discharges],tblDaily[EntryDate],DATE(2026,6,23),tblDaily[WardCode],"BG")=0,"",SUMIFS(tblDaily[Discharges],tblDaily[EntryDate],DATE(2026,6,23),tblDaily[WardCode],"BG")),"")</f>
        <v/>
      </c>
      <c r="D224" s="5" t="str">
        <f>IFERROR(IF(SUMIFS(tblDaily[Deaths],tblDaily[EntryDate],DATE(2026,6,23),tblDaily[WardCode],"BG")=0,"",SUMIFS(tblDaily[Deaths],tblDaily[EntryDate],DATE(2026,6,23),tblDaily[WardCode],"BG")),"")</f>
        <v/>
      </c>
      <c r="E224" s="5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5" t="str">
        <f>IFERROR(IF(SUMIFS(tblDaily[TransfersIn],tblDaily[EntryDate],DATE(2026,6,23),tblDaily[WardCode],"BG")=0,"",SUMIFS(tblDaily[TransfersIn],tblDaily[EntryDate],DATE(2026,6,23),tblDaily[WardCode],"BG")),"")</f>
        <v/>
      </c>
      <c r="G224" s="5" t="str">
        <f>IFERROR(IF(SUMIFS(tblDaily[TransfersOut],tblDaily[EntryDate],DATE(2026,6,23),tblDaily[WardCode],"BG")=0,"",SUMIFS(tblDaily[TransfersOut],tblDaily[EntryDate],DATE(2026,6,23),tblDaily[WardCode],"BG")),"")</f>
        <v/>
      </c>
      <c r="H224" s="5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IFERROR(IF(SUMIFS(tblDaily[Admissions],tblDaily[EntryDate],DATE(2026,6,24),tblDaily[WardCode],"BG")=0,"",SUMIFS(tblDaily[Admissions],tblDaily[EntryDate],DATE(2026,6,24),tblDaily[WardCode],"BG")),"")</f>
        <v/>
      </c>
      <c r="C225" s="5" t="str">
        <f>IFERROR(IF(SUMIFS(tblDaily[Discharges],tblDaily[EntryDate],DATE(2026,6,24),tblDaily[WardCode],"BG")=0,"",SUMIFS(tblDaily[Discharges],tblDaily[EntryDate],DATE(2026,6,24),tblDaily[WardCode],"BG")),"")</f>
        <v/>
      </c>
      <c r="D225" s="5" t="str">
        <f>IFERROR(IF(SUMIFS(tblDaily[Deaths],tblDaily[EntryDate],DATE(2026,6,24),tblDaily[WardCode],"BG")=0,"",SUMIFS(tblDaily[Deaths],tblDaily[EntryDate],DATE(2026,6,24),tblDaily[WardCode],"BG")),"")</f>
        <v/>
      </c>
      <c r="E225" s="5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5" t="str">
        <f>IFERROR(IF(SUMIFS(tblDaily[TransfersIn],tblDaily[EntryDate],DATE(2026,6,24),tblDaily[WardCode],"BG")=0,"",SUMIFS(tblDaily[TransfersIn],tblDaily[EntryDate],DATE(2026,6,24),tblDaily[WardCode],"BG")),"")</f>
        <v/>
      </c>
      <c r="G225" s="5" t="str">
        <f>IFERROR(IF(SUMIFS(tblDaily[TransfersOut],tblDaily[EntryDate],DATE(2026,6,24),tblDaily[WardCode],"BG")=0,"",SUMIFS(tblDaily[TransfersOut],tblDaily[EntryDate],DATE(2026,6,24),tblDaily[WardCode],"BG")),"")</f>
        <v/>
      </c>
      <c r="H225" s="5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IFERROR(IF(SUMIFS(tblDaily[Admissions],tblDaily[EntryDate],DATE(2026,6,25),tblDaily[WardCode],"BG")=0,"",SUMIFS(tblDaily[Admissions],tblDaily[EntryDate],DATE(2026,6,25),tblDaily[WardCode],"BG")),"")</f>
        <v/>
      </c>
      <c r="C226" s="5" t="str">
        <f>IFERROR(IF(SUMIFS(tblDaily[Discharges],tblDaily[EntryDate],DATE(2026,6,25),tblDaily[WardCode],"BG")=0,"",SUMIFS(tblDaily[Discharges],tblDaily[EntryDate],DATE(2026,6,25),tblDaily[WardCode],"BG")),"")</f>
        <v/>
      </c>
      <c r="D226" s="5" t="str">
        <f>IFERROR(IF(SUMIFS(tblDaily[Deaths],tblDaily[EntryDate],DATE(2026,6,25),tblDaily[WardCode],"BG")=0,"",SUMIFS(tblDaily[Deaths],tblDaily[EntryDate],DATE(2026,6,25),tblDaily[WardCode],"BG")),"")</f>
        <v/>
      </c>
      <c r="E226" s="5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5" t="str">
        <f>IFERROR(IF(SUMIFS(tblDaily[TransfersIn],tblDaily[EntryDate],DATE(2026,6,25),tblDaily[WardCode],"BG")=0,"",SUMIFS(tblDaily[TransfersIn],tblDaily[EntryDate],DATE(2026,6,25),tblDaily[WardCode],"BG")),"")</f>
        <v/>
      </c>
      <c r="G226" s="5" t="str">
        <f>IFERROR(IF(SUMIFS(tblDaily[TransfersOut],tblDaily[EntryDate],DATE(2026,6,25),tblDaily[WardCode],"BG")=0,"",SUMIFS(tblDaily[TransfersOut],tblDaily[EntryDate],DATE(2026,6,25),tblDaily[WardCode],"BG")),"")</f>
        <v/>
      </c>
      <c r="H226" s="5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IFERROR(IF(SUMIFS(tblDaily[Admissions],tblDaily[EntryDate],DATE(2026,6,26),tblDaily[WardCode],"BG")=0,"",SUMIFS(tblDaily[Admissions],tblDaily[EntryDate],DATE(2026,6,26),tblDaily[WardCode],"BG")),"")</f>
        <v/>
      </c>
      <c r="C227" s="5" t="str">
        <f>IFERROR(IF(SUMIFS(tblDaily[Discharges],tblDaily[EntryDate],DATE(2026,6,26),tblDaily[WardCode],"BG")=0,"",SUMIFS(tblDaily[Discharges],tblDaily[EntryDate],DATE(2026,6,26),tblDaily[WardCode],"BG")),"")</f>
        <v/>
      </c>
      <c r="D227" s="5" t="str">
        <f>IFERROR(IF(SUMIFS(tblDaily[Deaths],tblDaily[EntryDate],DATE(2026,6,26),tblDaily[WardCode],"BG")=0,"",SUMIFS(tblDaily[Deaths],tblDaily[EntryDate],DATE(2026,6,26),tblDaily[WardCode],"BG")),"")</f>
        <v/>
      </c>
      <c r="E227" s="5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5" t="str">
        <f>IFERROR(IF(SUMIFS(tblDaily[TransfersIn],tblDaily[EntryDate],DATE(2026,6,26),tblDaily[WardCode],"BG")=0,"",SUMIFS(tblDaily[TransfersIn],tblDaily[EntryDate],DATE(2026,6,26),tblDaily[WardCode],"BG")),"")</f>
        <v/>
      </c>
      <c r="G227" s="5" t="str">
        <f>IFERROR(IF(SUMIFS(tblDaily[TransfersOut],tblDaily[EntryDate],DATE(2026,6,26),tblDaily[WardCode],"BG")=0,"",SUMIFS(tblDaily[TransfersOut],tblDaily[EntryDate],DATE(2026,6,26),tblDaily[WardCode],"BG")),"")</f>
        <v/>
      </c>
      <c r="H227" s="5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IFERROR(IF(SUMIFS(tblDaily[Admissions],tblDaily[EntryDate],DATE(2026,6,27),tblDaily[WardCode],"BG")=0,"",SUMIFS(tblDaily[Admissions],tblDaily[EntryDate],DATE(2026,6,27),tblDaily[WardCode],"BG")),"")</f>
        <v/>
      </c>
      <c r="C228" s="5" t="str">
        <f>IFERROR(IF(SUMIFS(tblDaily[Discharges],tblDaily[EntryDate],DATE(2026,6,27),tblDaily[WardCode],"BG")=0,"",SUMIFS(tblDaily[Discharges],tblDaily[EntryDate],DATE(2026,6,27),tblDaily[WardCode],"BG")),"")</f>
        <v/>
      </c>
      <c r="D228" s="5" t="str">
        <f>IFERROR(IF(SUMIFS(tblDaily[Deaths],tblDaily[EntryDate],DATE(2026,6,27),tblDaily[WardCode],"BG")=0,"",SUMIFS(tblDaily[Deaths],tblDaily[EntryDate],DATE(2026,6,27),tblDaily[WardCode],"BG")),"")</f>
        <v/>
      </c>
      <c r="E228" s="5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5" t="str">
        <f>IFERROR(IF(SUMIFS(tblDaily[TransfersIn],tblDaily[EntryDate],DATE(2026,6,27),tblDaily[WardCode],"BG")=0,"",SUMIFS(tblDaily[TransfersIn],tblDaily[EntryDate],DATE(2026,6,27),tblDaily[WardCode],"BG")),"")</f>
        <v/>
      </c>
      <c r="G228" s="5" t="str">
        <f>IFERROR(IF(SUMIFS(tblDaily[TransfersOut],tblDaily[EntryDate],DATE(2026,6,27),tblDaily[WardCode],"BG")=0,"",SUMIFS(tblDaily[TransfersOut],tblDaily[EntryDate],DATE(2026,6,27),tblDaily[WardCode],"BG")),"")</f>
        <v/>
      </c>
      <c r="H228" s="5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IFERROR(IF(SUMIFS(tblDaily[Admissions],tblDaily[EntryDate],DATE(2026,6,28),tblDaily[WardCode],"BG")=0,"",SUMIFS(tblDaily[Admissions],tblDaily[EntryDate],DATE(2026,6,28),tblDaily[WardCode],"BG")),"")</f>
        <v/>
      </c>
      <c r="C229" s="5" t="str">
        <f>IFERROR(IF(SUMIFS(tblDaily[Discharges],tblDaily[EntryDate],DATE(2026,6,28),tblDaily[WardCode],"BG")=0,"",SUMIFS(tblDaily[Discharges],tblDaily[EntryDate],DATE(2026,6,28),tblDaily[WardCode],"BG")),"")</f>
        <v/>
      </c>
      <c r="D229" s="5" t="str">
        <f>IFERROR(IF(SUMIFS(tblDaily[Deaths],tblDaily[EntryDate],DATE(2026,6,28),tblDaily[WardCode],"BG")=0,"",SUMIFS(tblDaily[Deaths],tblDaily[EntryDate],DATE(2026,6,28),tblDaily[WardCode],"BG")),"")</f>
        <v/>
      </c>
      <c r="E229" s="5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5" t="str">
        <f>IFERROR(IF(SUMIFS(tblDaily[TransfersIn],tblDaily[EntryDate],DATE(2026,6,28),tblDaily[WardCode],"BG")=0,"",SUMIFS(tblDaily[TransfersIn],tblDaily[EntryDate],DATE(2026,6,28),tblDaily[WardCode],"BG")),"")</f>
        <v/>
      </c>
      <c r="G229" s="5" t="str">
        <f>IFERROR(IF(SUMIFS(tblDaily[TransfersOut],tblDaily[EntryDate],DATE(2026,6,28),tblDaily[WardCode],"BG")=0,"",SUMIFS(tblDaily[TransfersOut],tblDaily[EntryDate],DATE(2026,6,28),tblDaily[WardCode],"BG")),"")</f>
        <v/>
      </c>
      <c r="H229" s="5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IFERROR(IF(SUMIFS(tblDaily[Admissions],tblDaily[EntryDate],DATE(2026,6,29),tblDaily[WardCode],"BG")=0,"",SUMIFS(tblDaily[Admissions],tblDaily[EntryDate],DATE(2026,6,29),tblDaily[WardCode],"BG")),"")</f>
        <v/>
      </c>
      <c r="C230" s="5" t="str">
        <f>IFERROR(IF(SUMIFS(tblDaily[Discharges],tblDaily[EntryDate],DATE(2026,6,29),tblDaily[WardCode],"BG")=0,"",SUMIFS(tblDaily[Discharges],tblDaily[EntryDate],DATE(2026,6,29),tblDaily[WardCode],"BG")),"")</f>
        <v/>
      </c>
      <c r="D230" s="5" t="str">
        <f>IFERROR(IF(SUMIFS(tblDaily[Deaths],tblDaily[EntryDate],DATE(2026,6,29),tblDaily[WardCode],"BG")=0,"",SUMIFS(tblDaily[Deaths],tblDaily[EntryDate],DATE(2026,6,29),tblDaily[WardCode],"BG")),"")</f>
        <v/>
      </c>
      <c r="E230" s="5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5" t="str">
        <f>IFERROR(IF(SUMIFS(tblDaily[TransfersIn],tblDaily[EntryDate],DATE(2026,6,29),tblDaily[WardCode],"BG")=0,"",SUMIFS(tblDaily[TransfersIn],tblDaily[EntryDate],DATE(2026,6,29),tblDaily[WardCode],"BG")),"")</f>
        <v/>
      </c>
      <c r="G230" s="5" t="str">
        <f>IFERROR(IF(SUMIFS(tblDaily[TransfersOut],tblDaily[EntryDate],DATE(2026,6,29),tblDaily[WardCode],"BG")=0,"",SUMIFS(tblDaily[TransfersOut],tblDaily[EntryDate],DATE(2026,6,29),tblDaily[WardCode],"BG")),"")</f>
        <v/>
      </c>
      <c r="H230" s="5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IFERROR(IF(SUMIFS(tblDaily[Admissions],tblDaily[EntryDate],DATE(2026,6,30),tblDaily[WardCode],"BG")=0,"",SUMIFS(tblDaily[Admissions],tblDaily[EntryDate],DATE(2026,6,30),tblDaily[WardCode],"BG")),"")</f>
        <v/>
      </c>
      <c r="C231" s="5" t="str">
        <f>IFERROR(IF(SUMIFS(tblDaily[Discharges],tblDaily[EntryDate],DATE(2026,6,30),tblDaily[WardCode],"BG")=0,"",SUMIFS(tblDaily[Discharges],tblDaily[EntryDate],DATE(2026,6,30),tblDaily[WardCode],"BG")),"")</f>
        <v/>
      </c>
      <c r="D231" s="5" t="str">
        <f>IFERROR(IF(SUMIFS(tblDaily[Deaths],tblDaily[EntryDate],DATE(2026,6,30),tblDaily[WardCode],"BG")=0,"",SUMIFS(tblDaily[Deaths],tblDaily[EntryDate],DATE(2026,6,30),tblDaily[WardCode],"BG")),"")</f>
        <v/>
      </c>
      <c r="E231" s="5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5" t="str">
        <f>IFERROR(IF(SUMIFS(tblDaily[TransfersIn],tblDaily[EntryDate],DATE(2026,6,30),tblDaily[WardCode],"BG")=0,"",SUMIFS(tblDaily[TransfersIn],tblDaily[EntryDate],DATE(2026,6,30),tblDaily[WardCode],"BG")),"")</f>
        <v/>
      </c>
      <c r="G231" s="5" t="str">
        <f>IFERROR(IF(SUMIFS(tblDaily[TransfersOut],tblDaily[EntryDate],DATE(2026,6,30),tblDaily[WardCode],"BG")=0,"",SUMIFS(tblDaily[TransfersOut],tblDaily[EntryDate],DATE(2026,6,30),tblDaily[WardCode],"BG")),"")</f>
        <v/>
      </c>
      <c r="H231" s="5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99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89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IFERROR(IF(SUMIFS(tblDaily[Admissions],tblDaily[EntryDate],DATE(2026,7,1),tblDaily[WardCode],"BG")=0,"",SUMIFS(tblDaily[Admissions],tblDaily[EntryDate],DATE(2026,7,1),tblDaily[WardCode],"BG")),"")</f>
        <v/>
      </c>
      <c r="C241" s="5" t="str">
        <f>IFERROR(IF(SUMIFS(tblDaily[Discharges],tblDaily[EntryDate],DATE(2026,7,1),tblDaily[WardCode],"BG")=0,"",SUMIFS(tblDaily[Discharges],tblDaily[EntryDate],DATE(2026,7,1),tblDaily[WardCode],"BG")),"")</f>
        <v/>
      </c>
      <c r="D241" s="5" t="str">
        <f>IFERROR(IF(SUMIFS(tblDaily[Deaths],tblDaily[EntryDate],DATE(2026,7,1),tblDaily[WardCode],"BG")=0,"",SUMIFS(tblDaily[Deaths],tblDaily[EntryDate],DATE(2026,7,1),tblDaily[WardCode],"BG")),"")</f>
        <v/>
      </c>
      <c r="E241" s="5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5" t="str">
        <f>IFERROR(IF(SUMIFS(tblDaily[TransfersIn],tblDaily[EntryDate],DATE(2026,7,1),tblDaily[WardCode],"BG")=0,"",SUMIFS(tblDaily[TransfersIn],tblDaily[EntryDate],DATE(2026,7,1),tblDaily[WardCode],"BG")),"")</f>
        <v/>
      </c>
      <c r="G241" s="5" t="str">
        <f>IFERROR(IF(SUMIFS(tblDaily[TransfersOut],tblDaily[EntryDate],DATE(2026,7,1),tblDaily[WardCode],"BG")=0,"",SUMIFS(tblDaily[TransfersOut],tblDaily[EntryDate],DATE(2026,7,1),tblDaily[WardCode],"BG")),"")</f>
        <v/>
      </c>
      <c r="H241" s="5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IFERROR(IF(SUMIFS(tblDaily[Admissions],tblDaily[EntryDate],DATE(2026,7,2),tblDaily[WardCode],"BG")=0,"",SUMIFS(tblDaily[Admissions],tblDaily[EntryDate],DATE(2026,7,2),tblDaily[WardCode],"BG")),"")</f>
        <v/>
      </c>
      <c r="C242" s="5" t="str">
        <f>IFERROR(IF(SUMIFS(tblDaily[Discharges],tblDaily[EntryDate],DATE(2026,7,2),tblDaily[WardCode],"BG")=0,"",SUMIFS(tblDaily[Discharges],tblDaily[EntryDate],DATE(2026,7,2),tblDaily[WardCode],"BG")),"")</f>
        <v/>
      </c>
      <c r="D242" s="5" t="str">
        <f>IFERROR(IF(SUMIFS(tblDaily[Deaths],tblDaily[EntryDate],DATE(2026,7,2),tblDaily[WardCode],"BG")=0,"",SUMIFS(tblDaily[Deaths],tblDaily[EntryDate],DATE(2026,7,2),tblDaily[WardCode],"BG")),"")</f>
        <v/>
      </c>
      <c r="E242" s="5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5" t="str">
        <f>IFERROR(IF(SUMIFS(tblDaily[TransfersIn],tblDaily[EntryDate],DATE(2026,7,2),tblDaily[WardCode],"BG")=0,"",SUMIFS(tblDaily[TransfersIn],tblDaily[EntryDate],DATE(2026,7,2),tblDaily[WardCode],"BG")),"")</f>
        <v/>
      </c>
      <c r="G242" s="5" t="str">
        <f>IFERROR(IF(SUMIFS(tblDaily[TransfersOut],tblDaily[EntryDate],DATE(2026,7,2),tblDaily[WardCode],"BG")=0,"",SUMIFS(tblDaily[TransfersOut],tblDaily[EntryDate],DATE(2026,7,2),tblDaily[WardCode],"BG")),"")</f>
        <v/>
      </c>
      <c r="H242" s="5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IFERROR(IF(SUMIFS(tblDaily[Admissions],tblDaily[EntryDate],DATE(2026,7,3),tblDaily[WardCode],"BG")=0,"",SUMIFS(tblDaily[Admissions],tblDaily[EntryDate],DATE(2026,7,3),tblDaily[WardCode],"BG")),"")</f>
        <v/>
      </c>
      <c r="C243" s="5" t="str">
        <f>IFERROR(IF(SUMIFS(tblDaily[Discharges],tblDaily[EntryDate],DATE(2026,7,3),tblDaily[WardCode],"BG")=0,"",SUMIFS(tblDaily[Discharges],tblDaily[EntryDate],DATE(2026,7,3),tblDaily[WardCode],"BG")),"")</f>
        <v/>
      </c>
      <c r="D243" s="5" t="str">
        <f>IFERROR(IF(SUMIFS(tblDaily[Deaths],tblDaily[EntryDate],DATE(2026,7,3),tblDaily[WardCode],"BG")=0,"",SUMIFS(tblDaily[Deaths],tblDaily[EntryDate],DATE(2026,7,3),tblDaily[WardCode],"BG")),"")</f>
        <v/>
      </c>
      <c r="E243" s="5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5" t="str">
        <f>IFERROR(IF(SUMIFS(tblDaily[TransfersIn],tblDaily[EntryDate],DATE(2026,7,3),tblDaily[WardCode],"BG")=0,"",SUMIFS(tblDaily[TransfersIn],tblDaily[EntryDate],DATE(2026,7,3),tblDaily[WardCode],"BG")),"")</f>
        <v/>
      </c>
      <c r="G243" s="5" t="str">
        <f>IFERROR(IF(SUMIFS(tblDaily[TransfersOut],tblDaily[EntryDate],DATE(2026,7,3),tblDaily[WardCode],"BG")=0,"",SUMIFS(tblDaily[TransfersOut],tblDaily[EntryDate],DATE(2026,7,3),tblDaily[WardCode],"BG")),"")</f>
        <v/>
      </c>
      <c r="H243" s="5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IFERROR(IF(SUMIFS(tblDaily[Admissions],tblDaily[EntryDate],DATE(2026,7,4),tblDaily[WardCode],"BG")=0,"",SUMIFS(tblDaily[Admissions],tblDaily[EntryDate],DATE(2026,7,4),tblDaily[WardCode],"BG")),"")</f>
        <v/>
      </c>
      <c r="C244" s="5" t="str">
        <f>IFERROR(IF(SUMIFS(tblDaily[Discharges],tblDaily[EntryDate],DATE(2026,7,4),tblDaily[WardCode],"BG")=0,"",SUMIFS(tblDaily[Discharges],tblDaily[EntryDate],DATE(2026,7,4),tblDaily[WardCode],"BG")),"")</f>
        <v/>
      </c>
      <c r="D244" s="5" t="str">
        <f>IFERROR(IF(SUMIFS(tblDaily[Deaths],tblDaily[EntryDate],DATE(2026,7,4),tblDaily[WardCode],"BG")=0,"",SUMIFS(tblDaily[Deaths],tblDaily[EntryDate],DATE(2026,7,4),tblDaily[WardCode],"BG")),"")</f>
        <v/>
      </c>
      <c r="E244" s="5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5" t="str">
        <f>IFERROR(IF(SUMIFS(tblDaily[TransfersIn],tblDaily[EntryDate],DATE(2026,7,4),tblDaily[WardCode],"BG")=0,"",SUMIFS(tblDaily[TransfersIn],tblDaily[EntryDate],DATE(2026,7,4),tblDaily[WardCode],"BG")),"")</f>
        <v/>
      </c>
      <c r="G244" s="5" t="str">
        <f>IFERROR(IF(SUMIFS(tblDaily[TransfersOut],tblDaily[EntryDate],DATE(2026,7,4),tblDaily[WardCode],"BG")=0,"",SUMIFS(tblDaily[TransfersOut],tblDaily[EntryDate],DATE(2026,7,4),tblDaily[WardCode],"BG")),"")</f>
        <v/>
      </c>
      <c r="H244" s="5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IFERROR(IF(SUMIFS(tblDaily[Admissions],tblDaily[EntryDate],DATE(2026,7,5),tblDaily[WardCode],"BG")=0,"",SUMIFS(tblDaily[Admissions],tblDaily[EntryDate],DATE(2026,7,5),tblDaily[WardCode],"BG")),"")</f>
        <v/>
      </c>
      <c r="C245" s="5" t="str">
        <f>IFERROR(IF(SUMIFS(tblDaily[Discharges],tblDaily[EntryDate],DATE(2026,7,5),tblDaily[WardCode],"BG")=0,"",SUMIFS(tblDaily[Discharges],tblDaily[EntryDate],DATE(2026,7,5),tblDaily[WardCode],"BG")),"")</f>
        <v/>
      </c>
      <c r="D245" s="5" t="str">
        <f>IFERROR(IF(SUMIFS(tblDaily[Deaths],tblDaily[EntryDate],DATE(2026,7,5),tblDaily[WardCode],"BG")=0,"",SUMIFS(tblDaily[Deaths],tblDaily[EntryDate],DATE(2026,7,5),tblDaily[WardCode],"BG")),"")</f>
        <v/>
      </c>
      <c r="E245" s="5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5" t="str">
        <f>IFERROR(IF(SUMIFS(tblDaily[TransfersIn],tblDaily[EntryDate],DATE(2026,7,5),tblDaily[WardCode],"BG")=0,"",SUMIFS(tblDaily[TransfersIn],tblDaily[EntryDate],DATE(2026,7,5),tblDaily[WardCode],"BG")),"")</f>
        <v/>
      </c>
      <c r="G245" s="5" t="str">
        <f>IFERROR(IF(SUMIFS(tblDaily[TransfersOut],tblDaily[EntryDate],DATE(2026,7,5),tblDaily[WardCode],"BG")=0,"",SUMIFS(tblDaily[TransfersOut],tblDaily[EntryDate],DATE(2026,7,5),tblDaily[WardCode],"BG")),"")</f>
        <v/>
      </c>
      <c r="H245" s="5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IFERROR(IF(SUMIFS(tblDaily[Admissions],tblDaily[EntryDate],DATE(2026,7,6),tblDaily[WardCode],"BG")=0,"",SUMIFS(tblDaily[Admissions],tblDaily[EntryDate],DATE(2026,7,6),tblDaily[WardCode],"BG")),"")</f>
        <v/>
      </c>
      <c r="C246" s="5" t="str">
        <f>IFERROR(IF(SUMIFS(tblDaily[Discharges],tblDaily[EntryDate],DATE(2026,7,6),tblDaily[WardCode],"BG")=0,"",SUMIFS(tblDaily[Discharges],tblDaily[EntryDate],DATE(2026,7,6),tblDaily[WardCode],"BG")),"")</f>
        <v/>
      </c>
      <c r="D246" s="5" t="str">
        <f>IFERROR(IF(SUMIFS(tblDaily[Deaths],tblDaily[EntryDate],DATE(2026,7,6),tblDaily[WardCode],"BG")=0,"",SUMIFS(tblDaily[Deaths],tblDaily[EntryDate],DATE(2026,7,6),tblDaily[WardCode],"BG")),"")</f>
        <v/>
      </c>
      <c r="E246" s="5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5" t="str">
        <f>IFERROR(IF(SUMIFS(tblDaily[TransfersIn],tblDaily[EntryDate],DATE(2026,7,6),tblDaily[WardCode],"BG")=0,"",SUMIFS(tblDaily[TransfersIn],tblDaily[EntryDate],DATE(2026,7,6),tblDaily[WardCode],"BG")),"")</f>
        <v/>
      </c>
      <c r="G246" s="5" t="str">
        <f>IFERROR(IF(SUMIFS(tblDaily[TransfersOut],tblDaily[EntryDate],DATE(2026,7,6),tblDaily[WardCode],"BG")=0,"",SUMIFS(tblDaily[TransfersOut],tblDaily[EntryDate],DATE(2026,7,6),tblDaily[WardCode],"BG")),"")</f>
        <v/>
      </c>
      <c r="H246" s="5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IFERROR(IF(SUMIFS(tblDaily[Admissions],tblDaily[EntryDate],DATE(2026,7,7),tblDaily[WardCode],"BG")=0,"",SUMIFS(tblDaily[Admissions],tblDaily[EntryDate],DATE(2026,7,7),tblDaily[WardCode],"BG")),"")</f>
        <v/>
      </c>
      <c r="C247" s="5" t="str">
        <f>IFERROR(IF(SUMIFS(tblDaily[Discharges],tblDaily[EntryDate],DATE(2026,7,7),tblDaily[WardCode],"BG")=0,"",SUMIFS(tblDaily[Discharges],tblDaily[EntryDate],DATE(2026,7,7),tblDaily[WardCode],"BG")),"")</f>
        <v/>
      </c>
      <c r="D247" s="5" t="str">
        <f>IFERROR(IF(SUMIFS(tblDaily[Deaths],tblDaily[EntryDate],DATE(2026,7,7),tblDaily[WardCode],"BG")=0,"",SUMIFS(tblDaily[Deaths],tblDaily[EntryDate],DATE(2026,7,7),tblDaily[WardCode],"BG")),"")</f>
        <v/>
      </c>
      <c r="E247" s="5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5" t="str">
        <f>IFERROR(IF(SUMIFS(tblDaily[TransfersIn],tblDaily[EntryDate],DATE(2026,7,7),tblDaily[WardCode],"BG")=0,"",SUMIFS(tblDaily[TransfersIn],tblDaily[EntryDate],DATE(2026,7,7),tblDaily[WardCode],"BG")),"")</f>
        <v/>
      </c>
      <c r="G247" s="5" t="str">
        <f>IFERROR(IF(SUMIFS(tblDaily[TransfersOut],tblDaily[EntryDate],DATE(2026,7,7),tblDaily[WardCode],"BG")=0,"",SUMIFS(tblDaily[TransfersOut],tblDaily[EntryDate],DATE(2026,7,7),tblDaily[WardCode],"BG")),"")</f>
        <v/>
      </c>
      <c r="H247" s="5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IFERROR(IF(SUMIFS(tblDaily[Admissions],tblDaily[EntryDate],DATE(2026,7,8),tblDaily[WardCode],"BG")=0,"",SUMIFS(tblDaily[Admissions],tblDaily[EntryDate],DATE(2026,7,8),tblDaily[WardCode],"BG")),"")</f>
        <v/>
      </c>
      <c r="C248" s="5" t="str">
        <f>IFERROR(IF(SUMIFS(tblDaily[Discharges],tblDaily[EntryDate],DATE(2026,7,8),tblDaily[WardCode],"BG")=0,"",SUMIFS(tblDaily[Discharges],tblDaily[EntryDate],DATE(2026,7,8),tblDaily[WardCode],"BG")),"")</f>
        <v/>
      </c>
      <c r="D248" s="5" t="str">
        <f>IFERROR(IF(SUMIFS(tblDaily[Deaths],tblDaily[EntryDate],DATE(2026,7,8),tblDaily[WardCode],"BG")=0,"",SUMIFS(tblDaily[Deaths],tblDaily[EntryDate],DATE(2026,7,8),tblDaily[WardCode],"BG")),"")</f>
        <v/>
      </c>
      <c r="E248" s="5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5" t="str">
        <f>IFERROR(IF(SUMIFS(tblDaily[TransfersIn],tblDaily[EntryDate],DATE(2026,7,8),tblDaily[WardCode],"BG")=0,"",SUMIFS(tblDaily[TransfersIn],tblDaily[EntryDate],DATE(2026,7,8),tblDaily[WardCode],"BG")),"")</f>
        <v/>
      </c>
      <c r="G248" s="5" t="str">
        <f>IFERROR(IF(SUMIFS(tblDaily[TransfersOut],tblDaily[EntryDate],DATE(2026,7,8),tblDaily[WardCode],"BG")=0,"",SUMIFS(tblDaily[TransfersOut],tblDaily[EntryDate],DATE(2026,7,8),tblDaily[WardCode],"BG")),"")</f>
        <v/>
      </c>
      <c r="H248" s="5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IFERROR(IF(SUMIFS(tblDaily[Admissions],tblDaily[EntryDate],DATE(2026,7,9),tblDaily[WardCode],"BG")=0,"",SUMIFS(tblDaily[Admissions],tblDaily[EntryDate],DATE(2026,7,9),tblDaily[WardCode],"BG")),"")</f>
        <v/>
      </c>
      <c r="C249" s="5" t="str">
        <f>IFERROR(IF(SUMIFS(tblDaily[Discharges],tblDaily[EntryDate],DATE(2026,7,9),tblDaily[WardCode],"BG")=0,"",SUMIFS(tblDaily[Discharges],tblDaily[EntryDate],DATE(2026,7,9),tblDaily[WardCode],"BG")),"")</f>
        <v/>
      </c>
      <c r="D249" s="5" t="str">
        <f>IFERROR(IF(SUMIFS(tblDaily[Deaths],tblDaily[EntryDate],DATE(2026,7,9),tblDaily[WardCode],"BG")=0,"",SUMIFS(tblDaily[Deaths],tblDaily[EntryDate],DATE(2026,7,9),tblDaily[WardCode],"BG")),"")</f>
        <v/>
      </c>
      <c r="E249" s="5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5" t="str">
        <f>IFERROR(IF(SUMIFS(tblDaily[TransfersIn],tblDaily[EntryDate],DATE(2026,7,9),tblDaily[WardCode],"BG")=0,"",SUMIFS(tblDaily[TransfersIn],tblDaily[EntryDate],DATE(2026,7,9),tblDaily[WardCode],"BG")),"")</f>
        <v/>
      </c>
      <c r="G249" s="5" t="str">
        <f>IFERROR(IF(SUMIFS(tblDaily[TransfersOut],tblDaily[EntryDate],DATE(2026,7,9),tblDaily[WardCode],"BG")=0,"",SUMIFS(tblDaily[TransfersOut],tblDaily[EntryDate],DATE(2026,7,9),tblDaily[WardCode],"BG")),"")</f>
        <v/>
      </c>
      <c r="H249" s="5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IFERROR(IF(SUMIFS(tblDaily[Admissions],tblDaily[EntryDate],DATE(2026,7,10),tblDaily[WardCode],"BG")=0,"",SUMIFS(tblDaily[Admissions],tblDaily[EntryDate],DATE(2026,7,10),tblDaily[WardCode],"BG")),"")</f>
        <v/>
      </c>
      <c r="C250" s="5" t="str">
        <f>IFERROR(IF(SUMIFS(tblDaily[Discharges],tblDaily[EntryDate],DATE(2026,7,10),tblDaily[WardCode],"BG")=0,"",SUMIFS(tblDaily[Discharges],tblDaily[EntryDate],DATE(2026,7,10),tblDaily[WardCode],"BG")),"")</f>
        <v/>
      </c>
      <c r="D250" s="5" t="str">
        <f>IFERROR(IF(SUMIFS(tblDaily[Deaths],tblDaily[EntryDate],DATE(2026,7,10),tblDaily[WardCode],"BG")=0,"",SUMIFS(tblDaily[Deaths],tblDaily[EntryDate],DATE(2026,7,10),tblDaily[WardCode],"BG")),"")</f>
        <v/>
      </c>
      <c r="E250" s="5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5" t="str">
        <f>IFERROR(IF(SUMIFS(tblDaily[TransfersIn],tblDaily[EntryDate],DATE(2026,7,10),tblDaily[WardCode],"BG")=0,"",SUMIFS(tblDaily[TransfersIn],tblDaily[EntryDate],DATE(2026,7,10),tblDaily[WardCode],"BG")),"")</f>
        <v/>
      </c>
      <c r="G250" s="5" t="str">
        <f>IFERROR(IF(SUMIFS(tblDaily[TransfersOut],tblDaily[EntryDate],DATE(2026,7,10),tblDaily[WardCode],"BG")=0,"",SUMIFS(tblDaily[TransfersOut],tblDaily[EntryDate],DATE(2026,7,10),tblDaily[WardCode],"BG")),"")</f>
        <v/>
      </c>
      <c r="H250" s="5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IFERROR(IF(SUMIFS(tblDaily[Admissions],tblDaily[EntryDate],DATE(2026,7,11),tblDaily[WardCode],"BG")=0,"",SUMIFS(tblDaily[Admissions],tblDaily[EntryDate],DATE(2026,7,11),tblDaily[WardCode],"BG")),"")</f>
        <v/>
      </c>
      <c r="C251" s="5" t="str">
        <f>IFERROR(IF(SUMIFS(tblDaily[Discharges],tblDaily[EntryDate],DATE(2026,7,11),tblDaily[WardCode],"BG")=0,"",SUMIFS(tblDaily[Discharges],tblDaily[EntryDate],DATE(2026,7,11),tblDaily[WardCode],"BG")),"")</f>
        <v/>
      </c>
      <c r="D251" s="5" t="str">
        <f>IFERROR(IF(SUMIFS(tblDaily[Deaths],tblDaily[EntryDate],DATE(2026,7,11),tblDaily[WardCode],"BG")=0,"",SUMIFS(tblDaily[Deaths],tblDaily[EntryDate],DATE(2026,7,11),tblDaily[WardCode],"BG")),"")</f>
        <v/>
      </c>
      <c r="E251" s="5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5" t="str">
        <f>IFERROR(IF(SUMIFS(tblDaily[TransfersIn],tblDaily[EntryDate],DATE(2026,7,11),tblDaily[WardCode],"BG")=0,"",SUMIFS(tblDaily[TransfersIn],tblDaily[EntryDate],DATE(2026,7,11),tblDaily[WardCode],"BG")),"")</f>
        <v/>
      </c>
      <c r="G251" s="5" t="str">
        <f>IFERROR(IF(SUMIFS(tblDaily[TransfersOut],tblDaily[EntryDate],DATE(2026,7,11),tblDaily[WardCode],"BG")=0,"",SUMIFS(tblDaily[TransfersOut],tblDaily[EntryDate],DATE(2026,7,11),tblDaily[WardCode],"BG")),"")</f>
        <v/>
      </c>
      <c r="H251" s="5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IFERROR(IF(SUMIFS(tblDaily[Admissions],tblDaily[EntryDate],DATE(2026,7,12),tblDaily[WardCode],"BG")=0,"",SUMIFS(tblDaily[Admissions],tblDaily[EntryDate],DATE(2026,7,12),tblDaily[WardCode],"BG")),"")</f>
        <v/>
      </c>
      <c r="C252" s="5" t="str">
        <f>IFERROR(IF(SUMIFS(tblDaily[Discharges],tblDaily[EntryDate],DATE(2026,7,12),tblDaily[WardCode],"BG")=0,"",SUMIFS(tblDaily[Discharges],tblDaily[EntryDate],DATE(2026,7,12),tblDaily[WardCode],"BG")),"")</f>
        <v/>
      </c>
      <c r="D252" s="5" t="str">
        <f>IFERROR(IF(SUMIFS(tblDaily[Deaths],tblDaily[EntryDate],DATE(2026,7,12),tblDaily[WardCode],"BG")=0,"",SUMIFS(tblDaily[Deaths],tblDaily[EntryDate],DATE(2026,7,12),tblDaily[WardCode],"BG")),"")</f>
        <v/>
      </c>
      <c r="E252" s="5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5" t="str">
        <f>IFERROR(IF(SUMIFS(tblDaily[TransfersIn],tblDaily[EntryDate],DATE(2026,7,12),tblDaily[WardCode],"BG")=0,"",SUMIFS(tblDaily[TransfersIn],tblDaily[EntryDate],DATE(2026,7,12),tblDaily[WardCode],"BG")),"")</f>
        <v/>
      </c>
      <c r="G252" s="5" t="str">
        <f>IFERROR(IF(SUMIFS(tblDaily[TransfersOut],tblDaily[EntryDate],DATE(2026,7,12),tblDaily[WardCode],"BG")=0,"",SUMIFS(tblDaily[TransfersOut],tblDaily[EntryDate],DATE(2026,7,12),tblDaily[WardCode],"BG")),"")</f>
        <v/>
      </c>
      <c r="H252" s="5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IFERROR(IF(SUMIFS(tblDaily[Admissions],tblDaily[EntryDate],DATE(2026,7,13),tblDaily[WardCode],"BG")=0,"",SUMIFS(tblDaily[Admissions],tblDaily[EntryDate],DATE(2026,7,13),tblDaily[WardCode],"BG")),"")</f>
        <v/>
      </c>
      <c r="C253" s="5" t="str">
        <f>IFERROR(IF(SUMIFS(tblDaily[Discharges],tblDaily[EntryDate],DATE(2026,7,13),tblDaily[WardCode],"BG")=0,"",SUMIFS(tblDaily[Discharges],tblDaily[EntryDate],DATE(2026,7,13),tblDaily[WardCode],"BG")),"")</f>
        <v/>
      </c>
      <c r="D253" s="5" t="str">
        <f>IFERROR(IF(SUMIFS(tblDaily[Deaths],tblDaily[EntryDate],DATE(2026,7,13),tblDaily[WardCode],"BG")=0,"",SUMIFS(tblDaily[Deaths],tblDaily[EntryDate],DATE(2026,7,13),tblDaily[WardCode],"BG")),"")</f>
        <v/>
      </c>
      <c r="E253" s="5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5" t="str">
        <f>IFERROR(IF(SUMIFS(tblDaily[TransfersIn],tblDaily[EntryDate],DATE(2026,7,13),tblDaily[WardCode],"BG")=0,"",SUMIFS(tblDaily[TransfersIn],tblDaily[EntryDate],DATE(2026,7,13),tblDaily[WardCode],"BG")),"")</f>
        <v/>
      </c>
      <c r="G253" s="5" t="str">
        <f>IFERROR(IF(SUMIFS(tblDaily[TransfersOut],tblDaily[EntryDate],DATE(2026,7,13),tblDaily[WardCode],"BG")=0,"",SUMIFS(tblDaily[TransfersOut],tblDaily[EntryDate],DATE(2026,7,13),tblDaily[WardCode],"BG")),"")</f>
        <v/>
      </c>
      <c r="H253" s="5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IFERROR(IF(SUMIFS(tblDaily[Admissions],tblDaily[EntryDate],DATE(2026,7,14),tblDaily[WardCode],"BG")=0,"",SUMIFS(tblDaily[Admissions],tblDaily[EntryDate],DATE(2026,7,14),tblDaily[WardCode],"BG")),"")</f>
        <v/>
      </c>
      <c r="C254" s="5" t="str">
        <f>IFERROR(IF(SUMIFS(tblDaily[Discharges],tblDaily[EntryDate],DATE(2026,7,14),tblDaily[WardCode],"BG")=0,"",SUMIFS(tblDaily[Discharges],tblDaily[EntryDate],DATE(2026,7,14),tblDaily[WardCode],"BG")),"")</f>
        <v/>
      </c>
      <c r="D254" s="5" t="str">
        <f>IFERROR(IF(SUMIFS(tblDaily[Deaths],tblDaily[EntryDate],DATE(2026,7,14),tblDaily[WardCode],"BG")=0,"",SUMIFS(tblDaily[Deaths],tblDaily[EntryDate],DATE(2026,7,14),tblDaily[WardCode],"BG")),"")</f>
        <v/>
      </c>
      <c r="E254" s="5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5" t="str">
        <f>IFERROR(IF(SUMIFS(tblDaily[TransfersIn],tblDaily[EntryDate],DATE(2026,7,14),tblDaily[WardCode],"BG")=0,"",SUMIFS(tblDaily[TransfersIn],tblDaily[EntryDate],DATE(2026,7,14),tblDaily[WardCode],"BG")),"")</f>
        <v/>
      </c>
      <c r="G254" s="5" t="str">
        <f>IFERROR(IF(SUMIFS(tblDaily[TransfersOut],tblDaily[EntryDate],DATE(2026,7,14),tblDaily[WardCode],"BG")=0,"",SUMIFS(tblDaily[TransfersOut],tblDaily[EntryDate],DATE(2026,7,14),tblDaily[WardCode],"BG")),"")</f>
        <v/>
      </c>
      <c r="H254" s="5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IFERROR(IF(SUMIFS(tblDaily[Admissions],tblDaily[EntryDate],DATE(2026,7,15),tblDaily[WardCode],"BG")=0,"",SUMIFS(tblDaily[Admissions],tblDaily[EntryDate],DATE(2026,7,15),tblDaily[WardCode],"BG")),"")</f>
        <v/>
      </c>
      <c r="C255" s="5" t="str">
        <f>IFERROR(IF(SUMIFS(tblDaily[Discharges],tblDaily[EntryDate],DATE(2026,7,15),tblDaily[WardCode],"BG")=0,"",SUMIFS(tblDaily[Discharges],tblDaily[EntryDate],DATE(2026,7,15),tblDaily[WardCode],"BG")),"")</f>
        <v/>
      </c>
      <c r="D255" s="5" t="str">
        <f>IFERROR(IF(SUMIFS(tblDaily[Deaths],tblDaily[EntryDate],DATE(2026,7,15),tblDaily[WardCode],"BG")=0,"",SUMIFS(tblDaily[Deaths],tblDaily[EntryDate],DATE(2026,7,15),tblDaily[WardCode],"BG")),"")</f>
        <v/>
      </c>
      <c r="E255" s="5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5" t="str">
        <f>IFERROR(IF(SUMIFS(tblDaily[TransfersIn],tblDaily[EntryDate],DATE(2026,7,15),tblDaily[WardCode],"BG")=0,"",SUMIFS(tblDaily[TransfersIn],tblDaily[EntryDate],DATE(2026,7,15),tblDaily[WardCode],"BG")),"")</f>
        <v/>
      </c>
      <c r="G255" s="5" t="str">
        <f>IFERROR(IF(SUMIFS(tblDaily[TransfersOut],tblDaily[EntryDate],DATE(2026,7,15),tblDaily[WardCode],"BG")=0,"",SUMIFS(tblDaily[TransfersOut],tblDaily[EntryDate],DATE(2026,7,15),tblDaily[WardCode],"BG")),"")</f>
        <v/>
      </c>
      <c r="H255" s="5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IFERROR(IF(SUMIFS(tblDaily[Admissions],tblDaily[EntryDate],DATE(2026,7,16),tblDaily[WardCode],"BG")=0,"",SUMIFS(tblDaily[Admissions],tblDaily[EntryDate],DATE(2026,7,16),tblDaily[WardCode],"BG")),"")</f>
        <v/>
      </c>
      <c r="C256" s="5" t="str">
        <f>IFERROR(IF(SUMIFS(tblDaily[Discharges],tblDaily[EntryDate],DATE(2026,7,16),tblDaily[WardCode],"BG")=0,"",SUMIFS(tblDaily[Discharges],tblDaily[EntryDate],DATE(2026,7,16),tblDaily[WardCode],"BG")),"")</f>
        <v/>
      </c>
      <c r="D256" s="5" t="str">
        <f>IFERROR(IF(SUMIFS(tblDaily[Deaths],tblDaily[EntryDate],DATE(2026,7,16),tblDaily[WardCode],"BG")=0,"",SUMIFS(tblDaily[Deaths],tblDaily[EntryDate],DATE(2026,7,16),tblDaily[WardCode],"BG")),"")</f>
        <v/>
      </c>
      <c r="E256" s="5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5" t="str">
        <f>IFERROR(IF(SUMIFS(tblDaily[TransfersIn],tblDaily[EntryDate],DATE(2026,7,16),tblDaily[WardCode],"BG")=0,"",SUMIFS(tblDaily[TransfersIn],tblDaily[EntryDate],DATE(2026,7,16),tblDaily[WardCode],"BG")),"")</f>
        <v/>
      </c>
      <c r="G256" s="5" t="str">
        <f>IFERROR(IF(SUMIFS(tblDaily[TransfersOut],tblDaily[EntryDate],DATE(2026,7,16),tblDaily[WardCode],"BG")=0,"",SUMIFS(tblDaily[TransfersOut],tblDaily[EntryDate],DATE(2026,7,16),tblDaily[WardCode],"BG")),"")</f>
        <v/>
      </c>
      <c r="H256" s="5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IFERROR(IF(SUMIFS(tblDaily[Admissions],tblDaily[EntryDate],DATE(2026,7,17),tblDaily[WardCode],"BG")=0,"",SUMIFS(tblDaily[Admissions],tblDaily[EntryDate],DATE(2026,7,17),tblDaily[WardCode],"BG")),"")</f>
        <v/>
      </c>
      <c r="C257" s="5" t="str">
        <f>IFERROR(IF(SUMIFS(tblDaily[Discharges],tblDaily[EntryDate],DATE(2026,7,17),tblDaily[WardCode],"BG")=0,"",SUMIFS(tblDaily[Discharges],tblDaily[EntryDate],DATE(2026,7,17),tblDaily[WardCode],"BG")),"")</f>
        <v/>
      </c>
      <c r="D257" s="5" t="str">
        <f>IFERROR(IF(SUMIFS(tblDaily[Deaths],tblDaily[EntryDate],DATE(2026,7,17),tblDaily[WardCode],"BG")=0,"",SUMIFS(tblDaily[Deaths],tblDaily[EntryDate],DATE(2026,7,17),tblDaily[WardCode],"BG")),"")</f>
        <v/>
      </c>
      <c r="E257" s="5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5" t="str">
        <f>IFERROR(IF(SUMIFS(tblDaily[TransfersIn],tblDaily[EntryDate],DATE(2026,7,17),tblDaily[WardCode],"BG")=0,"",SUMIFS(tblDaily[TransfersIn],tblDaily[EntryDate],DATE(2026,7,17),tblDaily[WardCode],"BG")),"")</f>
        <v/>
      </c>
      <c r="G257" s="5" t="str">
        <f>IFERROR(IF(SUMIFS(tblDaily[TransfersOut],tblDaily[EntryDate],DATE(2026,7,17),tblDaily[WardCode],"BG")=0,"",SUMIFS(tblDaily[TransfersOut],tblDaily[EntryDate],DATE(2026,7,17),tblDaily[WardCode],"BG")),"")</f>
        <v/>
      </c>
      <c r="H257" s="5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IFERROR(IF(SUMIFS(tblDaily[Admissions],tblDaily[EntryDate],DATE(2026,7,18),tblDaily[WardCode],"BG")=0,"",SUMIFS(tblDaily[Admissions],tblDaily[EntryDate],DATE(2026,7,18),tblDaily[WardCode],"BG")),"")</f>
        <v/>
      </c>
      <c r="C258" s="5" t="str">
        <f>IFERROR(IF(SUMIFS(tblDaily[Discharges],tblDaily[EntryDate],DATE(2026,7,18),tblDaily[WardCode],"BG")=0,"",SUMIFS(tblDaily[Discharges],tblDaily[EntryDate],DATE(2026,7,18),tblDaily[WardCode],"BG")),"")</f>
        <v/>
      </c>
      <c r="D258" s="5" t="str">
        <f>IFERROR(IF(SUMIFS(tblDaily[Deaths],tblDaily[EntryDate],DATE(2026,7,18),tblDaily[WardCode],"BG")=0,"",SUMIFS(tblDaily[Deaths],tblDaily[EntryDate],DATE(2026,7,18),tblDaily[WardCode],"BG")),"")</f>
        <v/>
      </c>
      <c r="E258" s="5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5" t="str">
        <f>IFERROR(IF(SUMIFS(tblDaily[TransfersIn],tblDaily[EntryDate],DATE(2026,7,18),tblDaily[WardCode],"BG")=0,"",SUMIFS(tblDaily[TransfersIn],tblDaily[EntryDate],DATE(2026,7,18),tblDaily[WardCode],"BG")),"")</f>
        <v/>
      </c>
      <c r="G258" s="5" t="str">
        <f>IFERROR(IF(SUMIFS(tblDaily[TransfersOut],tblDaily[EntryDate],DATE(2026,7,18),tblDaily[WardCode],"BG")=0,"",SUMIFS(tblDaily[TransfersOut],tblDaily[EntryDate],DATE(2026,7,18),tblDaily[WardCode],"BG")),"")</f>
        <v/>
      </c>
      <c r="H258" s="5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IFERROR(IF(SUMIFS(tblDaily[Admissions],tblDaily[EntryDate],DATE(2026,7,19),tblDaily[WardCode],"BG")=0,"",SUMIFS(tblDaily[Admissions],tblDaily[EntryDate],DATE(2026,7,19),tblDaily[WardCode],"BG")),"")</f>
        <v/>
      </c>
      <c r="C259" s="5" t="str">
        <f>IFERROR(IF(SUMIFS(tblDaily[Discharges],tblDaily[EntryDate],DATE(2026,7,19),tblDaily[WardCode],"BG")=0,"",SUMIFS(tblDaily[Discharges],tblDaily[EntryDate],DATE(2026,7,19),tblDaily[WardCode],"BG")),"")</f>
        <v/>
      </c>
      <c r="D259" s="5" t="str">
        <f>IFERROR(IF(SUMIFS(tblDaily[Deaths],tblDaily[EntryDate],DATE(2026,7,19),tblDaily[WardCode],"BG")=0,"",SUMIFS(tblDaily[Deaths],tblDaily[EntryDate],DATE(2026,7,19),tblDaily[WardCode],"BG")),"")</f>
        <v/>
      </c>
      <c r="E259" s="5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5" t="str">
        <f>IFERROR(IF(SUMIFS(tblDaily[TransfersIn],tblDaily[EntryDate],DATE(2026,7,19),tblDaily[WardCode],"BG")=0,"",SUMIFS(tblDaily[TransfersIn],tblDaily[EntryDate],DATE(2026,7,19),tblDaily[WardCode],"BG")),"")</f>
        <v/>
      </c>
      <c r="G259" s="5" t="str">
        <f>IFERROR(IF(SUMIFS(tblDaily[TransfersOut],tblDaily[EntryDate],DATE(2026,7,19),tblDaily[WardCode],"BG")=0,"",SUMIFS(tblDaily[TransfersOut],tblDaily[EntryDate],DATE(2026,7,19),tblDaily[WardCode],"BG")),"")</f>
        <v/>
      </c>
      <c r="H259" s="5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IFERROR(IF(SUMIFS(tblDaily[Admissions],tblDaily[EntryDate],DATE(2026,7,20),tblDaily[WardCode],"BG")=0,"",SUMIFS(tblDaily[Admissions],tblDaily[EntryDate],DATE(2026,7,20),tblDaily[WardCode],"BG")),"")</f>
        <v/>
      </c>
      <c r="C260" s="5" t="str">
        <f>IFERROR(IF(SUMIFS(tblDaily[Discharges],tblDaily[EntryDate],DATE(2026,7,20),tblDaily[WardCode],"BG")=0,"",SUMIFS(tblDaily[Discharges],tblDaily[EntryDate],DATE(2026,7,20),tblDaily[WardCode],"BG")),"")</f>
        <v/>
      </c>
      <c r="D260" s="5" t="str">
        <f>IFERROR(IF(SUMIFS(tblDaily[Deaths],tblDaily[EntryDate],DATE(2026,7,20),tblDaily[WardCode],"BG")=0,"",SUMIFS(tblDaily[Deaths],tblDaily[EntryDate],DATE(2026,7,20),tblDaily[WardCode],"BG")),"")</f>
        <v/>
      </c>
      <c r="E260" s="5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5" t="str">
        <f>IFERROR(IF(SUMIFS(tblDaily[TransfersIn],tblDaily[EntryDate],DATE(2026,7,20),tblDaily[WardCode],"BG")=0,"",SUMIFS(tblDaily[TransfersIn],tblDaily[EntryDate],DATE(2026,7,20),tblDaily[WardCode],"BG")),"")</f>
        <v/>
      </c>
      <c r="G260" s="5" t="str">
        <f>IFERROR(IF(SUMIFS(tblDaily[TransfersOut],tblDaily[EntryDate],DATE(2026,7,20),tblDaily[WardCode],"BG")=0,"",SUMIFS(tblDaily[TransfersOut],tblDaily[EntryDate],DATE(2026,7,20),tblDaily[WardCode],"BG")),"")</f>
        <v/>
      </c>
      <c r="H260" s="5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IFERROR(IF(SUMIFS(tblDaily[Admissions],tblDaily[EntryDate],DATE(2026,7,21),tblDaily[WardCode],"BG")=0,"",SUMIFS(tblDaily[Admissions],tblDaily[EntryDate],DATE(2026,7,21),tblDaily[WardCode],"BG")),"")</f>
        <v/>
      </c>
      <c r="C261" s="5" t="str">
        <f>IFERROR(IF(SUMIFS(tblDaily[Discharges],tblDaily[EntryDate],DATE(2026,7,21),tblDaily[WardCode],"BG")=0,"",SUMIFS(tblDaily[Discharges],tblDaily[EntryDate],DATE(2026,7,21),tblDaily[WardCode],"BG")),"")</f>
        <v/>
      </c>
      <c r="D261" s="5" t="str">
        <f>IFERROR(IF(SUMIFS(tblDaily[Deaths],tblDaily[EntryDate],DATE(2026,7,21),tblDaily[WardCode],"BG")=0,"",SUMIFS(tblDaily[Deaths],tblDaily[EntryDate],DATE(2026,7,21),tblDaily[WardCode],"BG")),"")</f>
        <v/>
      </c>
      <c r="E261" s="5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5" t="str">
        <f>IFERROR(IF(SUMIFS(tblDaily[TransfersIn],tblDaily[EntryDate],DATE(2026,7,21),tblDaily[WardCode],"BG")=0,"",SUMIFS(tblDaily[TransfersIn],tblDaily[EntryDate],DATE(2026,7,21),tblDaily[WardCode],"BG")),"")</f>
        <v/>
      </c>
      <c r="G261" s="5" t="str">
        <f>IFERROR(IF(SUMIFS(tblDaily[TransfersOut],tblDaily[EntryDate],DATE(2026,7,21),tblDaily[WardCode],"BG")=0,"",SUMIFS(tblDaily[TransfersOut],tblDaily[EntryDate],DATE(2026,7,21),tblDaily[WardCode],"BG")),"")</f>
        <v/>
      </c>
      <c r="H261" s="5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IFERROR(IF(SUMIFS(tblDaily[Admissions],tblDaily[EntryDate],DATE(2026,7,22),tblDaily[WardCode],"BG")=0,"",SUMIFS(tblDaily[Admissions],tblDaily[EntryDate],DATE(2026,7,22),tblDaily[WardCode],"BG")),"")</f>
        <v/>
      </c>
      <c r="C262" s="5" t="str">
        <f>IFERROR(IF(SUMIFS(tblDaily[Discharges],tblDaily[EntryDate],DATE(2026,7,22),tblDaily[WardCode],"BG")=0,"",SUMIFS(tblDaily[Discharges],tblDaily[EntryDate],DATE(2026,7,22),tblDaily[WardCode],"BG")),"")</f>
        <v/>
      </c>
      <c r="D262" s="5" t="str">
        <f>IFERROR(IF(SUMIFS(tblDaily[Deaths],tblDaily[EntryDate],DATE(2026,7,22),tblDaily[WardCode],"BG")=0,"",SUMIFS(tblDaily[Deaths],tblDaily[EntryDate],DATE(2026,7,22),tblDaily[WardCode],"BG")),"")</f>
        <v/>
      </c>
      <c r="E262" s="5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5" t="str">
        <f>IFERROR(IF(SUMIFS(tblDaily[TransfersIn],tblDaily[EntryDate],DATE(2026,7,22),tblDaily[WardCode],"BG")=0,"",SUMIFS(tblDaily[TransfersIn],tblDaily[EntryDate],DATE(2026,7,22),tblDaily[WardCode],"BG")),"")</f>
        <v/>
      </c>
      <c r="G262" s="5" t="str">
        <f>IFERROR(IF(SUMIFS(tblDaily[TransfersOut],tblDaily[EntryDate],DATE(2026,7,22),tblDaily[WardCode],"BG")=0,"",SUMIFS(tblDaily[TransfersOut],tblDaily[EntryDate],DATE(2026,7,22),tblDaily[WardCode],"BG")),"")</f>
        <v/>
      </c>
      <c r="H262" s="5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IFERROR(IF(SUMIFS(tblDaily[Admissions],tblDaily[EntryDate],DATE(2026,7,23),tblDaily[WardCode],"BG")=0,"",SUMIFS(tblDaily[Admissions],tblDaily[EntryDate],DATE(2026,7,23),tblDaily[WardCode],"BG")),"")</f>
        <v/>
      </c>
      <c r="C263" s="5" t="str">
        <f>IFERROR(IF(SUMIFS(tblDaily[Discharges],tblDaily[EntryDate],DATE(2026,7,23),tblDaily[WardCode],"BG")=0,"",SUMIFS(tblDaily[Discharges],tblDaily[EntryDate],DATE(2026,7,23),tblDaily[WardCode],"BG")),"")</f>
        <v/>
      </c>
      <c r="D263" s="5" t="str">
        <f>IFERROR(IF(SUMIFS(tblDaily[Deaths],tblDaily[EntryDate],DATE(2026,7,23),tblDaily[WardCode],"BG")=0,"",SUMIFS(tblDaily[Deaths],tblDaily[EntryDate],DATE(2026,7,23),tblDaily[WardCode],"BG")),"")</f>
        <v/>
      </c>
      <c r="E263" s="5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5" t="str">
        <f>IFERROR(IF(SUMIFS(tblDaily[TransfersIn],tblDaily[EntryDate],DATE(2026,7,23),tblDaily[WardCode],"BG")=0,"",SUMIFS(tblDaily[TransfersIn],tblDaily[EntryDate],DATE(2026,7,23),tblDaily[WardCode],"BG")),"")</f>
        <v/>
      </c>
      <c r="G263" s="5" t="str">
        <f>IFERROR(IF(SUMIFS(tblDaily[TransfersOut],tblDaily[EntryDate],DATE(2026,7,23),tblDaily[WardCode],"BG")=0,"",SUMIFS(tblDaily[TransfersOut],tblDaily[EntryDate],DATE(2026,7,23),tblDaily[WardCode],"BG")),"")</f>
        <v/>
      </c>
      <c r="H263" s="5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IFERROR(IF(SUMIFS(tblDaily[Admissions],tblDaily[EntryDate],DATE(2026,7,24),tblDaily[WardCode],"BG")=0,"",SUMIFS(tblDaily[Admissions],tblDaily[EntryDate],DATE(2026,7,24),tblDaily[WardCode],"BG")),"")</f>
        <v/>
      </c>
      <c r="C264" s="5" t="str">
        <f>IFERROR(IF(SUMIFS(tblDaily[Discharges],tblDaily[EntryDate],DATE(2026,7,24),tblDaily[WardCode],"BG")=0,"",SUMIFS(tblDaily[Discharges],tblDaily[EntryDate],DATE(2026,7,24),tblDaily[WardCode],"BG")),"")</f>
        <v/>
      </c>
      <c r="D264" s="5" t="str">
        <f>IFERROR(IF(SUMIFS(tblDaily[Deaths],tblDaily[EntryDate],DATE(2026,7,24),tblDaily[WardCode],"BG")=0,"",SUMIFS(tblDaily[Deaths],tblDaily[EntryDate],DATE(2026,7,24),tblDaily[WardCode],"BG")),"")</f>
        <v/>
      </c>
      <c r="E264" s="5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5" t="str">
        <f>IFERROR(IF(SUMIFS(tblDaily[TransfersIn],tblDaily[EntryDate],DATE(2026,7,24),tblDaily[WardCode],"BG")=0,"",SUMIFS(tblDaily[TransfersIn],tblDaily[EntryDate],DATE(2026,7,24),tblDaily[WardCode],"BG")),"")</f>
        <v/>
      </c>
      <c r="G264" s="5" t="str">
        <f>IFERROR(IF(SUMIFS(tblDaily[TransfersOut],tblDaily[EntryDate],DATE(2026,7,24),tblDaily[WardCode],"BG")=0,"",SUMIFS(tblDaily[TransfersOut],tblDaily[EntryDate],DATE(2026,7,24),tblDaily[WardCode],"BG")),"")</f>
        <v/>
      </c>
      <c r="H264" s="5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IFERROR(IF(SUMIFS(tblDaily[Admissions],tblDaily[EntryDate],DATE(2026,7,25),tblDaily[WardCode],"BG")=0,"",SUMIFS(tblDaily[Admissions],tblDaily[EntryDate],DATE(2026,7,25),tblDaily[WardCode],"BG")),"")</f>
        <v/>
      </c>
      <c r="C265" s="5" t="str">
        <f>IFERROR(IF(SUMIFS(tblDaily[Discharges],tblDaily[EntryDate],DATE(2026,7,25),tblDaily[WardCode],"BG")=0,"",SUMIFS(tblDaily[Discharges],tblDaily[EntryDate],DATE(2026,7,25),tblDaily[WardCode],"BG")),"")</f>
        <v/>
      </c>
      <c r="D265" s="5" t="str">
        <f>IFERROR(IF(SUMIFS(tblDaily[Deaths],tblDaily[EntryDate],DATE(2026,7,25),tblDaily[WardCode],"BG")=0,"",SUMIFS(tblDaily[Deaths],tblDaily[EntryDate],DATE(2026,7,25),tblDaily[WardCode],"BG")),"")</f>
        <v/>
      </c>
      <c r="E265" s="5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5" t="str">
        <f>IFERROR(IF(SUMIFS(tblDaily[TransfersIn],tblDaily[EntryDate],DATE(2026,7,25),tblDaily[WardCode],"BG")=0,"",SUMIFS(tblDaily[TransfersIn],tblDaily[EntryDate],DATE(2026,7,25),tblDaily[WardCode],"BG")),"")</f>
        <v/>
      </c>
      <c r="G265" s="5" t="str">
        <f>IFERROR(IF(SUMIFS(tblDaily[TransfersOut],tblDaily[EntryDate],DATE(2026,7,25),tblDaily[WardCode],"BG")=0,"",SUMIFS(tblDaily[TransfersOut],tblDaily[EntryDate],DATE(2026,7,25),tblDaily[WardCode],"BG")),"")</f>
        <v/>
      </c>
      <c r="H265" s="5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IFERROR(IF(SUMIFS(tblDaily[Admissions],tblDaily[EntryDate],DATE(2026,7,26),tblDaily[WardCode],"BG")=0,"",SUMIFS(tblDaily[Admissions],tblDaily[EntryDate],DATE(2026,7,26),tblDaily[WardCode],"BG")),"")</f>
        <v/>
      </c>
      <c r="C266" s="5" t="str">
        <f>IFERROR(IF(SUMIFS(tblDaily[Discharges],tblDaily[EntryDate],DATE(2026,7,26),tblDaily[WardCode],"BG")=0,"",SUMIFS(tblDaily[Discharges],tblDaily[EntryDate],DATE(2026,7,26),tblDaily[WardCode],"BG")),"")</f>
        <v/>
      </c>
      <c r="D266" s="5" t="str">
        <f>IFERROR(IF(SUMIFS(tblDaily[Deaths],tblDaily[EntryDate],DATE(2026,7,26),tblDaily[WardCode],"BG")=0,"",SUMIFS(tblDaily[Deaths],tblDaily[EntryDate],DATE(2026,7,26),tblDaily[WardCode],"BG")),"")</f>
        <v/>
      </c>
      <c r="E266" s="5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5" t="str">
        <f>IFERROR(IF(SUMIFS(tblDaily[TransfersIn],tblDaily[EntryDate],DATE(2026,7,26),tblDaily[WardCode],"BG")=0,"",SUMIFS(tblDaily[TransfersIn],tblDaily[EntryDate],DATE(2026,7,26),tblDaily[WardCode],"BG")),"")</f>
        <v/>
      </c>
      <c r="G266" s="5" t="str">
        <f>IFERROR(IF(SUMIFS(tblDaily[TransfersOut],tblDaily[EntryDate],DATE(2026,7,26),tblDaily[WardCode],"BG")=0,"",SUMIFS(tblDaily[TransfersOut],tblDaily[EntryDate],DATE(2026,7,26),tblDaily[WardCode],"BG")),"")</f>
        <v/>
      </c>
      <c r="H266" s="5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IFERROR(IF(SUMIFS(tblDaily[Admissions],tblDaily[EntryDate],DATE(2026,7,27),tblDaily[WardCode],"BG")=0,"",SUMIFS(tblDaily[Admissions],tblDaily[EntryDate],DATE(2026,7,27),tblDaily[WardCode],"BG")),"")</f>
        <v/>
      </c>
      <c r="C267" s="5" t="str">
        <f>IFERROR(IF(SUMIFS(tblDaily[Discharges],tblDaily[EntryDate],DATE(2026,7,27),tblDaily[WardCode],"BG")=0,"",SUMIFS(tblDaily[Discharges],tblDaily[EntryDate],DATE(2026,7,27),tblDaily[WardCode],"BG")),"")</f>
        <v/>
      </c>
      <c r="D267" s="5" t="str">
        <f>IFERROR(IF(SUMIFS(tblDaily[Deaths],tblDaily[EntryDate],DATE(2026,7,27),tblDaily[WardCode],"BG")=0,"",SUMIFS(tblDaily[Deaths],tblDaily[EntryDate],DATE(2026,7,27),tblDaily[WardCode],"BG")),"")</f>
        <v/>
      </c>
      <c r="E267" s="5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5" t="str">
        <f>IFERROR(IF(SUMIFS(tblDaily[TransfersIn],tblDaily[EntryDate],DATE(2026,7,27),tblDaily[WardCode],"BG")=0,"",SUMIFS(tblDaily[TransfersIn],tblDaily[EntryDate],DATE(2026,7,27),tblDaily[WardCode],"BG")),"")</f>
        <v/>
      </c>
      <c r="G267" s="5" t="str">
        <f>IFERROR(IF(SUMIFS(tblDaily[TransfersOut],tblDaily[EntryDate],DATE(2026,7,27),tblDaily[WardCode],"BG")=0,"",SUMIFS(tblDaily[TransfersOut],tblDaily[EntryDate],DATE(2026,7,27),tblDaily[WardCode],"BG")),"")</f>
        <v/>
      </c>
      <c r="H267" s="5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IFERROR(IF(SUMIFS(tblDaily[Admissions],tblDaily[EntryDate],DATE(2026,7,28),tblDaily[WardCode],"BG")=0,"",SUMIFS(tblDaily[Admissions],tblDaily[EntryDate],DATE(2026,7,28),tblDaily[WardCode],"BG")),"")</f>
        <v/>
      </c>
      <c r="C268" s="5" t="str">
        <f>IFERROR(IF(SUMIFS(tblDaily[Discharges],tblDaily[EntryDate],DATE(2026,7,28),tblDaily[WardCode],"BG")=0,"",SUMIFS(tblDaily[Discharges],tblDaily[EntryDate],DATE(2026,7,28),tblDaily[WardCode],"BG")),"")</f>
        <v/>
      </c>
      <c r="D268" s="5" t="str">
        <f>IFERROR(IF(SUMIFS(tblDaily[Deaths],tblDaily[EntryDate],DATE(2026,7,28),tblDaily[WardCode],"BG")=0,"",SUMIFS(tblDaily[Deaths],tblDaily[EntryDate],DATE(2026,7,28),tblDaily[WardCode],"BG")),"")</f>
        <v/>
      </c>
      <c r="E268" s="5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5" t="str">
        <f>IFERROR(IF(SUMIFS(tblDaily[TransfersIn],tblDaily[EntryDate],DATE(2026,7,28),tblDaily[WardCode],"BG")=0,"",SUMIFS(tblDaily[TransfersIn],tblDaily[EntryDate],DATE(2026,7,28),tblDaily[WardCode],"BG")),"")</f>
        <v/>
      </c>
      <c r="G268" s="5" t="str">
        <f>IFERROR(IF(SUMIFS(tblDaily[TransfersOut],tblDaily[EntryDate],DATE(2026,7,28),tblDaily[WardCode],"BG")=0,"",SUMIFS(tblDaily[TransfersOut],tblDaily[EntryDate],DATE(2026,7,28),tblDaily[WardCode],"BG")),"")</f>
        <v/>
      </c>
      <c r="H268" s="5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IFERROR(IF(SUMIFS(tblDaily[Admissions],tblDaily[EntryDate],DATE(2026,7,29),tblDaily[WardCode],"BG")=0,"",SUMIFS(tblDaily[Admissions],tblDaily[EntryDate],DATE(2026,7,29),tblDaily[WardCode],"BG")),"")</f>
        <v/>
      </c>
      <c r="C269" s="5" t="str">
        <f>IFERROR(IF(SUMIFS(tblDaily[Discharges],tblDaily[EntryDate],DATE(2026,7,29),tblDaily[WardCode],"BG")=0,"",SUMIFS(tblDaily[Discharges],tblDaily[EntryDate],DATE(2026,7,29),tblDaily[WardCode],"BG")),"")</f>
        <v/>
      </c>
      <c r="D269" s="5" t="str">
        <f>IFERROR(IF(SUMIFS(tblDaily[Deaths],tblDaily[EntryDate],DATE(2026,7,29),tblDaily[WardCode],"BG")=0,"",SUMIFS(tblDaily[Deaths],tblDaily[EntryDate],DATE(2026,7,29),tblDaily[WardCode],"BG")),"")</f>
        <v/>
      </c>
      <c r="E269" s="5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5" t="str">
        <f>IFERROR(IF(SUMIFS(tblDaily[TransfersIn],tblDaily[EntryDate],DATE(2026,7,29),tblDaily[WardCode],"BG")=0,"",SUMIFS(tblDaily[TransfersIn],tblDaily[EntryDate],DATE(2026,7,29),tblDaily[WardCode],"BG")),"")</f>
        <v/>
      </c>
      <c r="G269" s="5" t="str">
        <f>IFERROR(IF(SUMIFS(tblDaily[TransfersOut],tblDaily[EntryDate],DATE(2026,7,29),tblDaily[WardCode],"BG")=0,"",SUMIFS(tblDaily[TransfersOut],tblDaily[EntryDate],DATE(2026,7,29),tblDaily[WardCode],"BG")),"")</f>
        <v/>
      </c>
      <c r="H269" s="5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IFERROR(IF(SUMIFS(tblDaily[Admissions],tblDaily[EntryDate],DATE(2026,7,30),tblDaily[WardCode],"BG")=0,"",SUMIFS(tblDaily[Admissions],tblDaily[EntryDate],DATE(2026,7,30),tblDaily[WardCode],"BG")),"")</f>
        <v/>
      </c>
      <c r="C270" s="5" t="str">
        <f>IFERROR(IF(SUMIFS(tblDaily[Discharges],tblDaily[EntryDate],DATE(2026,7,30),tblDaily[WardCode],"BG")=0,"",SUMIFS(tblDaily[Discharges],tblDaily[EntryDate],DATE(2026,7,30),tblDaily[WardCode],"BG")),"")</f>
        <v/>
      </c>
      <c r="D270" s="5" t="str">
        <f>IFERROR(IF(SUMIFS(tblDaily[Deaths],tblDaily[EntryDate],DATE(2026,7,30),tblDaily[WardCode],"BG")=0,"",SUMIFS(tblDaily[Deaths],tblDaily[EntryDate],DATE(2026,7,30),tblDaily[WardCode],"BG")),"")</f>
        <v/>
      </c>
      <c r="E270" s="5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5" t="str">
        <f>IFERROR(IF(SUMIFS(tblDaily[TransfersIn],tblDaily[EntryDate],DATE(2026,7,30),tblDaily[WardCode],"BG")=0,"",SUMIFS(tblDaily[TransfersIn],tblDaily[EntryDate],DATE(2026,7,30),tblDaily[WardCode],"BG")),"")</f>
        <v/>
      </c>
      <c r="G270" s="5" t="str">
        <f>IFERROR(IF(SUMIFS(tblDaily[TransfersOut],tblDaily[EntryDate],DATE(2026,7,30),tblDaily[WardCode],"BG")=0,"",SUMIFS(tblDaily[TransfersOut],tblDaily[EntryDate],DATE(2026,7,30),tblDaily[WardCode],"BG")),"")</f>
        <v/>
      </c>
      <c r="H270" s="5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IFERROR(IF(SUMIFS(tblDaily[Admissions],tblDaily[EntryDate],DATE(2026,7,31),tblDaily[WardCode],"BG")=0,"",SUMIFS(tblDaily[Admissions],tblDaily[EntryDate],DATE(2026,7,31),tblDaily[WardCode],"BG")),"")</f>
        <v/>
      </c>
      <c r="C271" s="5" t="str">
        <f>IFERROR(IF(SUMIFS(tblDaily[Discharges],tblDaily[EntryDate],DATE(2026,7,31),tblDaily[WardCode],"BG")=0,"",SUMIFS(tblDaily[Discharges],tblDaily[EntryDate],DATE(2026,7,31),tblDaily[WardCode],"BG")),"")</f>
        <v/>
      </c>
      <c r="D271" s="5" t="str">
        <f>IFERROR(IF(SUMIFS(tblDaily[Deaths],tblDaily[EntryDate],DATE(2026,7,31),tblDaily[WardCode],"BG")=0,"",SUMIFS(tblDaily[Deaths],tblDaily[EntryDate],DATE(2026,7,31),tblDaily[WardCode],"BG")),"")</f>
        <v/>
      </c>
      <c r="E271" s="5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5" t="str">
        <f>IFERROR(IF(SUMIFS(tblDaily[TransfersIn],tblDaily[EntryDate],DATE(2026,7,31),tblDaily[WardCode],"BG")=0,"",SUMIFS(tblDaily[TransfersIn],tblDaily[EntryDate],DATE(2026,7,31),tblDaily[WardCode],"BG")),"")</f>
        <v/>
      </c>
      <c r="G271" s="5" t="str">
        <f>IFERROR(IF(SUMIFS(tblDaily[TransfersOut],tblDaily[EntryDate],DATE(2026,7,31),tblDaily[WardCode],"BG")=0,"",SUMIFS(tblDaily[TransfersOut],tblDaily[EntryDate],DATE(2026,7,31),tblDaily[WardCode],"BG")),"")</f>
        <v/>
      </c>
      <c r="H271" s="5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95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99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89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IFERROR(IF(SUMIFS(tblDaily[Admissions],tblDaily[EntryDate],DATE(2026,8,1),tblDaily[WardCode],"BG")=0,"",SUMIFS(tblDaily[Admissions],tblDaily[EntryDate],DATE(2026,8,1),tblDaily[WardCode],"BG")),"")</f>
        <v/>
      </c>
      <c r="C280" s="5" t="str">
        <f>IFERROR(IF(SUMIFS(tblDaily[Discharges],tblDaily[EntryDate],DATE(2026,8,1),tblDaily[WardCode],"BG")=0,"",SUMIFS(tblDaily[Discharges],tblDaily[EntryDate],DATE(2026,8,1),tblDaily[WardCode],"BG")),"")</f>
        <v/>
      </c>
      <c r="D280" s="5" t="str">
        <f>IFERROR(IF(SUMIFS(tblDaily[Deaths],tblDaily[EntryDate],DATE(2026,8,1),tblDaily[WardCode],"BG")=0,"",SUMIFS(tblDaily[Deaths],tblDaily[EntryDate],DATE(2026,8,1),tblDaily[WardCode],"BG")),"")</f>
        <v/>
      </c>
      <c r="E280" s="5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5" t="str">
        <f>IFERROR(IF(SUMIFS(tblDaily[TransfersIn],tblDaily[EntryDate],DATE(2026,8,1),tblDaily[WardCode],"BG")=0,"",SUMIFS(tblDaily[TransfersIn],tblDaily[EntryDate],DATE(2026,8,1),tblDaily[WardCode],"BG")),"")</f>
        <v/>
      </c>
      <c r="G280" s="5" t="str">
        <f>IFERROR(IF(SUMIFS(tblDaily[TransfersOut],tblDaily[EntryDate],DATE(2026,8,1),tblDaily[WardCode],"BG")=0,"",SUMIFS(tblDaily[TransfersOut],tblDaily[EntryDate],DATE(2026,8,1),tblDaily[WardCode],"BG")),"")</f>
        <v/>
      </c>
      <c r="H280" s="5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IFERROR(IF(SUMIFS(tblDaily[Admissions],tblDaily[EntryDate],DATE(2026,8,2),tblDaily[WardCode],"BG")=0,"",SUMIFS(tblDaily[Admissions],tblDaily[EntryDate],DATE(2026,8,2),tblDaily[WardCode],"BG")),"")</f>
        <v/>
      </c>
      <c r="C281" s="5" t="str">
        <f>IFERROR(IF(SUMIFS(tblDaily[Discharges],tblDaily[EntryDate],DATE(2026,8,2),tblDaily[WardCode],"BG")=0,"",SUMIFS(tblDaily[Discharges],tblDaily[EntryDate],DATE(2026,8,2),tblDaily[WardCode],"BG")),"")</f>
        <v/>
      </c>
      <c r="D281" s="5" t="str">
        <f>IFERROR(IF(SUMIFS(tblDaily[Deaths],tblDaily[EntryDate],DATE(2026,8,2),tblDaily[WardCode],"BG")=0,"",SUMIFS(tblDaily[Deaths],tblDaily[EntryDate],DATE(2026,8,2),tblDaily[WardCode],"BG")),"")</f>
        <v/>
      </c>
      <c r="E281" s="5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5" t="str">
        <f>IFERROR(IF(SUMIFS(tblDaily[TransfersIn],tblDaily[EntryDate],DATE(2026,8,2),tblDaily[WardCode],"BG")=0,"",SUMIFS(tblDaily[TransfersIn],tblDaily[EntryDate],DATE(2026,8,2),tblDaily[WardCode],"BG")),"")</f>
        <v/>
      </c>
      <c r="G281" s="5" t="str">
        <f>IFERROR(IF(SUMIFS(tblDaily[TransfersOut],tblDaily[EntryDate],DATE(2026,8,2),tblDaily[WardCode],"BG")=0,"",SUMIFS(tblDaily[TransfersOut],tblDaily[EntryDate],DATE(2026,8,2),tblDaily[WardCode],"BG")),"")</f>
        <v/>
      </c>
      <c r="H281" s="5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IFERROR(IF(SUMIFS(tblDaily[Admissions],tblDaily[EntryDate],DATE(2026,8,3),tblDaily[WardCode],"BG")=0,"",SUMIFS(tblDaily[Admissions],tblDaily[EntryDate],DATE(2026,8,3),tblDaily[WardCode],"BG")),"")</f>
        <v/>
      </c>
      <c r="C282" s="5" t="str">
        <f>IFERROR(IF(SUMIFS(tblDaily[Discharges],tblDaily[EntryDate],DATE(2026,8,3),tblDaily[WardCode],"BG")=0,"",SUMIFS(tblDaily[Discharges],tblDaily[EntryDate],DATE(2026,8,3),tblDaily[WardCode],"BG")),"")</f>
        <v/>
      </c>
      <c r="D282" s="5" t="str">
        <f>IFERROR(IF(SUMIFS(tblDaily[Deaths],tblDaily[EntryDate],DATE(2026,8,3),tblDaily[WardCode],"BG")=0,"",SUMIFS(tblDaily[Deaths],tblDaily[EntryDate],DATE(2026,8,3),tblDaily[WardCode],"BG")),"")</f>
        <v/>
      </c>
      <c r="E282" s="5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5" t="str">
        <f>IFERROR(IF(SUMIFS(tblDaily[TransfersIn],tblDaily[EntryDate],DATE(2026,8,3),tblDaily[WardCode],"BG")=0,"",SUMIFS(tblDaily[TransfersIn],tblDaily[EntryDate],DATE(2026,8,3),tblDaily[WardCode],"BG")),"")</f>
        <v/>
      </c>
      <c r="G282" s="5" t="str">
        <f>IFERROR(IF(SUMIFS(tblDaily[TransfersOut],tblDaily[EntryDate],DATE(2026,8,3),tblDaily[WardCode],"BG")=0,"",SUMIFS(tblDaily[TransfersOut],tblDaily[EntryDate],DATE(2026,8,3),tblDaily[WardCode],"BG")),"")</f>
        <v/>
      </c>
      <c r="H282" s="5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IFERROR(IF(SUMIFS(tblDaily[Admissions],tblDaily[EntryDate],DATE(2026,8,4),tblDaily[WardCode],"BG")=0,"",SUMIFS(tblDaily[Admissions],tblDaily[EntryDate],DATE(2026,8,4),tblDaily[WardCode],"BG")),"")</f>
        <v/>
      </c>
      <c r="C283" s="5" t="str">
        <f>IFERROR(IF(SUMIFS(tblDaily[Discharges],tblDaily[EntryDate],DATE(2026,8,4),tblDaily[WardCode],"BG")=0,"",SUMIFS(tblDaily[Discharges],tblDaily[EntryDate],DATE(2026,8,4),tblDaily[WardCode],"BG")),"")</f>
        <v/>
      </c>
      <c r="D283" s="5" t="str">
        <f>IFERROR(IF(SUMIFS(tblDaily[Deaths],tblDaily[EntryDate],DATE(2026,8,4),tblDaily[WardCode],"BG")=0,"",SUMIFS(tblDaily[Deaths],tblDaily[EntryDate],DATE(2026,8,4),tblDaily[WardCode],"BG")),"")</f>
        <v/>
      </c>
      <c r="E283" s="5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5" t="str">
        <f>IFERROR(IF(SUMIFS(tblDaily[TransfersIn],tblDaily[EntryDate],DATE(2026,8,4),tblDaily[WardCode],"BG")=0,"",SUMIFS(tblDaily[TransfersIn],tblDaily[EntryDate],DATE(2026,8,4),tblDaily[WardCode],"BG")),"")</f>
        <v/>
      </c>
      <c r="G283" s="5" t="str">
        <f>IFERROR(IF(SUMIFS(tblDaily[TransfersOut],tblDaily[EntryDate],DATE(2026,8,4),tblDaily[WardCode],"BG")=0,"",SUMIFS(tblDaily[TransfersOut],tblDaily[EntryDate],DATE(2026,8,4),tblDaily[WardCode],"BG")),"")</f>
        <v/>
      </c>
      <c r="H283" s="5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IFERROR(IF(SUMIFS(tblDaily[Admissions],tblDaily[EntryDate],DATE(2026,8,5),tblDaily[WardCode],"BG")=0,"",SUMIFS(tblDaily[Admissions],tblDaily[EntryDate],DATE(2026,8,5),tblDaily[WardCode],"BG")),"")</f>
        <v/>
      </c>
      <c r="C284" s="5" t="str">
        <f>IFERROR(IF(SUMIFS(tblDaily[Discharges],tblDaily[EntryDate],DATE(2026,8,5),tblDaily[WardCode],"BG")=0,"",SUMIFS(tblDaily[Discharges],tblDaily[EntryDate],DATE(2026,8,5),tblDaily[WardCode],"BG")),"")</f>
        <v/>
      </c>
      <c r="D284" s="5" t="str">
        <f>IFERROR(IF(SUMIFS(tblDaily[Deaths],tblDaily[EntryDate],DATE(2026,8,5),tblDaily[WardCode],"BG")=0,"",SUMIFS(tblDaily[Deaths],tblDaily[EntryDate],DATE(2026,8,5),tblDaily[WardCode],"BG")),"")</f>
        <v/>
      </c>
      <c r="E284" s="5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5" t="str">
        <f>IFERROR(IF(SUMIFS(tblDaily[TransfersIn],tblDaily[EntryDate],DATE(2026,8,5),tblDaily[WardCode],"BG")=0,"",SUMIFS(tblDaily[TransfersIn],tblDaily[EntryDate],DATE(2026,8,5),tblDaily[WardCode],"BG")),"")</f>
        <v/>
      </c>
      <c r="G284" s="5" t="str">
        <f>IFERROR(IF(SUMIFS(tblDaily[TransfersOut],tblDaily[EntryDate],DATE(2026,8,5),tblDaily[WardCode],"BG")=0,"",SUMIFS(tblDaily[TransfersOut],tblDaily[EntryDate],DATE(2026,8,5),tblDaily[WardCode],"BG")),"")</f>
        <v/>
      </c>
      <c r="H284" s="5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IFERROR(IF(SUMIFS(tblDaily[Admissions],tblDaily[EntryDate],DATE(2026,8,6),tblDaily[WardCode],"BG")=0,"",SUMIFS(tblDaily[Admissions],tblDaily[EntryDate],DATE(2026,8,6),tblDaily[WardCode],"BG")),"")</f>
        <v/>
      </c>
      <c r="C285" s="5" t="str">
        <f>IFERROR(IF(SUMIFS(tblDaily[Discharges],tblDaily[EntryDate],DATE(2026,8,6),tblDaily[WardCode],"BG")=0,"",SUMIFS(tblDaily[Discharges],tblDaily[EntryDate],DATE(2026,8,6),tblDaily[WardCode],"BG")),"")</f>
        <v/>
      </c>
      <c r="D285" s="5" t="str">
        <f>IFERROR(IF(SUMIFS(tblDaily[Deaths],tblDaily[EntryDate],DATE(2026,8,6),tblDaily[WardCode],"BG")=0,"",SUMIFS(tblDaily[Deaths],tblDaily[EntryDate],DATE(2026,8,6),tblDaily[WardCode],"BG")),"")</f>
        <v/>
      </c>
      <c r="E285" s="5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5" t="str">
        <f>IFERROR(IF(SUMIFS(tblDaily[TransfersIn],tblDaily[EntryDate],DATE(2026,8,6),tblDaily[WardCode],"BG")=0,"",SUMIFS(tblDaily[TransfersIn],tblDaily[EntryDate],DATE(2026,8,6),tblDaily[WardCode],"BG")),"")</f>
        <v/>
      </c>
      <c r="G285" s="5" t="str">
        <f>IFERROR(IF(SUMIFS(tblDaily[TransfersOut],tblDaily[EntryDate],DATE(2026,8,6),tblDaily[WardCode],"BG")=0,"",SUMIFS(tblDaily[TransfersOut],tblDaily[EntryDate],DATE(2026,8,6),tblDaily[WardCode],"BG")),"")</f>
        <v/>
      </c>
      <c r="H285" s="5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IFERROR(IF(SUMIFS(tblDaily[Admissions],tblDaily[EntryDate],DATE(2026,8,7),tblDaily[WardCode],"BG")=0,"",SUMIFS(tblDaily[Admissions],tblDaily[EntryDate],DATE(2026,8,7),tblDaily[WardCode],"BG")),"")</f>
        <v/>
      </c>
      <c r="C286" s="5" t="str">
        <f>IFERROR(IF(SUMIFS(tblDaily[Discharges],tblDaily[EntryDate],DATE(2026,8,7),tblDaily[WardCode],"BG")=0,"",SUMIFS(tblDaily[Discharges],tblDaily[EntryDate],DATE(2026,8,7),tblDaily[WardCode],"BG")),"")</f>
        <v/>
      </c>
      <c r="D286" s="5" t="str">
        <f>IFERROR(IF(SUMIFS(tblDaily[Deaths],tblDaily[EntryDate],DATE(2026,8,7),tblDaily[WardCode],"BG")=0,"",SUMIFS(tblDaily[Deaths],tblDaily[EntryDate],DATE(2026,8,7),tblDaily[WardCode],"BG")),"")</f>
        <v/>
      </c>
      <c r="E286" s="5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5" t="str">
        <f>IFERROR(IF(SUMIFS(tblDaily[TransfersIn],tblDaily[EntryDate],DATE(2026,8,7),tblDaily[WardCode],"BG")=0,"",SUMIFS(tblDaily[TransfersIn],tblDaily[EntryDate],DATE(2026,8,7),tblDaily[WardCode],"BG")),"")</f>
        <v/>
      </c>
      <c r="G286" s="5" t="str">
        <f>IFERROR(IF(SUMIFS(tblDaily[TransfersOut],tblDaily[EntryDate],DATE(2026,8,7),tblDaily[WardCode],"BG")=0,"",SUMIFS(tblDaily[TransfersOut],tblDaily[EntryDate],DATE(2026,8,7),tblDaily[WardCode],"BG")),"")</f>
        <v/>
      </c>
      <c r="H286" s="5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IFERROR(IF(SUMIFS(tblDaily[Admissions],tblDaily[EntryDate],DATE(2026,8,8),tblDaily[WardCode],"BG")=0,"",SUMIFS(tblDaily[Admissions],tblDaily[EntryDate],DATE(2026,8,8),tblDaily[WardCode],"BG")),"")</f>
        <v/>
      </c>
      <c r="C287" s="5" t="str">
        <f>IFERROR(IF(SUMIFS(tblDaily[Discharges],tblDaily[EntryDate],DATE(2026,8,8),tblDaily[WardCode],"BG")=0,"",SUMIFS(tblDaily[Discharges],tblDaily[EntryDate],DATE(2026,8,8),tblDaily[WardCode],"BG")),"")</f>
        <v/>
      </c>
      <c r="D287" s="5" t="str">
        <f>IFERROR(IF(SUMIFS(tblDaily[Deaths],tblDaily[EntryDate],DATE(2026,8,8),tblDaily[WardCode],"BG")=0,"",SUMIFS(tblDaily[Deaths],tblDaily[EntryDate],DATE(2026,8,8),tblDaily[WardCode],"BG")),"")</f>
        <v/>
      </c>
      <c r="E287" s="5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5" t="str">
        <f>IFERROR(IF(SUMIFS(tblDaily[TransfersIn],tblDaily[EntryDate],DATE(2026,8,8),tblDaily[WardCode],"BG")=0,"",SUMIFS(tblDaily[TransfersIn],tblDaily[EntryDate],DATE(2026,8,8),tblDaily[WardCode],"BG")),"")</f>
        <v/>
      </c>
      <c r="G287" s="5" t="str">
        <f>IFERROR(IF(SUMIFS(tblDaily[TransfersOut],tblDaily[EntryDate],DATE(2026,8,8),tblDaily[WardCode],"BG")=0,"",SUMIFS(tblDaily[TransfersOut],tblDaily[EntryDate],DATE(2026,8,8),tblDaily[WardCode],"BG")),"")</f>
        <v/>
      </c>
      <c r="H287" s="5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IFERROR(IF(SUMIFS(tblDaily[Admissions],tblDaily[EntryDate],DATE(2026,8,9),tblDaily[WardCode],"BG")=0,"",SUMIFS(tblDaily[Admissions],tblDaily[EntryDate],DATE(2026,8,9),tblDaily[WardCode],"BG")),"")</f>
        <v/>
      </c>
      <c r="C288" s="5" t="str">
        <f>IFERROR(IF(SUMIFS(tblDaily[Discharges],tblDaily[EntryDate],DATE(2026,8,9),tblDaily[WardCode],"BG")=0,"",SUMIFS(tblDaily[Discharges],tblDaily[EntryDate],DATE(2026,8,9),tblDaily[WardCode],"BG")),"")</f>
        <v/>
      </c>
      <c r="D288" s="5" t="str">
        <f>IFERROR(IF(SUMIFS(tblDaily[Deaths],tblDaily[EntryDate],DATE(2026,8,9),tblDaily[WardCode],"BG")=0,"",SUMIFS(tblDaily[Deaths],tblDaily[EntryDate],DATE(2026,8,9),tblDaily[WardCode],"BG")),"")</f>
        <v/>
      </c>
      <c r="E288" s="5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5" t="str">
        <f>IFERROR(IF(SUMIFS(tblDaily[TransfersIn],tblDaily[EntryDate],DATE(2026,8,9),tblDaily[WardCode],"BG")=0,"",SUMIFS(tblDaily[TransfersIn],tblDaily[EntryDate],DATE(2026,8,9),tblDaily[WardCode],"BG")),"")</f>
        <v/>
      </c>
      <c r="G288" s="5" t="str">
        <f>IFERROR(IF(SUMIFS(tblDaily[TransfersOut],tblDaily[EntryDate],DATE(2026,8,9),tblDaily[WardCode],"BG")=0,"",SUMIFS(tblDaily[TransfersOut],tblDaily[EntryDate],DATE(2026,8,9),tblDaily[WardCode],"BG")),"")</f>
        <v/>
      </c>
      <c r="H288" s="5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IFERROR(IF(SUMIFS(tblDaily[Admissions],tblDaily[EntryDate],DATE(2026,8,10),tblDaily[WardCode],"BG")=0,"",SUMIFS(tblDaily[Admissions],tblDaily[EntryDate],DATE(2026,8,10),tblDaily[WardCode],"BG")),"")</f>
        <v/>
      </c>
      <c r="C289" s="5" t="str">
        <f>IFERROR(IF(SUMIFS(tblDaily[Discharges],tblDaily[EntryDate],DATE(2026,8,10),tblDaily[WardCode],"BG")=0,"",SUMIFS(tblDaily[Discharges],tblDaily[EntryDate],DATE(2026,8,10),tblDaily[WardCode],"BG")),"")</f>
        <v/>
      </c>
      <c r="D289" s="5" t="str">
        <f>IFERROR(IF(SUMIFS(tblDaily[Deaths],tblDaily[EntryDate],DATE(2026,8,10),tblDaily[WardCode],"BG")=0,"",SUMIFS(tblDaily[Deaths],tblDaily[EntryDate],DATE(2026,8,10),tblDaily[WardCode],"BG")),"")</f>
        <v/>
      </c>
      <c r="E289" s="5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5" t="str">
        <f>IFERROR(IF(SUMIFS(tblDaily[TransfersIn],tblDaily[EntryDate],DATE(2026,8,10),tblDaily[WardCode],"BG")=0,"",SUMIFS(tblDaily[TransfersIn],tblDaily[EntryDate],DATE(2026,8,10),tblDaily[WardCode],"BG")),"")</f>
        <v/>
      </c>
      <c r="G289" s="5" t="str">
        <f>IFERROR(IF(SUMIFS(tblDaily[TransfersOut],tblDaily[EntryDate],DATE(2026,8,10),tblDaily[WardCode],"BG")=0,"",SUMIFS(tblDaily[TransfersOut],tblDaily[EntryDate],DATE(2026,8,10),tblDaily[WardCode],"BG")),"")</f>
        <v/>
      </c>
      <c r="H289" s="5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IFERROR(IF(SUMIFS(tblDaily[Admissions],tblDaily[EntryDate],DATE(2026,8,11),tblDaily[WardCode],"BG")=0,"",SUMIFS(tblDaily[Admissions],tblDaily[EntryDate],DATE(2026,8,11),tblDaily[WardCode],"BG")),"")</f>
        <v/>
      </c>
      <c r="C290" s="5" t="str">
        <f>IFERROR(IF(SUMIFS(tblDaily[Discharges],tblDaily[EntryDate],DATE(2026,8,11),tblDaily[WardCode],"BG")=0,"",SUMIFS(tblDaily[Discharges],tblDaily[EntryDate],DATE(2026,8,11),tblDaily[WardCode],"BG")),"")</f>
        <v/>
      </c>
      <c r="D290" s="5" t="str">
        <f>IFERROR(IF(SUMIFS(tblDaily[Deaths],tblDaily[EntryDate],DATE(2026,8,11),tblDaily[WardCode],"BG")=0,"",SUMIFS(tblDaily[Deaths],tblDaily[EntryDate],DATE(2026,8,11),tblDaily[WardCode],"BG")),"")</f>
        <v/>
      </c>
      <c r="E290" s="5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5" t="str">
        <f>IFERROR(IF(SUMIFS(tblDaily[TransfersIn],tblDaily[EntryDate],DATE(2026,8,11),tblDaily[WardCode],"BG")=0,"",SUMIFS(tblDaily[TransfersIn],tblDaily[EntryDate],DATE(2026,8,11),tblDaily[WardCode],"BG")),"")</f>
        <v/>
      </c>
      <c r="G290" s="5" t="str">
        <f>IFERROR(IF(SUMIFS(tblDaily[TransfersOut],tblDaily[EntryDate],DATE(2026,8,11),tblDaily[WardCode],"BG")=0,"",SUMIFS(tblDaily[TransfersOut],tblDaily[EntryDate],DATE(2026,8,11),tblDaily[WardCode],"BG")),"")</f>
        <v/>
      </c>
      <c r="H290" s="5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IFERROR(IF(SUMIFS(tblDaily[Admissions],tblDaily[EntryDate],DATE(2026,8,12),tblDaily[WardCode],"BG")=0,"",SUMIFS(tblDaily[Admissions],tblDaily[EntryDate],DATE(2026,8,12),tblDaily[WardCode],"BG")),"")</f>
        <v/>
      </c>
      <c r="C291" s="5" t="str">
        <f>IFERROR(IF(SUMIFS(tblDaily[Discharges],tblDaily[EntryDate],DATE(2026,8,12),tblDaily[WardCode],"BG")=0,"",SUMIFS(tblDaily[Discharges],tblDaily[EntryDate],DATE(2026,8,12),tblDaily[WardCode],"BG")),"")</f>
        <v/>
      </c>
      <c r="D291" s="5" t="str">
        <f>IFERROR(IF(SUMIFS(tblDaily[Deaths],tblDaily[EntryDate],DATE(2026,8,12),tblDaily[WardCode],"BG")=0,"",SUMIFS(tblDaily[Deaths],tblDaily[EntryDate],DATE(2026,8,12),tblDaily[WardCode],"BG")),"")</f>
        <v/>
      </c>
      <c r="E291" s="5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5" t="str">
        <f>IFERROR(IF(SUMIFS(tblDaily[TransfersIn],tblDaily[EntryDate],DATE(2026,8,12),tblDaily[WardCode],"BG")=0,"",SUMIFS(tblDaily[TransfersIn],tblDaily[EntryDate],DATE(2026,8,12),tblDaily[WardCode],"BG")),"")</f>
        <v/>
      </c>
      <c r="G291" s="5" t="str">
        <f>IFERROR(IF(SUMIFS(tblDaily[TransfersOut],tblDaily[EntryDate],DATE(2026,8,12),tblDaily[WardCode],"BG")=0,"",SUMIFS(tblDaily[TransfersOut],tblDaily[EntryDate],DATE(2026,8,12),tblDaily[WardCode],"BG")),"")</f>
        <v/>
      </c>
      <c r="H291" s="5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IFERROR(IF(SUMIFS(tblDaily[Admissions],tblDaily[EntryDate],DATE(2026,8,13),tblDaily[WardCode],"BG")=0,"",SUMIFS(tblDaily[Admissions],tblDaily[EntryDate],DATE(2026,8,13),tblDaily[WardCode],"BG")),"")</f>
        <v/>
      </c>
      <c r="C292" s="5" t="str">
        <f>IFERROR(IF(SUMIFS(tblDaily[Discharges],tblDaily[EntryDate],DATE(2026,8,13),tblDaily[WardCode],"BG")=0,"",SUMIFS(tblDaily[Discharges],tblDaily[EntryDate],DATE(2026,8,13),tblDaily[WardCode],"BG")),"")</f>
        <v/>
      </c>
      <c r="D292" s="5" t="str">
        <f>IFERROR(IF(SUMIFS(tblDaily[Deaths],tblDaily[EntryDate],DATE(2026,8,13),tblDaily[WardCode],"BG")=0,"",SUMIFS(tblDaily[Deaths],tblDaily[EntryDate],DATE(2026,8,13),tblDaily[WardCode],"BG")),"")</f>
        <v/>
      </c>
      <c r="E292" s="5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5" t="str">
        <f>IFERROR(IF(SUMIFS(tblDaily[TransfersIn],tblDaily[EntryDate],DATE(2026,8,13),tblDaily[WardCode],"BG")=0,"",SUMIFS(tblDaily[TransfersIn],tblDaily[EntryDate],DATE(2026,8,13),tblDaily[WardCode],"BG")),"")</f>
        <v/>
      </c>
      <c r="G292" s="5" t="str">
        <f>IFERROR(IF(SUMIFS(tblDaily[TransfersOut],tblDaily[EntryDate],DATE(2026,8,13),tblDaily[WardCode],"BG")=0,"",SUMIFS(tblDaily[TransfersOut],tblDaily[EntryDate],DATE(2026,8,13),tblDaily[WardCode],"BG")),"")</f>
        <v/>
      </c>
      <c r="H292" s="5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IFERROR(IF(SUMIFS(tblDaily[Admissions],tblDaily[EntryDate],DATE(2026,8,14),tblDaily[WardCode],"BG")=0,"",SUMIFS(tblDaily[Admissions],tblDaily[EntryDate],DATE(2026,8,14),tblDaily[WardCode],"BG")),"")</f>
        <v/>
      </c>
      <c r="C293" s="5" t="str">
        <f>IFERROR(IF(SUMIFS(tblDaily[Discharges],tblDaily[EntryDate],DATE(2026,8,14),tblDaily[WardCode],"BG")=0,"",SUMIFS(tblDaily[Discharges],tblDaily[EntryDate],DATE(2026,8,14),tblDaily[WardCode],"BG")),"")</f>
        <v/>
      </c>
      <c r="D293" s="5" t="str">
        <f>IFERROR(IF(SUMIFS(tblDaily[Deaths],tblDaily[EntryDate],DATE(2026,8,14),tblDaily[WardCode],"BG")=0,"",SUMIFS(tblDaily[Deaths],tblDaily[EntryDate],DATE(2026,8,14),tblDaily[WardCode],"BG")),"")</f>
        <v/>
      </c>
      <c r="E293" s="5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5" t="str">
        <f>IFERROR(IF(SUMIFS(tblDaily[TransfersIn],tblDaily[EntryDate],DATE(2026,8,14),tblDaily[WardCode],"BG")=0,"",SUMIFS(tblDaily[TransfersIn],tblDaily[EntryDate],DATE(2026,8,14),tblDaily[WardCode],"BG")),"")</f>
        <v/>
      </c>
      <c r="G293" s="5" t="str">
        <f>IFERROR(IF(SUMIFS(tblDaily[TransfersOut],tblDaily[EntryDate],DATE(2026,8,14),tblDaily[WardCode],"BG")=0,"",SUMIFS(tblDaily[TransfersOut],tblDaily[EntryDate],DATE(2026,8,14),tblDaily[WardCode],"BG")),"")</f>
        <v/>
      </c>
      <c r="H293" s="5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IFERROR(IF(SUMIFS(tblDaily[Admissions],tblDaily[EntryDate],DATE(2026,8,15),tblDaily[WardCode],"BG")=0,"",SUMIFS(tblDaily[Admissions],tblDaily[EntryDate],DATE(2026,8,15),tblDaily[WardCode],"BG")),"")</f>
        <v/>
      </c>
      <c r="C294" s="5" t="str">
        <f>IFERROR(IF(SUMIFS(tblDaily[Discharges],tblDaily[EntryDate],DATE(2026,8,15),tblDaily[WardCode],"BG")=0,"",SUMIFS(tblDaily[Discharges],tblDaily[EntryDate],DATE(2026,8,15),tblDaily[WardCode],"BG")),"")</f>
        <v/>
      </c>
      <c r="D294" s="5" t="str">
        <f>IFERROR(IF(SUMIFS(tblDaily[Deaths],tblDaily[EntryDate],DATE(2026,8,15),tblDaily[WardCode],"BG")=0,"",SUMIFS(tblDaily[Deaths],tblDaily[EntryDate],DATE(2026,8,15),tblDaily[WardCode],"BG")),"")</f>
        <v/>
      </c>
      <c r="E294" s="5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5" t="str">
        <f>IFERROR(IF(SUMIFS(tblDaily[TransfersIn],tblDaily[EntryDate],DATE(2026,8,15),tblDaily[WardCode],"BG")=0,"",SUMIFS(tblDaily[TransfersIn],tblDaily[EntryDate],DATE(2026,8,15),tblDaily[WardCode],"BG")),"")</f>
        <v/>
      </c>
      <c r="G294" s="5" t="str">
        <f>IFERROR(IF(SUMIFS(tblDaily[TransfersOut],tblDaily[EntryDate],DATE(2026,8,15),tblDaily[WardCode],"BG")=0,"",SUMIFS(tblDaily[TransfersOut],tblDaily[EntryDate],DATE(2026,8,15),tblDaily[WardCode],"BG")),"")</f>
        <v/>
      </c>
      <c r="H294" s="5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IFERROR(IF(SUMIFS(tblDaily[Admissions],tblDaily[EntryDate],DATE(2026,8,16),tblDaily[WardCode],"BG")=0,"",SUMIFS(tblDaily[Admissions],tblDaily[EntryDate],DATE(2026,8,16),tblDaily[WardCode],"BG")),"")</f>
        <v/>
      </c>
      <c r="C295" s="5" t="str">
        <f>IFERROR(IF(SUMIFS(tblDaily[Discharges],tblDaily[EntryDate],DATE(2026,8,16),tblDaily[WardCode],"BG")=0,"",SUMIFS(tblDaily[Discharges],tblDaily[EntryDate],DATE(2026,8,16),tblDaily[WardCode],"BG")),"")</f>
        <v/>
      </c>
      <c r="D295" s="5" t="str">
        <f>IFERROR(IF(SUMIFS(tblDaily[Deaths],tblDaily[EntryDate],DATE(2026,8,16),tblDaily[WardCode],"BG")=0,"",SUMIFS(tblDaily[Deaths],tblDaily[EntryDate],DATE(2026,8,16),tblDaily[WardCode],"BG")),"")</f>
        <v/>
      </c>
      <c r="E295" s="5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5" t="str">
        <f>IFERROR(IF(SUMIFS(tblDaily[TransfersIn],tblDaily[EntryDate],DATE(2026,8,16),tblDaily[WardCode],"BG")=0,"",SUMIFS(tblDaily[TransfersIn],tblDaily[EntryDate],DATE(2026,8,16),tblDaily[WardCode],"BG")),"")</f>
        <v/>
      </c>
      <c r="G295" s="5" t="str">
        <f>IFERROR(IF(SUMIFS(tblDaily[TransfersOut],tblDaily[EntryDate],DATE(2026,8,16),tblDaily[WardCode],"BG")=0,"",SUMIFS(tblDaily[TransfersOut],tblDaily[EntryDate],DATE(2026,8,16),tblDaily[WardCode],"BG")),"")</f>
        <v/>
      </c>
      <c r="H295" s="5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IFERROR(IF(SUMIFS(tblDaily[Admissions],tblDaily[EntryDate],DATE(2026,8,17),tblDaily[WardCode],"BG")=0,"",SUMIFS(tblDaily[Admissions],tblDaily[EntryDate],DATE(2026,8,17),tblDaily[WardCode],"BG")),"")</f>
        <v/>
      </c>
      <c r="C296" s="5" t="str">
        <f>IFERROR(IF(SUMIFS(tblDaily[Discharges],tblDaily[EntryDate],DATE(2026,8,17),tblDaily[WardCode],"BG")=0,"",SUMIFS(tblDaily[Discharges],tblDaily[EntryDate],DATE(2026,8,17),tblDaily[WardCode],"BG")),"")</f>
        <v/>
      </c>
      <c r="D296" s="5" t="str">
        <f>IFERROR(IF(SUMIFS(tblDaily[Deaths],tblDaily[EntryDate],DATE(2026,8,17),tblDaily[WardCode],"BG")=0,"",SUMIFS(tblDaily[Deaths],tblDaily[EntryDate],DATE(2026,8,17),tblDaily[WardCode],"BG")),"")</f>
        <v/>
      </c>
      <c r="E296" s="5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5" t="str">
        <f>IFERROR(IF(SUMIFS(tblDaily[TransfersIn],tblDaily[EntryDate],DATE(2026,8,17),tblDaily[WardCode],"BG")=0,"",SUMIFS(tblDaily[TransfersIn],tblDaily[EntryDate],DATE(2026,8,17),tblDaily[WardCode],"BG")),"")</f>
        <v/>
      </c>
      <c r="G296" s="5" t="str">
        <f>IFERROR(IF(SUMIFS(tblDaily[TransfersOut],tblDaily[EntryDate],DATE(2026,8,17),tblDaily[WardCode],"BG")=0,"",SUMIFS(tblDaily[TransfersOut],tblDaily[EntryDate],DATE(2026,8,17),tblDaily[WardCode],"BG")),"")</f>
        <v/>
      </c>
      <c r="H296" s="5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IFERROR(IF(SUMIFS(tblDaily[Admissions],tblDaily[EntryDate],DATE(2026,8,18),tblDaily[WardCode],"BG")=0,"",SUMIFS(tblDaily[Admissions],tblDaily[EntryDate],DATE(2026,8,18),tblDaily[WardCode],"BG")),"")</f>
        <v/>
      </c>
      <c r="C297" s="5" t="str">
        <f>IFERROR(IF(SUMIFS(tblDaily[Discharges],tblDaily[EntryDate],DATE(2026,8,18),tblDaily[WardCode],"BG")=0,"",SUMIFS(tblDaily[Discharges],tblDaily[EntryDate],DATE(2026,8,18),tblDaily[WardCode],"BG")),"")</f>
        <v/>
      </c>
      <c r="D297" s="5" t="str">
        <f>IFERROR(IF(SUMIFS(tblDaily[Deaths],tblDaily[EntryDate],DATE(2026,8,18),tblDaily[WardCode],"BG")=0,"",SUMIFS(tblDaily[Deaths],tblDaily[EntryDate],DATE(2026,8,18),tblDaily[WardCode],"BG")),"")</f>
        <v/>
      </c>
      <c r="E297" s="5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5" t="str">
        <f>IFERROR(IF(SUMIFS(tblDaily[TransfersIn],tblDaily[EntryDate],DATE(2026,8,18),tblDaily[WardCode],"BG")=0,"",SUMIFS(tblDaily[TransfersIn],tblDaily[EntryDate],DATE(2026,8,18),tblDaily[WardCode],"BG")),"")</f>
        <v/>
      </c>
      <c r="G297" s="5" t="str">
        <f>IFERROR(IF(SUMIFS(tblDaily[TransfersOut],tblDaily[EntryDate],DATE(2026,8,18),tblDaily[WardCode],"BG")=0,"",SUMIFS(tblDaily[TransfersOut],tblDaily[EntryDate],DATE(2026,8,18),tblDaily[WardCode],"BG")),"")</f>
        <v/>
      </c>
      <c r="H297" s="5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IFERROR(IF(SUMIFS(tblDaily[Admissions],tblDaily[EntryDate],DATE(2026,8,19),tblDaily[WardCode],"BG")=0,"",SUMIFS(tblDaily[Admissions],tblDaily[EntryDate],DATE(2026,8,19),tblDaily[WardCode],"BG")),"")</f>
        <v/>
      </c>
      <c r="C298" s="5" t="str">
        <f>IFERROR(IF(SUMIFS(tblDaily[Discharges],tblDaily[EntryDate],DATE(2026,8,19),tblDaily[WardCode],"BG")=0,"",SUMIFS(tblDaily[Discharges],tblDaily[EntryDate],DATE(2026,8,19),tblDaily[WardCode],"BG")),"")</f>
        <v/>
      </c>
      <c r="D298" s="5" t="str">
        <f>IFERROR(IF(SUMIFS(tblDaily[Deaths],tblDaily[EntryDate],DATE(2026,8,19),tblDaily[WardCode],"BG")=0,"",SUMIFS(tblDaily[Deaths],tblDaily[EntryDate],DATE(2026,8,19),tblDaily[WardCode],"BG")),"")</f>
        <v/>
      </c>
      <c r="E298" s="5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5" t="str">
        <f>IFERROR(IF(SUMIFS(tblDaily[TransfersIn],tblDaily[EntryDate],DATE(2026,8,19),tblDaily[WardCode],"BG")=0,"",SUMIFS(tblDaily[TransfersIn],tblDaily[EntryDate],DATE(2026,8,19),tblDaily[WardCode],"BG")),"")</f>
        <v/>
      </c>
      <c r="G298" s="5" t="str">
        <f>IFERROR(IF(SUMIFS(tblDaily[TransfersOut],tblDaily[EntryDate],DATE(2026,8,19),tblDaily[WardCode],"BG")=0,"",SUMIFS(tblDaily[TransfersOut],tblDaily[EntryDate],DATE(2026,8,19),tblDaily[WardCode],"BG")),"")</f>
        <v/>
      </c>
      <c r="H298" s="5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IFERROR(IF(SUMIFS(tblDaily[Admissions],tblDaily[EntryDate],DATE(2026,8,20),tblDaily[WardCode],"BG")=0,"",SUMIFS(tblDaily[Admissions],tblDaily[EntryDate],DATE(2026,8,20),tblDaily[WardCode],"BG")),"")</f>
        <v/>
      </c>
      <c r="C299" s="5" t="str">
        <f>IFERROR(IF(SUMIFS(tblDaily[Discharges],tblDaily[EntryDate],DATE(2026,8,20),tblDaily[WardCode],"BG")=0,"",SUMIFS(tblDaily[Discharges],tblDaily[EntryDate],DATE(2026,8,20),tblDaily[WardCode],"BG")),"")</f>
        <v/>
      </c>
      <c r="D299" s="5" t="str">
        <f>IFERROR(IF(SUMIFS(tblDaily[Deaths],tblDaily[EntryDate],DATE(2026,8,20),tblDaily[WardCode],"BG")=0,"",SUMIFS(tblDaily[Deaths],tblDaily[EntryDate],DATE(2026,8,20),tblDaily[WardCode],"BG")),"")</f>
        <v/>
      </c>
      <c r="E299" s="5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5" t="str">
        <f>IFERROR(IF(SUMIFS(tblDaily[TransfersIn],tblDaily[EntryDate],DATE(2026,8,20),tblDaily[WardCode],"BG")=0,"",SUMIFS(tblDaily[TransfersIn],tblDaily[EntryDate],DATE(2026,8,20),tblDaily[WardCode],"BG")),"")</f>
        <v/>
      </c>
      <c r="G299" s="5" t="str">
        <f>IFERROR(IF(SUMIFS(tblDaily[TransfersOut],tblDaily[EntryDate],DATE(2026,8,20),tblDaily[WardCode],"BG")=0,"",SUMIFS(tblDaily[TransfersOut],tblDaily[EntryDate],DATE(2026,8,20),tblDaily[WardCode],"BG")),"")</f>
        <v/>
      </c>
      <c r="H299" s="5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IFERROR(IF(SUMIFS(tblDaily[Admissions],tblDaily[EntryDate],DATE(2026,8,21),tblDaily[WardCode],"BG")=0,"",SUMIFS(tblDaily[Admissions],tblDaily[EntryDate],DATE(2026,8,21),tblDaily[WardCode],"BG")),"")</f>
        <v/>
      </c>
      <c r="C300" s="5" t="str">
        <f>IFERROR(IF(SUMIFS(tblDaily[Discharges],tblDaily[EntryDate],DATE(2026,8,21),tblDaily[WardCode],"BG")=0,"",SUMIFS(tblDaily[Discharges],tblDaily[EntryDate],DATE(2026,8,21),tblDaily[WardCode],"BG")),"")</f>
        <v/>
      </c>
      <c r="D300" s="5" t="str">
        <f>IFERROR(IF(SUMIFS(tblDaily[Deaths],tblDaily[EntryDate],DATE(2026,8,21),tblDaily[WardCode],"BG")=0,"",SUMIFS(tblDaily[Deaths],tblDaily[EntryDate],DATE(2026,8,21),tblDaily[WardCode],"BG")),"")</f>
        <v/>
      </c>
      <c r="E300" s="5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5" t="str">
        <f>IFERROR(IF(SUMIFS(tblDaily[TransfersIn],tblDaily[EntryDate],DATE(2026,8,21),tblDaily[WardCode],"BG")=0,"",SUMIFS(tblDaily[TransfersIn],tblDaily[EntryDate],DATE(2026,8,21),tblDaily[WardCode],"BG")),"")</f>
        <v/>
      </c>
      <c r="G300" s="5" t="str">
        <f>IFERROR(IF(SUMIFS(tblDaily[TransfersOut],tblDaily[EntryDate],DATE(2026,8,21),tblDaily[WardCode],"BG")=0,"",SUMIFS(tblDaily[TransfersOut],tblDaily[EntryDate],DATE(2026,8,21),tblDaily[WardCode],"BG")),"")</f>
        <v/>
      </c>
      <c r="H300" s="5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IFERROR(IF(SUMIFS(tblDaily[Admissions],tblDaily[EntryDate],DATE(2026,8,22),tblDaily[WardCode],"BG")=0,"",SUMIFS(tblDaily[Admissions],tblDaily[EntryDate],DATE(2026,8,22),tblDaily[WardCode],"BG")),"")</f>
        <v/>
      </c>
      <c r="C301" s="5" t="str">
        <f>IFERROR(IF(SUMIFS(tblDaily[Discharges],tblDaily[EntryDate],DATE(2026,8,22),tblDaily[WardCode],"BG")=0,"",SUMIFS(tblDaily[Discharges],tblDaily[EntryDate],DATE(2026,8,22),tblDaily[WardCode],"BG")),"")</f>
        <v/>
      </c>
      <c r="D301" s="5" t="str">
        <f>IFERROR(IF(SUMIFS(tblDaily[Deaths],tblDaily[EntryDate],DATE(2026,8,22),tblDaily[WardCode],"BG")=0,"",SUMIFS(tblDaily[Deaths],tblDaily[EntryDate],DATE(2026,8,22),tblDaily[WardCode],"BG")),"")</f>
        <v/>
      </c>
      <c r="E301" s="5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5" t="str">
        <f>IFERROR(IF(SUMIFS(tblDaily[TransfersIn],tblDaily[EntryDate],DATE(2026,8,22),tblDaily[WardCode],"BG")=0,"",SUMIFS(tblDaily[TransfersIn],tblDaily[EntryDate],DATE(2026,8,22),tblDaily[WardCode],"BG")),"")</f>
        <v/>
      </c>
      <c r="G301" s="5" t="str">
        <f>IFERROR(IF(SUMIFS(tblDaily[TransfersOut],tblDaily[EntryDate],DATE(2026,8,22),tblDaily[WardCode],"BG")=0,"",SUMIFS(tblDaily[TransfersOut],tblDaily[EntryDate],DATE(2026,8,22),tblDaily[WardCode],"BG")),"")</f>
        <v/>
      </c>
      <c r="H301" s="5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IFERROR(IF(SUMIFS(tblDaily[Admissions],tblDaily[EntryDate],DATE(2026,8,23),tblDaily[WardCode],"BG")=0,"",SUMIFS(tblDaily[Admissions],tblDaily[EntryDate],DATE(2026,8,23),tblDaily[WardCode],"BG")),"")</f>
        <v/>
      </c>
      <c r="C302" s="5" t="str">
        <f>IFERROR(IF(SUMIFS(tblDaily[Discharges],tblDaily[EntryDate],DATE(2026,8,23),tblDaily[WardCode],"BG")=0,"",SUMIFS(tblDaily[Discharges],tblDaily[EntryDate],DATE(2026,8,23),tblDaily[WardCode],"BG")),"")</f>
        <v/>
      </c>
      <c r="D302" s="5" t="str">
        <f>IFERROR(IF(SUMIFS(tblDaily[Deaths],tblDaily[EntryDate],DATE(2026,8,23),tblDaily[WardCode],"BG")=0,"",SUMIFS(tblDaily[Deaths],tblDaily[EntryDate],DATE(2026,8,23),tblDaily[WardCode],"BG")),"")</f>
        <v/>
      </c>
      <c r="E302" s="5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5" t="str">
        <f>IFERROR(IF(SUMIFS(tblDaily[TransfersIn],tblDaily[EntryDate],DATE(2026,8,23),tblDaily[WardCode],"BG")=0,"",SUMIFS(tblDaily[TransfersIn],tblDaily[EntryDate],DATE(2026,8,23),tblDaily[WardCode],"BG")),"")</f>
        <v/>
      </c>
      <c r="G302" s="5" t="str">
        <f>IFERROR(IF(SUMIFS(tblDaily[TransfersOut],tblDaily[EntryDate],DATE(2026,8,23),tblDaily[WardCode],"BG")=0,"",SUMIFS(tblDaily[TransfersOut],tblDaily[EntryDate],DATE(2026,8,23),tblDaily[WardCode],"BG")),"")</f>
        <v/>
      </c>
      <c r="H302" s="5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IFERROR(IF(SUMIFS(tblDaily[Admissions],tblDaily[EntryDate],DATE(2026,8,24),tblDaily[WardCode],"BG")=0,"",SUMIFS(tblDaily[Admissions],tblDaily[EntryDate],DATE(2026,8,24),tblDaily[WardCode],"BG")),"")</f>
        <v/>
      </c>
      <c r="C303" s="5" t="str">
        <f>IFERROR(IF(SUMIFS(tblDaily[Discharges],tblDaily[EntryDate],DATE(2026,8,24),tblDaily[WardCode],"BG")=0,"",SUMIFS(tblDaily[Discharges],tblDaily[EntryDate],DATE(2026,8,24),tblDaily[WardCode],"BG")),"")</f>
        <v/>
      </c>
      <c r="D303" s="5" t="str">
        <f>IFERROR(IF(SUMIFS(tblDaily[Deaths],tblDaily[EntryDate],DATE(2026,8,24),tblDaily[WardCode],"BG")=0,"",SUMIFS(tblDaily[Deaths],tblDaily[EntryDate],DATE(2026,8,24),tblDaily[WardCode],"BG")),"")</f>
        <v/>
      </c>
      <c r="E303" s="5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5" t="str">
        <f>IFERROR(IF(SUMIFS(tblDaily[TransfersIn],tblDaily[EntryDate],DATE(2026,8,24),tblDaily[WardCode],"BG")=0,"",SUMIFS(tblDaily[TransfersIn],tblDaily[EntryDate],DATE(2026,8,24),tblDaily[WardCode],"BG")),"")</f>
        <v/>
      </c>
      <c r="G303" s="5" t="str">
        <f>IFERROR(IF(SUMIFS(tblDaily[TransfersOut],tblDaily[EntryDate],DATE(2026,8,24),tblDaily[WardCode],"BG")=0,"",SUMIFS(tblDaily[TransfersOut],tblDaily[EntryDate],DATE(2026,8,24),tblDaily[WardCode],"BG")),"")</f>
        <v/>
      </c>
      <c r="H303" s="5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IFERROR(IF(SUMIFS(tblDaily[Admissions],tblDaily[EntryDate],DATE(2026,8,25),tblDaily[WardCode],"BG")=0,"",SUMIFS(tblDaily[Admissions],tblDaily[EntryDate],DATE(2026,8,25),tblDaily[WardCode],"BG")),"")</f>
        <v/>
      </c>
      <c r="C304" s="5" t="str">
        <f>IFERROR(IF(SUMIFS(tblDaily[Discharges],tblDaily[EntryDate],DATE(2026,8,25),tblDaily[WardCode],"BG")=0,"",SUMIFS(tblDaily[Discharges],tblDaily[EntryDate],DATE(2026,8,25),tblDaily[WardCode],"BG")),"")</f>
        <v/>
      </c>
      <c r="D304" s="5" t="str">
        <f>IFERROR(IF(SUMIFS(tblDaily[Deaths],tblDaily[EntryDate],DATE(2026,8,25),tblDaily[WardCode],"BG")=0,"",SUMIFS(tblDaily[Deaths],tblDaily[EntryDate],DATE(2026,8,25),tblDaily[WardCode],"BG")),"")</f>
        <v/>
      </c>
      <c r="E304" s="5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5" t="str">
        <f>IFERROR(IF(SUMIFS(tblDaily[TransfersIn],tblDaily[EntryDate],DATE(2026,8,25),tblDaily[WardCode],"BG")=0,"",SUMIFS(tblDaily[TransfersIn],tblDaily[EntryDate],DATE(2026,8,25),tblDaily[WardCode],"BG")),"")</f>
        <v/>
      </c>
      <c r="G304" s="5" t="str">
        <f>IFERROR(IF(SUMIFS(tblDaily[TransfersOut],tblDaily[EntryDate],DATE(2026,8,25),tblDaily[WardCode],"BG")=0,"",SUMIFS(tblDaily[TransfersOut],tblDaily[EntryDate],DATE(2026,8,25),tblDaily[WardCode],"BG")),"")</f>
        <v/>
      </c>
      <c r="H304" s="5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IFERROR(IF(SUMIFS(tblDaily[Admissions],tblDaily[EntryDate],DATE(2026,8,26),tblDaily[WardCode],"BG")=0,"",SUMIFS(tblDaily[Admissions],tblDaily[EntryDate],DATE(2026,8,26),tblDaily[WardCode],"BG")),"")</f>
        <v/>
      </c>
      <c r="C305" s="5" t="str">
        <f>IFERROR(IF(SUMIFS(tblDaily[Discharges],tblDaily[EntryDate],DATE(2026,8,26),tblDaily[WardCode],"BG")=0,"",SUMIFS(tblDaily[Discharges],tblDaily[EntryDate],DATE(2026,8,26),tblDaily[WardCode],"BG")),"")</f>
        <v/>
      </c>
      <c r="D305" s="5" t="str">
        <f>IFERROR(IF(SUMIFS(tblDaily[Deaths],tblDaily[EntryDate],DATE(2026,8,26),tblDaily[WardCode],"BG")=0,"",SUMIFS(tblDaily[Deaths],tblDaily[EntryDate],DATE(2026,8,26),tblDaily[WardCode],"BG")),"")</f>
        <v/>
      </c>
      <c r="E305" s="5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5" t="str">
        <f>IFERROR(IF(SUMIFS(tblDaily[TransfersIn],tblDaily[EntryDate],DATE(2026,8,26),tblDaily[WardCode],"BG")=0,"",SUMIFS(tblDaily[TransfersIn],tblDaily[EntryDate],DATE(2026,8,26),tblDaily[WardCode],"BG")),"")</f>
        <v/>
      </c>
      <c r="G305" s="5" t="str">
        <f>IFERROR(IF(SUMIFS(tblDaily[TransfersOut],tblDaily[EntryDate],DATE(2026,8,26),tblDaily[WardCode],"BG")=0,"",SUMIFS(tblDaily[TransfersOut],tblDaily[EntryDate],DATE(2026,8,26),tblDaily[WardCode],"BG")),"")</f>
        <v/>
      </c>
      <c r="H305" s="5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IFERROR(IF(SUMIFS(tblDaily[Admissions],tblDaily[EntryDate],DATE(2026,8,27),tblDaily[WardCode],"BG")=0,"",SUMIFS(tblDaily[Admissions],tblDaily[EntryDate],DATE(2026,8,27),tblDaily[WardCode],"BG")),"")</f>
        <v/>
      </c>
      <c r="C306" s="5" t="str">
        <f>IFERROR(IF(SUMIFS(tblDaily[Discharges],tblDaily[EntryDate],DATE(2026,8,27),tblDaily[WardCode],"BG")=0,"",SUMIFS(tblDaily[Discharges],tblDaily[EntryDate],DATE(2026,8,27),tblDaily[WardCode],"BG")),"")</f>
        <v/>
      </c>
      <c r="D306" s="5" t="str">
        <f>IFERROR(IF(SUMIFS(tblDaily[Deaths],tblDaily[EntryDate],DATE(2026,8,27),tblDaily[WardCode],"BG")=0,"",SUMIFS(tblDaily[Deaths],tblDaily[EntryDate],DATE(2026,8,27),tblDaily[WardCode],"BG")),"")</f>
        <v/>
      </c>
      <c r="E306" s="5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5" t="str">
        <f>IFERROR(IF(SUMIFS(tblDaily[TransfersIn],tblDaily[EntryDate],DATE(2026,8,27),tblDaily[WardCode],"BG")=0,"",SUMIFS(tblDaily[TransfersIn],tblDaily[EntryDate],DATE(2026,8,27),tblDaily[WardCode],"BG")),"")</f>
        <v/>
      </c>
      <c r="G306" s="5" t="str">
        <f>IFERROR(IF(SUMIFS(tblDaily[TransfersOut],tblDaily[EntryDate],DATE(2026,8,27),tblDaily[WardCode],"BG")=0,"",SUMIFS(tblDaily[TransfersOut],tblDaily[EntryDate],DATE(2026,8,27),tblDaily[WardCode],"BG")),"")</f>
        <v/>
      </c>
      <c r="H306" s="5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IFERROR(IF(SUMIFS(tblDaily[Admissions],tblDaily[EntryDate],DATE(2026,8,28),tblDaily[WardCode],"BG")=0,"",SUMIFS(tblDaily[Admissions],tblDaily[EntryDate],DATE(2026,8,28),tblDaily[WardCode],"BG")),"")</f>
        <v/>
      </c>
      <c r="C307" s="5" t="str">
        <f>IFERROR(IF(SUMIFS(tblDaily[Discharges],tblDaily[EntryDate],DATE(2026,8,28),tblDaily[WardCode],"BG")=0,"",SUMIFS(tblDaily[Discharges],tblDaily[EntryDate],DATE(2026,8,28),tblDaily[WardCode],"BG")),"")</f>
        <v/>
      </c>
      <c r="D307" s="5" t="str">
        <f>IFERROR(IF(SUMIFS(tblDaily[Deaths],tblDaily[EntryDate],DATE(2026,8,28),tblDaily[WardCode],"BG")=0,"",SUMIFS(tblDaily[Deaths],tblDaily[EntryDate],DATE(2026,8,28),tblDaily[WardCode],"BG")),"")</f>
        <v/>
      </c>
      <c r="E307" s="5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5" t="str">
        <f>IFERROR(IF(SUMIFS(tblDaily[TransfersIn],tblDaily[EntryDate],DATE(2026,8,28),tblDaily[WardCode],"BG")=0,"",SUMIFS(tblDaily[TransfersIn],tblDaily[EntryDate],DATE(2026,8,28),tblDaily[WardCode],"BG")),"")</f>
        <v/>
      </c>
      <c r="G307" s="5" t="str">
        <f>IFERROR(IF(SUMIFS(tblDaily[TransfersOut],tblDaily[EntryDate],DATE(2026,8,28),tblDaily[WardCode],"BG")=0,"",SUMIFS(tblDaily[TransfersOut],tblDaily[EntryDate],DATE(2026,8,28),tblDaily[WardCode],"BG")),"")</f>
        <v/>
      </c>
      <c r="H307" s="5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IFERROR(IF(SUMIFS(tblDaily[Admissions],tblDaily[EntryDate],DATE(2026,8,29),tblDaily[WardCode],"BG")=0,"",SUMIFS(tblDaily[Admissions],tblDaily[EntryDate],DATE(2026,8,29),tblDaily[WardCode],"BG")),"")</f>
        <v/>
      </c>
      <c r="C308" s="5" t="str">
        <f>IFERROR(IF(SUMIFS(tblDaily[Discharges],tblDaily[EntryDate],DATE(2026,8,29),tblDaily[WardCode],"BG")=0,"",SUMIFS(tblDaily[Discharges],tblDaily[EntryDate],DATE(2026,8,29),tblDaily[WardCode],"BG")),"")</f>
        <v/>
      </c>
      <c r="D308" s="5" t="str">
        <f>IFERROR(IF(SUMIFS(tblDaily[Deaths],tblDaily[EntryDate],DATE(2026,8,29),tblDaily[WardCode],"BG")=0,"",SUMIFS(tblDaily[Deaths],tblDaily[EntryDate],DATE(2026,8,29),tblDaily[WardCode],"BG")),"")</f>
        <v/>
      </c>
      <c r="E308" s="5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5" t="str">
        <f>IFERROR(IF(SUMIFS(tblDaily[TransfersIn],tblDaily[EntryDate],DATE(2026,8,29),tblDaily[WardCode],"BG")=0,"",SUMIFS(tblDaily[TransfersIn],tblDaily[EntryDate],DATE(2026,8,29),tblDaily[WardCode],"BG")),"")</f>
        <v/>
      </c>
      <c r="G308" s="5" t="str">
        <f>IFERROR(IF(SUMIFS(tblDaily[TransfersOut],tblDaily[EntryDate],DATE(2026,8,29),tblDaily[WardCode],"BG")=0,"",SUMIFS(tblDaily[TransfersOut],tblDaily[EntryDate],DATE(2026,8,29),tblDaily[WardCode],"BG")),"")</f>
        <v/>
      </c>
      <c r="H308" s="5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IFERROR(IF(SUMIFS(tblDaily[Admissions],tblDaily[EntryDate],DATE(2026,8,30),tblDaily[WardCode],"BG")=0,"",SUMIFS(tblDaily[Admissions],tblDaily[EntryDate],DATE(2026,8,30),tblDaily[WardCode],"BG")),"")</f>
        <v/>
      </c>
      <c r="C309" s="5" t="str">
        <f>IFERROR(IF(SUMIFS(tblDaily[Discharges],tblDaily[EntryDate],DATE(2026,8,30),tblDaily[WardCode],"BG")=0,"",SUMIFS(tblDaily[Discharges],tblDaily[EntryDate],DATE(2026,8,30),tblDaily[WardCode],"BG")),"")</f>
        <v/>
      </c>
      <c r="D309" s="5" t="str">
        <f>IFERROR(IF(SUMIFS(tblDaily[Deaths],tblDaily[EntryDate],DATE(2026,8,30),tblDaily[WardCode],"BG")=0,"",SUMIFS(tblDaily[Deaths],tblDaily[EntryDate],DATE(2026,8,30),tblDaily[WardCode],"BG")),"")</f>
        <v/>
      </c>
      <c r="E309" s="5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5" t="str">
        <f>IFERROR(IF(SUMIFS(tblDaily[TransfersIn],tblDaily[EntryDate],DATE(2026,8,30),tblDaily[WardCode],"BG")=0,"",SUMIFS(tblDaily[TransfersIn],tblDaily[EntryDate],DATE(2026,8,30),tblDaily[WardCode],"BG")),"")</f>
        <v/>
      </c>
      <c r="G309" s="5" t="str">
        <f>IFERROR(IF(SUMIFS(tblDaily[TransfersOut],tblDaily[EntryDate],DATE(2026,8,30),tblDaily[WardCode],"BG")=0,"",SUMIFS(tblDaily[TransfersOut],tblDaily[EntryDate],DATE(2026,8,30),tblDaily[WardCode],"BG")),"")</f>
        <v/>
      </c>
      <c r="H309" s="5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IFERROR(IF(SUMIFS(tblDaily[Admissions],tblDaily[EntryDate],DATE(2026,8,31),tblDaily[WardCode],"BG")=0,"",SUMIFS(tblDaily[Admissions],tblDaily[EntryDate],DATE(2026,8,31),tblDaily[WardCode],"BG")),"")</f>
        <v/>
      </c>
      <c r="C310" s="5" t="str">
        <f>IFERROR(IF(SUMIFS(tblDaily[Discharges],tblDaily[EntryDate],DATE(2026,8,31),tblDaily[WardCode],"BG")=0,"",SUMIFS(tblDaily[Discharges],tblDaily[EntryDate],DATE(2026,8,31),tblDaily[WardCode],"BG")),"")</f>
        <v/>
      </c>
      <c r="D310" s="5" t="str">
        <f>IFERROR(IF(SUMIFS(tblDaily[Deaths],tblDaily[EntryDate],DATE(2026,8,31),tblDaily[WardCode],"BG")=0,"",SUMIFS(tblDaily[Deaths],tblDaily[EntryDate],DATE(2026,8,31),tblDaily[WardCode],"BG")),"")</f>
        <v/>
      </c>
      <c r="E310" s="5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5" t="str">
        <f>IFERROR(IF(SUMIFS(tblDaily[TransfersIn],tblDaily[EntryDate],DATE(2026,8,31),tblDaily[WardCode],"BG")=0,"",SUMIFS(tblDaily[TransfersIn],tblDaily[EntryDate],DATE(2026,8,31),tblDaily[WardCode],"BG")),"")</f>
        <v/>
      </c>
      <c r="G310" s="5" t="str">
        <f>IFERROR(IF(SUMIFS(tblDaily[TransfersOut],tblDaily[EntryDate],DATE(2026,8,31),tblDaily[WardCode],"BG")=0,"",SUMIFS(tblDaily[TransfersOut],tblDaily[EntryDate],DATE(2026,8,31),tblDaily[WardCode],"BG")),"")</f>
        <v/>
      </c>
      <c r="H310" s="5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95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99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89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IFERROR(IF(SUMIFS(tblDaily[Admissions],tblDaily[EntryDate],DATE(2026,9,1),tblDaily[WardCode],"BG")=0,"",SUMIFS(tblDaily[Admissions],tblDaily[EntryDate],DATE(2026,9,1),tblDaily[WardCode],"BG")),"")</f>
        <v/>
      </c>
      <c r="C319" s="5" t="str">
        <f>IFERROR(IF(SUMIFS(tblDaily[Discharges],tblDaily[EntryDate],DATE(2026,9,1),tblDaily[WardCode],"BG")=0,"",SUMIFS(tblDaily[Discharges],tblDaily[EntryDate],DATE(2026,9,1),tblDaily[WardCode],"BG")),"")</f>
        <v/>
      </c>
      <c r="D319" s="5" t="str">
        <f>IFERROR(IF(SUMIFS(tblDaily[Deaths],tblDaily[EntryDate],DATE(2026,9,1),tblDaily[WardCode],"BG")=0,"",SUMIFS(tblDaily[Deaths],tblDaily[EntryDate],DATE(2026,9,1),tblDaily[WardCode],"BG")),"")</f>
        <v/>
      </c>
      <c r="E319" s="5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5" t="str">
        <f>IFERROR(IF(SUMIFS(tblDaily[TransfersIn],tblDaily[EntryDate],DATE(2026,9,1),tblDaily[WardCode],"BG")=0,"",SUMIFS(tblDaily[TransfersIn],tblDaily[EntryDate],DATE(2026,9,1),tblDaily[WardCode],"BG")),"")</f>
        <v/>
      </c>
      <c r="G319" s="5" t="str">
        <f>IFERROR(IF(SUMIFS(tblDaily[TransfersOut],tblDaily[EntryDate],DATE(2026,9,1),tblDaily[WardCode],"BG")=0,"",SUMIFS(tblDaily[TransfersOut],tblDaily[EntryDate],DATE(2026,9,1),tblDaily[WardCode],"BG")),"")</f>
        <v/>
      </c>
      <c r="H319" s="5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IFERROR(IF(SUMIFS(tblDaily[Admissions],tblDaily[EntryDate],DATE(2026,9,2),tblDaily[WardCode],"BG")=0,"",SUMIFS(tblDaily[Admissions],tblDaily[EntryDate],DATE(2026,9,2),tblDaily[WardCode],"BG")),"")</f>
        <v/>
      </c>
      <c r="C320" s="5" t="str">
        <f>IFERROR(IF(SUMIFS(tblDaily[Discharges],tblDaily[EntryDate],DATE(2026,9,2),tblDaily[WardCode],"BG")=0,"",SUMIFS(tblDaily[Discharges],tblDaily[EntryDate],DATE(2026,9,2),tblDaily[WardCode],"BG")),"")</f>
        <v/>
      </c>
      <c r="D320" s="5" t="str">
        <f>IFERROR(IF(SUMIFS(tblDaily[Deaths],tblDaily[EntryDate],DATE(2026,9,2),tblDaily[WardCode],"BG")=0,"",SUMIFS(tblDaily[Deaths],tblDaily[EntryDate],DATE(2026,9,2),tblDaily[WardCode],"BG")),"")</f>
        <v/>
      </c>
      <c r="E320" s="5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5" t="str">
        <f>IFERROR(IF(SUMIFS(tblDaily[TransfersIn],tblDaily[EntryDate],DATE(2026,9,2),tblDaily[WardCode],"BG")=0,"",SUMIFS(tblDaily[TransfersIn],tblDaily[EntryDate],DATE(2026,9,2),tblDaily[WardCode],"BG")),"")</f>
        <v/>
      </c>
      <c r="G320" s="5" t="str">
        <f>IFERROR(IF(SUMIFS(tblDaily[TransfersOut],tblDaily[EntryDate],DATE(2026,9,2),tblDaily[WardCode],"BG")=0,"",SUMIFS(tblDaily[TransfersOut],tblDaily[EntryDate],DATE(2026,9,2),tblDaily[WardCode],"BG")),"")</f>
        <v/>
      </c>
      <c r="H320" s="5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IFERROR(IF(SUMIFS(tblDaily[Admissions],tblDaily[EntryDate],DATE(2026,9,3),tblDaily[WardCode],"BG")=0,"",SUMIFS(tblDaily[Admissions],tblDaily[EntryDate],DATE(2026,9,3),tblDaily[WardCode],"BG")),"")</f>
        <v/>
      </c>
      <c r="C321" s="5" t="str">
        <f>IFERROR(IF(SUMIFS(tblDaily[Discharges],tblDaily[EntryDate],DATE(2026,9,3),tblDaily[WardCode],"BG")=0,"",SUMIFS(tblDaily[Discharges],tblDaily[EntryDate],DATE(2026,9,3),tblDaily[WardCode],"BG")),"")</f>
        <v/>
      </c>
      <c r="D321" s="5" t="str">
        <f>IFERROR(IF(SUMIFS(tblDaily[Deaths],tblDaily[EntryDate],DATE(2026,9,3),tblDaily[WardCode],"BG")=0,"",SUMIFS(tblDaily[Deaths],tblDaily[EntryDate],DATE(2026,9,3),tblDaily[WardCode],"BG")),"")</f>
        <v/>
      </c>
      <c r="E321" s="5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5" t="str">
        <f>IFERROR(IF(SUMIFS(tblDaily[TransfersIn],tblDaily[EntryDate],DATE(2026,9,3),tblDaily[WardCode],"BG")=0,"",SUMIFS(tblDaily[TransfersIn],tblDaily[EntryDate],DATE(2026,9,3),tblDaily[WardCode],"BG")),"")</f>
        <v/>
      </c>
      <c r="G321" s="5" t="str">
        <f>IFERROR(IF(SUMIFS(tblDaily[TransfersOut],tblDaily[EntryDate],DATE(2026,9,3),tblDaily[WardCode],"BG")=0,"",SUMIFS(tblDaily[TransfersOut],tblDaily[EntryDate],DATE(2026,9,3),tblDaily[WardCode],"BG")),"")</f>
        <v/>
      </c>
      <c r="H321" s="5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IFERROR(IF(SUMIFS(tblDaily[Admissions],tblDaily[EntryDate],DATE(2026,9,4),tblDaily[WardCode],"BG")=0,"",SUMIFS(tblDaily[Admissions],tblDaily[EntryDate],DATE(2026,9,4),tblDaily[WardCode],"BG")),"")</f>
        <v/>
      </c>
      <c r="C322" s="5" t="str">
        <f>IFERROR(IF(SUMIFS(tblDaily[Discharges],tblDaily[EntryDate],DATE(2026,9,4),tblDaily[WardCode],"BG")=0,"",SUMIFS(tblDaily[Discharges],tblDaily[EntryDate],DATE(2026,9,4),tblDaily[WardCode],"BG")),"")</f>
        <v/>
      </c>
      <c r="D322" s="5" t="str">
        <f>IFERROR(IF(SUMIFS(tblDaily[Deaths],tblDaily[EntryDate],DATE(2026,9,4),tblDaily[WardCode],"BG")=0,"",SUMIFS(tblDaily[Deaths],tblDaily[EntryDate],DATE(2026,9,4),tblDaily[WardCode],"BG")),"")</f>
        <v/>
      </c>
      <c r="E322" s="5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5" t="str">
        <f>IFERROR(IF(SUMIFS(tblDaily[TransfersIn],tblDaily[EntryDate],DATE(2026,9,4),tblDaily[WardCode],"BG")=0,"",SUMIFS(tblDaily[TransfersIn],tblDaily[EntryDate],DATE(2026,9,4),tblDaily[WardCode],"BG")),"")</f>
        <v/>
      </c>
      <c r="G322" s="5" t="str">
        <f>IFERROR(IF(SUMIFS(tblDaily[TransfersOut],tblDaily[EntryDate],DATE(2026,9,4),tblDaily[WardCode],"BG")=0,"",SUMIFS(tblDaily[TransfersOut],tblDaily[EntryDate],DATE(2026,9,4),tblDaily[WardCode],"BG")),"")</f>
        <v/>
      </c>
      <c r="H322" s="5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IFERROR(IF(SUMIFS(tblDaily[Admissions],tblDaily[EntryDate],DATE(2026,9,5),tblDaily[WardCode],"BG")=0,"",SUMIFS(tblDaily[Admissions],tblDaily[EntryDate],DATE(2026,9,5),tblDaily[WardCode],"BG")),"")</f>
        <v/>
      </c>
      <c r="C323" s="5" t="str">
        <f>IFERROR(IF(SUMIFS(tblDaily[Discharges],tblDaily[EntryDate],DATE(2026,9,5),tblDaily[WardCode],"BG")=0,"",SUMIFS(tblDaily[Discharges],tblDaily[EntryDate],DATE(2026,9,5),tblDaily[WardCode],"BG")),"")</f>
        <v/>
      </c>
      <c r="D323" s="5" t="str">
        <f>IFERROR(IF(SUMIFS(tblDaily[Deaths],tblDaily[EntryDate],DATE(2026,9,5),tblDaily[WardCode],"BG")=0,"",SUMIFS(tblDaily[Deaths],tblDaily[EntryDate],DATE(2026,9,5),tblDaily[WardCode],"BG")),"")</f>
        <v/>
      </c>
      <c r="E323" s="5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5" t="str">
        <f>IFERROR(IF(SUMIFS(tblDaily[TransfersIn],tblDaily[EntryDate],DATE(2026,9,5),tblDaily[WardCode],"BG")=0,"",SUMIFS(tblDaily[TransfersIn],tblDaily[EntryDate],DATE(2026,9,5),tblDaily[WardCode],"BG")),"")</f>
        <v/>
      </c>
      <c r="G323" s="5" t="str">
        <f>IFERROR(IF(SUMIFS(tblDaily[TransfersOut],tblDaily[EntryDate],DATE(2026,9,5),tblDaily[WardCode],"BG")=0,"",SUMIFS(tblDaily[TransfersOut],tblDaily[EntryDate],DATE(2026,9,5),tblDaily[WardCode],"BG")),"")</f>
        <v/>
      </c>
      <c r="H323" s="5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IFERROR(IF(SUMIFS(tblDaily[Admissions],tblDaily[EntryDate],DATE(2026,9,6),tblDaily[WardCode],"BG")=0,"",SUMIFS(tblDaily[Admissions],tblDaily[EntryDate],DATE(2026,9,6),tblDaily[WardCode],"BG")),"")</f>
        <v/>
      </c>
      <c r="C324" s="5" t="str">
        <f>IFERROR(IF(SUMIFS(tblDaily[Discharges],tblDaily[EntryDate],DATE(2026,9,6),tblDaily[WardCode],"BG")=0,"",SUMIFS(tblDaily[Discharges],tblDaily[EntryDate],DATE(2026,9,6),tblDaily[WardCode],"BG")),"")</f>
        <v/>
      </c>
      <c r="D324" s="5" t="str">
        <f>IFERROR(IF(SUMIFS(tblDaily[Deaths],tblDaily[EntryDate],DATE(2026,9,6),tblDaily[WardCode],"BG")=0,"",SUMIFS(tblDaily[Deaths],tblDaily[EntryDate],DATE(2026,9,6),tblDaily[WardCode],"BG")),"")</f>
        <v/>
      </c>
      <c r="E324" s="5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5" t="str">
        <f>IFERROR(IF(SUMIFS(tblDaily[TransfersIn],tblDaily[EntryDate],DATE(2026,9,6),tblDaily[WardCode],"BG")=0,"",SUMIFS(tblDaily[TransfersIn],tblDaily[EntryDate],DATE(2026,9,6),tblDaily[WardCode],"BG")),"")</f>
        <v/>
      </c>
      <c r="G324" s="5" t="str">
        <f>IFERROR(IF(SUMIFS(tblDaily[TransfersOut],tblDaily[EntryDate],DATE(2026,9,6),tblDaily[WardCode],"BG")=0,"",SUMIFS(tblDaily[TransfersOut],tblDaily[EntryDate],DATE(2026,9,6),tblDaily[WardCode],"BG")),"")</f>
        <v/>
      </c>
      <c r="H324" s="5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IFERROR(IF(SUMIFS(tblDaily[Admissions],tblDaily[EntryDate],DATE(2026,9,7),tblDaily[WardCode],"BG")=0,"",SUMIFS(tblDaily[Admissions],tblDaily[EntryDate],DATE(2026,9,7),tblDaily[WardCode],"BG")),"")</f>
        <v/>
      </c>
      <c r="C325" s="5" t="str">
        <f>IFERROR(IF(SUMIFS(tblDaily[Discharges],tblDaily[EntryDate],DATE(2026,9,7),tblDaily[WardCode],"BG")=0,"",SUMIFS(tblDaily[Discharges],tblDaily[EntryDate],DATE(2026,9,7),tblDaily[WardCode],"BG")),"")</f>
        <v/>
      </c>
      <c r="D325" s="5" t="str">
        <f>IFERROR(IF(SUMIFS(tblDaily[Deaths],tblDaily[EntryDate],DATE(2026,9,7),tblDaily[WardCode],"BG")=0,"",SUMIFS(tblDaily[Deaths],tblDaily[EntryDate],DATE(2026,9,7),tblDaily[WardCode],"BG")),"")</f>
        <v/>
      </c>
      <c r="E325" s="5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5" t="str">
        <f>IFERROR(IF(SUMIFS(tblDaily[TransfersIn],tblDaily[EntryDate],DATE(2026,9,7),tblDaily[WardCode],"BG")=0,"",SUMIFS(tblDaily[TransfersIn],tblDaily[EntryDate],DATE(2026,9,7),tblDaily[WardCode],"BG")),"")</f>
        <v/>
      </c>
      <c r="G325" s="5" t="str">
        <f>IFERROR(IF(SUMIFS(tblDaily[TransfersOut],tblDaily[EntryDate],DATE(2026,9,7),tblDaily[WardCode],"BG")=0,"",SUMIFS(tblDaily[TransfersOut],tblDaily[EntryDate],DATE(2026,9,7),tblDaily[WardCode],"BG")),"")</f>
        <v/>
      </c>
      <c r="H325" s="5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IFERROR(IF(SUMIFS(tblDaily[Admissions],tblDaily[EntryDate],DATE(2026,9,8),tblDaily[WardCode],"BG")=0,"",SUMIFS(tblDaily[Admissions],tblDaily[EntryDate],DATE(2026,9,8),tblDaily[WardCode],"BG")),"")</f>
        <v/>
      </c>
      <c r="C326" s="5" t="str">
        <f>IFERROR(IF(SUMIFS(tblDaily[Discharges],tblDaily[EntryDate],DATE(2026,9,8),tblDaily[WardCode],"BG")=0,"",SUMIFS(tblDaily[Discharges],tblDaily[EntryDate],DATE(2026,9,8),tblDaily[WardCode],"BG")),"")</f>
        <v/>
      </c>
      <c r="D326" s="5" t="str">
        <f>IFERROR(IF(SUMIFS(tblDaily[Deaths],tblDaily[EntryDate],DATE(2026,9,8),tblDaily[WardCode],"BG")=0,"",SUMIFS(tblDaily[Deaths],tblDaily[EntryDate],DATE(2026,9,8),tblDaily[WardCode],"BG")),"")</f>
        <v/>
      </c>
      <c r="E326" s="5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5" t="str">
        <f>IFERROR(IF(SUMIFS(tblDaily[TransfersIn],tblDaily[EntryDate],DATE(2026,9,8),tblDaily[WardCode],"BG")=0,"",SUMIFS(tblDaily[TransfersIn],tblDaily[EntryDate],DATE(2026,9,8),tblDaily[WardCode],"BG")),"")</f>
        <v/>
      </c>
      <c r="G326" s="5" t="str">
        <f>IFERROR(IF(SUMIFS(tblDaily[TransfersOut],tblDaily[EntryDate],DATE(2026,9,8),tblDaily[WardCode],"BG")=0,"",SUMIFS(tblDaily[TransfersOut],tblDaily[EntryDate],DATE(2026,9,8),tblDaily[WardCode],"BG")),"")</f>
        <v/>
      </c>
      <c r="H326" s="5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IFERROR(IF(SUMIFS(tblDaily[Admissions],tblDaily[EntryDate],DATE(2026,9,9),tblDaily[WardCode],"BG")=0,"",SUMIFS(tblDaily[Admissions],tblDaily[EntryDate],DATE(2026,9,9),tblDaily[WardCode],"BG")),"")</f>
        <v/>
      </c>
      <c r="C327" s="5" t="str">
        <f>IFERROR(IF(SUMIFS(tblDaily[Discharges],tblDaily[EntryDate],DATE(2026,9,9),tblDaily[WardCode],"BG")=0,"",SUMIFS(tblDaily[Discharges],tblDaily[EntryDate],DATE(2026,9,9),tblDaily[WardCode],"BG")),"")</f>
        <v/>
      </c>
      <c r="D327" s="5" t="str">
        <f>IFERROR(IF(SUMIFS(tblDaily[Deaths],tblDaily[EntryDate],DATE(2026,9,9),tblDaily[WardCode],"BG")=0,"",SUMIFS(tblDaily[Deaths],tblDaily[EntryDate],DATE(2026,9,9),tblDaily[WardCode],"BG")),"")</f>
        <v/>
      </c>
      <c r="E327" s="5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5" t="str">
        <f>IFERROR(IF(SUMIFS(tblDaily[TransfersIn],tblDaily[EntryDate],DATE(2026,9,9),tblDaily[WardCode],"BG")=0,"",SUMIFS(tblDaily[TransfersIn],tblDaily[EntryDate],DATE(2026,9,9),tblDaily[WardCode],"BG")),"")</f>
        <v/>
      </c>
      <c r="G327" s="5" t="str">
        <f>IFERROR(IF(SUMIFS(tblDaily[TransfersOut],tblDaily[EntryDate],DATE(2026,9,9),tblDaily[WardCode],"BG")=0,"",SUMIFS(tblDaily[TransfersOut],tblDaily[EntryDate],DATE(2026,9,9),tblDaily[WardCode],"BG")),"")</f>
        <v/>
      </c>
      <c r="H327" s="5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IFERROR(IF(SUMIFS(tblDaily[Admissions],tblDaily[EntryDate],DATE(2026,9,10),tblDaily[WardCode],"BG")=0,"",SUMIFS(tblDaily[Admissions],tblDaily[EntryDate],DATE(2026,9,10),tblDaily[WardCode],"BG")),"")</f>
        <v/>
      </c>
      <c r="C328" s="5" t="str">
        <f>IFERROR(IF(SUMIFS(tblDaily[Discharges],tblDaily[EntryDate],DATE(2026,9,10),tblDaily[WardCode],"BG")=0,"",SUMIFS(tblDaily[Discharges],tblDaily[EntryDate],DATE(2026,9,10),tblDaily[WardCode],"BG")),"")</f>
        <v/>
      </c>
      <c r="D328" s="5" t="str">
        <f>IFERROR(IF(SUMIFS(tblDaily[Deaths],tblDaily[EntryDate],DATE(2026,9,10),tblDaily[WardCode],"BG")=0,"",SUMIFS(tblDaily[Deaths],tblDaily[EntryDate],DATE(2026,9,10),tblDaily[WardCode],"BG")),"")</f>
        <v/>
      </c>
      <c r="E328" s="5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5" t="str">
        <f>IFERROR(IF(SUMIFS(tblDaily[TransfersIn],tblDaily[EntryDate],DATE(2026,9,10),tblDaily[WardCode],"BG")=0,"",SUMIFS(tblDaily[TransfersIn],tblDaily[EntryDate],DATE(2026,9,10),tblDaily[WardCode],"BG")),"")</f>
        <v/>
      </c>
      <c r="G328" s="5" t="str">
        <f>IFERROR(IF(SUMIFS(tblDaily[TransfersOut],tblDaily[EntryDate],DATE(2026,9,10),tblDaily[WardCode],"BG")=0,"",SUMIFS(tblDaily[TransfersOut],tblDaily[EntryDate],DATE(2026,9,10),tblDaily[WardCode],"BG")),"")</f>
        <v/>
      </c>
      <c r="H328" s="5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IFERROR(IF(SUMIFS(tblDaily[Admissions],tblDaily[EntryDate],DATE(2026,9,11),tblDaily[WardCode],"BG")=0,"",SUMIFS(tblDaily[Admissions],tblDaily[EntryDate],DATE(2026,9,11),tblDaily[WardCode],"BG")),"")</f>
        <v/>
      </c>
      <c r="C329" s="5" t="str">
        <f>IFERROR(IF(SUMIFS(tblDaily[Discharges],tblDaily[EntryDate],DATE(2026,9,11),tblDaily[WardCode],"BG")=0,"",SUMIFS(tblDaily[Discharges],tblDaily[EntryDate],DATE(2026,9,11),tblDaily[WardCode],"BG")),"")</f>
        <v/>
      </c>
      <c r="D329" s="5" t="str">
        <f>IFERROR(IF(SUMIFS(tblDaily[Deaths],tblDaily[EntryDate],DATE(2026,9,11),tblDaily[WardCode],"BG")=0,"",SUMIFS(tblDaily[Deaths],tblDaily[EntryDate],DATE(2026,9,11),tblDaily[WardCode],"BG")),"")</f>
        <v/>
      </c>
      <c r="E329" s="5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5" t="str">
        <f>IFERROR(IF(SUMIFS(tblDaily[TransfersIn],tblDaily[EntryDate],DATE(2026,9,11),tblDaily[WardCode],"BG")=0,"",SUMIFS(tblDaily[TransfersIn],tblDaily[EntryDate],DATE(2026,9,11),tblDaily[WardCode],"BG")),"")</f>
        <v/>
      </c>
      <c r="G329" s="5" t="str">
        <f>IFERROR(IF(SUMIFS(tblDaily[TransfersOut],tblDaily[EntryDate],DATE(2026,9,11),tblDaily[WardCode],"BG")=0,"",SUMIFS(tblDaily[TransfersOut],tblDaily[EntryDate],DATE(2026,9,11),tblDaily[WardCode],"BG")),"")</f>
        <v/>
      </c>
      <c r="H329" s="5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IFERROR(IF(SUMIFS(tblDaily[Admissions],tblDaily[EntryDate],DATE(2026,9,12),tblDaily[WardCode],"BG")=0,"",SUMIFS(tblDaily[Admissions],tblDaily[EntryDate],DATE(2026,9,12),tblDaily[WardCode],"BG")),"")</f>
        <v/>
      </c>
      <c r="C330" s="5" t="str">
        <f>IFERROR(IF(SUMIFS(tblDaily[Discharges],tblDaily[EntryDate],DATE(2026,9,12),tblDaily[WardCode],"BG")=0,"",SUMIFS(tblDaily[Discharges],tblDaily[EntryDate],DATE(2026,9,12),tblDaily[WardCode],"BG")),"")</f>
        <v/>
      </c>
      <c r="D330" s="5" t="str">
        <f>IFERROR(IF(SUMIFS(tblDaily[Deaths],tblDaily[EntryDate],DATE(2026,9,12),tblDaily[WardCode],"BG")=0,"",SUMIFS(tblDaily[Deaths],tblDaily[EntryDate],DATE(2026,9,12),tblDaily[WardCode],"BG")),"")</f>
        <v/>
      </c>
      <c r="E330" s="5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5" t="str">
        <f>IFERROR(IF(SUMIFS(tblDaily[TransfersIn],tblDaily[EntryDate],DATE(2026,9,12),tblDaily[WardCode],"BG")=0,"",SUMIFS(tblDaily[TransfersIn],tblDaily[EntryDate],DATE(2026,9,12),tblDaily[WardCode],"BG")),"")</f>
        <v/>
      </c>
      <c r="G330" s="5" t="str">
        <f>IFERROR(IF(SUMIFS(tblDaily[TransfersOut],tblDaily[EntryDate],DATE(2026,9,12),tblDaily[WardCode],"BG")=0,"",SUMIFS(tblDaily[TransfersOut],tblDaily[EntryDate],DATE(2026,9,12),tblDaily[WardCode],"BG")),"")</f>
        <v/>
      </c>
      <c r="H330" s="5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IFERROR(IF(SUMIFS(tblDaily[Admissions],tblDaily[EntryDate],DATE(2026,9,13),tblDaily[WardCode],"BG")=0,"",SUMIFS(tblDaily[Admissions],tblDaily[EntryDate],DATE(2026,9,13),tblDaily[WardCode],"BG")),"")</f>
        <v/>
      </c>
      <c r="C331" s="5" t="str">
        <f>IFERROR(IF(SUMIFS(tblDaily[Discharges],tblDaily[EntryDate],DATE(2026,9,13),tblDaily[WardCode],"BG")=0,"",SUMIFS(tblDaily[Discharges],tblDaily[EntryDate],DATE(2026,9,13),tblDaily[WardCode],"BG")),"")</f>
        <v/>
      </c>
      <c r="D331" s="5" t="str">
        <f>IFERROR(IF(SUMIFS(tblDaily[Deaths],tblDaily[EntryDate],DATE(2026,9,13),tblDaily[WardCode],"BG")=0,"",SUMIFS(tblDaily[Deaths],tblDaily[EntryDate],DATE(2026,9,13),tblDaily[WardCode],"BG")),"")</f>
        <v/>
      </c>
      <c r="E331" s="5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5" t="str">
        <f>IFERROR(IF(SUMIFS(tblDaily[TransfersIn],tblDaily[EntryDate],DATE(2026,9,13),tblDaily[WardCode],"BG")=0,"",SUMIFS(tblDaily[TransfersIn],tblDaily[EntryDate],DATE(2026,9,13),tblDaily[WardCode],"BG")),"")</f>
        <v/>
      </c>
      <c r="G331" s="5" t="str">
        <f>IFERROR(IF(SUMIFS(tblDaily[TransfersOut],tblDaily[EntryDate],DATE(2026,9,13),tblDaily[WardCode],"BG")=0,"",SUMIFS(tblDaily[TransfersOut],tblDaily[EntryDate],DATE(2026,9,13),tblDaily[WardCode],"BG")),"")</f>
        <v/>
      </c>
      <c r="H331" s="5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IFERROR(IF(SUMIFS(tblDaily[Admissions],tblDaily[EntryDate],DATE(2026,9,14),tblDaily[WardCode],"BG")=0,"",SUMIFS(tblDaily[Admissions],tblDaily[EntryDate],DATE(2026,9,14),tblDaily[WardCode],"BG")),"")</f>
        <v/>
      </c>
      <c r="C332" s="5" t="str">
        <f>IFERROR(IF(SUMIFS(tblDaily[Discharges],tblDaily[EntryDate],DATE(2026,9,14),tblDaily[WardCode],"BG")=0,"",SUMIFS(tblDaily[Discharges],tblDaily[EntryDate],DATE(2026,9,14),tblDaily[WardCode],"BG")),"")</f>
        <v/>
      </c>
      <c r="D332" s="5" t="str">
        <f>IFERROR(IF(SUMIFS(tblDaily[Deaths],tblDaily[EntryDate],DATE(2026,9,14),tblDaily[WardCode],"BG")=0,"",SUMIFS(tblDaily[Deaths],tblDaily[EntryDate],DATE(2026,9,14),tblDaily[WardCode],"BG")),"")</f>
        <v/>
      </c>
      <c r="E332" s="5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5" t="str">
        <f>IFERROR(IF(SUMIFS(tblDaily[TransfersIn],tblDaily[EntryDate],DATE(2026,9,14),tblDaily[WardCode],"BG")=0,"",SUMIFS(tblDaily[TransfersIn],tblDaily[EntryDate],DATE(2026,9,14),tblDaily[WardCode],"BG")),"")</f>
        <v/>
      </c>
      <c r="G332" s="5" t="str">
        <f>IFERROR(IF(SUMIFS(tblDaily[TransfersOut],tblDaily[EntryDate],DATE(2026,9,14),tblDaily[WardCode],"BG")=0,"",SUMIFS(tblDaily[TransfersOut],tblDaily[EntryDate],DATE(2026,9,14),tblDaily[WardCode],"BG")),"")</f>
        <v/>
      </c>
      <c r="H332" s="5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IFERROR(IF(SUMIFS(tblDaily[Admissions],tblDaily[EntryDate],DATE(2026,9,15),tblDaily[WardCode],"BG")=0,"",SUMIFS(tblDaily[Admissions],tblDaily[EntryDate],DATE(2026,9,15),tblDaily[WardCode],"BG")),"")</f>
        <v/>
      </c>
      <c r="C333" s="5" t="str">
        <f>IFERROR(IF(SUMIFS(tblDaily[Discharges],tblDaily[EntryDate],DATE(2026,9,15),tblDaily[WardCode],"BG")=0,"",SUMIFS(tblDaily[Discharges],tblDaily[EntryDate],DATE(2026,9,15),tblDaily[WardCode],"BG")),"")</f>
        <v/>
      </c>
      <c r="D333" s="5" t="str">
        <f>IFERROR(IF(SUMIFS(tblDaily[Deaths],tblDaily[EntryDate],DATE(2026,9,15),tblDaily[WardCode],"BG")=0,"",SUMIFS(tblDaily[Deaths],tblDaily[EntryDate],DATE(2026,9,15),tblDaily[WardCode],"BG")),"")</f>
        <v/>
      </c>
      <c r="E333" s="5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5" t="str">
        <f>IFERROR(IF(SUMIFS(tblDaily[TransfersIn],tblDaily[EntryDate],DATE(2026,9,15),tblDaily[WardCode],"BG")=0,"",SUMIFS(tblDaily[TransfersIn],tblDaily[EntryDate],DATE(2026,9,15),tblDaily[WardCode],"BG")),"")</f>
        <v/>
      </c>
      <c r="G333" s="5" t="str">
        <f>IFERROR(IF(SUMIFS(tblDaily[TransfersOut],tblDaily[EntryDate],DATE(2026,9,15),tblDaily[WardCode],"BG")=0,"",SUMIFS(tblDaily[TransfersOut],tblDaily[EntryDate],DATE(2026,9,15),tblDaily[WardCode],"BG")),"")</f>
        <v/>
      </c>
      <c r="H333" s="5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IFERROR(IF(SUMIFS(tblDaily[Admissions],tblDaily[EntryDate],DATE(2026,9,16),tblDaily[WardCode],"BG")=0,"",SUMIFS(tblDaily[Admissions],tblDaily[EntryDate],DATE(2026,9,16),tblDaily[WardCode],"BG")),"")</f>
        <v/>
      </c>
      <c r="C334" s="5" t="str">
        <f>IFERROR(IF(SUMIFS(tblDaily[Discharges],tblDaily[EntryDate],DATE(2026,9,16),tblDaily[WardCode],"BG")=0,"",SUMIFS(tblDaily[Discharges],tblDaily[EntryDate],DATE(2026,9,16),tblDaily[WardCode],"BG")),"")</f>
        <v/>
      </c>
      <c r="D334" s="5" t="str">
        <f>IFERROR(IF(SUMIFS(tblDaily[Deaths],tblDaily[EntryDate],DATE(2026,9,16),tblDaily[WardCode],"BG")=0,"",SUMIFS(tblDaily[Deaths],tblDaily[EntryDate],DATE(2026,9,16),tblDaily[WardCode],"BG")),"")</f>
        <v/>
      </c>
      <c r="E334" s="5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5" t="str">
        <f>IFERROR(IF(SUMIFS(tblDaily[TransfersIn],tblDaily[EntryDate],DATE(2026,9,16),tblDaily[WardCode],"BG")=0,"",SUMIFS(tblDaily[TransfersIn],tblDaily[EntryDate],DATE(2026,9,16),tblDaily[WardCode],"BG")),"")</f>
        <v/>
      </c>
      <c r="G334" s="5" t="str">
        <f>IFERROR(IF(SUMIFS(tblDaily[TransfersOut],tblDaily[EntryDate],DATE(2026,9,16),tblDaily[WardCode],"BG")=0,"",SUMIFS(tblDaily[TransfersOut],tblDaily[EntryDate],DATE(2026,9,16),tblDaily[WardCode],"BG")),"")</f>
        <v/>
      </c>
      <c r="H334" s="5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IFERROR(IF(SUMIFS(tblDaily[Admissions],tblDaily[EntryDate],DATE(2026,9,17),tblDaily[WardCode],"BG")=0,"",SUMIFS(tblDaily[Admissions],tblDaily[EntryDate],DATE(2026,9,17),tblDaily[WardCode],"BG")),"")</f>
        <v/>
      </c>
      <c r="C335" s="5" t="str">
        <f>IFERROR(IF(SUMIFS(tblDaily[Discharges],tblDaily[EntryDate],DATE(2026,9,17),tblDaily[WardCode],"BG")=0,"",SUMIFS(tblDaily[Discharges],tblDaily[EntryDate],DATE(2026,9,17),tblDaily[WardCode],"BG")),"")</f>
        <v/>
      </c>
      <c r="D335" s="5" t="str">
        <f>IFERROR(IF(SUMIFS(tblDaily[Deaths],tblDaily[EntryDate],DATE(2026,9,17),tblDaily[WardCode],"BG")=0,"",SUMIFS(tblDaily[Deaths],tblDaily[EntryDate],DATE(2026,9,17),tblDaily[WardCode],"BG")),"")</f>
        <v/>
      </c>
      <c r="E335" s="5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5" t="str">
        <f>IFERROR(IF(SUMIFS(tblDaily[TransfersIn],tblDaily[EntryDate],DATE(2026,9,17),tblDaily[WardCode],"BG")=0,"",SUMIFS(tblDaily[TransfersIn],tblDaily[EntryDate],DATE(2026,9,17),tblDaily[WardCode],"BG")),"")</f>
        <v/>
      </c>
      <c r="G335" s="5" t="str">
        <f>IFERROR(IF(SUMIFS(tblDaily[TransfersOut],tblDaily[EntryDate],DATE(2026,9,17),tblDaily[WardCode],"BG")=0,"",SUMIFS(tblDaily[TransfersOut],tblDaily[EntryDate],DATE(2026,9,17),tblDaily[WardCode],"BG")),"")</f>
        <v/>
      </c>
      <c r="H335" s="5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IFERROR(IF(SUMIFS(tblDaily[Admissions],tblDaily[EntryDate],DATE(2026,9,18),tblDaily[WardCode],"BG")=0,"",SUMIFS(tblDaily[Admissions],tblDaily[EntryDate],DATE(2026,9,18),tblDaily[WardCode],"BG")),"")</f>
        <v/>
      </c>
      <c r="C336" s="5" t="str">
        <f>IFERROR(IF(SUMIFS(tblDaily[Discharges],tblDaily[EntryDate],DATE(2026,9,18),tblDaily[WardCode],"BG")=0,"",SUMIFS(tblDaily[Discharges],tblDaily[EntryDate],DATE(2026,9,18),tblDaily[WardCode],"BG")),"")</f>
        <v/>
      </c>
      <c r="D336" s="5" t="str">
        <f>IFERROR(IF(SUMIFS(tblDaily[Deaths],tblDaily[EntryDate],DATE(2026,9,18),tblDaily[WardCode],"BG")=0,"",SUMIFS(tblDaily[Deaths],tblDaily[EntryDate],DATE(2026,9,18),tblDaily[WardCode],"BG")),"")</f>
        <v/>
      </c>
      <c r="E336" s="5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5" t="str">
        <f>IFERROR(IF(SUMIFS(tblDaily[TransfersIn],tblDaily[EntryDate],DATE(2026,9,18),tblDaily[WardCode],"BG")=0,"",SUMIFS(tblDaily[TransfersIn],tblDaily[EntryDate],DATE(2026,9,18),tblDaily[WardCode],"BG")),"")</f>
        <v/>
      </c>
      <c r="G336" s="5" t="str">
        <f>IFERROR(IF(SUMIFS(tblDaily[TransfersOut],tblDaily[EntryDate],DATE(2026,9,18),tblDaily[WardCode],"BG")=0,"",SUMIFS(tblDaily[TransfersOut],tblDaily[EntryDate],DATE(2026,9,18),tblDaily[WardCode],"BG")),"")</f>
        <v/>
      </c>
      <c r="H336" s="5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IFERROR(IF(SUMIFS(tblDaily[Admissions],tblDaily[EntryDate],DATE(2026,9,19),tblDaily[WardCode],"BG")=0,"",SUMIFS(tblDaily[Admissions],tblDaily[EntryDate],DATE(2026,9,19),tblDaily[WardCode],"BG")),"")</f>
        <v/>
      </c>
      <c r="C337" s="5" t="str">
        <f>IFERROR(IF(SUMIFS(tblDaily[Discharges],tblDaily[EntryDate],DATE(2026,9,19),tblDaily[WardCode],"BG")=0,"",SUMIFS(tblDaily[Discharges],tblDaily[EntryDate],DATE(2026,9,19),tblDaily[WardCode],"BG")),"")</f>
        <v/>
      </c>
      <c r="D337" s="5" t="str">
        <f>IFERROR(IF(SUMIFS(tblDaily[Deaths],tblDaily[EntryDate],DATE(2026,9,19),tblDaily[WardCode],"BG")=0,"",SUMIFS(tblDaily[Deaths],tblDaily[EntryDate],DATE(2026,9,19),tblDaily[WardCode],"BG")),"")</f>
        <v/>
      </c>
      <c r="E337" s="5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5" t="str">
        <f>IFERROR(IF(SUMIFS(tblDaily[TransfersIn],tblDaily[EntryDate],DATE(2026,9,19),tblDaily[WardCode],"BG")=0,"",SUMIFS(tblDaily[TransfersIn],tblDaily[EntryDate],DATE(2026,9,19),tblDaily[WardCode],"BG")),"")</f>
        <v/>
      </c>
      <c r="G337" s="5" t="str">
        <f>IFERROR(IF(SUMIFS(tblDaily[TransfersOut],tblDaily[EntryDate],DATE(2026,9,19),tblDaily[WardCode],"BG")=0,"",SUMIFS(tblDaily[TransfersOut],tblDaily[EntryDate],DATE(2026,9,19),tblDaily[WardCode],"BG")),"")</f>
        <v/>
      </c>
      <c r="H337" s="5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IFERROR(IF(SUMIFS(tblDaily[Admissions],tblDaily[EntryDate],DATE(2026,9,20),tblDaily[WardCode],"BG")=0,"",SUMIFS(tblDaily[Admissions],tblDaily[EntryDate],DATE(2026,9,20),tblDaily[WardCode],"BG")),"")</f>
        <v/>
      </c>
      <c r="C338" s="5" t="str">
        <f>IFERROR(IF(SUMIFS(tblDaily[Discharges],tblDaily[EntryDate],DATE(2026,9,20),tblDaily[WardCode],"BG")=0,"",SUMIFS(tblDaily[Discharges],tblDaily[EntryDate],DATE(2026,9,20),tblDaily[WardCode],"BG")),"")</f>
        <v/>
      </c>
      <c r="D338" s="5" t="str">
        <f>IFERROR(IF(SUMIFS(tblDaily[Deaths],tblDaily[EntryDate],DATE(2026,9,20),tblDaily[WardCode],"BG")=0,"",SUMIFS(tblDaily[Deaths],tblDaily[EntryDate],DATE(2026,9,20),tblDaily[WardCode],"BG")),"")</f>
        <v/>
      </c>
      <c r="E338" s="5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5" t="str">
        <f>IFERROR(IF(SUMIFS(tblDaily[TransfersIn],tblDaily[EntryDate],DATE(2026,9,20),tblDaily[WardCode],"BG")=0,"",SUMIFS(tblDaily[TransfersIn],tblDaily[EntryDate],DATE(2026,9,20),tblDaily[WardCode],"BG")),"")</f>
        <v/>
      </c>
      <c r="G338" s="5" t="str">
        <f>IFERROR(IF(SUMIFS(tblDaily[TransfersOut],tblDaily[EntryDate],DATE(2026,9,20),tblDaily[WardCode],"BG")=0,"",SUMIFS(tblDaily[TransfersOut],tblDaily[EntryDate],DATE(2026,9,20),tblDaily[WardCode],"BG")),"")</f>
        <v/>
      </c>
      <c r="H338" s="5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IFERROR(IF(SUMIFS(tblDaily[Admissions],tblDaily[EntryDate],DATE(2026,9,21),tblDaily[WardCode],"BG")=0,"",SUMIFS(tblDaily[Admissions],tblDaily[EntryDate],DATE(2026,9,21),tblDaily[WardCode],"BG")),"")</f>
        <v/>
      </c>
      <c r="C339" s="5" t="str">
        <f>IFERROR(IF(SUMIFS(tblDaily[Discharges],tblDaily[EntryDate],DATE(2026,9,21),tblDaily[WardCode],"BG")=0,"",SUMIFS(tblDaily[Discharges],tblDaily[EntryDate],DATE(2026,9,21),tblDaily[WardCode],"BG")),"")</f>
        <v/>
      </c>
      <c r="D339" s="5" t="str">
        <f>IFERROR(IF(SUMIFS(tblDaily[Deaths],tblDaily[EntryDate],DATE(2026,9,21),tblDaily[WardCode],"BG")=0,"",SUMIFS(tblDaily[Deaths],tblDaily[EntryDate],DATE(2026,9,21),tblDaily[WardCode],"BG")),"")</f>
        <v/>
      </c>
      <c r="E339" s="5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5" t="str">
        <f>IFERROR(IF(SUMIFS(tblDaily[TransfersIn],tblDaily[EntryDate],DATE(2026,9,21),tblDaily[WardCode],"BG")=0,"",SUMIFS(tblDaily[TransfersIn],tblDaily[EntryDate],DATE(2026,9,21),tblDaily[WardCode],"BG")),"")</f>
        <v/>
      </c>
      <c r="G339" s="5" t="str">
        <f>IFERROR(IF(SUMIFS(tblDaily[TransfersOut],tblDaily[EntryDate],DATE(2026,9,21),tblDaily[WardCode],"BG")=0,"",SUMIFS(tblDaily[TransfersOut],tblDaily[EntryDate],DATE(2026,9,21),tblDaily[WardCode],"BG")),"")</f>
        <v/>
      </c>
      <c r="H339" s="5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IFERROR(IF(SUMIFS(tblDaily[Admissions],tblDaily[EntryDate],DATE(2026,9,22),tblDaily[WardCode],"BG")=0,"",SUMIFS(tblDaily[Admissions],tblDaily[EntryDate],DATE(2026,9,22),tblDaily[WardCode],"BG")),"")</f>
        <v/>
      </c>
      <c r="C340" s="5" t="str">
        <f>IFERROR(IF(SUMIFS(tblDaily[Discharges],tblDaily[EntryDate],DATE(2026,9,22),tblDaily[WardCode],"BG")=0,"",SUMIFS(tblDaily[Discharges],tblDaily[EntryDate],DATE(2026,9,22),tblDaily[WardCode],"BG")),"")</f>
        <v/>
      </c>
      <c r="D340" s="5" t="str">
        <f>IFERROR(IF(SUMIFS(tblDaily[Deaths],tblDaily[EntryDate],DATE(2026,9,22),tblDaily[WardCode],"BG")=0,"",SUMIFS(tblDaily[Deaths],tblDaily[EntryDate],DATE(2026,9,22),tblDaily[WardCode],"BG")),"")</f>
        <v/>
      </c>
      <c r="E340" s="5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5" t="str">
        <f>IFERROR(IF(SUMIFS(tblDaily[TransfersIn],tblDaily[EntryDate],DATE(2026,9,22),tblDaily[WardCode],"BG")=0,"",SUMIFS(tblDaily[TransfersIn],tblDaily[EntryDate],DATE(2026,9,22),tblDaily[WardCode],"BG")),"")</f>
        <v/>
      </c>
      <c r="G340" s="5" t="str">
        <f>IFERROR(IF(SUMIFS(tblDaily[TransfersOut],tblDaily[EntryDate],DATE(2026,9,22),tblDaily[WardCode],"BG")=0,"",SUMIFS(tblDaily[TransfersOut],tblDaily[EntryDate],DATE(2026,9,22),tblDaily[WardCode],"BG")),"")</f>
        <v/>
      </c>
      <c r="H340" s="5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IFERROR(IF(SUMIFS(tblDaily[Admissions],tblDaily[EntryDate],DATE(2026,9,23),tblDaily[WardCode],"BG")=0,"",SUMIFS(tblDaily[Admissions],tblDaily[EntryDate],DATE(2026,9,23),tblDaily[WardCode],"BG")),"")</f>
        <v/>
      </c>
      <c r="C341" s="5" t="str">
        <f>IFERROR(IF(SUMIFS(tblDaily[Discharges],tblDaily[EntryDate],DATE(2026,9,23),tblDaily[WardCode],"BG")=0,"",SUMIFS(tblDaily[Discharges],tblDaily[EntryDate],DATE(2026,9,23),tblDaily[WardCode],"BG")),"")</f>
        <v/>
      </c>
      <c r="D341" s="5" t="str">
        <f>IFERROR(IF(SUMIFS(tblDaily[Deaths],tblDaily[EntryDate],DATE(2026,9,23),tblDaily[WardCode],"BG")=0,"",SUMIFS(tblDaily[Deaths],tblDaily[EntryDate],DATE(2026,9,23),tblDaily[WardCode],"BG")),"")</f>
        <v/>
      </c>
      <c r="E341" s="5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5" t="str">
        <f>IFERROR(IF(SUMIFS(tblDaily[TransfersIn],tblDaily[EntryDate],DATE(2026,9,23),tblDaily[WardCode],"BG")=0,"",SUMIFS(tblDaily[TransfersIn],tblDaily[EntryDate],DATE(2026,9,23),tblDaily[WardCode],"BG")),"")</f>
        <v/>
      </c>
      <c r="G341" s="5" t="str">
        <f>IFERROR(IF(SUMIFS(tblDaily[TransfersOut],tblDaily[EntryDate],DATE(2026,9,23),tblDaily[WardCode],"BG")=0,"",SUMIFS(tblDaily[TransfersOut],tblDaily[EntryDate],DATE(2026,9,23),tblDaily[WardCode],"BG")),"")</f>
        <v/>
      </c>
      <c r="H341" s="5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IFERROR(IF(SUMIFS(tblDaily[Admissions],tblDaily[EntryDate],DATE(2026,9,24),tblDaily[WardCode],"BG")=0,"",SUMIFS(tblDaily[Admissions],tblDaily[EntryDate],DATE(2026,9,24),tblDaily[WardCode],"BG")),"")</f>
        <v/>
      </c>
      <c r="C342" s="5" t="str">
        <f>IFERROR(IF(SUMIFS(tblDaily[Discharges],tblDaily[EntryDate],DATE(2026,9,24),tblDaily[WardCode],"BG")=0,"",SUMIFS(tblDaily[Discharges],tblDaily[EntryDate],DATE(2026,9,24),tblDaily[WardCode],"BG")),"")</f>
        <v/>
      </c>
      <c r="D342" s="5" t="str">
        <f>IFERROR(IF(SUMIFS(tblDaily[Deaths],tblDaily[EntryDate],DATE(2026,9,24),tblDaily[WardCode],"BG")=0,"",SUMIFS(tblDaily[Deaths],tblDaily[EntryDate],DATE(2026,9,24),tblDaily[WardCode],"BG")),"")</f>
        <v/>
      </c>
      <c r="E342" s="5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5" t="str">
        <f>IFERROR(IF(SUMIFS(tblDaily[TransfersIn],tblDaily[EntryDate],DATE(2026,9,24),tblDaily[WardCode],"BG")=0,"",SUMIFS(tblDaily[TransfersIn],tblDaily[EntryDate],DATE(2026,9,24),tblDaily[WardCode],"BG")),"")</f>
        <v/>
      </c>
      <c r="G342" s="5" t="str">
        <f>IFERROR(IF(SUMIFS(tblDaily[TransfersOut],tblDaily[EntryDate],DATE(2026,9,24),tblDaily[WardCode],"BG")=0,"",SUMIFS(tblDaily[TransfersOut],tblDaily[EntryDate],DATE(2026,9,24),tblDaily[WardCode],"BG")),"")</f>
        <v/>
      </c>
      <c r="H342" s="5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IFERROR(IF(SUMIFS(tblDaily[Admissions],tblDaily[EntryDate],DATE(2026,9,25),tblDaily[WardCode],"BG")=0,"",SUMIFS(tblDaily[Admissions],tblDaily[EntryDate],DATE(2026,9,25),tblDaily[WardCode],"BG")),"")</f>
        <v/>
      </c>
      <c r="C343" s="5" t="str">
        <f>IFERROR(IF(SUMIFS(tblDaily[Discharges],tblDaily[EntryDate],DATE(2026,9,25),tblDaily[WardCode],"BG")=0,"",SUMIFS(tblDaily[Discharges],tblDaily[EntryDate],DATE(2026,9,25),tblDaily[WardCode],"BG")),"")</f>
        <v/>
      </c>
      <c r="D343" s="5" t="str">
        <f>IFERROR(IF(SUMIFS(tblDaily[Deaths],tblDaily[EntryDate],DATE(2026,9,25),tblDaily[WardCode],"BG")=0,"",SUMIFS(tblDaily[Deaths],tblDaily[EntryDate],DATE(2026,9,25),tblDaily[WardCode],"BG")),"")</f>
        <v/>
      </c>
      <c r="E343" s="5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5" t="str">
        <f>IFERROR(IF(SUMIFS(tblDaily[TransfersIn],tblDaily[EntryDate],DATE(2026,9,25),tblDaily[WardCode],"BG")=0,"",SUMIFS(tblDaily[TransfersIn],tblDaily[EntryDate],DATE(2026,9,25),tblDaily[WardCode],"BG")),"")</f>
        <v/>
      </c>
      <c r="G343" s="5" t="str">
        <f>IFERROR(IF(SUMIFS(tblDaily[TransfersOut],tblDaily[EntryDate],DATE(2026,9,25),tblDaily[WardCode],"BG")=0,"",SUMIFS(tblDaily[TransfersOut],tblDaily[EntryDate],DATE(2026,9,25),tblDaily[WardCode],"BG")),"")</f>
        <v/>
      </c>
      <c r="H343" s="5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IFERROR(IF(SUMIFS(tblDaily[Admissions],tblDaily[EntryDate],DATE(2026,9,26),tblDaily[WardCode],"BG")=0,"",SUMIFS(tblDaily[Admissions],tblDaily[EntryDate],DATE(2026,9,26),tblDaily[WardCode],"BG")),"")</f>
        <v/>
      </c>
      <c r="C344" s="5" t="str">
        <f>IFERROR(IF(SUMIFS(tblDaily[Discharges],tblDaily[EntryDate],DATE(2026,9,26),tblDaily[WardCode],"BG")=0,"",SUMIFS(tblDaily[Discharges],tblDaily[EntryDate],DATE(2026,9,26),tblDaily[WardCode],"BG")),"")</f>
        <v/>
      </c>
      <c r="D344" s="5" t="str">
        <f>IFERROR(IF(SUMIFS(tblDaily[Deaths],tblDaily[EntryDate],DATE(2026,9,26),tblDaily[WardCode],"BG")=0,"",SUMIFS(tblDaily[Deaths],tblDaily[EntryDate],DATE(2026,9,26),tblDaily[WardCode],"BG")),"")</f>
        <v/>
      </c>
      <c r="E344" s="5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5" t="str">
        <f>IFERROR(IF(SUMIFS(tblDaily[TransfersIn],tblDaily[EntryDate],DATE(2026,9,26),tblDaily[WardCode],"BG")=0,"",SUMIFS(tblDaily[TransfersIn],tblDaily[EntryDate],DATE(2026,9,26),tblDaily[WardCode],"BG")),"")</f>
        <v/>
      </c>
      <c r="G344" s="5" t="str">
        <f>IFERROR(IF(SUMIFS(tblDaily[TransfersOut],tblDaily[EntryDate],DATE(2026,9,26),tblDaily[WardCode],"BG")=0,"",SUMIFS(tblDaily[TransfersOut],tblDaily[EntryDate],DATE(2026,9,26),tblDaily[WardCode],"BG")),"")</f>
        <v/>
      </c>
      <c r="H344" s="5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IFERROR(IF(SUMIFS(tblDaily[Admissions],tblDaily[EntryDate],DATE(2026,9,27),tblDaily[WardCode],"BG")=0,"",SUMIFS(tblDaily[Admissions],tblDaily[EntryDate],DATE(2026,9,27),tblDaily[WardCode],"BG")),"")</f>
        <v/>
      </c>
      <c r="C345" s="5" t="str">
        <f>IFERROR(IF(SUMIFS(tblDaily[Discharges],tblDaily[EntryDate],DATE(2026,9,27),tblDaily[WardCode],"BG")=0,"",SUMIFS(tblDaily[Discharges],tblDaily[EntryDate],DATE(2026,9,27),tblDaily[WardCode],"BG")),"")</f>
        <v/>
      </c>
      <c r="D345" s="5" t="str">
        <f>IFERROR(IF(SUMIFS(tblDaily[Deaths],tblDaily[EntryDate],DATE(2026,9,27),tblDaily[WardCode],"BG")=0,"",SUMIFS(tblDaily[Deaths],tblDaily[EntryDate],DATE(2026,9,27),tblDaily[WardCode],"BG")),"")</f>
        <v/>
      </c>
      <c r="E345" s="5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5" t="str">
        <f>IFERROR(IF(SUMIFS(tblDaily[TransfersIn],tblDaily[EntryDate],DATE(2026,9,27),tblDaily[WardCode],"BG")=0,"",SUMIFS(tblDaily[TransfersIn],tblDaily[EntryDate],DATE(2026,9,27),tblDaily[WardCode],"BG")),"")</f>
        <v/>
      </c>
      <c r="G345" s="5" t="str">
        <f>IFERROR(IF(SUMIFS(tblDaily[TransfersOut],tblDaily[EntryDate],DATE(2026,9,27),tblDaily[WardCode],"BG")=0,"",SUMIFS(tblDaily[TransfersOut],tblDaily[EntryDate],DATE(2026,9,27),tblDaily[WardCode],"BG")),"")</f>
        <v/>
      </c>
      <c r="H345" s="5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IFERROR(IF(SUMIFS(tblDaily[Admissions],tblDaily[EntryDate],DATE(2026,9,28),tblDaily[WardCode],"BG")=0,"",SUMIFS(tblDaily[Admissions],tblDaily[EntryDate],DATE(2026,9,28),tblDaily[WardCode],"BG")),"")</f>
        <v/>
      </c>
      <c r="C346" s="5" t="str">
        <f>IFERROR(IF(SUMIFS(tblDaily[Discharges],tblDaily[EntryDate],DATE(2026,9,28),tblDaily[WardCode],"BG")=0,"",SUMIFS(tblDaily[Discharges],tblDaily[EntryDate],DATE(2026,9,28),tblDaily[WardCode],"BG")),"")</f>
        <v/>
      </c>
      <c r="D346" s="5" t="str">
        <f>IFERROR(IF(SUMIFS(tblDaily[Deaths],tblDaily[EntryDate],DATE(2026,9,28),tblDaily[WardCode],"BG")=0,"",SUMIFS(tblDaily[Deaths],tblDaily[EntryDate],DATE(2026,9,28),tblDaily[WardCode],"BG")),"")</f>
        <v/>
      </c>
      <c r="E346" s="5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5" t="str">
        <f>IFERROR(IF(SUMIFS(tblDaily[TransfersIn],tblDaily[EntryDate],DATE(2026,9,28),tblDaily[WardCode],"BG")=0,"",SUMIFS(tblDaily[TransfersIn],tblDaily[EntryDate],DATE(2026,9,28),tblDaily[WardCode],"BG")),"")</f>
        <v/>
      </c>
      <c r="G346" s="5" t="str">
        <f>IFERROR(IF(SUMIFS(tblDaily[TransfersOut],tblDaily[EntryDate],DATE(2026,9,28),tblDaily[WardCode],"BG")=0,"",SUMIFS(tblDaily[TransfersOut],tblDaily[EntryDate],DATE(2026,9,28),tblDaily[WardCode],"BG")),"")</f>
        <v/>
      </c>
      <c r="H346" s="5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IFERROR(IF(SUMIFS(tblDaily[Admissions],tblDaily[EntryDate],DATE(2026,9,29),tblDaily[WardCode],"BG")=0,"",SUMIFS(tblDaily[Admissions],tblDaily[EntryDate],DATE(2026,9,29),tblDaily[WardCode],"BG")),"")</f>
        <v/>
      </c>
      <c r="C347" s="5" t="str">
        <f>IFERROR(IF(SUMIFS(tblDaily[Discharges],tblDaily[EntryDate],DATE(2026,9,29),tblDaily[WardCode],"BG")=0,"",SUMIFS(tblDaily[Discharges],tblDaily[EntryDate],DATE(2026,9,29),tblDaily[WardCode],"BG")),"")</f>
        <v/>
      </c>
      <c r="D347" s="5" t="str">
        <f>IFERROR(IF(SUMIFS(tblDaily[Deaths],tblDaily[EntryDate],DATE(2026,9,29),tblDaily[WardCode],"BG")=0,"",SUMIFS(tblDaily[Deaths],tblDaily[EntryDate],DATE(2026,9,29),tblDaily[WardCode],"BG")),"")</f>
        <v/>
      </c>
      <c r="E347" s="5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5" t="str">
        <f>IFERROR(IF(SUMIFS(tblDaily[TransfersIn],tblDaily[EntryDate],DATE(2026,9,29),tblDaily[WardCode],"BG")=0,"",SUMIFS(tblDaily[TransfersIn],tblDaily[EntryDate],DATE(2026,9,29),tblDaily[WardCode],"BG")),"")</f>
        <v/>
      </c>
      <c r="G347" s="5" t="str">
        <f>IFERROR(IF(SUMIFS(tblDaily[TransfersOut],tblDaily[EntryDate],DATE(2026,9,29),tblDaily[WardCode],"BG")=0,"",SUMIFS(tblDaily[TransfersOut],tblDaily[EntryDate],DATE(2026,9,29),tblDaily[WardCode],"BG")),"")</f>
        <v/>
      </c>
      <c r="H347" s="5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IFERROR(IF(SUMIFS(tblDaily[Admissions],tblDaily[EntryDate],DATE(2026,9,30),tblDaily[WardCode],"BG")=0,"",SUMIFS(tblDaily[Admissions],tblDaily[EntryDate],DATE(2026,9,30),tblDaily[WardCode],"BG")),"")</f>
        <v/>
      </c>
      <c r="C348" s="5" t="str">
        <f>IFERROR(IF(SUMIFS(tblDaily[Discharges],tblDaily[EntryDate],DATE(2026,9,30),tblDaily[WardCode],"BG")=0,"",SUMIFS(tblDaily[Discharges],tblDaily[EntryDate],DATE(2026,9,30),tblDaily[WardCode],"BG")),"")</f>
        <v/>
      </c>
      <c r="D348" s="5" t="str">
        <f>IFERROR(IF(SUMIFS(tblDaily[Deaths],tblDaily[EntryDate],DATE(2026,9,30),tblDaily[WardCode],"BG")=0,"",SUMIFS(tblDaily[Deaths],tblDaily[EntryDate],DATE(2026,9,30),tblDaily[WardCode],"BG")),"")</f>
        <v/>
      </c>
      <c r="E348" s="5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5" t="str">
        <f>IFERROR(IF(SUMIFS(tblDaily[TransfersIn],tblDaily[EntryDate],DATE(2026,9,30),tblDaily[WardCode],"BG")=0,"",SUMIFS(tblDaily[TransfersIn],tblDaily[EntryDate],DATE(2026,9,30),tblDaily[WardCode],"BG")),"")</f>
        <v/>
      </c>
      <c r="G348" s="5" t="str">
        <f>IFERROR(IF(SUMIFS(tblDaily[TransfersOut],tblDaily[EntryDate],DATE(2026,9,30),tblDaily[WardCode],"BG")=0,"",SUMIFS(tblDaily[TransfersOut],tblDaily[EntryDate],DATE(2026,9,30),tblDaily[WardCode],"BG")),"")</f>
        <v/>
      </c>
      <c r="H348" s="5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99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89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IFERROR(IF(SUMIFS(tblDaily[Admissions],tblDaily[EntryDate],DATE(2026,10,1),tblDaily[WardCode],"BG")=0,"",SUMIFS(tblDaily[Admissions],tblDaily[EntryDate],DATE(2026,10,1),tblDaily[WardCode],"BG")),"")</f>
        <v/>
      </c>
      <c r="C358" s="5" t="str">
        <f>IFERROR(IF(SUMIFS(tblDaily[Discharges],tblDaily[EntryDate],DATE(2026,10,1),tblDaily[WardCode],"BG")=0,"",SUMIFS(tblDaily[Discharges],tblDaily[EntryDate],DATE(2026,10,1),tblDaily[WardCode],"BG")),"")</f>
        <v/>
      </c>
      <c r="D358" s="5" t="str">
        <f>IFERROR(IF(SUMIFS(tblDaily[Deaths],tblDaily[EntryDate],DATE(2026,10,1),tblDaily[WardCode],"BG")=0,"",SUMIFS(tblDaily[Deaths],tblDaily[EntryDate],DATE(2026,10,1),tblDaily[WardCode],"BG")),"")</f>
        <v/>
      </c>
      <c r="E358" s="5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5" t="str">
        <f>IFERROR(IF(SUMIFS(tblDaily[TransfersIn],tblDaily[EntryDate],DATE(2026,10,1),tblDaily[WardCode],"BG")=0,"",SUMIFS(tblDaily[TransfersIn],tblDaily[EntryDate],DATE(2026,10,1),tblDaily[WardCode],"BG")),"")</f>
        <v/>
      </c>
      <c r="G358" s="5" t="str">
        <f>IFERROR(IF(SUMIFS(tblDaily[TransfersOut],tblDaily[EntryDate],DATE(2026,10,1),tblDaily[WardCode],"BG")=0,"",SUMIFS(tblDaily[TransfersOut],tblDaily[EntryDate],DATE(2026,10,1),tblDaily[WardCode],"BG")),"")</f>
        <v/>
      </c>
      <c r="H358" s="5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IFERROR(IF(SUMIFS(tblDaily[Admissions],tblDaily[EntryDate],DATE(2026,10,2),tblDaily[WardCode],"BG")=0,"",SUMIFS(tblDaily[Admissions],tblDaily[EntryDate],DATE(2026,10,2),tblDaily[WardCode],"BG")),"")</f>
        <v/>
      </c>
      <c r="C359" s="5" t="str">
        <f>IFERROR(IF(SUMIFS(tblDaily[Discharges],tblDaily[EntryDate],DATE(2026,10,2),tblDaily[WardCode],"BG")=0,"",SUMIFS(tblDaily[Discharges],tblDaily[EntryDate],DATE(2026,10,2),tblDaily[WardCode],"BG")),"")</f>
        <v/>
      </c>
      <c r="D359" s="5" t="str">
        <f>IFERROR(IF(SUMIFS(tblDaily[Deaths],tblDaily[EntryDate],DATE(2026,10,2),tblDaily[WardCode],"BG")=0,"",SUMIFS(tblDaily[Deaths],tblDaily[EntryDate],DATE(2026,10,2),tblDaily[WardCode],"BG")),"")</f>
        <v/>
      </c>
      <c r="E359" s="5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5" t="str">
        <f>IFERROR(IF(SUMIFS(tblDaily[TransfersIn],tblDaily[EntryDate],DATE(2026,10,2),tblDaily[WardCode],"BG")=0,"",SUMIFS(tblDaily[TransfersIn],tblDaily[EntryDate],DATE(2026,10,2),tblDaily[WardCode],"BG")),"")</f>
        <v/>
      </c>
      <c r="G359" s="5" t="str">
        <f>IFERROR(IF(SUMIFS(tblDaily[TransfersOut],tblDaily[EntryDate],DATE(2026,10,2),tblDaily[WardCode],"BG")=0,"",SUMIFS(tblDaily[TransfersOut],tblDaily[EntryDate],DATE(2026,10,2),tblDaily[WardCode],"BG")),"")</f>
        <v/>
      </c>
      <c r="H359" s="5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IFERROR(IF(SUMIFS(tblDaily[Admissions],tblDaily[EntryDate],DATE(2026,10,3),tblDaily[WardCode],"BG")=0,"",SUMIFS(tblDaily[Admissions],tblDaily[EntryDate],DATE(2026,10,3),tblDaily[WardCode],"BG")),"")</f>
        <v/>
      </c>
      <c r="C360" s="5" t="str">
        <f>IFERROR(IF(SUMIFS(tblDaily[Discharges],tblDaily[EntryDate],DATE(2026,10,3),tblDaily[WardCode],"BG")=0,"",SUMIFS(tblDaily[Discharges],tblDaily[EntryDate],DATE(2026,10,3),tblDaily[WardCode],"BG")),"")</f>
        <v/>
      </c>
      <c r="D360" s="5" t="str">
        <f>IFERROR(IF(SUMIFS(tblDaily[Deaths],tblDaily[EntryDate],DATE(2026,10,3),tblDaily[WardCode],"BG")=0,"",SUMIFS(tblDaily[Deaths],tblDaily[EntryDate],DATE(2026,10,3),tblDaily[WardCode],"BG")),"")</f>
        <v/>
      </c>
      <c r="E360" s="5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5" t="str">
        <f>IFERROR(IF(SUMIFS(tblDaily[TransfersIn],tblDaily[EntryDate],DATE(2026,10,3),tblDaily[WardCode],"BG")=0,"",SUMIFS(tblDaily[TransfersIn],tblDaily[EntryDate],DATE(2026,10,3),tblDaily[WardCode],"BG")),"")</f>
        <v/>
      </c>
      <c r="G360" s="5" t="str">
        <f>IFERROR(IF(SUMIFS(tblDaily[TransfersOut],tblDaily[EntryDate],DATE(2026,10,3),tblDaily[WardCode],"BG")=0,"",SUMIFS(tblDaily[TransfersOut],tblDaily[EntryDate],DATE(2026,10,3),tblDaily[WardCode],"BG")),"")</f>
        <v/>
      </c>
      <c r="H360" s="5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IFERROR(IF(SUMIFS(tblDaily[Admissions],tblDaily[EntryDate],DATE(2026,10,4),tblDaily[WardCode],"BG")=0,"",SUMIFS(tblDaily[Admissions],tblDaily[EntryDate],DATE(2026,10,4),tblDaily[WardCode],"BG")),"")</f>
        <v/>
      </c>
      <c r="C361" s="5" t="str">
        <f>IFERROR(IF(SUMIFS(tblDaily[Discharges],tblDaily[EntryDate],DATE(2026,10,4),tblDaily[WardCode],"BG")=0,"",SUMIFS(tblDaily[Discharges],tblDaily[EntryDate],DATE(2026,10,4),tblDaily[WardCode],"BG")),"")</f>
        <v/>
      </c>
      <c r="D361" s="5" t="str">
        <f>IFERROR(IF(SUMIFS(tblDaily[Deaths],tblDaily[EntryDate],DATE(2026,10,4),tblDaily[WardCode],"BG")=0,"",SUMIFS(tblDaily[Deaths],tblDaily[EntryDate],DATE(2026,10,4),tblDaily[WardCode],"BG")),"")</f>
        <v/>
      </c>
      <c r="E361" s="5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5" t="str">
        <f>IFERROR(IF(SUMIFS(tblDaily[TransfersIn],tblDaily[EntryDate],DATE(2026,10,4),tblDaily[WardCode],"BG")=0,"",SUMIFS(tblDaily[TransfersIn],tblDaily[EntryDate],DATE(2026,10,4),tblDaily[WardCode],"BG")),"")</f>
        <v/>
      </c>
      <c r="G361" s="5" t="str">
        <f>IFERROR(IF(SUMIFS(tblDaily[TransfersOut],tblDaily[EntryDate],DATE(2026,10,4),tblDaily[WardCode],"BG")=0,"",SUMIFS(tblDaily[TransfersOut],tblDaily[EntryDate],DATE(2026,10,4),tblDaily[WardCode],"BG")),"")</f>
        <v/>
      </c>
      <c r="H361" s="5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IFERROR(IF(SUMIFS(tblDaily[Admissions],tblDaily[EntryDate],DATE(2026,10,5),tblDaily[WardCode],"BG")=0,"",SUMIFS(tblDaily[Admissions],tblDaily[EntryDate],DATE(2026,10,5),tblDaily[WardCode],"BG")),"")</f>
        <v/>
      </c>
      <c r="C362" s="5" t="str">
        <f>IFERROR(IF(SUMIFS(tblDaily[Discharges],tblDaily[EntryDate],DATE(2026,10,5),tblDaily[WardCode],"BG")=0,"",SUMIFS(tblDaily[Discharges],tblDaily[EntryDate],DATE(2026,10,5),tblDaily[WardCode],"BG")),"")</f>
        <v/>
      </c>
      <c r="D362" s="5" t="str">
        <f>IFERROR(IF(SUMIFS(tblDaily[Deaths],tblDaily[EntryDate],DATE(2026,10,5),tblDaily[WardCode],"BG")=0,"",SUMIFS(tblDaily[Deaths],tblDaily[EntryDate],DATE(2026,10,5),tblDaily[WardCode],"BG")),"")</f>
        <v/>
      </c>
      <c r="E362" s="5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5" t="str">
        <f>IFERROR(IF(SUMIFS(tblDaily[TransfersIn],tblDaily[EntryDate],DATE(2026,10,5),tblDaily[WardCode],"BG")=0,"",SUMIFS(tblDaily[TransfersIn],tblDaily[EntryDate],DATE(2026,10,5),tblDaily[WardCode],"BG")),"")</f>
        <v/>
      </c>
      <c r="G362" s="5" t="str">
        <f>IFERROR(IF(SUMIFS(tblDaily[TransfersOut],tblDaily[EntryDate],DATE(2026,10,5),tblDaily[WardCode],"BG")=0,"",SUMIFS(tblDaily[TransfersOut],tblDaily[EntryDate],DATE(2026,10,5),tblDaily[WardCode],"BG")),"")</f>
        <v/>
      </c>
      <c r="H362" s="5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IFERROR(IF(SUMIFS(tblDaily[Admissions],tblDaily[EntryDate],DATE(2026,10,6),tblDaily[WardCode],"BG")=0,"",SUMIFS(tblDaily[Admissions],tblDaily[EntryDate],DATE(2026,10,6),tblDaily[WardCode],"BG")),"")</f>
        <v/>
      </c>
      <c r="C363" s="5" t="str">
        <f>IFERROR(IF(SUMIFS(tblDaily[Discharges],tblDaily[EntryDate],DATE(2026,10,6),tblDaily[WardCode],"BG")=0,"",SUMIFS(tblDaily[Discharges],tblDaily[EntryDate],DATE(2026,10,6),tblDaily[WardCode],"BG")),"")</f>
        <v/>
      </c>
      <c r="D363" s="5" t="str">
        <f>IFERROR(IF(SUMIFS(tblDaily[Deaths],tblDaily[EntryDate],DATE(2026,10,6),tblDaily[WardCode],"BG")=0,"",SUMIFS(tblDaily[Deaths],tblDaily[EntryDate],DATE(2026,10,6),tblDaily[WardCode],"BG")),"")</f>
        <v/>
      </c>
      <c r="E363" s="5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5" t="str">
        <f>IFERROR(IF(SUMIFS(tblDaily[TransfersIn],tblDaily[EntryDate],DATE(2026,10,6),tblDaily[WardCode],"BG")=0,"",SUMIFS(tblDaily[TransfersIn],tblDaily[EntryDate],DATE(2026,10,6),tblDaily[WardCode],"BG")),"")</f>
        <v/>
      </c>
      <c r="G363" s="5" t="str">
        <f>IFERROR(IF(SUMIFS(tblDaily[TransfersOut],tblDaily[EntryDate],DATE(2026,10,6),tblDaily[WardCode],"BG")=0,"",SUMIFS(tblDaily[TransfersOut],tblDaily[EntryDate],DATE(2026,10,6),tblDaily[WardCode],"BG")),"")</f>
        <v/>
      </c>
      <c r="H363" s="5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IFERROR(IF(SUMIFS(tblDaily[Admissions],tblDaily[EntryDate],DATE(2026,10,7),tblDaily[WardCode],"BG")=0,"",SUMIFS(tblDaily[Admissions],tblDaily[EntryDate],DATE(2026,10,7),tblDaily[WardCode],"BG")),"")</f>
        <v/>
      </c>
      <c r="C364" s="5" t="str">
        <f>IFERROR(IF(SUMIFS(tblDaily[Discharges],tblDaily[EntryDate],DATE(2026,10,7),tblDaily[WardCode],"BG")=0,"",SUMIFS(tblDaily[Discharges],tblDaily[EntryDate],DATE(2026,10,7),tblDaily[WardCode],"BG")),"")</f>
        <v/>
      </c>
      <c r="D364" s="5" t="str">
        <f>IFERROR(IF(SUMIFS(tblDaily[Deaths],tblDaily[EntryDate],DATE(2026,10,7),tblDaily[WardCode],"BG")=0,"",SUMIFS(tblDaily[Deaths],tblDaily[EntryDate],DATE(2026,10,7),tblDaily[WardCode],"BG")),"")</f>
        <v/>
      </c>
      <c r="E364" s="5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5" t="str">
        <f>IFERROR(IF(SUMIFS(tblDaily[TransfersIn],tblDaily[EntryDate],DATE(2026,10,7),tblDaily[WardCode],"BG")=0,"",SUMIFS(tblDaily[TransfersIn],tblDaily[EntryDate],DATE(2026,10,7),tblDaily[WardCode],"BG")),"")</f>
        <v/>
      </c>
      <c r="G364" s="5" t="str">
        <f>IFERROR(IF(SUMIFS(tblDaily[TransfersOut],tblDaily[EntryDate],DATE(2026,10,7),tblDaily[WardCode],"BG")=0,"",SUMIFS(tblDaily[TransfersOut],tblDaily[EntryDate],DATE(2026,10,7),tblDaily[WardCode],"BG")),"")</f>
        <v/>
      </c>
      <c r="H364" s="5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IFERROR(IF(SUMIFS(tblDaily[Admissions],tblDaily[EntryDate],DATE(2026,10,8),tblDaily[WardCode],"BG")=0,"",SUMIFS(tblDaily[Admissions],tblDaily[EntryDate],DATE(2026,10,8),tblDaily[WardCode],"BG")),"")</f>
        <v/>
      </c>
      <c r="C365" s="5" t="str">
        <f>IFERROR(IF(SUMIFS(tblDaily[Discharges],tblDaily[EntryDate],DATE(2026,10,8),tblDaily[WardCode],"BG")=0,"",SUMIFS(tblDaily[Discharges],tblDaily[EntryDate],DATE(2026,10,8),tblDaily[WardCode],"BG")),"")</f>
        <v/>
      </c>
      <c r="D365" s="5" t="str">
        <f>IFERROR(IF(SUMIFS(tblDaily[Deaths],tblDaily[EntryDate],DATE(2026,10,8),tblDaily[WardCode],"BG")=0,"",SUMIFS(tblDaily[Deaths],tblDaily[EntryDate],DATE(2026,10,8),tblDaily[WardCode],"BG")),"")</f>
        <v/>
      </c>
      <c r="E365" s="5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5" t="str">
        <f>IFERROR(IF(SUMIFS(tblDaily[TransfersIn],tblDaily[EntryDate],DATE(2026,10,8),tblDaily[WardCode],"BG")=0,"",SUMIFS(tblDaily[TransfersIn],tblDaily[EntryDate],DATE(2026,10,8),tblDaily[WardCode],"BG")),"")</f>
        <v/>
      </c>
      <c r="G365" s="5" t="str">
        <f>IFERROR(IF(SUMIFS(tblDaily[TransfersOut],tblDaily[EntryDate],DATE(2026,10,8),tblDaily[WardCode],"BG")=0,"",SUMIFS(tblDaily[TransfersOut],tblDaily[EntryDate],DATE(2026,10,8),tblDaily[WardCode],"BG")),"")</f>
        <v/>
      </c>
      <c r="H365" s="5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IFERROR(IF(SUMIFS(tblDaily[Admissions],tblDaily[EntryDate],DATE(2026,10,9),tblDaily[WardCode],"BG")=0,"",SUMIFS(tblDaily[Admissions],tblDaily[EntryDate],DATE(2026,10,9),tblDaily[WardCode],"BG")),"")</f>
        <v/>
      </c>
      <c r="C366" s="5" t="str">
        <f>IFERROR(IF(SUMIFS(tblDaily[Discharges],tblDaily[EntryDate],DATE(2026,10,9),tblDaily[WardCode],"BG")=0,"",SUMIFS(tblDaily[Discharges],tblDaily[EntryDate],DATE(2026,10,9),tblDaily[WardCode],"BG")),"")</f>
        <v/>
      </c>
      <c r="D366" s="5" t="str">
        <f>IFERROR(IF(SUMIFS(tblDaily[Deaths],tblDaily[EntryDate],DATE(2026,10,9),tblDaily[WardCode],"BG")=0,"",SUMIFS(tblDaily[Deaths],tblDaily[EntryDate],DATE(2026,10,9),tblDaily[WardCode],"BG")),"")</f>
        <v/>
      </c>
      <c r="E366" s="5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5" t="str">
        <f>IFERROR(IF(SUMIFS(tblDaily[TransfersIn],tblDaily[EntryDate],DATE(2026,10,9),tblDaily[WardCode],"BG")=0,"",SUMIFS(tblDaily[TransfersIn],tblDaily[EntryDate],DATE(2026,10,9),tblDaily[WardCode],"BG")),"")</f>
        <v/>
      </c>
      <c r="G366" s="5" t="str">
        <f>IFERROR(IF(SUMIFS(tblDaily[TransfersOut],tblDaily[EntryDate],DATE(2026,10,9),tblDaily[WardCode],"BG")=0,"",SUMIFS(tblDaily[TransfersOut],tblDaily[EntryDate],DATE(2026,10,9),tblDaily[WardCode],"BG")),"")</f>
        <v/>
      </c>
      <c r="H366" s="5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IFERROR(IF(SUMIFS(tblDaily[Admissions],tblDaily[EntryDate],DATE(2026,10,10),tblDaily[WardCode],"BG")=0,"",SUMIFS(tblDaily[Admissions],tblDaily[EntryDate],DATE(2026,10,10),tblDaily[WardCode],"BG")),"")</f>
        <v/>
      </c>
      <c r="C367" s="5" t="str">
        <f>IFERROR(IF(SUMIFS(tblDaily[Discharges],tblDaily[EntryDate],DATE(2026,10,10),tblDaily[WardCode],"BG")=0,"",SUMIFS(tblDaily[Discharges],tblDaily[EntryDate],DATE(2026,10,10),tblDaily[WardCode],"BG")),"")</f>
        <v/>
      </c>
      <c r="D367" s="5" t="str">
        <f>IFERROR(IF(SUMIFS(tblDaily[Deaths],tblDaily[EntryDate],DATE(2026,10,10),tblDaily[WardCode],"BG")=0,"",SUMIFS(tblDaily[Deaths],tblDaily[EntryDate],DATE(2026,10,10),tblDaily[WardCode],"BG")),"")</f>
        <v/>
      </c>
      <c r="E367" s="5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5" t="str">
        <f>IFERROR(IF(SUMIFS(tblDaily[TransfersIn],tblDaily[EntryDate],DATE(2026,10,10),tblDaily[WardCode],"BG")=0,"",SUMIFS(tblDaily[TransfersIn],tblDaily[EntryDate],DATE(2026,10,10),tblDaily[WardCode],"BG")),"")</f>
        <v/>
      </c>
      <c r="G367" s="5" t="str">
        <f>IFERROR(IF(SUMIFS(tblDaily[TransfersOut],tblDaily[EntryDate],DATE(2026,10,10),tblDaily[WardCode],"BG")=0,"",SUMIFS(tblDaily[TransfersOut],tblDaily[EntryDate],DATE(2026,10,10),tblDaily[WardCode],"BG")),"")</f>
        <v/>
      </c>
      <c r="H367" s="5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IFERROR(IF(SUMIFS(tblDaily[Admissions],tblDaily[EntryDate],DATE(2026,10,11),tblDaily[WardCode],"BG")=0,"",SUMIFS(tblDaily[Admissions],tblDaily[EntryDate],DATE(2026,10,11),tblDaily[WardCode],"BG")),"")</f>
        <v/>
      </c>
      <c r="C368" s="5" t="str">
        <f>IFERROR(IF(SUMIFS(tblDaily[Discharges],tblDaily[EntryDate],DATE(2026,10,11),tblDaily[WardCode],"BG")=0,"",SUMIFS(tblDaily[Discharges],tblDaily[EntryDate],DATE(2026,10,11),tblDaily[WardCode],"BG")),"")</f>
        <v/>
      </c>
      <c r="D368" s="5" t="str">
        <f>IFERROR(IF(SUMIFS(tblDaily[Deaths],tblDaily[EntryDate],DATE(2026,10,11),tblDaily[WardCode],"BG")=0,"",SUMIFS(tblDaily[Deaths],tblDaily[EntryDate],DATE(2026,10,11),tblDaily[WardCode],"BG")),"")</f>
        <v/>
      </c>
      <c r="E368" s="5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5" t="str">
        <f>IFERROR(IF(SUMIFS(tblDaily[TransfersIn],tblDaily[EntryDate],DATE(2026,10,11),tblDaily[WardCode],"BG")=0,"",SUMIFS(tblDaily[TransfersIn],tblDaily[EntryDate],DATE(2026,10,11),tblDaily[WardCode],"BG")),"")</f>
        <v/>
      </c>
      <c r="G368" s="5" t="str">
        <f>IFERROR(IF(SUMIFS(tblDaily[TransfersOut],tblDaily[EntryDate],DATE(2026,10,11),tblDaily[WardCode],"BG")=0,"",SUMIFS(tblDaily[TransfersOut],tblDaily[EntryDate],DATE(2026,10,11),tblDaily[WardCode],"BG")),"")</f>
        <v/>
      </c>
      <c r="H368" s="5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IFERROR(IF(SUMIFS(tblDaily[Admissions],tblDaily[EntryDate],DATE(2026,10,12),tblDaily[WardCode],"BG")=0,"",SUMIFS(tblDaily[Admissions],tblDaily[EntryDate],DATE(2026,10,12),tblDaily[WardCode],"BG")),"")</f>
        <v/>
      </c>
      <c r="C369" s="5" t="str">
        <f>IFERROR(IF(SUMIFS(tblDaily[Discharges],tblDaily[EntryDate],DATE(2026,10,12),tblDaily[WardCode],"BG")=0,"",SUMIFS(tblDaily[Discharges],tblDaily[EntryDate],DATE(2026,10,12),tblDaily[WardCode],"BG")),"")</f>
        <v/>
      </c>
      <c r="D369" s="5" t="str">
        <f>IFERROR(IF(SUMIFS(tblDaily[Deaths],tblDaily[EntryDate],DATE(2026,10,12),tblDaily[WardCode],"BG")=0,"",SUMIFS(tblDaily[Deaths],tblDaily[EntryDate],DATE(2026,10,12),tblDaily[WardCode],"BG")),"")</f>
        <v/>
      </c>
      <c r="E369" s="5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5" t="str">
        <f>IFERROR(IF(SUMIFS(tblDaily[TransfersIn],tblDaily[EntryDate],DATE(2026,10,12),tblDaily[WardCode],"BG")=0,"",SUMIFS(tblDaily[TransfersIn],tblDaily[EntryDate],DATE(2026,10,12),tblDaily[WardCode],"BG")),"")</f>
        <v/>
      </c>
      <c r="G369" s="5" t="str">
        <f>IFERROR(IF(SUMIFS(tblDaily[TransfersOut],tblDaily[EntryDate],DATE(2026,10,12),tblDaily[WardCode],"BG")=0,"",SUMIFS(tblDaily[TransfersOut],tblDaily[EntryDate],DATE(2026,10,12),tblDaily[WardCode],"BG")),"")</f>
        <v/>
      </c>
      <c r="H369" s="5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IFERROR(IF(SUMIFS(tblDaily[Admissions],tblDaily[EntryDate],DATE(2026,10,13),tblDaily[WardCode],"BG")=0,"",SUMIFS(tblDaily[Admissions],tblDaily[EntryDate],DATE(2026,10,13),tblDaily[WardCode],"BG")),"")</f>
        <v/>
      </c>
      <c r="C370" s="5" t="str">
        <f>IFERROR(IF(SUMIFS(tblDaily[Discharges],tblDaily[EntryDate],DATE(2026,10,13),tblDaily[WardCode],"BG")=0,"",SUMIFS(tblDaily[Discharges],tblDaily[EntryDate],DATE(2026,10,13),tblDaily[WardCode],"BG")),"")</f>
        <v/>
      </c>
      <c r="D370" s="5" t="str">
        <f>IFERROR(IF(SUMIFS(tblDaily[Deaths],tblDaily[EntryDate],DATE(2026,10,13),tblDaily[WardCode],"BG")=0,"",SUMIFS(tblDaily[Deaths],tblDaily[EntryDate],DATE(2026,10,13),tblDaily[WardCode],"BG")),"")</f>
        <v/>
      </c>
      <c r="E370" s="5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5" t="str">
        <f>IFERROR(IF(SUMIFS(tblDaily[TransfersIn],tblDaily[EntryDate],DATE(2026,10,13),tblDaily[WardCode],"BG")=0,"",SUMIFS(tblDaily[TransfersIn],tblDaily[EntryDate],DATE(2026,10,13),tblDaily[WardCode],"BG")),"")</f>
        <v/>
      </c>
      <c r="G370" s="5" t="str">
        <f>IFERROR(IF(SUMIFS(tblDaily[TransfersOut],tblDaily[EntryDate],DATE(2026,10,13),tblDaily[WardCode],"BG")=0,"",SUMIFS(tblDaily[TransfersOut],tblDaily[EntryDate],DATE(2026,10,13),tblDaily[WardCode],"BG")),"")</f>
        <v/>
      </c>
      <c r="H370" s="5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IFERROR(IF(SUMIFS(tblDaily[Admissions],tblDaily[EntryDate],DATE(2026,10,14),tblDaily[WardCode],"BG")=0,"",SUMIFS(tblDaily[Admissions],tblDaily[EntryDate],DATE(2026,10,14),tblDaily[WardCode],"BG")),"")</f>
        <v/>
      </c>
      <c r="C371" s="5" t="str">
        <f>IFERROR(IF(SUMIFS(tblDaily[Discharges],tblDaily[EntryDate],DATE(2026,10,14),tblDaily[WardCode],"BG")=0,"",SUMIFS(tblDaily[Discharges],tblDaily[EntryDate],DATE(2026,10,14),tblDaily[WardCode],"BG")),"")</f>
        <v/>
      </c>
      <c r="D371" s="5" t="str">
        <f>IFERROR(IF(SUMIFS(tblDaily[Deaths],tblDaily[EntryDate],DATE(2026,10,14),tblDaily[WardCode],"BG")=0,"",SUMIFS(tblDaily[Deaths],tblDaily[EntryDate],DATE(2026,10,14),tblDaily[WardCode],"BG")),"")</f>
        <v/>
      </c>
      <c r="E371" s="5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5" t="str">
        <f>IFERROR(IF(SUMIFS(tblDaily[TransfersIn],tblDaily[EntryDate],DATE(2026,10,14),tblDaily[WardCode],"BG")=0,"",SUMIFS(tblDaily[TransfersIn],tblDaily[EntryDate],DATE(2026,10,14),tblDaily[WardCode],"BG")),"")</f>
        <v/>
      </c>
      <c r="G371" s="5" t="str">
        <f>IFERROR(IF(SUMIFS(tblDaily[TransfersOut],tblDaily[EntryDate],DATE(2026,10,14),tblDaily[WardCode],"BG")=0,"",SUMIFS(tblDaily[TransfersOut],tblDaily[EntryDate],DATE(2026,10,14),tblDaily[WardCode],"BG")),"")</f>
        <v/>
      </c>
      <c r="H371" s="5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IFERROR(IF(SUMIFS(tblDaily[Admissions],tblDaily[EntryDate],DATE(2026,10,15),tblDaily[WardCode],"BG")=0,"",SUMIFS(tblDaily[Admissions],tblDaily[EntryDate],DATE(2026,10,15),tblDaily[WardCode],"BG")),"")</f>
        <v/>
      </c>
      <c r="C372" s="5" t="str">
        <f>IFERROR(IF(SUMIFS(tblDaily[Discharges],tblDaily[EntryDate],DATE(2026,10,15),tblDaily[WardCode],"BG")=0,"",SUMIFS(tblDaily[Discharges],tblDaily[EntryDate],DATE(2026,10,15),tblDaily[WardCode],"BG")),"")</f>
        <v/>
      </c>
      <c r="D372" s="5" t="str">
        <f>IFERROR(IF(SUMIFS(tblDaily[Deaths],tblDaily[EntryDate],DATE(2026,10,15),tblDaily[WardCode],"BG")=0,"",SUMIFS(tblDaily[Deaths],tblDaily[EntryDate],DATE(2026,10,15),tblDaily[WardCode],"BG")),"")</f>
        <v/>
      </c>
      <c r="E372" s="5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5" t="str">
        <f>IFERROR(IF(SUMIFS(tblDaily[TransfersIn],tblDaily[EntryDate],DATE(2026,10,15),tblDaily[WardCode],"BG")=0,"",SUMIFS(tblDaily[TransfersIn],tblDaily[EntryDate],DATE(2026,10,15),tblDaily[WardCode],"BG")),"")</f>
        <v/>
      </c>
      <c r="G372" s="5" t="str">
        <f>IFERROR(IF(SUMIFS(tblDaily[TransfersOut],tblDaily[EntryDate],DATE(2026,10,15),tblDaily[WardCode],"BG")=0,"",SUMIFS(tblDaily[TransfersOut],tblDaily[EntryDate],DATE(2026,10,15),tblDaily[WardCode],"BG")),"")</f>
        <v/>
      </c>
      <c r="H372" s="5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IFERROR(IF(SUMIFS(tblDaily[Admissions],tblDaily[EntryDate],DATE(2026,10,16),tblDaily[WardCode],"BG")=0,"",SUMIFS(tblDaily[Admissions],tblDaily[EntryDate],DATE(2026,10,16),tblDaily[WardCode],"BG")),"")</f>
        <v/>
      </c>
      <c r="C373" s="5" t="str">
        <f>IFERROR(IF(SUMIFS(tblDaily[Discharges],tblDaily[EntryDate],DATE(2026,10,16),tblDaily[WardCode],"BG")=0,"",SUMIFS(tblDaily[Discharges],tblDaily[EntryDate],DATE(2026,10,16),tblDaily[WardCode],"BG")),"")</f>
        <v/>
      </c>
      <c r="D373" s="5" t="str">
        <f>IFERROR(IF(SUMIFS(tblDaily[Deaths],tblDaily[EntryDate],DATE(2026,10,16),tblDaily[WardCode],"BG")=0,"",SUMIFS(tblDaily[Deaths],tblDaily[EntryDate],DATE(2026,10,16),tblDaily[WardCode],"BG")),"")</f>
        <v/>
      </c>
      <c r="E373" s="5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5" t="str">
        <f>IFERROR(IF(SUMIFS(tblDaily[TransfersIn],tblDaily[EntryDate],DATE(2026,10,16),tblDaily[WardCode],"BG")=0,"",SUMIFS(tblDaily[TransfersIn],tblDaily[EntryDate],DATE(2026,10,16),tblDaily[WardCode],"BG")),"")</f>
        <v/>
      </c>
      <c r="G373" s="5" t="str">
        <f>IFERROR(IF(SUMIFS(tblDaily[TransfersOut],tblDaily[EntryDate],DATE(2026,10,16),tblDaily[WardCode],"BG")=0,"",SUMIFS(tblDaily[TransfersOut],tblDaily[EntryDate],DATE(2026,10,16),tblDaily[WardCode],"BG")),"")</f>
        <v/>
      </c>
      <c r="H373" s="5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IFERROR(IF(SUMIFS(tblDaily[Admissions],tblDaily[EntryDate],DATE(2026,10,17),tblDaily[WardCode],"BG")=0,"",SUMIFS(tblDaily[Admissions],tblDaily[EntryDate],DATE(2026,10,17),tblDaily[WardCode],"BG")),"")</f>
        <v/>
      </c>
      <c r="C374" s="5" t="str">
        <f>IFERROR(IF(SUMIFS(tblDaily[Discharges],tblDaily[EntryDate],DATE(2026,10,17),tblDaily[WardCode],"BG")=0,"",SUMIFS(tblDaily[Discharges],tblDaily[EntryDate],DATE(2026,10,17),tblDaily[WardCode],"BG")),"")</f>
        <v/>
      </c>
      <c r="D374" s="5" t="str">
        <f>IFERROR(IF(SUMIFS(tblDaily[Deaths],tblDaily[EntryDate],DATE(2026,10,17),tblDaily[WardCode],"BG")=0,"",SUMIFS(tblDaily[Deaths],tblDaily[EntryDate],DATE(2026,10,17),tblDaily[WardCode],"BG")),"")</f>
        <v/>
      </c>
      <c r="E374" s="5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5" t="str">
        <f>IFERROR(IF(SUMIFS(tblDaily[TransfersIn],tblDaily[EntryDate],DATE(2026,10,17),tblDaily[WardCode],"BG")=0,"",SUMIFS(tblDaily[TransfersIn],tblDaily[EntryDate],DATE(2026,10,17),tblDaily[WardCode],"BG")),"")</f>
        <v/>
      </c>
      <c r="G374" s="5" t="str">
        <f>IFERROR(IF(SUMIFS(tblDaily[TransfersOut],tblDaily[EntryDate],DATE(2026,10,17),tblDaily[WardCode],"BG")=0,"",SUMIFS(tblDaily[TransfersOut],tblDaily[EntryDate],DATE(2026,10,17),tblDaily[WardCode],"BG")),"")</f>
        <v/>
      </c>
      <c r="H374" s="5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IFERROR(IF(SUMIFS(tblDaily[Admissions],tblDaily[EntryDate],DATE(2026,10,18),tblDaily[WardCode],"BG")=0,"",SUMIFS(tblDaily[Admissions],tblDaily[EntryDate],DATE(2026,10,18),tblDaily[WardCode],"BG")),"")</f>
        <v/>
      </c>
      <c r="C375" s="5" t="str">
        <f>IFERROR(IF(SUMIFS(tblDaily[Discharges],tblDaily[EntryDate],DATE(2026,10,18),tblDaily[WardCode],"BG")=0,"",SUMIFS(tblDaily[Discharges],tblDaily[EntryDate],DATE(2026,10,18),tblDaily[WardCode],"BG")),"")</f>
        <v/>
      </c>
      <c r="D375" s="5" t="str">
        <f>IFERROR(IF(SUMIFS(tblDaily[Deaths],tblDaily[EntryDate],DATE(2026,10,18),tblDaily[WardCode],"BG")=0,"",SUMIFS(tblDaily[Deaths],tblDaily[EntryDate],DATE(2026,10,18),tblDaily[WardCode],"BG")),"")</f>
        <v/>
      </c>
      <c r="E375" s="5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5" t="str">
        <f>IFERROR(IF(SUMIFS(tblDaily[TransfersIn],tblDaily[EntryDate],DATE(2026,10,18),tblDaily[WardCode],"BG")=0,"",SUMIFS(tblDaily[TransfersIn],tblDaily[EntryDate],DATE(2026,10,18),tblDaily[WardCode],"BG")),"")</f>
        <v/>
      </c>
      <c r="G375" s="5" t="str">
        <f>IFERROR(IF(SUMIFS(tblDaily[TransfersOut],tblDaily[EntryDate],DATE(2026,10,18),tblDaily[WardCode],"BG")=0,"",SUMIFS(tblDaily[TransfersOut],tblDaily[EntryDate],DATE(2026,10,18),tblDaily[WardCode],"BG")),"")</f>
        <v/>
      </c>
      <c r="H375" s="5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IFERROR(IF(SUMIFS(tblDaily[Admissions],tblDaily[EntryDate],DATE(2026,10,19),tblDaily[WardCode],"BG")=0,"",SUMIFS(tblDaily[Admissions],tblDaily[EntryDate],DATE(2026,10,19),tblDaily[WardCode],"BG")),"")</f>
        <v/>
      </c>
      <c r="C376" s="5" t="str">
        <f>IFERROR(IF(SUMIFS(tblDaily[Discharges],tblDaily[EntryDate],DATE(2026,10,19),tblDaily[WardCode],"BG")=0,"",SUMIFS(tblDaily[Discharges],tblDaily[EntryDate],DATE(2026,10,19),tblDaily[WardCode],"BG")),"")</f>
        <v/>
      </c>
      <c r="D376" s="5" t="str">
        <f>IFERROR(IF(SUMIFS(tblDaily[Deaths],tblDaily[EntryDate],DATE(2026,10,19),tblDaily[WardCode],"BG")=0,"",SUMIFS(tblDaily[Deaths],tblDaily[EntryDate],DATE(2026,10,19),tblDaily[WardCode],"BG")),"")</f>
        <v/>
      </c>
      <c r="E376" s="5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5" t="str">
        <f>IFERROR(IF(SUMIFS(tblDaily[TransfersIn],tblDaily[EntryDate],DATE(2026,10,19),tblDaily[WardCode],"BG")=0,"",SUMIFS(tblDaily[TransfersIn],tblDaily[EntryDate],DATE(2026,10,19),tblDaily[WardCode],"BG")),"")</f>
        <v/>
      </c>
      <c r="G376" s="5" t="str">
        <f>IFERROR(IF(SUMIFS(tblDaily[TransfersOut],tblDaily[EntryDate],DATE(2026,10,19),tblDaily[WardCode],"BG")=0,"",SUMIFS(tblDaily[TransfersOut],tblDaily[EntryDate],DATE(2026,10,19),tblDaily[WardCode],"BG")),"")</f>
        <v/>
      </c>
      <c r="H376" s="5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IFERROR(IF(SUMIFS(tblDaily[Admissions],tblDaily[EntryDate],DATE(2026,10,20),tblDaily[WardCode],"BG")=0,"",SUMIFS(tblDaily[Admissions],tblDaily[EntryDate],DATE(2026,10,20),tblDaily[WardCode],"BG")),"")</f>
        <v/>
      </c>
      <c r="C377" s="5" t="str">
        <f>IFERROR(IF(SUMIFS(tblDaily[Discharges],tblDaily[EntryDate],DATE(2026,10,20),tblDaily[WardCode],"BG")=0,"",SUMIFS(tblDaily[Discharges],tblDaily[EntryDate],DATE(2026,10,20),tblDaily[WardCode],"BG")),"")</f>
        <v/>
      </c>
      <c r="D377" s="5" t="str">
        <f>IFERROR(IF(SUMIFS(tblDaily[Deaths],tblDaily[EntryDate],DATE(2026,10,20),tblDaily[WardCode],"BG")=0,"",SUMIFS(tblDaily[Deaths],tblDaily[EntryDate],DATE(2026,10,20),tblDaily[WardCode],"BG")),"")</f>
        <v/>
      </c>
      <c r="E377" s="5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5" t="str">
        <f>IFERROR(IF(SUMIFS(tblDaily[TransfersIn],tblDaily[EntryDate],DATE(2026,10,20),tblDaily[WardCode],"BG")=0,"",SUMIFS(tblDaily[TransfersIn],tblDaily[EntryDate],DATE(2026,10,20),tblDaily[WardCode],"BG")),"")</f>
        <v/>
      </c>
      <c r="G377" s="5" t="str">
        <f>IFERROR(IF(SUMIFS(tblDaily[TransfersOut],tblDaily[EntryDate],DATE(2026,10,20),tblDaily[WardCode],"BG")=0,"",SUMIFS(tblDaily[TransfersOut],tblDaily[EntryDate],DATE(2026,10,20),tblDaily[WardCode],"BG")),"")</f>
        <v/>
      </c>
      <c r="H377" s="5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IFERROR(IF(SUMIFS(tblDaily[Admissions],tblDaily[EntryDate],DATE(2026,10,21),tblDaily[WardCode],"BG")=0,"",SUMIFS(tblDaily[Admissions],tblDaily[EntryDate],DATE(2026,10,21),tblDaily[WardCode],"BG")),"")</f>
        <v/>
      </c>
      <c r="C378" s="5" t="str">
        <f>IFERROR(IF(SUMIFS(tblDaily[Discharges],tblDaily[EntryDate],DATE(2026,10,21),tblDaily[WardCode],"BG")=0,"",SUMIFS(tblDaily[Discharges],tblDaily[EntryDate],DATE(2026,10,21),tblDaily[WardCode],"BG")),"")</f>
        <v/>
      </c>
      <c r="D378" s="5" t="str">
        <f>IFERROR(IF(SUMIFS(tblDaily[Deaths],tblDaily[EntryDate],DATE(2026,10,21),tblDaily[WardCode],"BG")=0,"",SUMIFS(tblDaily[Deaths],tblDaily[EntryDate],DATE(2026,10,21),tblDaily[WardCode],"BG")),"")</f>
        <v/>
      </c>
      <c r="E378" s="5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5" t="str">
        <f>IFERROR(IF(SUMIFS(tblDaily[TransfersIn],tblDaily[EntryDate],DATE(2026,10,21),tblDaily[WardCode],"BG")=0,"",SUMIFS(tblDaily[TransfersIn],tblDaily[EntryDate],DATE(2026,10,21),tblDaily[WardCode],"BG")),"")</f>
        <v/>
      </c>
      <c r="G378" s="5" t="str">
        <f>IFERROR(IF(SUMIFS(tblDaily[TransfersOut],tblDaily[EntryDate],DATE(2026,10,21),tblDaily[WardCode],"BG")=0,"",SUMIFS(tblDaily[TransfersOut],tblDaily[EntryDate],DATE(2026,10,21),tblDaily[WardCode],"BG")),"")</f>
        <v/>
      </c>
      <c r="H378" s="5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IFERROR(IF(SUMIFS(tblDaily[Admissions],tblDaily[EntryDate],DATE(2026,10,22),tblDaily[WardCode],"BG")=0,"",SUMIFS(tblDaily[Admissions],tblDaily[EntryDate],DATE(2026,10,22),tblDaily[WardCode],"BG")),"")</f>
        <v/>
      </c>
      <c r="C379" s="5" t="str">
        <f>IFERROR(IF(SUMIFS(tblDaily[Discharges],tblDaily[EntryDate],DATE(2026,10,22),tblDaily[WardCode],"BG")=0,"",SUMIFS(tblDaily[Discharges],tblDaily[EntryDate],DATE(2026,10,22),tblDaily[WardCode],"BG")),"")</f>
        <v/>
      </c>
      <c r="D379" s="5" t="str">
        <f>IFERROR(IF(SUMIFS(tblDaily[Deaths],tblDaily[EntryDate],DATE(2026,10,22),tblDaily[WardCode],"BG")=0,"",SUMIFS(tblDaily[Deaths],tblDaily[EntryDate],DATE(2026,10,22),tblDaily[WardCode],"BG")),"")</f>
        <v/>
      </c>
      <c r="E379" s="5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5" t="str">
        <f>IFERROR(IF(SUMIFS(tblDaily[TransfersIn],tblDaily[EntryDate],DATE(2026,10,22),tblDaily[WardCode],"BG")=0,"",SUMIFS(tblDaily[TransfersIn],tblDaily[EntryDate],DATE(2026,10,22),tblDaily[WardCode],"BG")),"")</f>
        <v/>
      </c>
      <c r="G379" s="5" t="str">
        <f>IFERROR(IF(SUMIFS(tblDaily[TransfersOut],tblDaily[EntryDate],DATE(2026,10,22),tblDaily[WardCode],"BG")=0,"",SUMIFS(tblDaily[TransfersOut],tblDaily[EntryDate],DATE(2026,10,22),tblDaily[WardCode],"BG")),"")</f>
        <v/>
      </c>
      <c r="H379" s="5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IFERROR(IF(SUMIFS(tblDaily[Admissions],tblDaily[EntryDate],DATE(2026,10,23),tblDaily[WardCode],"BG")=0,"",SUMIFS(tblDaily[Admissions],tblDaily[EntryDate],DATE(2026,10,23),tblDaily[WardCode],"BG")),"")</f>
        <v/>
      </c>
      <c r="C380" s="5" t="str">
        <f>IFERROR(IF(SUMIFS(tblDaily[Discharges],tblDaily[EntryDate],DATE(2026,10,23),tblDaily[WardCode],"BG")=0,"",SUMIFS(tblDaily[Discharges],tblDaily[EntryDate],DATE(2026,10,23),tblDaily[WardCode],"BG")),"")</f>
        <v/>
      </c>
      <c r="D380" s="5" t="str">
        <f>IFERROR(IF(SUMIFS(tblDaily[Deaths],tblDaily[EntryDate],DATE(2026,10,23),tblDaily[WardCode],"BG")=0,"",SUMIFS(tblDaily[Deaths],tblDaily[EntryDate],DATE(2026,10,23),tblDaily[WardCode],"BG")),"")</f>
        <v/>
      </c>
      <c r="E380" s="5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5" t="str">
        <f>IFERROR(IF(SUMIFS(tblDaily[TransfersIn],tblDaily[EntryDate],DATE(2026,10,23),tblDaily[WardCode],"BG")=0,"",SUMIFS(tblDaily[TransfersIn],tblDaily[EntryDate],DATE(2026,10,23),tblDaily[WardCode],"BG")),"")</f>
        <v/>
      </c>
      <c r="G380" s="5" t="str">
        <f>IFERROR(IF(SUMIFS(tblDaily[TransfersOut],tblDaily[EntryDate],DATE(2026,10,23),tblDaily[WardCode],"BG")=0,"",SUMIFS(tblDaily[TransfersOut],tblDaily[EntryDate],DATE(2026,10,23),tblDaily[WardCode],"BG")),"")</f>
        <v/>
      </c>
      <c r="H380" s="5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IFERROR(IF(SUMIFS(tblDaily[Admissions],tblDaily[EntryDate],DATE(2026,10,24),tblDaily[WardCode],"BG")=0,"",SUMIFS(tblDaily[Admissions],tblDaily[EntryDate],DATE(2026,10,24),tblDaily[WardCode],"BG")),"")</f>
        <v/>
      </c>
      <c r="C381" s="5" t="str">
        <f>IFERROR(IF(SUMIFS(tblDaily[Discharges],tblDaily[EntryDate],DATE(2026,10,24),tblDaily[WardCode],"BG")=0,"",SUMIFS(tblDaily[Discharges],tblDaily[EntryDate],DATE(2026,10,24),tblDaily[WardCode],"BG")),"")</f>
        <v/>
      </c>
      <c r="D381" s="5" t="str">
        <f>IFERROR(IF(SUMIFS(tblDaily[Deaths],tblDaily[EntryDate],DATE(2026,10,24),tblDaily[WardCode],"BG")=0,"",SUMIFS(tblDaily[Deaths],tblDaily[EntryDate],DATE(2026,10,24),tblDaily[WardCode],"BG")),"")</f>
        <v/>
      </c>
      <c r="E381" s="5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5" t="str">
        <f>IFERROR(IF(SUMIFS(tblDaily[TransfersIn],tblDaily[EntryDate],DATE(2026,10,24),tblDaily[WardCode],"BG")=0,"",SUMIFS(tblDaily[TransfersIn],tblDaily[EntryDate],DATE(2026,10,24),tblDaily[WardCode],"BG")),"")</f>
        <v/>
      </c>
      <c r="G381" s="5" t="str">
        <f>IFERROR(IF(SUMIFS(tblDaily[TransfersOut],tblDaily[EntryDate],DATE(2026,10,24),tblDaily[WardCode],"BG")=0,"",SUMIFS(tblDaily[TransfersOut],tblDaily[EntryDate],DATE(2026,10,24),tblDaily[WardCode],"BG")),"")</f>
        <v/>
      </c>
      <c r="H381" s="5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IFERROR(IF(SUMIFS(tblDaily[Admissions],tblDaily[EntryDate],DATE(2026,10,25),tblDaily[WardCode],"BG")=0,"",SUMIFS(tblDaily[Admissions],tblDaily[EntryDate],DATE(2026,10,25),tblDaily[WardCode],"BG")),"")</f>
        <v/>
      </c>
      <c r="C382" s="5" t="str">
        <f>IFERROR(IF(SUMIFS(tblDaily[Discharges],tblDaily[EntryDate],DATE(2026,10,25),tblDaily[WardCode],"BG")=0,"",SUMIFS(tblDaily[Discharges],tblDaily[EntryDate],DATE(2026,10,25),tblDaily[WardCode],"BG")),"")</f>
        <v/>
      </c>
      <c r="D382" s="5" t="str">
        <f>IFERROR(IF(SUMIFS(tblDaily[Deaths],tblDaily[EntryDate],DATE(2026,10,25),tblDaily[WardCode],"BG")=0,"",SUMIFS(tblDaily[Deaths],tblDaily[EntryDate],DATE(2026,10,25),tblDaily[WardCode],"BG")),"")</f>
        <v/>
      </c>
      <c r="E382" s="5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5" t="str">
        <f>IFERROR(IF(SUMIFS(tblDaily[TransfersIn],tblDaily[EntryDate],DATE(2026,10,25),tblDaily[WardCode],"BG")=0,"",SUMIFS(tblDaily[TransfersIn],tblDaily[EntryDate],DATE(2026,10,25),tblDaily[WardCode],"BG")),"")</f>
        <v/>
      </c>
      <c r="G382" s="5" t="str">
        <f>IFERROR(IF(SUMIFS(tblDaily[TransfersOut],tblDaily[EntryDate],DATE(2026,10,25),tblDaily[WardCode],"BG")=0,"",SUMIFS(tblDaily[TransfersOut],tblDaily[EntryDate],DATE(2026,10,25),tblDaily[WardCode],"BG")),"")</f>
        <v/>
      </c>
      <c r="H382" s="5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IFERROR(IF(SUMIFS(tblDaily[Admissions],tblDaily[EntryDate],DATE(2026,10,26),tblDaily[WardCode],"BG")=0,"",SUMIFS(tblDaily[Admissions],tblDaily[EntryDate],DATE(2026,10,26),tblDaily[WardCode],"BG")),"")</f>
        <v/>
      </c>
      <c r="C383" s="5" t="str">
        <f>IFERROR(IF(SUMIFS(tblDaily[Discharges],tblDaily[EntryDate],DATE(2026,10,26),tblDaily[WardCode],"BG")=0,"",SUMIFS(tblDaily[Discharges],tblDaily[EntryDate],DATE(2026,10,26),tblDaily[WardCode],"BG")),"")</f>
        <v/>
      </c>
      <c r="D383" s="5" t="str">
        <f>IFERROR(IF(SUMIFS(tblDaily[Deaths],tblDaily[EntryDate],DATE(2026,10,26),tblDaily[WardCode],"BG")=0,"",SUMIFS(tblDaily[Deaths],tblDaily[EntryDate],DATE(2026,10,26),tblDaily[WardCode],"BG")),"")</f>
        <v/>
      </c>
      <c r="E383" s="5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5" t="str">
        <f>IFERROR(IF(SUMIFS(tblDaily[TransfersIn],tblDaily[EntryDate],DATE(2026,10,26),tblDaily[WardCode],"BG")=0,"",SUMIFS(tblDaily[TransfersIn],tblDaily[EntryDate],DATE(2026,10,26),tblDaily[WardCode],"BG")),"")</f>
        <v/>
      </c>
      <c r="G383" s="5" t="str">
        <f>IFERROR(IF(SUMIFS(tblDaily[TransfersOut],tblDaily[EntryDate],DATE(2026,10,26),tblDaily[WardCode],"BG")=0,"",SUMIFS(tblDaily[TransfersOut],tblDaily[EntryDate],DATE(2026,10,26),tblDaily[WardCode],"BG")),"")</f>
        <v/>
      </c>
      <c r="H383" s="5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IFERROR(IF(SUMIFS(tblDaily[Admissions],tblDaily[EntryDate],DATE(2026,10,27),tblDaily[WardCode],"BG")=0,"",SUMIFS(tblDaily[Admissions],tblDaily[EntryDate],DATE(2026,10,27),tblDaily[WardCode],"BG")),"")</f>
        <v/>
      </c>
      <c r="C384" s="5" t="str">
        <f>IFERROR(IF(SUMIFS(tblDaily[Discharges],tblDaily[EntryDate],DATE(2026,10,27),tblDaily[WardCode],"BG")=0,"",SUMIFS(tblDaily[Discharges],tblDaily[EntryDate],DATE(2026,10,27),tblDaily[WardCode],"BG")),"")</f>
        <v/>
      </c>
      <c r="D384" s="5" t="str">
        <f>IFERROR(IF(SUMIFS(tblDaily[Deaths],tblDaily[EntryDate],DATE(2026,10,27),tblDaily[WardCode],"BG")=0,"",SUMIFS(tblDaily[Deaths],tblDaily[EntryDate],DATE(2026,10,27),tblDaily[WardCode],"BG")),"")</f>
        <v/>
      </c>
      <c r="E384" s="5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5" t="str">
        <f>IFERROR(IF(SUMIFS(tblDaily[TransfersIn],tblDaily[EntryDate],DATE(2026,10,27),tblDaily[WardCode],"BG")=0,"",SUMIFS(tblDaily[TransfersIn],tblDaily[EntryDate],DATE(2026,10,27),tblDaily[WardCode],"BG")),"")</f>
        <v/>
      </c>
      <c r="G384" s="5" t="str">
        <f>IFERROR(IF(SUMIFS(tblDaily[TransfersOut],tblDaily[EntryDate],DATE(2026,10,27),tblDaily[WardCode],"BG")=0,"",SUMIFS(tblDaily[TransfersOut],tblDaily[EntryDate],DATE(2026,10,27),tblDaily[WardCode],"BG")),"")</f>
        <v/>
      </c>
      <c r="H384" s="5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IFERROR(IF(SUMIFS(tblDaily[Admissions],tblDaily[EntryDate],DATE(2026,10,28),tblDaily[WardCode],"BG")=0,"",SUMIFS(tblDaily[Admissions],tblDaily[EntryDate],DATE(2026,10,28),tblDaily[WardCode],"BG")),"")</f>
        <v/>
      </c>
      <c r="C385" s="5" t="str">
        <f>IFERROR(IF(SUMIFS(tblDaily[Discharges],tblDaily[EntryDate],DATE(2026,10,28),tblDaily[WardCode],"BG")=0,"",SUMIFS(tblDaily[Discharges],tblDaily[EntryDate],DATE(2026,10,28),tblDaily[WardCode],"BG")),"")</f>
        <v/>
      </c>
      <c r="D385" s="5" t="str">
        <f>IFERROR(IF(SUMIFS(tblDaily[Deaths],tblDaily[EntryDate],DATE(2026,10,28),tblDaily[WardCode],"BG")=0,"",SUMIFS(tblDaily[Deaths],tblDaily[EntryDate],DATE(2026,10,28),tblDaily[WardCode],"BG")),"")</f>
        <v/>
      </c>
      <c r="E385" s="5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5" t="str">
        <f>IFERROR(IF(SUMIFS(tblDaily[TransfersIn],tblDaily[EntryDate],DATE(2026,10,28),tblDaily[WardCode],"BG")=0,"",SUMIFS(tblDaily[TransfersIn],tblDaily[EntryDate],DATE(2026,10,28),tblDaily[WardCode],"BG")),"")</f>
        <v/>
      </c>
      <c r="G385" s="5" t="str">
        <f>IFERROR(IF(SUMIFS(tblDaily[TransfersOut],tblDaily[EntryDate],DATE(2026,10,28),tblDaily[WardCode],"BG")=0,"",SUMIFS(tblDaily[TransfersOut],tblDaily[EntryDate],DATE(2026,10,28),tblDaily[WardCode],"BG")),"")</f>
        <v/>
      </c>
      <c r="H385" s="5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IFERROR(IF(SUMIFS(tblDaily[Admissions],tblDaily[EntryDate],DATE(2026,10,29),tblDaily[WardCode],"BG")=0,"",SUMIFS(tblDaily[Admissions],tblDaily[EntryDate],DATE(2026,10,29),tblDaily[WardCode],"BG")),"")</f>
        <v/>
      </c>
      <c r="C386" s="5" t="str">
        <f>IFERROR(IF(SUMIFS(tblDaily[Discharges],tblDaily[EntryDate],DATE(2026,10,29),tblDaily[WardCode],"BG")=0,"",SUMIFS(tblDaily[Discharges],tblDaily[EntryDate],DATE(2026,10,29),tblDaily[WardCode],"BG")),"")</f>
        <v/>
      </c>
      <c r="D386" s="5" t="str">
        <f>IFERROR(IF(SUMIFS(tblDaily[Deaths],tblDaily[EntryDate],DATE(2026,10,29),tblDaily[WardCode],"BG")=0,"",SUMIFS(tblDaily[Deaths],tblDaily[EntryDate],DATE(2026,10,29),tblDaily[WardCode],"BG")),"")</f>
        <v/>
      </c>
      <c r="E386" s="5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5" t="str">
        <f>IFERROR(IF(SUMIFS(tblDaily[TransfersIn],tblDaily[EntryDate],DATE(2026,10,29),tblDaily[WardCode],"BG")=0,"",SUMIFS(tblDaily[TransfersIn],tblDaily[EntryDate],DATE(2026,10,29),tblDaily[WardCode],"BG")),"")</f>
        <v/>
      </c>
      <c r="G386" s="5" t="str">
        <f>IFERROR(IF(SUMIFS(tblDaily[TransfersOut],tblDaily[EntryDate],DATE(2026,10,29),tblDaily[WardCode],"BG")=0,"",SUMIFS(tblDaily[TransfersOut],tblDaily[EntryDate],DATE(2026,10,29),tblDaily[WardCode],"BG")),"")</f>
        <v/>
      </c>
      <c r="H386" s="5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IFERROR(IF(SUMIFS(tblDaily[Admissions],tblDaily[EntryDate],DATE(2026,10,30),tblDaily[WardCode],"BG")=0,"",SUMIFS(tblDaily[Admissions],tblDaily[EntryDate],DATE(2026,10,30),tblDaily[WardCode],"BG")),"")</f>
        <v/>
      </c>
      <c r="C387" s="5" t="str">
        <f>IFERROR(IF(SUMIFS(tblDaily[Discharges],tblDaily[EntryDate],DATE(2026,10,30),tblDaily[WardCode],"BG")=0,"",SUMIFS(tblDaily[Discharges],tblDaily[EntryDate],DATE(2026,10,30),tblDaily[WardCode],"BG")),"")</f>
        <v/>
      </c>
      <c r="D387" s="5" t="str">
        <f>IFERROR(IF(SUMIFS(tblDaily[Deaths],tblDaily[EntryDate],DATE(2026,10,30),tblDaily[WardCode],"BG")=0,"",SUMIFS(tblDaily[Deaths],tblDaily[EntryDate],DATE(2026,10,30),tblDaily[WardCode],"BG")),"")</f>
        <v/>
      </c>
      <c r="E387" s="5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5" t="str">
        <f>IFERROR(IF(SUMIFS(tblDaily[TransfersIn],tblDaily[EntryDate],DATE(2026,10,30),tblDaily[WardCode],"BG")=0,"",SUMIFS(tblDaily[TransfersIn],tblDaily[EntryDate],DATE(2026,10,30),tblDaily[WardCode],"BG")),"")</f>
        <v/>
      </c>
      <c r="G387" s="5" t="str">
        <f>IFERROR(IF(SUMIFS(tblDaily[TransfersOut],tblDaily[EntryDate],DATE(2026,10,30),tblDaily[WardCode],"BG")=0,"",SUMIFS(tblDaily[TransfersOut],tblDaily[EntryDate],DATE(2026,10,30),tblDaily[WardCode],"BG")),"")</f>
        <v/>
      </c>
      <c r="H387" s="5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IFERROR(IF(SUMIFS(tblDaily[Admissions],tblDaily[EntryDate],DATE(2026,10,31),tblDaily[WardCode],"BG")=0,"",SUMIFS(tblDaily[Admissions],tblDaily[EntryDate],DATE(2026,10,31),tblDaily[WardCode],"BG")),"")</f>
        <v/>
      </c>
      <c r="C388" s="5" t="str">
        <f>IFERROR(IF(SUMIFS(tblDaily[Discharges],tblDaily[EntryDate],DATE(2026,10,31),tblDaily[WardCode],"BG")=0,"",SUMIFS(tblDaily[Discharges],tblDaily[EntryDate],DATE(2026,10,31),tblDaily[WardCode],"BG")),"")</f>
        <v/>
      </c>
      <c r="D388" s="5" t="str">
        <f>IFERROR(IF(SUMIFS(tblDaily[Deaths],tblDaily[EntryDate],DATE(2026,10,31),tblDaily[WardCode],"BG")=0,"",SUMIFS(tblDaily[Deaths],tblDaily[EntryDate],DATE(2026,10,31),tblDaily[WardCode],"BG")),"")</f>
        <v/>
      </c>
      <c r="E388" s="5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5" t="str">
        <f>IFERROR(IF(SUMIFS(tblDaily[TransfersIn],tblDaily[EntryDate],DATE(2026,10,31),tblDaily[WardCode],"BG")=0,"",SUMIFS(tblDaily[TransfersIn],tblDaily[EntryDate],DATE(2026,10,31),tblDaily[WardCode],"BG")),"")</f>
        <v/>
      </c>
      <c r="G388" s="5" t="str">
        <f>IFERROR(IF(SUMIFS(tblDaily[TransfersOut],tblDaily[EntryDate],DATE(2026,10,31),tblDaily[WardCode],"BG")=0,"",SUMIFS(tblDaily[TransfersOut],tblDaily[EntryDate],DATE(2026,10,31),tblDaily[WardCode],"BG")),"")</f>
        <v/>
      </c>
      <c r="H388" s="5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95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99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89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IFERROR(IF(SUMIFS(tblDaily[Admissions],tblDaily[EntryDate],DATE(2026,11,1),tblDaily[WardCode],"BG")=0,"",SUMIFS(tblDaily[Admissions],tblDaily[EntryDate],DATE(2026,11,1),tblDaily[WardCode],"BG")),"")</f>
        <v/>
      </c>
      <c r="C397" s="5" t="str">
        <f>IFERROR(IF(SUMIFS(tblDaily[Discharges],tblDaily[EntryDate],DATE(2026,11,1),tblDaily[WardCode],"BG")=0,"",SUMIFS(tblDaily[Discharges],tblDaily[EntryDate],DATE(2026,11,1),tblDaily[WardCode],"BG")),"")</f>
        <v/>
      </c>
      <c r="D397" s="5" t="str">
        <f>IFERROR(IF(SUMIFS(tblDaily[Deaths],tblDaily[EntryDate],DATE(2026,11,1),tblDaily[WardCode],"BG")=0,"",SUMIFS(tblDaily[Deaths],tblDaily[EntryDate],DATE(2026,11,1),tblDaily[WardCode],"BG")),"")</f>
        <v/>
      </c>
      <c r="E397" s="5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5" t="str">
        <f>IFERROR(IF(SUMIFS(tblDaily[TransfersIn],tblDaily[EntryDate],DATE(2026,11,1),tblDaily[WardCode],"BG")=0,"",SUMIFS(tblDaily[TransfersIn],tblDaily[EntryDate],DATE(2026,11,1),tblDaily[WardCode],"BG")),"")</f>
        <v/>
      </c>
      <c r="G397" s="5" t="str">
        <f>IFERROR(IF(SUMIFS(tblDaily[TransfersOut],tblDaily[EntryDate],DATE(2026,11,1),tblDaily[WardCode],"BG")=0,"",SUMIFS(tblDaily[TransfersOut],tblDaily[EntryDate],DATE(2026,11,1),tblDaily[WardCode],"BG")),"")</f>
        <v/>
      </c>
      <c r="H397" s="5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IFERROR(IF(SUMIFS(tblDaily[Admissions],tblDaily[EntryDate],DATE(2026,11,2),tblDaily[WardCode],"BG")=0,"",SUMIFS(tblDaily[Admissions],tblDaily[EntryDate],DATE(2026,11,2),tblDaily[WardCode],"BG")),"")</f>
        <v/>
      </c>
      <c r="C398" s="5" t="str">
        <f>IFERROR(IF(SUMIFS(tblDaily[Discharges],tblDaily[EntryDate],DATE(2026,11,2),tblDaily[WardCode],"BG")=0,"",SUMIFS(tblDaily[Discharges],tblDaily[EntryDate],DATE(2026,11,2),tblDaily[WardCode],"BG")),"")</f>
        <v/>
      </c>
      <c r="D398" s="5" t="str">
        <f>IFERROR(IF(SUMIFS(tblDaily[Deaths],tblDaily[EntryDate],DATE(2026,11,2),tblDaily[WardCode],"BG")=0,"",SUMIFS(tblDaily[Deaths],tblDaily[EntryDate],DATE(2026,11,2),tblDaily[WardCode],"BG")),"")</f>
        <v/>
      </c>
      <c r="E398" s="5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5" t="str">
        <f>IFERROR(IF(SUMIFS(tblDaily[TransfersIn],tblDaily[EntryDate],DATE(2026,11,2),tblDaily[WardCode],"BG")=0,"",SUMIFS(tblDaily[TransfersIn],tblDaily[EntryDate],DATE(2026,11,2),tblDaily[WardCode],"BG")),"")</f>
        <v/>
      </c>
      <c r="G398" s="5" t="str">
        <f>IFERROR(IF(SUMIFS(tblDaily[TransfersOut],tblDaily[EntryDate],DATE(2026,11,2),tblDaily[WardCode],"BG")=0,"",SUMIFS(tblDaily[TransfersOut],tblDaily[EntryDate],DATE(2026,11,2),tblDaily[WardCode],"BG")),"")</f>
        <v/>
      </c>
      <c r="H398" s="5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IFERROR(IF(SUMIFS(tblDaily[Admissions],tblDaily[EntryDate],DATE(2026,11,3),tblDaily[WardCode],"BG")=0,"",SUMIFS(tblDaily[Admissions],tblDaily[EntryDate],DATE(2026,11,3),tblDaily[WardCode],"BG")),"")</f>
        <v/>
      </c>
      <c r="C399" s="5" t="str">
        <f>IFERROR(IF(SUMIFS(tblDaily[Discharges],tblDaily[EntryDate],DATE(2026,11,3),tblDaily[WardCode],"BG")=0,"",SUMIFS(tblDaily[Discharges],tblDaily[EntryDate],DATE(2026,11,3),tblDaily[WardCode],"BG")),"")</f>
        <v/>
      </c>
      <c r="D399" s="5" t="str">
        <f>IFERROR(IF(SUMIFS(tblDaily[Deaths],tblDaily[EntryDate],DATE(2026,11,3),tblDaily[WardCode],"BG")=0,"",SUMIFS(tblDaily[Deaths],tblDaily[EntryDate],DATE(2026,11,3),tblDaily[WardCode],"BG")),"")</f>
        <v/>
      </c>
      <c r="E399" s="5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5" t="str">
        <f>IFERROR(IF(SUMIFS(tblDaily[TransfersIn],tblDaily[EntryDate],DATE(2026,11,3),tblDaily[WardCode],"BG")=0,"",SUMIFS(tblDaily[TransfersIn],tblDaily[EntryDate],DATE(2026,11,3),tblDaily[WardCode],"BG")),"")</f>
        <v/>
      </c>
      <c r="G399" s="5" t="str">
        <f>IFERROR(IF(SUMIFS(tblDaily[TransfersOut],tblDaily[EntryDate],DATE(2026,11,3),tblDaily[WardCode],"BG")=0,"",SUMIFS(tblDaily[TransfersOut],tblDaily[EntryDate],DATE(2026,11,3),tblDaily[WardCode],"BG")),"")</f>
        <v/>
      </c>
      <c r="H399" s="5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IFERROR(IF(SUMIFS(tblDaily[Admissions],tblDaily[EntryDate],DATE(2026,11,4),tblDaily[WardCode],"BG")=0,"",SUMIFS(tblDaily[Admissions],tblDaily[EntryDate],DATE(2026,11,4),tblDaily[WardCode],"BG")),"")</f>
        <v/>
      </c>
      <c r="C400" s="5" t="str">
        <f>IFERROR(IF(SUMIFS(tblDaily[Discharges],tblDaily[EntryDate],DATE(2026,11,4),tblDaily[WardCode],"BG")=0,"",SUMIFS(tblDaily[Discharges],tblDaily[EntryDate],DATE(2026,11,4),tblDaily[WardCode],"BG")),"")</f>
        <v/>
      </c>
      <c r="D400" s="5" t="str">
        <f>IFERROR(IF(SUMIFS(tblDaily[Deaths],tblDaily[EntryDate],DATE(2026,11,4),tblDaily[WardCode],"BG")=0,"",SUMIFS(tblDaily[Deaths],tblDaily[EntryDate],DATE(2026,11,4),tblDaily[WardCode],"BG")),"")</f>
        <v/>
      </c>
      <c r="E400" s="5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5" t="str">
        <f>IFERROR(IF(SUMIFS(tblDaily[TransfersIn],tblDaily[EntryDate],DATE(2026,11,4),tblDaily[WardCode],"BG")=0,"",SUMIFS(tblDaily[TransfersIn],tblDaily[EntryDate],DATE(2026,11,4),tblDaily[WardCode],"BG")),"")</f>
        <v/>
      </c>
      <c r="G400" s="5" t="str">
        <f>IFERROR(IF(SUMIFS(tblDaily[TransfersOut],tblDaily[EntryDate],DATE(2026,11,4),tblDaily[WardCode],"BG")=0,"",SUMIFS(tblDaily[TransfersOut],tblDaily[EntryDate],DATE(2026,11,4),tblDaily[WardCode],"BG")),"")</f>
        <v/>
      </c>
      <c r="H400" s="5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IFERROR(IF(SUMIFS(tblDaily[Admissions],tblDaily[EntryDate],DATE(2026,11,5),tblDaily[WardCode],"BG")=0,"",SUMIFS(tblDaily[Admissions],tblDaily[EntryDate],DATE(2026,11,5),tblDaily[WardCode],"BG")),"")</f>
        <v/>
      </c>
      <c r="C401" s="5" t="str">
        <f>IFERROR(IF(SUMIFS(tblDaily[Discharges],tblDaily[EntryDate],DATE(2026,11,5),tblDaily[WardCode],"BG")=0,"",SUMIFS(tblDaily[Discharges],tblDaily[EntryDate],DATE(2026,11,5),tblDaily[WardCode],"BG")),"")</f>
        <v/>
      </c>
      <c r="D401" s="5" t="str">
        <f>IFERROR(IF(SUMIFS(tblDaily[Deaths],tblDaily[EntryDate],DATE(2026,11,5),tblDaily[WardCode],"BG")=0,"",SUMIFS(tblDaily[Deaths],tblDaily[EntryDate],DATE(2026,11,5),tblDaily[WardCode],"BG")),"")</f>
        <v/>
      </c>
      <c r="E401" s="5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5" t="str">
        <f>IFERROR(IF(SUMIFS(tblDaily[TransfersIn],tblDaily[EntryDate],DATE(2026,11,5),tblDaily[WardCode],"BG")=0,"",SUMIFS(tblDaily[TransfersIn],tblDaily[EntryDate],DATE(2026,11,5),tblDaily[WardCode],"BG")),"")</f>
        <v/>
      </c>
      <c r="G401" s="5" t="str">
        <f>IFERROR(IF(SUMIFS(tblDaily[TransfersOut],tblDaily[EntryDate],DATE(2026,11,5),tblDaily[WardCode],"BG")=0,"",SUMIFS(tblDaily[TransfersOut],tblDaily[EntryDate],DATE(2026,11,5),tblDaily[WardCode],"BG")),"")</f>
        <v/>
      </c>
      <c r="H401" s="5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IFERROR(IF(SUMIFS(tblDaily[Admissions],tblDaily[EntryDate],DATE(2026,11,6),tblDaily[WardCode],"BG")=0,"",SUMIFS(tblDaily[Admissions],tblDaily[EntryDate],DATE(2026,11,6),tblDaily[WardCode],"BG")),"")</f>
        <v/>
      </c>
      <c r="C402" s="5" t="str">
        <f>IFERROR(IF(SUMIFS(tblDaily[Discharges],tblDaily[EntryDate],DATE(2026,11,6),tblDaily[WardCode],"BG")=0,"",SUMIFS(tblDaily[Discharges],tblDaily[EntryDate],DATE(2026,11,6),tblDaily[WardCode],"BG")),"")</f>
        <v/>
      </c>
      <c r="D402" s="5" t="str">
        <f>IFERROR(IF(SUMIFS(tblDaily[Deaths],tblDaily[EntryDate],DATE(2026,11,6),tblDaily[WardCode],"BG")=0,"",SUMIFS(tblDaily[Deaths],tblDaily[EntryDate],DATE(2026,11,6),tblDaily[WardCode],"BG")),"")</f>
        <v/>
      </c>
      <c r="E402" s="5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5" t="str">
        <f>IFERROR(IF(SUMIFS(tblDaily[TransfersIn],tblDaily[EntryDate],DATE(2026,11,6),tblDaily[WardCode],"BG")=0,"",SUMIFS(tblDaily[TransfersIn],tblDaily[EntryDate],DATE(2026,11,6),tblDaily[WardCode],"BG")),"")</f>
        <v/>
      </c>
      <c r="G402" s="5" t="str">
        <f>IFERROR(IF(SUMIFS(tblDaily[TransfersOut],tblDaily[EntryDate],DATE(2026,11,6),tblDaily[WardCode],"BG")=0,"",SUMIFS(tblDaily[TransfersOut],tblDaily[EntryDate],DATE(2026,11,6),tblDaily[WardCode],"BG")),"")</f>
        <v/>
      </c>
      <c r="H402" s="5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IFERROR(IF(SUMIFS(tblDaily[Admissions],tblDaily[EntryDate],DATE(2026,11,7),tblDaily[WardCode],"BG")=0,"",SUMIFS(tblDaily[Admissions],tblDaily[EntryDate],DATE(2026,11,7),tblDaily[WardCode],"BG")),"")</f>
        <v/>
      </c>
      <c r="C403" s="5" t="str">
        <f>IFERROR(IF(SUMIFS(tblDaily[Discharges],tblDaily[EntryDate],DATE(2026,11,7),tblDaily[WardCode],"BG")=0,"",SUMIFS(tblDaily[Discharges],tblDaily[EntryDate],DATE(2026,11,7),tblDaily[WardCode],"BG")),"")</f>
        <v/>
      </c>
      <c r="D403" s="5" t="str">
        <f>IFERROR(IF(SUMIFS(tblDaily[Deaths],tblDaily[EntryDate],DATE(2026,11,7),tblDaily[WardCode],"BG")=0,"",SUMIFS(tblDaily[Deaths],tblDaily[EntryDate],DATE(2026,11,7),tblDaily[WardCode],"BG")),"")</f>
        <v/>
      </c>
      <c r="E403" s="5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5" t="str">
        <f>IFERROR(IF(SUMIFS(tblDaily[TransfersIn],tblDaily[EntryDate],DATE(2026,11,7),tblDaily[WardCode],"BG")=0,"",SUMIFS(tblDaily[TransfersIn],tblDaily[EntryDate],DATE(2026,11,7),tblDaily[WardCode],"BG")),"")</f>
        <v/>
      </c>
      <c r="G403" s="5" t="str">
        <f>IFERROR(IF(SUMIFS(tblDaily[TransfersOut],tblDaily[EntryDate],DATE(2026,11,7),tblDaily[WardCode],"BG")=0,"",SUMIFS(tblDaily[TransfersOut],tblDaily[EntryDate],DATE(2026,11,7),tblDaily[WardCode],"BG")),"")</f>
        <v/>
      </c>
      <c r="H403" s="5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IFERROR(IF(SUMIFS(tblDaily[Admissions],tblDaily[EntryDate],DATE(2026,11,8),tblDaily[WardCode],"BG")=0,"",SUMIFS(tblDaily[Admissions],tblDaily[EntryDate],DATE(2026,11,8),tblDaily[WardCode],"BG")),"")</f>
        <v/>
      </c>
      <c r="C404" s="5" t="str">
        <f>IFERROR(IF(SUMIFS(tblDaily[Discharges],tblDaily[EntryDate],DATE(2026,11,8),tblDaily[WardCode],"BG")=0,"",SUMIFS(tblDaily[Discharges],tblDaily[EntryDate],DATE(2026,11,8),tblDaily[WardCode],"BG")),"")</f>
        <v/>
      </c>
      <c r="D404" s="5" t="str">
        <f>IFERROR(IF(SUMIFS(tblDaily[Deaths],tblDaily[EntryDate],DATE(2026,11,8),tblDaily[WardCode],"BG")=0,"",SUMIFS(tblDaily[Deaths],tblDaily[EntryDate],DATE(2026,11,8),tblDaily[WardCode],"BG")),"")</f>
        <v/>
      </c>
      <c r="E404" s="5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5" t="str">
        <f>IFERROR(IF(SUMIFS(tblDaily[TransfersIn],tblDaily[EntryDate],DATE(2026,11,8),tblDaily[WardCode],"BG")=0,"",SUMIFS(tblDaily[TransfersIn],tblDaily[EntryDate],DATE(2026,11,8),tblDaily[WardCode],"BG")),"")</f>
        <v/>
      </c>
      <c r="G404" s="5" t="str">
        <f>IFERROR(IF(SUMIFS(tblDaily[TransfersOut],tblDaily[EntryDate],DATE(2026,11,8),tblDaily[WardCode],"BG")=0,"",SUMIFS(tblDaily[TransfersOut],tblDaily[EntryDate],DATE(2026,11,8),tblDaily[WardCode],"BG")),"")</f>
        <v/>
      </c>
      <c r="H404" s="5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IFERROR(IF(SUMIFS(tblDaily[Admissions],tblDaily[EntryDate],DATE(2026,11,9),tblDaily[WardCode],"BG")=0,"",SUMIFS(tblDaily[Admissions],tblDaily[EntryDate],DATE(2026,11,9),tblDaily[WardCode],"BG")),"")</f>
        <v/>
      </c>
      <c r="C405" s="5" t="str">
        <f>IFERROR(IF(SUMIFS(tblDaily[Discharges],tblDaily[EntryDate],DATE(2026,11,9),tblDaily[WardCode],"BG")=0,"",SUMIFS(tblDaily[Discharges],tblDaily[EntryDate],DATE(2026,11,9),tblDaily[WardCode],"BG")),"")</f>
        <v/>
      </c>
      <c r="D405" s="5" t="str">
        <f>IFERROR(IF(SUMIFS(tblDaily[Deaths],tblDaily[EntryDate],DATE(2026,11,9),tblDaily[WardCode],"BG")=0,"",SUMIFS(tblDaily[Deaths],tblDaily[EntryDate],DATE(2026,11,9),tblDaily[WardCode],"BG")),"")</f>
        <v/>
      </c>
      <c r="E405" s="5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5" t="str">
        <f>IFERROR(IF(SUMIFS(tblDaily[TransfersIn],tblDaily[EntryDate],DATE(2026,11,9),tblDaily[WardCode],"BG")=0,"",SUMIFS(tblDaily[TransfersIn],tblDaily[EntryDate],DATE(2026,11,9),tblDaily[WardCode],"BG")),"")</f>
        <v/>
      </c>
      <c r="G405" s="5" t="str">
        <f>IFERROR(IF(SUMIFS(tblDaily[TransfersOut],tblDaily[EntryDate],DATE(2026,11,9),tblDaily[WardCode],"BG")=0,"",SUMIFS(tblDaily[TransfersOut],tblDaily[EntryDate],DATE(2026,11,9),tblDaily[WardCode],"BG")),"")</f>
        <v/>
      </c>
      <c r="H405" s="5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IFERROR(IF(SUMIFS(tblDaily[Admissions],tblDaily[EntryDate],DATE(2026,11,10),tblDaily[WardCode],"BG")=0,"",SUMIFS(tblDaily[Admissions],tblDaily[EntryDate],DATE(2026,11,10),tblDaily[WardCode],"BG")),"")</f>
        <v/>
      </c>
      <c r="C406" s="5" t="str">
        <f>IFERROR(IF(SUMIFS(tblDaily[Discharges],tblDaily[EntryDate],DATE(2026,11,10),tblDaily[WardCode],"BG")=0,"",SUMIFS(tblDaily[Discharges],tblDaily[EntryDate],DATE(2026,11,10),tblDaily[WardCode],"BG")),"")</f>
        <v/>
      </c>
      <c r="D406" s="5" t="str">
        <f>IFERROR(IF(SUMIFS(tblDaily[Deaths],tblDaily[EntryDate],DATE(2026,11,10),tblDaily[WardCode],"BG")=0,"",SUMIFS(tblDaily[Deaths],tblDaily[EntryDate],DATE(2026,11,10),tblDaily[WardCode],"BG")),"")</f>
        <v/>
      </c>
      <c r="E406" s="5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5" t="str">
        <f>IFERROR(IF(SUMIFS(tblDaily[TransfersIn],tblDaily[EntryDate],DATE(2026,11,10),tblDaily[WardCode],"BG")=0,"",SUMIFS(tblDaily[TransfersIn],tblDaily[EntryDate],DATE(2026,11,10),tblDaily[WardCode],"BG")),"")</f>
        <v/>
      </c>
      <c r="G406" s="5" t="str">
        <f>IFERROR(IF(SUMIFS(tblDaily[TransfersOut],tblDaily[EntryDate],DATE(2026,11,10),tblDaily[WardCode],"BG")=0,"",SUMIFS(tblDaily[TransfersOut],tblDaily[EntryDate],DATE(2026,11,10),tblDaily[WardCode],"BG")),"")</f>
        <v/>
      </c>
      <c r="H406" s="5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IFERROR(IF(SUMIFS(tblDaily[Admissions],tblDaily[EntryDate],DATE(2026,11,11),tblDaily[WardCode],"BG")=0,"",SUMIFS(tblDaily[Admissions],tblDaily[EntryDate],DATE(2026,11,11),tblDaily[WardCode],"BG")),"")</f>
        <v/>
      </c>
      <c r="C407" s="5" t="str">
        <f>IFERROR(IF(SUMIFS(tblDaily[Discharges],tblDaily[EntryDate],DATE(2026,11,11),tblDaily[WardCode],"BG")=0,"",SUMIFS(tblDaily[Discharges],tblDaily[EntryDate],DATE(2026,11,11),tblDaily[WardCode],"BG")),"")</f>
        <v/>
      </c>
      <c r="D407" s="5" t="str">
        <f>IFERROR(IF(SUMIFS(tblDaily[Deaths],tblDaily[EntryDate],DATE(2026,11,11),tblDaily[WardCode],"BG")=0,"",SUMIFS(tblDaily[Deaths],tblDaily[EntryDate],DATE(2026,11,11),tblDaily[WardCode],"BG")),"")</f>
        <v/>
      </c>
      <c r="E407" s="5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5" t="str">
        <f>IFERROR(IF(SUMIFS(tblDaily[TransfersIn],tblDaily[EntryDate],DATE(2026,11,11),tblDaily[WardCode],"BG")=0,"",SUMIFS(tblDaily[TransfersIn],tblDaily[EntryDate],DATE(2026,11,11),tblDaily[WardCode],"BG")),"")</f>
        <v/>
      </c>
      <c r="G407" s="5" t="str">
        <f>IFERROR(IF(SUMIFS(tblDaily[TransfersOut],tblDaily[EntryDate],DATE(2026,11,11),tblDaily[WardCode],"BG")=0,"",SUMIFS(tblDaily[TransfersOut],tblDaily[EntryDate],DATE(2026,11,11),tblDaily[WardCode],"BG")),"")</f>
        <v/>
      </c>
      <c r="H407" s="5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IFERROR(IF(SUMIFS(tblDaily[Admissions],tblDaily[EntryDate],DATE(2026,11,12),tblDaily[WardCode],"BG")=0,"",SUMIFS(tblDaily[Admissions],tblDaily[EntryDate],DATE(2026,11,12),tblDaily[WardCode],"BG")),"")</f>
        <v/>
      </c>
      <c r="C408" s="5" t="str">
        <f>IFERROR(IF(SUMIFS(tblDaily[Discharges],tblDaily[EntryDate],DATE(2026,11,12),tblDaily[WardCode],"BG")=0,"",SUMIFS(tblDaily[Discharges],tblDaily[EntryDate],DATE(2026,11,12),tblDaily[WardCode],"BG")),"")</f>
        <v/>
      </c>
      <c r="D408" s="5" t="str">
        <f>IFERROR(IF(SUMIFS(tblDaily[Deaths],tblDaily[EntryDate],DATE(2026,11,12),tblDaily[WardCode],"BG")=0,"",SUMIFS(tblDaily[Deaths],tblDaily[EntryDate],DATE(2026,11,12),tblDaily[WardCode],"BG")),"")</f>
        <v/>
      </c>
      <c r="E408" s="5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5" t="str">
        <f>IFERROR(IF(SUMIFS(tblDaily[TransfersIn],tblDaily[EntryDate],DATE(2026,11,12),tblDaily[WardCode],"BG")=0,"",SUMIFS(tblDaily[TransfersIn],tblDaily[EntryDate],DATE(2026,11,12),tblDaily[WardCode],"BG")),"")</f>
        <v/>
      </c>
      <c r="G408" s="5" t="str">
        <f>IFERROR(IF(SUMIFS(tblDaily[TransfersOut],tblDaily[EntryDate],DATE(2026,11,12),tblDaily[WardCode],"BG")=0,"",SUMIFS(tblDaily[TransfersOut],tblDaily[EntryDate],DATE(2026,11,12),tblDaily[WardCode],"BG")),"")</f>
        <v/>
      </c>
      <c r="H408" s="5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IFERROR(IF(SUMIFS(tblDaily[Admissions],tblDaily[EntryDate],DATE(2026,11,13),tblDaily[WardCode],"BG")=0,"",SUMIFS(tblDaily[Admissions],tblDaily[EntryDate],DATE(2026,11,13),tblDaily[WardCode],"BG")),"")</f>
        <v/>
      </c>
      <c r="C409" s="5" t="str">
        <f>IFERROR(IF(SUMIFS(tblDaily[Discharges],tblDaily[EntryDate],DATE(2026,11,13),tblDaily[WardCode],"BG")=0,"",SUMIFS(tblDaily[Discharges],tblDaily[EntryDate],DATE(2026,11,13),tblDaily[WardCode],"BG")),"")</f>
        <v/>
      </c>
      <c r="D409" s="5" t="str">
        <f>IFERROR(IF(SUMIFS(tblDaily[Deaths],tblDaily[EntryDate],DATE(2026,11,13),tblDaily[WardCode],"BG")=0,"",SUMIFS(tblDaily[Deaths],tblDaily[EntryDate],DATE(2026,11,13),tblDaily[WardCode],"BG")),"")</f>
        <v/>
      </c>
      <c r="E409" s="5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5" t="str">
        <f>IFERROR(IF(SUMIFS(tblDaily[TransfersIn],tblDaily[EntryDate],DATE(2026,11,13),tblDaily[WardCode],"BG")=0,"",SUMIFS(tblDaily[TransfersIn],tblDaily[EntryDate],DATE(2026,11,13),tblDaily[WardCode],"BG")),"")</f>
        <v/>
      </c>
      <c r="G409" s="5" t="str">
        <f>IFERROR(IF(SUMIFS(tblDaily[TransfersOut],tblDaily[EntryDate],DATE(2026,11,13),tblDaily[WardCode],"BG")=0,"",SUMIFS(tblDaily[TransfersOut],tblDaily[EntryDate],DATE(2026,11,13),tblDaily[WardCode],"BG")),"")</f>
        <v/>
      </c>
      <c r="H409" s="5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IFERROR(IF(SUMIFS(tblDaily[Admissions],tblDaily[EntryDate],DATE(2026,11,14),tblDaily[WardCode],"BG")=0,"",SUMIFS(tblDaily[Admissions],tblDaily[EntryDate],DATE(2026,11,14),tblDaily[WardCode],"BG")),"")</f>
        <v/>
      </c>
      <c r="C410" s="5" t="str">
        <f>IFERROR(IF(SUMIFS(tblDaily[Discharges],tblDaily[EntryDate],DATE(2026,11,14),tblDaily[WardCode],"BG")=0,"",SUMIFS(tblDaily[Discharges],tblDaily[EntryDate],DATE(2026,11,14),tblDaily[WardCode],"BG")),"")</f>
        <v/>
      </c>
      <c r="D410" s="5" t="str">
        <f>IFERROR(IF(SUMIFS(tblDaily[Deaths],tblDaily[EntryDate],DATE(2026,11,14),tblDaily[WardCode],"BG")=0,"",SUMIFS(tblDaily[Deaths],tblDaily[EntryDate],DATE(2026,11,14),tblDaily[WardCode],"BG")),"")</f>
        <v/>
      </c>
      <c r="E410" s="5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5" t="str">
        <f>IFERROR(IF(SUMIFS(tblDaily[TransfersIn],tblDaily[EntryDate],DATE(2026,11,14),tblDaily[WardCode],"BG")=0,"",SUMIFS(tblDaily[TransfersIn],tblDaily[EntryDate],DATE(2026,11,14),tblDaily[WardCode],"BG")),"")</f>
        <v/>
      </c>
      <c r="G410" s="5" t="str">
        <f>IFERROR(IF(SUMIFS(tblDaily[TransfersOut],tblDaily[EntryDate],DATE(2026,11,14),tblDaily[WardCode],"BG")=0,"",SUMIFS(tblDaily[TransfersOut],tblDaily[EntryDate],DATE(2026,11,14),tblDaily[WardCode],"BG")),"")</f>
        <v/>
      </c>
      <c r="H410" s="5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IFERROR(IF(SUMIFS(tblDaily[Admissions],tblDaily[EntryDate],DATE(2026,11,15),tblDaily[WardCode],"BG")=0,"",SUMIFS(tblDaily[Admissions],tblDaily[EntryDate],DATE(2026,11,15),tblDaily[WardCode],"BG")),"")</f>
        <v/>
      </c>
      <c r="C411" s="5" t="str">
        <f>IFERROR(IF(SUMIFS(tblDaily[Discharges],tblDaily[EntryDate],DATE(2026,11,15),tblDaily[WardCode],"BG")=0,"",SUMIFS(tblDaily[Discharges],tblDaily[EntryDate],DATE(2026,11,15),tblDaily[WardCode],"BG")),"")</f>
        <v/>
      </c>
      <c r="D411" s="5" t="str">
        <f>IFERROR(IF(SUMIFS(tblDaily[Deaths],tblDaily[EntryDate],DATE(2026,11,15),tblDaily[WardCode],"BG")=0,"",SUMIFS(tblDaily[Deaths],tblDaily[EntryDate],DATE(2026,11,15),tblDaily[WardCode],"BG")),"")</f>
        <v/>
      </c>
      <c r="E411" s="5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5" t="str">
        <f>IFERROR(IF(SUMIFS(tblDaily[TransfersIn],tblDaily[EntryDate],DATE(2026,11,15),tblDaily[WardCode],"BG")=0,"",SUMIFS(tblDaily[TransfersIn],tblDaily[EntryDate],DATE(2026,11,15),tblDaily[WardCode],"BG")),"")</f>
        <v/>
      </c>
      <c r="G411" s="5" t="str">
        <f>IFERROR(IF(SUMIFS(tblDaily[TransfersOut],tblDaily[EntryDate],DATE(2026,11,15),tblDaily[WardCode],"BG")=0,"",SUMIFS(tblDaily[TransfersOut],tblDaily[EntryDate],DATE(2026,11,15),tblDaily[WardCode],"BG")),"")</f>
        <v/>
      </c>
      <c r="H411" s="5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IFERROR(IF(SUMIFS(tblDaily[Admissions],tblDaily[EntryDate],DATE(2026,11,16),tblDaily[WardCode],"BG")=0,"",SUMIFS(tblDaily[Admissions],tblDaily[EntryDate],DATE(2026,11,16),tblDaily[WardCode],"BG")),"")</f>
        <v/>
      </c>
      <c r="C412" s="5" t="str">
        <f>IFERROR(IF(SUMIFS(tblDaily[Discharges],tblDaily[EntryDate],DATE(2026,11,16),tblDaily[WardCode],"BG")=0,"",SUMIFS(tblDaily[Discharges],tblDaily[EntryDate],DATE(2026,11,16),tblDaily[WardCode],"BG")),"")</f>
        <v/>
      </c>
      <c r="D412" s="5" t="str">
        <f>IFERROR(IF(SUMIFS(tblDaily[Deaths],tblDaily[EntryDate],DATE(2026,11,16),tblDaily[WardCode],"BG")=0,"",SUMIFS(tblDaily[Deaths],tblDaily[EntryDate],DATE(2026,11,16),tblDaily[WardCode],"BG")),"")</f>
        <v/>
      </c>
      <c r="E412" s="5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5" t="str">
        <f>IFERROR(IF(SUMIFS(tblDaily[TransfersIn],tblDaily[EntryDate],DATE(2026,11,16),tblDaily[WardCode],"BG")=0,"",SUMIFS(tblDaily[TransfersIn],tblDaily[EntryDate],DATE(2026,11,16),tblDaily[WardCode],"BG")),"")</f>
        <v/>
      </c>
      <c r="G412" s="5" t="str">
        <f>IFERROR(IF(SUMIFS(tblDaily[TransfersOut],tblDaily[EntryDate],DATE(2026,11,16),tblDaily[WardCode],"BG")=0,"",SUMIFS(tblDaily[TransfersOut],tblDaily[EntryDate],DATE(2026,11,16),tblDaily[WardCode],"BG")),"")</f>
        <v/>
      </c>
      <c r="H412" s="5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IFERROR(IF(SUMIFS(tblDaily[Admissions],tblDaily[EntryDate],DATE(2026,11,17),tblDaily[WardCode],"BG")=0,"",SUMIFS(tblDaily[Admissions],tblDaily[EntryDate],DATE(2026,11,17),tblDaily[WardCode],"BG")),"")</f>
        <v/>
      </c>
      <c r="C413" s="5" t="str">
        <f>IFERROR(IF(SUMIFS(tblDaily[Discharges],tblDaily[EntryDate],DATE(2026,11,17),tblDaily[WardCode],"BG")=0,"",SUMIFS(tblDaily[Discharges],tblDaily[EntryDate],DATE(2026,11,17),tblDaily[WardCode],"BG")),"")</f>
        <v/>
      </c>
      <c r="D413" s="5" t="str">
        <f>IFERROR(IF(SUMIFS(tblDaily[Deaths],tblDaily[EntryDate],DATE(2026,11,17),tblDaily[WardCode],"BG")=0,"",SUMIFS(tblDaily[Deaths],tblDaily[EntryDate],DATE(2026,11,17),tblDaily[WardCode],"BG")),"")</f>
        <v/>
      </c>
      <c r="E413" s="5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5" t="str">
        <f>IFERROR(IF(SUMIFS(tblDaily[TransfersIn],tblDaily[EntryDate],DATE(2026,11,17),tblDaily[WardCode],"BG")=0,"",SUMIFS(tblDaily[TransfersIn],tblDaily[EntryDate],DATE(2026,11,17),tblDaily[WardCode],"BG")),"")</f>
        <v/>
      </c>
      <c r="G413" s="5" t="str">
        <f>IFERROR(IF(SUMIFS(tblDaily[TransfersOut],tblDaily[EntryDate],DATE(2026,11,17),tblDaily[WardCode],"BG")=0,"",SUMIFS(tblDaily[TransfersOut],tblDaily[EntryDate],DATE(2026,11,17),tblDaily[WardCode],"BG")),"")</f>
        <v/>
      </c>
      <c r="H413" s="5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IFERROR(IF(SUMIFS(tblDaily[Admissions],tblDaily[EntryDate],DATE(2026,11,18),tblDaily[WardCode],"BG")=0,"",SUMIFS(tblDaily[Admissions],tblDaily[EntryDate],DATE(2026,11,18),tblDaily[WardCode],"BG")),"")</f>
        <v/>
      </c>
      <c r="C414" s="5" t="str">
        <f>IFERROR(IF(SUMIFS(tblDaily[Discharges],tblDaily[EntryDate],DATE(2026,11,18),tblDaily[WardCode],"BG")=0,"",SUMIFS(tblDaily[Discharges],tblDaily[EntryDate],DATE(2026,11,18),tblDaily[WardCode],"BG")),"")</f>
        <v/>
      </c>
      <c r="D414" s="5" t="str">
        <f>IFERROR(IF(SUMIFS(tblDaily[Deaths],tblDaily[EntryDate],DATE(2026,11,18),tblDaily[WardCode],"BG")=0,"",SUMIFS(tblDaily[Deaths],tblDaily[EntryDate],DATE(2026,11,18),tblDaily[WardCode],"BG")),"")</f>
        <v/>
      </c>
      <c r="E414" s="5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5" t="str">
        <f>IFERROR(IF(SUMIFS(tblDaily[TransfersIn],tblDaily[EntryDate],DATE(2026,11,18),tblDaily[WardCode],"BG")=0,"",SUMIFS(tblDaily[TransfersIn],tblDaily[EntryDate],DATE(2026,11,18),tblDaily[WardCode],"BG")),"")</f>
        <v/>
      </c>
      <c r="G414" s="5" t="str">
        <f>IFERROR(IF(SUMIFS(tblDaily[TransfersOut],tblDaily[EntryDate],DATE(2026,11,18),tblDaily[WardCode],"BG")=0,"",SUMIFS(tblDaily[TransfersOut],tblDaily[EntryDate],DATE(2026,11,18),tblDaily[WardCode],"BG")),"")</f>
        <v/>
      </c>
      <c r="H414" s="5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IFERROR(IF(SUMIFS(tblDaily[Admissions],tblDaily[EntryDate],DATE(2026,11,19),tblDaily[WardCode],"BG")=0,"",SUMIFS(tblDaily[Admissions],tblDaily[EntryDate],DATE(2026,11,19),tblDaily[WardCode],"BG")),"")</f>
        <v/>
      </c>
      <c r="C415" s="5" t="str">
        <f>IFERROR(IF(SUMIFS(tblDaily[Discharges],tblDaily[EntryDate],DATE(2026,11,19),tblDaily[WardCode],"BG")=0,"",SUMIFS(tblDaily[Discharges],tblDaily[EntryDate],DATE(2026,11,19),tblDaily[WardCode],"BG")),"")</f>
        <v/>
      </c>
      <c r="D415" s="5" t="str">
        <f>IFERROR(IF(SUMIFS(tblDaily[Deaths],tblDaily[EntryDate],DATE(2026,11,19),tblDaily[WardCode],"BG")=0,"",SUMIFS(tblDaily[Deaths],tblDaily[EntryDate],DATE(2026,11,19),tblDaily[WardCode],"BG")),"")</f>
        <v/>
      </c>
      <c r="E415" s="5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5" t="str">
        <f>IFERROR(IF(SUMIFS(tblDaily[TransfersIn],tblDaily[EntryDate],DATE(2026,11,19),tblDaily[WardCode],"BG")=0,"",SUMIFS(tblDaily[TransfersIn],tblDaily[EntryDate],DATE(2026,11,19),tblDaily[WardCode],"BG")),"")</f>
        <v/>
      </c>
      <c r="G415" s="5" t="str">
        <f>IFERROR(IF(SUMIFS(tblDaily[TransfersOut],tblDaily[EntryDate],DATE(2026,11,19),tblDaily[WardCode],"BG")=0,"",SUMIFS(tblDaily[TransfersOut],tblDaily[EntryDate],DATE(2026,11,19),tblDaily[WardCode],"BG")),"")</f>
        <v/>
      </c>
      <c r="H415" s="5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IFERROR(IF(SUMIFS(tblDaily[Admissions],tblDaily[EntryDate],DATE(2026,11,20),tblDaily[WardCode],"BG")=0,"",SUMIFS(tblDaily[Admissions],tblDaily[EntryDate],DATE(2026,11,20),tblDaily[WardCode],"BG")),"")</f>
        <v/>
      </c>
      <c r="C416" s="5" t="str">
        <f>IFERROR(IF(SUMIFS(tblDaily[Discharges],tblDaily[EntryDate],DATE(2026,11,20),tblDaily[WardCode],"BG")=0,"",SUMIFS(tblDaily[Discharges],tblDaily[EntryDate],DATE(2026,11,20),tblDaily[WardCode],"BG")),"")</f>
        <v/>
      </c>
      <c r="D416" s="5" t="str">
        <f>IFERROR(IF(SUMIFS(tblDaily[Deaths],tblDaily[EntryDate],DATE(2026,11,20),tblDaily[WardCode],"BG")=0,"",SUMIFS(tblDaily[Deaths],tblDaily[EntryDate],DATE(2026,11,20),tblDaily[WardCode],"BG")),"")</f>
        <v/>
      </c>
      <c r="E416" s="5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5" t="str">
        <f>IFERROR(IF(SUMIFS(tblDaily[TransfersIn],tblDaily[EntryDate],DATE(2026,11,20),tblDaily[WardCode],"BG")=0,"",SUMIFS(tblDaily[TransfersIn],tblDaily[EntryDate],DATE(2026,11,20),tblDaily[WardCode],"BG")),"")</f>
        <v/>
      </c>
      <c r="G416" s="5" t="str">
        <f>IFERROR(IF(SUMIFS(tblDaily[TransfersOut],tblDaily[EntryDate],DATE(2026,11,20),tblDaily[WardCode],"BG")=0,"",SUMIFS(tblDaily[TransfersOut],tblDaily[EntryDate],DATE(2026,11,20),tblDaily[WardCode],"BG")),"")</f>
        <v/>
      </c>
      <c r="H416" s="5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IFERROR(IF(SUMIFS(tblDaily[Admissions],tblDaily[EntryDate],DATE(2026,11,21),tblDaily[WardCode],"BG")=0,"",SUMIFS(tblDaily[Admissions],tblDaily[EntryDate],DATE(2026,11,21),tblDaily[WardCode],"BG")),"")</f>
        <v/>
      </c>
      <c r="C417" s="5" t="str">
        <f>IFERROR(IF(SUMIFS(tblDaily[Discharges],tblDaily[EntryDate],DATE(2026,11,21),tblDaily[WardCode],"BG")=0,"",SUMIFS(tblDaily[Discharges],tblDaily[EntryDate],DATE(2026,11,21),tblDaily[WardCode],"BG")),"")</f>
        <v/>
      </c>
      <c r="D417" s="5" t="str">
        <f>IFERROR(IF(SUMIFS(tblDaily[Deaths],tblDaily[EntryDate],DATE(2026,11,21),tblDaily[WardCode],"BG")=0,"",SUMIFS(tblDaily[Deaths],tblDaily[EntryDate],DATE(2026,11,21),tblDaily[WardCode],"BG")),"")</f>
        <v/>
      </c>
      <c r="E417" s="5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5" t="str">
        <f>IFERROR(IF(SUMIFS(tblDaily[TransfersIn],tblDaily[EntryDate],DATE(2026,11,21),tblDaily[WardCode],"BG")=0,"",SUMIFS(tblDaily[TransfersIn],tblDaily[EntryDate],DATE(2026,11,21),tblDaily[WardCode],"BG")),"")</f>
        <v/>
      </c>
      <c r="G417" s="5" t="str">
        <f>IFERROR(IF(SUMIFS(tblDaily[TransfersOut],tblDaily[EntryDate],DATE(2026,11,21),tblDaily[WardCode],"BG")=0,"",SUMIFS(tblDaily[TransfersOut],tblDaily[EntryDate],DATE(2026,11,21),tblDaily[WardCode],"BG")),"")</f>
        <v/>
      </c>
      <c r="H417" s="5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IFERROR(IF(SUMIFS(tblDaily[Admissions],tblDaily[EntryDate],DATE(2026,11,22),tblDaily[WardCode],"BG")=0,"",SUMIFS(tblDaily[Admissions],tblDaily[EntryDate],DATE(2026,11,22),tblDaily[WardCode],"BG")),"")</f>
        <v/>
      </c>
      <c r="C418" s="5" t="str">
        <f>IFERROR(IF(SUMIFS(tblDaily[Discharges],tblDaily[EntryDate],DATE(2026,11,22),tblDaily[WardCode],"BG")=0,"",SUMIFS(tblDaily[Discharges],tblDaily[EntryDate],DATE(2026,11,22),tblDaily[WardCode],"BG")),"")</f>
        <v/>
      </c>
      <c r="D418" s="5" t="str">
        <f>IFERROR(IF(SUMIFS(tblDaily[Deaths],tblDaily[EntryDate],DATE(2026,11,22),tblDaily[WardCode],"BG")=0,"",SUMIFS(tblDaily[Deaths],tblDaily[EntryDate],DATE(2026,11,22),tblDaily[WardCode],"BG")),"")</f>
        <v/>
      </c>
      <c r="E418" s="5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5" t="str">
        <f>IFERROR(IF(SUMIFS(tblDaily[TransfersIn],tblDaily[EntryDate],DATE(2026,11,22),tblDaily[WardCode],"BG")=0,"",SUMIFS(tblDaily[TransfersIn],tblDaily[EntryDate],DATE(2026,11,22),tblDaily[WardCode],"BG")),"")</f>
        <v/>
      </c>
      <c r="G418" s="5" t="str">
        <f>IFERROR(IF(SUMIFS(tblDaily[TransfersOut],tblDaily[EntryDate],DATE(2026,11,22),tblDaily[WardCode],"BG")=0,"",SUMIFS(tblDaily[TransfersOut],tblDaily[EntryDate],DATE(2026,11,22),tblDaily[WardCode],"BG")),"")</f>
        <v/>
      </c>
      <c r="H418" s="5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IFERROR(IF(SUMIFS(tblDaily[Admissions],tblDaily[EntryDate],DATE(2026,11,23),tblDaily[WardCode],"BG")=0,"",SUMIFS(tblDaily[Admissions],tblDaily[EntryDate],DATE(2026,11,23),tblDaily[WardCode],"BG")),"")</f>
        <v/>
      </c>
      <c r="C419" s="5" t="str">
        <f>IFERROR(IF(SUMIFS(tblDaily[Discharges],tblDaily[EntryDate],DATE(2026,11,23),tblDaily[WardCode],"BG")=0,"",SUMIFS(tblDaily[Discharges],tblDaily[EntryDate],DATE(2026,11,23),tblDaily[WardCode],"BG")),"")</f>
        <v/>
      </c>
      <c r="D419" s="5" t="str">
        <f>IFERROR(IF(SUMIFS(tblDaily[Deaths],tblDaily[EntryDate],DATE(2026,11,23),tblDaily[WardCode],"BG")=0,"",SUMIFS(tblDaily[Deaths],tblDaily[EntryDate],DATE(2026,11,23),tblDaily[WardCode],"BG")),"")</f>
        <v/>
      </c>
      <c r="E419" s="5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5" t="str">
        <f>IFERROR(IF(SUMIFS(tblDaily[TransfersIn],tblDaily[EntryDate],DATE(2026,11,23),tblDaily[WardCode],"BG")=0,"",SUMIFS(tblDaily[TransfersIn],tblDaily[EntryDate],DATE(2026,11,23),tblDaily[WardCode],"BG")),"")</f>
        <v/>
      </c>
      <c r="G419" s="5" t="str">
        <f>IFERROR(IF(SUMIFS(tblDaily[TransfersOut],tblDaily[EntryDate],DATE(2026,11,23),tblDaily[WardCode],"BG")=0,"",SUMIFS(tblDaily[TransfersOut],tblDaily[EntryDate],DATE(2026,11,23),tblDaily[WardCode],"BG")),"")</f>
        <v/>
      </c>
      <c r="H419" s="5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IFERROR(IF(SUMIFS(tblDaily[Admissions],tblDaily[EntryDate],DATE(2026,11,24),tblDaily[WardCode],"BG")=0,"",SUMIFS(tblDaily[Admissions],tblDaily[EntryDate],DATE(2026,11,24),tblDaily[WardCode],"BG")),"")</f>
        <v/>
      </c>
      <c r="C420" s="5" t="str">
        <f>IFERROR(IF(SUMIFS(tblDaily[Discharges],tblDaily[EntryDate],DATE(2026,11,24),tblDaily[WardCode],"BG")=0,"",SUMIFS(tblDaily[Discharges],tblDaily[EntryDate],DATE(2026,11,24),tblDaily[WardCode],"BG")),"")</f>
        <v/>
      </c>
      <c r="D420" s="5" t="str">
        <f>IFERROR(IF(SUMIFS(tblDaily[Deaths],tblDaily[EntryDate],DATE(2026,11,24),tblDaily[WardCode],"BG")=0,"",SUMIFS(tblDaily[Deaths],tblDaily[EntryDate],DATE(2026,11,24),tblDaily[WardCode],"BG")),"")</f>
        <v/>
      </c>
      <c r="E420" s="5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5" t="str">
        <f>IFERROR(IF(SUMIFS(tblDaily[TransfersIn],tblDaily[EntryDate],DATE(2026,11,24),tblDaily[WardCode],"BG")=0,"",SUMIFS(tblDaily[TransfersIn],tblDaily[EntryDate],DATE(2026,11,24),tblDaily[WardCode],"BG")),"")</f>
        <v/>
      </c>
      <c r="G420" s="5" t="str">
        <f>IFERROR(IF(SUMIFS(tblDaily[TransfersOut],tblDaily[EntryDate],DATE(2026,11,24),tblDaily[WardCode],"BG")=0,"",SUMIFS(tblDaily[TransfersOut],tblDaily[EntryDate],DATE(2026,11,24),tblDaily[WardCode],"BG")),"")</f>
        <v/>
      </c>
      <c r="H420" s="5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IFERROR(IF(SUMIFS(tblDaily[Admissions],tblDaily[EntryDate],DATE(2026,11,25),tblDaily[WardCode],"BG")=0,"",SUMIFS(tblDaily[Admissions],tblDaily[EntryDate],DATE(2026,11,25),tblDaily[WardCode],"BG")),"")</f>
        <v/>
      </c>
      <c r="C421" s="5" t="str">
        <f>IFERROR(IF(SUMIFS(tblDaily[Discharges],tblDaily[EntryDate],DATE(2026,11,25),tblDaily[WardCode],"BG")=0,"",SUMIFS(tblDaily[Discharges],tblDaily[EntryDate],DATE(2026,11,25),tblDaily[WardCode],"BG")),"")</f>
        <v/>
      </c>
      <c r="D421" s="5" t="str">
        <f>IFERROR(IF(SUMIFS(tblDaily[Deaths],tblDaily[EntryDate],DATE(2026,11,25),tblDaily[WardCode],"BG")=0,"",SUMIFS(tblDaily[Deaths],tblDaily[EntryDate],DATE(2026,11,25),tblDaily[WardCode],"BG")),"")</f>
        <v/>
      </c>
      <c r="E421" s="5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5" t="str">
        <f>IFERROR(IF(SUMIFS(tblDaily[TransfersIn],tblDaily[EntryDate],DATE(2026,11,25),tblDaily[WardCode],"BG")=0,"",SUMIFS(tblDaily[TransfersIn],tblDaily[EntryDate],DATE(2026,11,25),tblDaily[WardCode],"BG")),"")</f>
        <v/>
      </c>
      <c r="G421" s="5" t="str">
        <f>IFERROR(IF(SUMIFS(tblDaily[TransfersOut],tblDaily[EntryDate],DATE(2026,11,25),tblDaily[WardCode],"BG")=0,"",SUMIFS(tblDaily[TransfersOut],tblDaily[EntryDate],DATE(2026,11,25),tblDaily[WardCode],"BG")),"")</f>
        <v/>
      </c>
      <c r="H421" s="5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IFERROR(IF(SUMIFS(tblDaily[Admissions],tblDaily[EntryDate],DATE(2026,11,26),tblDaily[WardCode],"BG")=0,"",SUMIFS(tblDaily[Admissions],tblDaily[EntryDate],DATE(2026,11,26),tblDaily[WardCode],"BG")),"")</f>
        <v/>
      </c>
      <c r="C422" s="5" t="str">
        <f>IFERROR(IF(SUMIFS(tblDaily[Discharges],tblDaily[EntryDate],DATE(2026,11,26),tblDaily[WardCode],"BG")=0,"",SUMIFS(tblDaily[Discharges],tblDaily[EntryDate],DATE(2026,11,26),tblDaily[WardCode],"BG")),"")</f>
        <v/>
      </c>
      <c r="D422" s="5" t="str">
        <f>IFERROR(IF(SUMIFS(tblDaily[Deaths],tblDaily[EntryDate],DATE(2026,11,26),tblDaily[WardCode],"BG")=0,"",SUMIFS(tblDaily[Deaths],tblDaily[EntryDate],DATE(2026,11,26),tblDaily[WardCode],"BG")),"")</f>
        <v/>
      </c>
      <c r="E422" s="5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5" t="str">
        <f>IFERROR(IF(SUMIFS(tblDaily[TransfersIn],tblDaily[EntryDate],DATE(2026,11,26),tblDaily[WardCode],"BG")=0,"",SUMIFS(tblDaily[TransfersIn],tblDaily[EntryDate],DATE(2026,11,26),tblDaily[WardCode],"BG")),"")</f>
        <v/>
      </c>
      <c r="G422" s="5" t="str">
        <f>IFERROR(IF(SUMIFS(tblDaily[TransfersOut],tblDaily[EntryDate],DATE(2026,11,26),tblDaily[WardCode],"BG")=0,"",SUMIFS(tblDaily[TransfersOut],tblDaily[EntryDate],DATE(2026,11,26),tblDaily[WardCode],"BG")),"")</f>
        <v/>
      </c>
      <c r="H422" s="5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IFERROR(IF(SUMIFS(tblDaily[Admissions],tblDaily[EntryDate],DATE(2026,11,27),tblDaily[WardCode],"BG")=0,"",SUMIFS(tblDaily[Admissions],tblDaily[EntryDate],DATE(2026,11,27),tblDaily[WardCode],"BG")),"")</f>
        <v/>
      </c>
      <c r="C423" s="5" t="str">
        <f>IFERROR(IF(SUMIFS(tblDaily[Discharges],tblDaily[EntryDate],DATE(2026,11,27),tblDaily[WardCode],"BG")=0,"",SUMIFS(tblDaily[Discharges],tblDaily[EntryDate],DATE(2026,11,27),tblDaily[WardCode],"BG")),"")</f>
        <v/>
      </c>
      <c r="D423" s="5" t="str">
        <f>IFERROR(IF(SUMIFS(tblDaily[Deaths],tblDaily[EntryDate],DATE(2026,11,27),tblDaily[WardCode],"BG")=0,"",SUMIFS(tblDaily[Deaths],tblDaily[EntryDate],DATE(2026,11,27),tblDaily[WardCode],"BG")),"")</f>
        <v/>
      </c>
      <c r="E423" s="5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5" t="str">
        <f>IFERROR(IF(SUMIFS(tblDaily[TransfersIn],tblDaily[EntryDate],DATE(2026,11,27),tblDaily[WardCode],"BG")=0,"",SUMIFS(tblDaily[TransfersIn],tblDaily[EntryDate],DATE(2026,11,27),tblDaily[WardCode],"BG")),"")</f>
        <v/>
      </c>
      <c r="G423" s="5" t="str">
        <f>IFERROR(IF(SUMIFS(tblDaily[TransfersOut],tblDaily[EntryDate],DATE(2026,11,27),tblDaily[WardCode],"BG")=0,"",SUMIFS(tblDaily[TransfersOut],tblDaily[EntryDate],DATE(2026,11,27),tblDaily[WardCode],"BG")),"")</f>
        <v/>
      </c>
      <c r="H423" s="5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IFERROR(IF(SUMIFS(tblDaily[Admissions],tblDaily[EntryDate],DATE(2026,11,28),tblDaily[WardCode],"BG")=0,"",SUMIFS(tblDaily[Admissions],tblDaily[EntryDate],DATE(2026,11,28),tblDaily[WardCode],"BG")),"")</f>
        <v/>
      </c>
      <c r="C424" s="5" t="str">
        <f>IFERROR(IF(SUMIFS(tblDaily[Discharges],tblDaily[EntryDate],DATE(2026,11,28),tblDaily[WardCode],"BG")=0,"",SUMIFS(tblDaily[Discharges],tblDaily[EntryDate],DATE(2026,11,28),tblDaily[WardCode],"BG")),"")</f>
        <v/>
      </c>
      <c r="D424" s="5" t="str">
        <f>IFERROR(IF(SUMIFS(tblDaily[Deaths],tblDaily[EntryDate],DATE(2026,11,28),tblDaily[WardCode],"BG")=0,"",SUMIFS(tblDaily[Deaths],tblDaily[EntryDate],DATE(2026,11,28),tblDaily[WardCode],"BG")),"")</f>
        <v/>
      </c>
      <c r="E424" s="5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5" t="str">
        <f>IFERROR(IF(SUMIFS(tblDaily[TransfersIn],tblDaily[EntryDate],DATE(2026,11,28),tblDaily[WardCode],"BG")=0,"",SUMIFS(tblDaily[TransfersIn],tblDaily[EntryDate],DATE(2026,11,28),tblDaily[WardCode],"BG")),"")</f>
        <v/>
      </c>
      <c r="G424" s="5" t="str">
        <f>IFERROR(IF(SUMIFS(tblDaily[TransfersOut],tblDaily[EntryDate],DATE(2026,11,28),tblDaily[WardCode],"BG")=0,"",SUMIFS(tblDaily[TransfersOut],tblDaily[EntryDate],DATE(2026,11,28),tblDaily[WardCode],"BG")),"")</f>
        <v/>
      </c>
      <c r="H424" s="5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IFERROR(IF(SUMIFS(tblDaily[Admissions],tblDaily[EntryDate],DATE(2026,11,29),tblDaily[WardCode],"BG")=0,"",SUMIFS(tblDaily[Admissions],tblDaily[EntryDate],DATE(2026,11,29),tblDaily[WardCode],"BG")),"")</f>
        <v/>
      </c>
      <c r="C425" s="5" t="str">
        <f>IFERROR(IF(SUMIFS(tblDaily[Discharges],tblDaily[EntryDate],DATE(2026,11,29),tblDaily[WardCode],"BG")=0,"",SUMIFS(tblDaily[Discharges],tblDaily[EntryDate],DATE(2026,11,29),tblDaily[WardCode],"BG")),"")</f>
        <v/>
      </c>
      <c r="D425" s="5" t="str">
        <f>IFERROR(IF(SUMIFS(tblDaily[Deaths],tblDaily[EntryDate],DATE(2026,11,29),tblDaily[WardCode],"BG")=0,"",SUMIFS(tblDaily[Deaths],tblDaily[EntryDate],DATE(2026,11,29),tblDaily[WardCode],"BG")),"")</f>
        <v/>
      </c>
      <c r="E425" s="5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5" t="str">
        <f>IFERROR(IF(SUMIFS(tblDaily[TransfersIn],tblDaily[EntryDate],DATE(2026,11,29),tblDaily[WardCode],"BG")=0,"",SUMIFS(tblDaily[TransfersIn],tblDaily[EntryDate],DATE(2026,11,29),tblDaily[WardCode],"BG")),"")</f>
        <v/>
      </c>
      <c r="G425" s="5" t="str">
        <f>IFERROR(IF(SUMIFS(tblDaily[TransfersOut],tblDaily[EntryDate],DATE(2026,11,29),tblDaily[WardCode],"BG")=0,"",SUMIFS(tblDaily[TransfersOut],tblDaily[EntryDate],DATE(2026,11,29),tblDaily[WardCode],"BG")),"")</f>
        <v/>
      </c>
      <c r="H425" s="5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IFERROR(IF(SUMIFS(tblDaily[Admissions],tblDaily[EntryDate],DATE(2026,11,30),tblDaily[WardCode],"BG")=0,"",SUMIFS(tblDaily[Admissions],tblDaily[EntryDate],DATE(2026,11,30),tblDaily[WardCode],"BG")),"")</f>
        <v/>
      </c>
      <c r="C426" s="5" t="str">
        <f>IFERROR(IF(SUMIFS(tblDaily[Discharges],tblDaily[EntryDate],DATE(2026,11,30),tblDaily[WardCode],"BG")=0,"",SUMIFS(tblDaily[Discharges],tblDaily[EntryDate],DATE(2026,11,30),tblDaily[WardCode],"BG")),"")</f>
        <v/>
      </c>
      <c r="D426" s="5" t="str">
        <f>IFERROR(IF(SUMIFS(tblDaily[Deaths],tblDaily[EntryDate],DATE(2026,11,30),tblDaily[WardCode],"BG")=0,"",SUMIFS(tblDaily[Deaths],tblDaily[EntryDate],DATE(2026,11,30),tblDaily[WardCode],"BG")),"")</f>
        <v/>
      </c>
      <c r="E426" s="5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5" t="str">
        <f>IFERROR(IF(SUMIFS(tblDaily[TransfersIn],tblDaily[EntryDate],DATE(2026,11,30),tblDaily[WardCode],"BG")=0,"",SUMIFS(tblDaily[TransfersIn],tblDaily[EntryDate],DATE(2026,11,30),tblDaily[WardCode],"BG")),"")</f>
        <v/>
      </c>
      <c r="G426" s="5" t="str">
        <f>IFERROR(IF(SUMIFS(tblDaily[TransfersOut],tblDaily[EntryDate],DATE(2026,11,30),tblDaily[WardCode],"BG")=0,"",SUMIFS(tblDaily[TransfersOut],tblDaily[EntryDate],DATE(2026,11,30),tblDaily[WardCode],"BG")),"")</f>
        <v/>
      </c>
      <c r="H426" s="5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99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89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IFERROR(IF(SUMIFS(tblDaily[Admissions],tblDaily[EntryDate],DATE(2026,12,1),tblDaily[WardCode],"BG")=0,"",SUMIFS(tblDaily[Admissions],tblDaily[EntryDate],DATE(2026,12,1),tblDaily[WardCode],"BG")),"")</f>
        <v/>
      </c>
      <c r="C436" s="5" t="str">
        <f>IFERROR(IF(SUMIFS(tblDaily[Discharges],tblDaily[EntryDate],DATE(2026,12,1),tblDaily[WardCode],"BG")=0,"",SUMIFS(tblDaily[Discharges],tblDaily[EntryDate],DATE(2026,12,1),tblDaily[WardCode],"BG")),"")</f>
        <v/>
      </c>
      <c r="D436" s="5" t="str">
        <f>IFERROR(IF(SUMIFS(tblDaily[Deaths],tblDaily[EntryDate],DATE(2026,12,1),tblDaily[WardCode],"BG")=0,"",SUMIFS(tblDaily[Deaths],tblDaily[EntryDate],DATE(2026,12,1),tblDaily[WardCode],"BG")),"")</f>
        <v/>
      </c>
      <c r="E436" s="5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5" t="str">
        <f>IFERROR(IF(SUMIFS(tblDaily[TransfersIn],tblDaily[EntryDate],DATE(2026,12,1),tblDaily[WardCode],"BG")=0,"",SUMIFS(tblDaily[TransfersIn],tblDaily[EntryDate],DATE(2026,12,1),tblDaily[WardCode],"BG")),"")</f>
        <v/>
      </c>
      <c r="G436" s="5" t="str">
        <f>IFERROR(IF(SUMIFS(tblDaily[TransfersOut],tblDaily[EntryDate],DATE(2026,12,1),tblDaily[WardCode],"BG")=0,"",SUMIFS(tblDaily[TransfersOut],tblDaily[EntryDate],DATE(2026,12,1),tblDaily[WardCode],"BG")),"")</f>
        <v/>
      </c>
      <c r="H436" s="5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IFERROR(IF(SUMIFS(tblDaily[Admissions],tblDaily[EntryDate],DATE(2026,12,2),tblDaily[WardCode],"BG")=0,"",SUMIFS(tblDaily[Admissions],tblDaily[EntryDate],DATE(2026,12,2),tblDaily[WardCode],"BG")),"")</f>
        <v/>
      </c>
      <c r="C437" s="5" t="str">
        <f>IFERROR(IF(SUMIFS(tblDaily[Discharges],tblDaily[EntryDate],DATE(2026,12,2),tblDaily[WardCode],"BG")=0,"",SUMIFS(tblDaily[Discharges],tblDaily[EntryDate],DATE(2026,12,2),tblDaily[WardCode],"BG")),"")</f>
        <v/>
      </c>
      <c r="D437" s="5" t="str">
        <f>IFERROR(IF(SUMIFS(tblDaily[Deaths],tblDaily[EntryDate],DATE(2026,12,2),tblDaily[WardCode],"BG")=0,"",SUMIFS(tblDaily[Deaths],tblDaily[EntryDate],DATE(2026,12,2),tblDaily[WardCode],"BG")),"")</f>
        <v/>
      </c>
      <c r="E437" s="5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5" t="str">
        <f>IFERROR(IF(SUMIFS(tblDaily[TransfersIn],tblDaily[EntryDate],DATE(2026,12,2),tblDaily[WardCode],"BG")=0,"",SUMIFS(tblDaily[TransfersIn],tblDaily[EntryDate],DATE(2026,12,2),tblDaily[WardCode],"BG")),"")</f>
        <v/>
      </c>
      <c r="G437" s="5" t="str">
        <f>IFERROR(IF(SUMIFS(tblDaily[TransfersOut],tblDaily[EntryDate],DATE(2026,12,2),tblDaily[WardCode],"BG")=0,"",SUMIFS(tblDaily[TransfersOut],tblDaily[EntryDate],DATE(2026,12,2),tblDaily[WardCode],"BG")),"")</f>
        <v/>
      </c>
      <c r="H437" s="5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IFERROR(IF(SUMIFS(tblDaily[Admissions],tblDaily[EntryDate],DATE(2026,12,3),tblDaily[WardCode],"BG")=0,"",SUMIFS(tblDaily[Admissions],tblDaily[EntryDate],DATE(2026,12,3),tblDaily[WardCode],"BG")),"")</f>
        <v/>
      </c>
      <c r="C438" s="5" t="str">
        <f>IFERROR(IF(SUMIFS(tblDaily[Discharges],tblDaily[EntryDate],DATE(2026,12,3),tblDaily[WardCode],"BG")=0,"",SUMIFS(tblDaily[Discharges],tblDaily[EntryDate],DATE(2026,12,3),tblDaily[WardCode],"BG")),"")</f>
        <v/>
      </c>
      <c r="D438" s="5" t="str">
        <f>IFERROR(IF(SUMIFS(tblDaily[Deaths],tblDaily[EntryDate],DATE(2026,12,3),tblDaily[WardCode],"BG")=0,"",SUMIFS(tblDaily[Deaths],tblDaily[EntryDate],DATE(2026,12,3),tblDaily[WardCode],"BG")),"")</f>
        <v/>
      </c>
      <c r="E438" s="5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5" t="str">
        <f>IFERROR(IF(SUMIFS(tblDaily[TransfersIn],tblDaily[EntryDate],DATE(2026,12,3),tblDaily[WardCode],"BG")=0,"",SUMIFS(tblDaily[TransfersIn],tblDaily[EntryDate],DATE(2026,12,3),tblDaily[WardCode],"BG")),"")</f>
        <v/>
      </c>
      <c r="G438" s="5" t="str">
        <f>IFERROR(IF(SUMIFS(tblDaily[TransfersOut],tblDaily[EntryDate],DATE(2026,12,3),tblDaily[WardCode],"BG")=0,"",SUMIFS(tblDaily[TransfersOut],tblDaily[EntryDate],DATE(2026,12,3),tblDaily[WardCode],"BG")),"")</f>
        <v/>
      </c>
      <c r="H438" s="5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IFERROR(IF(SUMIFS(tblDaily[Admissions],tblDaily[EntryDate],DATE(2026,12,4),tblDaily[WardCode],"BG")=0,"",SUMIFS(tblDaily[Admissions],tblDaily[EntryDate],DATE(2026,12,4),tblDaily[WardCode],"BG")),"")</f>
        <v/>
      </c>
      <c r="C439" s="5" t="str">
        <f>IFERROR(IF(SUMIFS(tblDaily[Discharges],tblDaily[EntryDate],DATE(2026,12,4),tblDaily[WardCode],"BG")=0,"",SUMIFS(tblDaily[Discharges],tblDaily[EntryDate],DATE(2026,12,4),tblDaily[WardCode],"BG")),"")</f>
        <v/>
      </c>
      <c r="D439" s="5" t="str">
        <f>IFERROR(IF(SUMIFS(tblDaily[Deaths],tblDaily[EntryDate],DATE(2026,12,4),tblDaily[WardCode],"BG")=0,"",SUMIFS(tblDaily[Deaths],tblDaily[EntryDate],DATE(2026,12,4),tblDaily[WardCode],"BG")),"")</f>
        <v/>
      </c>
      <c r="E439" s="5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5" t="str">
        <f>IFERROR(IF(SUMIFS(tblDaily[TransfersIn],tblDaily[EntryDate],DATE(2026,12,4),tblDaily[WardCode],"BG")=0,"",SUMIFS(tblDaily[TransfersIn],tblDaily[EntryDate],DATE(2026,12,4),tblDaily[WardCode],"BG")),"")</f>
        <v/>
      </c>
      <c r="G439" s="5" t="str">
        <f>IFERROR(IF(SUMIFS(tblDaily[TransfersOut],tblDaily[EntryDate],DATE(2026,12,4),tblDaily[WardCode],"BG")=0,"",SUMIFS(tblDaily[TransfersOut],tblDaily[EntryDate],DATE(2026,12,4),tblDaily[WardCode],"BG")),"")</f>
        <v/>
      </c>
      <c r="H439" s="5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IFERROR(IF(SUMIFS(tblDaily[Admissions],tblDaily[EntryDate],DATE(2026,12,5),tblDaily[WardCode],"BG")=0,"",SUMIFS(tblDaily[Admissions],tblDaily[EntryDate],DATE(2026,12,5),tblDaily[WardCode],"BG")),"")</f>
        <v/>
      </c>
      <c r="C440" s="5" t="str">
        <f>IFERROR(IF(SUMIFS(tblDaily[Discharges],tblDaily[EntryDate],DATE(2026,12,5),tblDaily[WardCode],"BG")=0,"",SUMIFS(tblDaily[Discharges],tblDaily[EntryDate],DATE(2026,12,5),tblDaily[WardCode],"BG")),"")</f>
        <v/>
      </c>
      <c r="D440" s="5" t="str">
        <f>IFERROR(IF(SUMIFS(tblDaily[Deaths],tblDaily[EntryDate],DATE(2026,12,5),tblDaily[WardCode],"BG")=0,"",SUMIFS(tblDaily[Deaths],tblDaily[EntryDate],DATE(2026,12,5),tblDaily[WardCode],"BG")),"")</f>
        <v/>
      </c>
      <c r="E440" s="5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5" t="str">
        <f>IFERROR(IF(SUMIFS(tblDaily[TransfersIn],tblDaily[EntryDate],DATE(2026,12,5),tblDaily[WardCode],"BG")=0,"",SUMIFS(tblDaily[TransfersIn],tblDaily[EntryDate],DATE(2026,12,5),tblDaily[WardCode],"BG")),"")</f>
        <v/>
      </c>
      <c r="G440" s="5" t="str">
        <f>IFERROR(IF(SUMIFS(tblDaily[TransfersOut],tblDaily[EntryDate],DATE(2026,12,5),tblDaily[WardCode],"BG")=0,"",SUMIFS(tblDaily[TransfersOut],tblDaily[EntryDate],DATE(2026,12,5),tblDaily[WardCode],"BG")),"")</f>
        <v/>
      </c>
      <c r="H440" s="5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IFERROR(IF(SUMIFS(tblDaily[Admissions],tblDaily[EntryDate],DATE(2026,12,6),tblDaily[WardCode],"BG")=0,"",SUMIFS(tblDaily[Admissions],tblDaily[EntryDate],DATE(2026,12,6),tblDaily[WardCode],"BG")),"")</f>
        <v/>
      </c>
      <c r="C441" s="5" t="str">
        <f>IFERROR(IF(SUMIFS(tblDaily[Discharges],tblDaily[EntryDate],DATE(2026,12,6),tblDaily[WardCode],"BG")=0,"",SUMIFS(tblDaily[Discharges],tblDaily[EntryDate],DATE(2026,12,6),tblDaily[WardCode],"BG")),"")</f>
        <v/>
      </c>
      <c r="D441" s="5" t="str">
        <f>IFERROR(IF(SUMIFS(tblDaily[Deaths],tblDaily[EntryDate],DATE(2026,12,6),tblDaily[WardCode],"BG")=0,"",SUMIFS(tblDaily[Deaths],tblDaily[EntryDate],DATE(2026,12,6),tblDaily[WardCode],"BG")),"")</f>
        <v/>
      </c>
      <c r="E441" s="5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5" t="str">
        <f>IFERROR(IF(SUMIFS(tblDaily[TransfersIn],tblDaily[EntryDate],DATE(2026,12,6),tblDaily[WardCode],"BG")=0,"",SUMIFS(tblDaily[TransfersIn],tblDaily[EntryDate],DATE(2026,12,6),tblDaily[WardCode],"BG")),"")</f>
        <v/>
      </c>
      <c r="G441" s="5" t="str">
        <f>IFERROR(IF(SUMIFS(tblDaily[TransfersOut],tblDaily[EntryDate],DATE(2026,12,6),tblDaily[WardCode],"BG")=0,"",SUMIFS(tblDaily[TransfersOut],tblDaily[EntryDate],DATE(2026,12,6),tblDaily[WardCode],"BG")),"")</f>
        <v/>
      </c>
      <c r="H441" s="5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IFERROR(IF(SUMIFS(tblDaily[Admissions],tblDaily[EntryDate],DATE(2026,12,7),tblDaily[WardCode],"BG")=0,"",SUMIFS(tblDaily[Admissions],tblDaily[EntryDate],DATE(2026,12,7),tblDaily[WardCode],"BG")),"")</f>
        <v/>
      </c>
      <c r="C442" s="5" t="str">
        <f>IFERROR(IF(SUMIFS(tblDaily[Discharges],tblDaily[EntryDate],DATE(2026,12,7),tblDaily[WardCode],"BG")=0,"",SUMIFS(tblDaily[Discharges],tblDaily[EntryDate],DATE(2026,12,7),tblDaily[WardCode],"BG")),"")</f>
        <v/>
      </c>
      <c r="D442" s="5" t="str">
        <f>IFERROR(IF(SUMIFS(tblDaily[Deaths],tblDaily[EntryDate],DATE(2026,12,7),tblDaily[WardCode],"BG")=0,"",SUMIFS(tblDaily[Deaths],tblDaily[EntryDate],DATE(2026,12,7),tblDaily[WardCode],"BG")),"")</f>
        <v/>
      </c>
      <c r="E442" s="5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5" t="str">
        <f>IFERROR(IF(SUMIFS(tblDaily[TransfersIn],tblDaily[EntryDate],DATE(2026,12,7),tblDaily[WardCode],"BG")=0,"",SUMIFS(tblDaily[TransfersIn],tblDaily[EntryDate],DATE(2026,12,7),tblDaily[WardCode],"BG")),"")</f>
        <v/>
      </c>
      <c r="G442" s="5" t="str">
        <f>IFERROR(IF(SUMIFS(tblDaily[TransfersOut],tblDaily[EntryDate],DATE(2026,12,7),tblDaily[WardCode],"BG")=0,"",SUMIFS(tblDaily[TransfersOut],tblDaily[EntryDate],DATE(2026,12,7),tblDaily[WardCode],"BG")),"")</f>
        <v/>
      </c>
      <c r="H442" s="5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IFERROR(IF(SUMIFS(tblDaily[Admissions],tblDaily[EntryDate],DATE(2026,12,8),tblDaily[WardCode],"BG")=0,"",SUMIFS(tblDaily[Admissions],tblDaily[EntryDate],DATE(2026,12,8),tblDaily[WardCode],"BG")),"")</f>
        <v/>
      </c>
      <c r="C443" s="5" t="str">
        <f>IFERROR(IF(SUMIFS(tblDaily[Discharges],tblDaily[EntryDate],DATE(2026,12,8),tblDaily[WardCode],"BG")=0,"",SUMIFS(tblDaily[Discharges],tblDaily[EntryDate],DATE(2026,12,8),tblDaily[WardCode],"BG")),"")</f>
        <v/>
      </c>
      <c r="D443" s="5" t="str">
        <f>IFERROR(IF(SUMIFS(tblDaily[Deaths],tblDaily[EntryDate],DATE(2026,12,8),tblDaily[WardCode],"BG")=0,"",SUMIFS(tblDaily[Deaths],tblDaily[EntryDate],DATE(2026,12,8),tblDaily[WardCode],"BG")),"")</f>
        <v/>
      </c>
      <c r="E443" s="5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5" t="str">
        <f>IFERROR(IF(SUMIFS(tblDaily[TransfersIn],tblDaily[EntryDate],DATE(2026,12,8),tblDaily[WardCode],"BG")=0,"",SUMIFS(tblDaily[TransfersIn],tblDaily[EntryDate],DATE(2026,12,8),tblDaily[WardCode],"BG")),"")</f>
        <v/>
      </c>
      <c r="G443" s="5" t="str">
        <f>IFERROR(IF(SUMIFS(tblDaily[TransfersOut],tblDaily[EntryDate],DATE(2026,12,8),tblDaily[WardCode],"BG")=0,"",SUMIFS(tblDaily[TransfersOut],tblDaily[EntryDate],DATE(2026,12,8),tblDaily[WardCode],"BG")),"")</f>
        <v/>
      </c>
      <c r="H443" s="5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IFERROR(IF(SUMIFS(tblDaily[Admissions],tblDaily[EntryDate],DATE(2026,12,9),tblDaily[WardCode],"BG")=0,"",SUMIFS(tblDaily[Admissions],tblDaily[EntryDate],DATE(2026,12,9),tblDaily[WardCode],"BG")),"")</f>
        <v/>
      </c>
      <c r="C444" s="5" t="str">
        <f>IFERROR(IF(SUMIFS(tblDaily[Discharges],tblDaily[EntryDate],DATE(2026,12,9),tblDaily[WardCode],"BG")=0,"",SUMIFS(tblDaily[Discharges],tblDaily[EntryDate],DATE(2026,12,9),tblDaily[WardCode],"BG")),"")</f>
        <v/>
      </c>
      <c r="D444" s="5" t="str">
        <f>IFERROR(IF(SUMIFS(tblDaily[Deaths],tblDaily[EntryDate],DATE(2026,12,9),tblDaily[WardCode],"BG")=0,"",SUMIFS(tblDaily[Deaths],tblDaily[EntryDate],DATE(2026,12,9),tblDaily[WardCode],"BG")),"")</f>
        <v/>
      </c>
      <c r="E444" s="5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5" t="str">
        <f>IFERROR(IF(SUMIFS(tblDaily[TransfersIn],tblDaily[EntryDate],DATE(2026,12,9),tblDaily[WardCode],"BG")=0,"",SUMIFS(tblDaily[TransfersIn],tblDaily[EntryDate],DATE(2026,12,9),tblDaily[WardCode],"BG")),"")</f>
        <v/>
      </c>
      <c r="G444" s="5" t="str">
        <f>IFERROR(IF(SUMIFS(tblDaily[TransfersOut],tblDaily[EntryDate],DATE(2026,12,9),tblDaily[WardCode],"BG")=0,"",SUMIFS(tblDaily[TransfersOut],tblDaily[EntryDate],DATE(2026,12,9),tblDaily[WardCode],"BG")),"")</f>
        <v/>
      </c>
      <c r="H444" s="5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IFERROR(IF(SUMIFS(tblDaily[Admissions],tblDaily[EntryDate],DATE(2026,12,10),tblDaily[WardCode],"BG")=0,"",SUMIFS(tblDaily[Admissions],tblDaily[EntryDate],DATE(2026,12,10),tblDaily[WardCode],"BG")),"")</f>
        <v/>
      </c>
      <c r="C445" s="5" t="str">
        <f>IFERROR(IF(SUMIFS(tblDaily[Discharges],tblDaily[EntryDate],DATE(2026,12,10),tblDaily[WardCode],"BG")=0,"",SUMIFS(tblDaily[Discharges],tblDaily[EntryDate],DATE(2026,12,10),tblDaily[WardCode],"BG")),"")</f>
        <v/>
      </c>
      <c r="D445" s="5" t="str">
        <f>IFERROR(IF(SUMIFS(tblDaily[Deaths],tblDaily[EntryDate],DATE(2026,12,10),tblDaily[WardCode],"BG")=0,"",SUMIFS(tblDaily[Deaths],tblDaily[EntryDate],DATE(2026,12,10),tblDaily[WardCode],"BG")),"")</f>
        <v/>
      </c>
      <c r="E445" s="5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5" t="str">
        <f>IFERROR(IF(SUMIFS(tblDaily[TransfersIn],tblDaily[EntryDate],DATE(2026,12,10),tblDaily[WardCode],"BG")=0,"",SUMIFS(tblDaily[TransfersIn],tblDaily[EntryDate],DATE(2026,12,10),tblDaily[WardCode],"BG")),"")</f>
        <v/>
      </c>
      <c r="G445" s="5" t="str">
        <f>IFERROR(IF(SUMIFS(tblDaily[TransfersOut],tblDaily[EntryDate],DATE(2026,12,10),tblDaily[WardCode],"BG")=0,"",SUMIFS(tblDaily[TransfersOut],tblDaily[EntryDate],DATE(2026,12,10),tblDaily[WardCode],"BG")),"")</f>
        <v/>
      </c>
      <c r="H445" s="5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IFERROR(IF(SUMIFS(tblDaily[Admissions],tblDaily[EntryDate],DATE(2026,12,11),tblDaily[WardCode],"BG")=0,"",SUMIFS(tblDaily[Admissions],tblDaily[EntryDate],DATE(2026,12,11),tblDaily[WardCode],"BG")),"")</f>
        <v/>
      </c>
      <c r="C446" s="5" t="str">
        <f>IFERROR(IF(SUMIFS(tblDaily[Discharges],tblDaily[EntryDate],DATE(2026,12,11),tblDaily[WardCode],"BG")=0,"",SUMIFS(tblDaily[Discharges],tblDaily[EntryDate],DATE(2026,12,11),tblDaily[WardCode],"BG")),"")</f>
        <v/>
      </c>
      <c r="D446" s="5" t="str">
        <f>IFERROR(IF(SUMIFS(tblDaily[Deaths],tblDaily[EntryDate],DATE(2026,12,11),tblDaily[WardCode],"BG")=0,"",SUMIFS(tblDaily[Deaths],tblDaily[EntryDate],DATE(2026,12,11),tblDaily[WardCode],"BG")),"")</f>
        <v/>
      </c>
      <c r="E446" s="5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5" t="str">
        <f>IFERROR(IF(SUMIFS(tblDaily[TransfersIn],tblDaily[EntryDate],DATE(2026,12,11),tblDaily[WardCode],"BG")=0,"",SUMIFS(tblDaily[TransfersIn],tblDaily[EntryDate],DATE(2026,12,11),tblDaily[WardCode],"BG")),"")</f>
        <v/>
      </c>
      <c r="G446" s="5" t="str">
        <f>IFERROR(IF(SUMIFS(tblDaily[TransfersOut],tblDaily[EntryDate],DATE(2026,12,11),tblDaily[WardCode],"BG")=0,"",SUMIFS(tblDaily[TransfersOut],tblDaily[EntryDate],DATE(2026,12,11),tblDaily[WardCode],"BG")),"")</f>
        <v/>
      </c>
      <c r="H446" s="5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IFERROR(IF(SUMIFS(tblDaily[Admissions],tblDaily[EntryDate],DATE(2026,12,12),tblDaily[WardCode],"BG")=0,"",SUMIFS(tblDaily[Admissions],tblDaily[EntryDate],DATE(2026,12,12),tblDaily[WardCode],"BG")),"")</f>
        <v/>
      </c>
      <c r="C447" s="5" t="str">
        <f>IFERROR(IF(SUMIFS(tblDaily[Discharges],tblDaily[EntryDate],DATE(2026,12,12),tblDaily[WardCode],"BG")=0,"",SUMIFS(tblDaily[Discharges],tblDaily[EntryDate],DATE(2026,12,12),tblDaily[WardCode],"BG")),"")</f>
        <v/>
      </c>
      <c r="D447" s="5" t="str">
        <f>IFERROR(IF(SUMIFS(tblDaily[Deaths],tblDaily[EntryDate],DATE(2026,12,12),tblDaily[WardCode],"BG")=0,"",SUMIFS(tblDaily[Deaths],tblDaily[EntryDate],DATE(2026,12,12),tblDaily[WardCode],"BG")),"")</f>
        <v/>
      </c>
      <c r="E447" s="5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5" t="str">
        <f>IFERROR(IF(SUMIFS(tblDaily[TransfersIn],tblDaily[EntryDate],DATE(2026,12,12),tblDaily[WardCode],"BG")=0,"",SUMIFS(tblDaily[TransfersIn],tblDaily[EntryDate],DATE(2026,12,12),tblDaily[WardCode],"BG")),"")</f>
        <v/>
      </c>
      <c r="G447" s="5" t="str">
        <f>IFERROR(IF(SUMIFS(tblDaily[TransfersOut],tblDaily[EntryDate],DATE(2026,12,12),tblDaily[WardCode],"BG")=0,"",SUMIFS(tblDaily[TransfersOut],tblDaily[EntryDate],DATE(2026,12,12),tblDaily[WardCode],"BG")),"")</f>
        <v/>
      </c>
      <c r="H447" s="5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IFERROR(IF(SUMIFS(tblDaily[Admissions],tblDaily[EntryDate],DATE(2026,12,13),tblDaily[WardCode],"BG")=0,"",SUMIFS(tblDaily[Admissions],tblDaily[EntryDate],DATE(2026,12,13),tblDaily[WardCode],"BG")),"")</f>
        <v/>
      </c>
      <c r="C448" s="5" t="str">
        <f>IFERROR(IF(SUMIFS(tblDaily[Discharges],tblDaily[EntryDate],DATE(2026,12,13),tblDaily[WardCode],"BG")=0,"",SUMIFS(tblDaily[Discharges],tblDaily[EntryDate],DATE(2026,12,13),tblDaily[WardCode],"BG")),"")</f>
        <v/>
      </c>
      <c r="D448" s="5" t="str">
        <f>IFERROR(IF(SUMIFS(tblDaily[Deaths],tblDaily[EntryDate],DATE(2026,12,13),tblDaily[WardCode],"BG")=0,"",SUMIFS(tblDaily[Deaths],tblDaily[EntryDate],DATE(2026,12,13),tblDaily[WardCode],"BG")),"")</f>
        <v/>
      </c>
      <c r="E448" s="5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5" t="str">
        <f>IFERROR(IF(SUMIFS(tblDaily[TransfersIn],tblDaily[EntryDate],DATE(2026,12,13),tblDaily[WardCode],"BG")=0,"",SUMIFS(tblDaily[TransfersIn],tblDaily[EntryDate],DATE(2026,12,13),tblDaily[WardCode],"BG")),"")</f>
        <v/>
      </c>
      <c r="G448" s="5" t="str">
        <f>IFERROR(IF(SUMIFS(tblDaily[TransfersOut],tblDaily[EntryDate],DATE(2026,12,13),tblDaily[WardCode],"BG")=0,"",SUMIFS(tblDaily[TransfersOut],tblDaily[EntryDate],DATE(2026,12,13),tblDaily[WardCode],"BG")),"")</f>
        <v/>
      </c>
      <c r="H448" s="5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IFERROR(IF(SUMIFS(tblDaily[Admissions],tblDaily[EntryDate],DATE(2026,12,14),tblDaily[WardCode],"BG")=0,"",SUMIFS(tblDaily[Admissions],tblDaily[EntryDate],DATE(2026,12,14),tblDaily[WardCode],"BG")),"")</f>
        <v/>
      </c>
      <c r="C449" s="5" t="str">
        <f>IFERROR(IF(SUMIFS(tblDaily[Discharges],tblDaily[EntryDate],DATE(2026,12,14),tblDaily[WardCode],"BG")=0,"",SUMIFS(tblDaily[Discharges],tblDaily[EntryDate],DATE(2026,12,14),tblDaily[WardCode],"BG")),"")</f>
        <v/>
      </c>
      <c r="D449" s="5" t="str">
        <f>IFERROR(IF(SUMIFS(tblDaily[Deaths],tblDaily[EntryDate],DATE(2026,12,14),tblDaily[WardCode],"BG")=0,"",SUMIFS(tblDaily[Deaths],tblDaily[EntryDate],DATE(2026,12,14),tblDaily[WardCode],"BG")),"")</f>
        <v/>
      </c>
      <c r="E449" s="5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5" t="str">
        <f>IFERROR(IF(SUMIFS(tblDaily[TransfersIn],tblDaily[EntryDate],DATE(2026,12,14),tblDaily[WardCode],"BG")=0,"",SUMIFS(tblDaily[TransfersIn],tblDaily[EntryDate],DATE(2026,12,14),tblDaily[WardCode],"BG")),"")</f>
        <v/>
      </c>
      <c r="G449" s="5" t="str">
        <f>IFERROR(IF(SUMIFS(tblDaily[TransfersOut],tblDaily[EntryDate],DATE(2026,12,14),tblDaily[WardCode],"BG")=0,"",SUMIFS(tblDaily[TransfersOut],tblDaily[EntryDate],DATE(2026,12,14),tblDaily[WardCode],"BG")),"")</f>
        <v/>
      </c>
      <c r="H449" s="5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IFERROR(IF(SUMIFS(tblDaily[Admissions],tblDaily[EntryDate],DATE(2026,12,15),tblDaily[WardCode],"BG")=0,"",SUMIFS(tblDaily[Admissions],tblDaily[EntryDate],DATE(2026,12,15),tblDaily[WardCode],"BG")),"")</f>
        <v/>
      </c>
      <c r="C450" s="5" t="str">
        <f>IFERROR(IF(SUMIFS(tblDaily[Discharges],tblDaily[EntryDate],DATE(2026,12,15),tblDaily[WardCode],"BG")=0,"",SUMIFS(tblDaily[Discharges],tblDaily[EntryDate],DATE(2026,12,15),tblDaily[WardCode],"BG")),"")</f>
        <v/>
      </c>
      <c r="D450" s="5" t="str">
        <f>IFERROR(IF(SUMIFS(tblDaily[Deaths],tblDaily[EntryDate],DATE(2026,12,15),tblDaily[WardCode],"BG")=0,"",SUMIFS(tblDaily[Deaths],tblDaily[EntryDate],DATE(2026,12,15),tblDaily[WardCode],"BG")),"")</f>
        <v/>
      </c>
      <c r="E450" s="5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5" t="str">
        <f>IFERROR(IF(SUMIFS(tblDaily[TransfersIn],tblDaily[EntryDate],DATE(2026,12,15),tblDaily[WardCode],"BG")=0,"",SUMIFS(tblDaily[TransfersIn],tblDaily[EntryDate],DATE(2026,12,15),tblDaily[WardCode],"BG")),"")</f>
        <v/>
      </c>
      <c r="G450" s="5" t="str">
        <f>IFERROR(IF(SUMIFS(tblDaily[TransfersOut],tblDaily[EntryDate],DATE(2026,12,15),tblDaily[WardCode],"BG")=0,"",SUMIFS(tblDaily[TransfersOut],tblDaily[EntryDate],DATE(2026,12,15),tblDaily[WardCode],"BG")),"")</f>
        <v/>
      </c>
      <c r="H450" s="5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IFERROR(IF(SUMIFS(tblDaily[Admissions],tblDaily[EntryDate],DATE(2026,12,16),tblDaily[WardCode],"BG")=0,"",SUMIFS(tblDaily[Admissions],tblDaily[EntryDate],DATE(2026,12,16),tblDaily[WardCode],"BG")),"")</f>
        <v/>
      </c>
      <c r="C451" s="5" t="str">
        <f>IFERROR(IF(SUMIFS(tblDaily[Discharges],tblDaily[EntryDate],DATE(2026,12,16),tblDaily[WardCode],"BG")=0,"",SUMIFS(tblDaily[Discharges],tblDaily[EntryDate],DATE(2026,12,16),tblDaily[WardCode],"BG")),"")</f>
        <v/>
      </c>
      <c r="D451" s="5" t="str">
        <f>IFERROR(IF(SUMIFS(tblDaily[Deaths],tblDaily[EntryDate],DATE(2026,12,16),tblDaily[WardCode],"BG")=0,"",SUMIFS(tblDaily[Deaths],tblDaily[EntryDate],DATE(2026,12,16),tblDaily[WardCode],"BG")),"")</f>
        <v/>
      </c>
      <c r="E451" s="5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5" t="str">
        <f>IFERROR(IF(SUMIFS(tblDaily[TransfersIn],tblDaily[EntryDate],DATE(2026,12,16),tblDaily[WardCode],"BG")=0,"",SUMIFS(tblDaily[TransfersIn],tblDaily[EntryDate],DATE(2026,12,16),tblDaily[WardCode],"BG")),"")</f>
        <v/>
      </c>
      <c r="G451" s="5" t="str">
        <f>IFERROR(IF(SUMIFS(tblDaily[TransfersOut],tblDaily[EntryDate],DATE(2026,12,16),tblDaily[WardCode],"BG")=0,"",SUMIFS(tblDaily[TransfersOut],tblDaily[EntryDate],DATE(2026,12,16),tblDaily[WardCode],"BG")),"")</f>
        <v/>
      </c>
      <c r="H451" s="5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IFERROR(IF(SUMIFS(tblDaily[Admissions],tblDaily[EntryDate],DATE(2026,12,17),tblDaily[WardCode],"BG")=0,"",SUMIFS(tblDaily[Admissions],tblDaily[EntryDate],DATE(2026,12,17),tblDaily[WardCode],"BG")),"")</f>
        <v/>
      </c>
      <c r="C452" s="5" t="str">
        <f>IFERROR(IF(SUMIFS(tblDaily[Discharges],tblDaily[EntryDate],DATE(2026,12,17),tblDaily[WardCode],"BG")=0,"",SUMIFS(tblDaily[Discharges],tblDaily[EntryDate],DATE(2026,12,17),tblDaily[WardCode],"BG")),"")</f>
        <v/>
      </c>
      <c r="D452" s="5" t="str">
        <f>IFERROR(IF(SUMIFS(tblDaily[Deaths],tblDaily[EntryDate],DATE(2026,12,17),tblDaily[WardCode],"BG")=0,"",SUMIFS(tblDaily[Deaths],tblDaily[EntryDate],DATE(2026,12,17),tblDaily[WardCode],"BG")),"")</f>
        <v/>
      </c>
      <c r="E452" s="5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5" t="str">
        <f>IFERROR(IF(SUMIFS(tblDaily[TransfersIn],tblDaily[EntryDate],DATE(2026,12,17),tblDaily[WardCode],"BG")=0,"",SUMIFS(tblDaily[TransfersIn],tblDaily[EntryDate],DATE(2026,12,17),tblDaily[WardCode],"BG")),"")</f>
        <v/>
      </c>
      <c r="G452" s="5" t="str">
        <f>IFERROR(IF(SUMIFS(tblDaily[TransfersOut],tblDaily[EntryDate],DATE(2026,12,17),tblDaily[WardCode],"BG")=0,"",SUMIFS(tblDaily[TransfersOut],tblDaily[EntryDate],DATE(2026,12,17),tblDaily[WardCode],"BG")),"")</f>
        <v/>
      </c>
      <c r="H452" s="5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IFERROR(IF(SUMIFS(tblDaily[Admissions],tblDaily[EntryDate],DATE(2026,12,18),tblDaily[WardCode],"BG")=0,"",SUMIFS(tblDaily[Admissions],tblDaily[EntryDate],DATE(2026,12,18),tblDaily[WardCode],"BG")),"")</f>
        <v/>
      </c>
      <c r="C453" s="5" t="str">
        <f>IFERROR(IF(SUMIFS(tblDaily[Discharges],tblDaily[EntryDate],DATE(2026,12,18),tblDaily[WardCode],"BG")=0,"",SUMIFS(tblDaily[Discharges],tblDaily[EntryDate],DATE(2026,12,18),tblDaily[WardCode],"BG")),"")</f>
        <v/>
      </c>
      <c r="D453" s="5" t="str">
        <f>IFERROR(IF(SUMIFS(tblDaily[Deaths],tblDaily[EntryDate],DATE(2026,12,18),tblDaily[WardCode],"BG")=0,"",SUMIFS(tblDaily[Deaths],tblDaily[EntryDate],DATE(2026,12,18),tblDaily[WardCode],"BG")),"")</f>
        <v/>
      </c>
      <c r="E453" s="5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5" t="str">
        <f>IFERROR(IF(SUMIFS(tblDaily[TransfersIn],tblDaily[EntryDate],DATE(2026,12,18),tblDaily[WardCode],"BG")=0,"",SUMIFS(tblDaily[TransfersIn],tblDaily[EntryDate],DATE(2026,12,18),tblDaily[WardCode],"BG")),"")</f>
        <v/>
      </c>
      <c r="G453" s="5" t="str">
        <f>IFERROR(IF(SUMIFS(tblDaily[TransfersOut],tblDaily[EntryDate],DATE(2026,12,18),tblDaily[WardCode],"BG")=0,"",SUMIFS(tblDaily[TransfersOut],tblDaily[EntryDate],DATE(2026,12,18),tblDaily[WardCode],"BG")),"")</f>
        <v/>
      </c>
      <c r="H453" s="5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IFERROR(IF(SUMIFS(tblDaily[Admissions],tblDaily[EntryDate],DATE(2026,12,19),tblDaily[WardCode],"BG")=0,"",SUMIFS(tblDaily[Admissions],tblDaily[EntryDate],DATE(2026,12,19),tblDaily[WardCode],"BG")),"")</f>
        <v/>
      </c>
      <c r="C454" s="5" t="str">
        <f>IFERROR(IF(SUMIFS(tblDaily[Discharges],tblDaily[EntryDate],DATE(2026,12,19),tblDaily[WardCode],"BG")=0,"",SUMIFS(tblDaily[Discharges],tblDaily[EntryDate],DATE(2026,12,19),tblDaily[WardCode],"BG")),"")</f>
        <v/>
      </c>
      <c r="D454" s="5" t="str">
        <f>IFERROR(IF(SUMIFS(tblDaily[Deaths],tblDaily[EntryDate],DATE(2026,12,19),tblDaily[WardCode],"BG")=0,"",SUMIFS(tblDaily[Deaths],tblDaily[EntryDate],DATE(2026,12,19),tblDaily[WardCode],"BG")),"")</f>
        <v/>
      </c>
      <c r="E454" s="5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5" t="str">
        <f>IFERROR(IF(SUMIFS(tblDaily[TransfersIn],tblDaily[EntryDate],DATE(2026,12,19),tblDaily[WardCode],"BG")=0,"",SUMIFS(tblDaily[TransfersIn],tblDaily[EntryDate],DATE(2026,12,19),tblDaily[WardCode],"BG")),"")</f>
        <v/>
      </c>
      <c r="G454" s="5" t="str">
        <f>IFERROR(IF(SUMIFS(tblDaily[TransfersOut],tblDaily[EntryDate],DATE(2026,12,19),tblDaily[WardCode],"BG")=0,"",SUMIFS(tblDaily[TransfersOut],tblDaily[EntryDate],DATE(2026,12,19),tblDaily[WardCode],"BG")),"")</f>
        <v/>
      </c>
      <c r="H454" s="5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IFERROR(IF(SUMIFS(tblDaily[Admissions],tblDaily[EntryDate],DATE(2026,12,20),tblDaily[WardCode],"BG")=0,"",SUMIFS(tblDaily[Admissions],tblDaily[EntryDate],DATE(2026,12,20),tblDaily[WardCode],"BG")),"")</f>
        <v/>
      </c>
      <c r="C455" s="5" t="str">
        <f>IFERROR(IF(SUMIFS(tblDaily[Discharges],tblDaily[EntryDate],DATE(2026,12,20),tblDaily[WardCode],"BG")=0,"",SUMIFS(tblDaily[Discharges],tblDaily[EntryDate],DATE(2026,12,20),tblDaily[WardCode],"BG")),"")</f>
        <v/>
      </c>
      <c r="D455" s="5" t="str">
        <f>IFERROR(IF(SUMIFS(tblDaily[Deaths],tblDaily[EntryDate],DATE(2026,12,20),tblDaily[WardCode],"BG")=0,"",SUMIFS(tblDaily[Deaths],tblDaily[EntryDate],DATE(2026,12,20),tblDaily[WardCode],"BG")),"")</f>
        <v/>
      </c>
      <c r="E455" s="5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5" t="str">
        <f>IFERROR(IF(SUMIFS(tblDaily[TransfersIn],tblDaily[EntryDate],DATE(2026,12,20),tblDaily[WardCode],"BG")=0,"",SUMIFS(tblDaily[TransfersIn],tblDaily[EntryDate],DATE(2026,12,20),tblDaily[WardCode],"BG")),"")</f>
        <v/>
      </c>
      <c r="G455" s="5" t="str">
        <f>IFERROR(IF(SUMIFS(tblDaily[TransfersOut],tblDaily[EntryDate],DATE(2026,12,20),tblDaily[WardCode],"BG")=0,"",SUMIFS(tblDaily[TransfersOut],tblDaily[EntryDate],DATE(2026,12,20),tblDaily[WardCode],"BG")),"")</f>
        <v/>
      </c>
      <c r="H455" s="5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IFERROR(IF(SUMIFS(tblDaily[Admissions],tblDaily[EntryDate],DATE(2026,12,21),tblDaily[WardCode],"BG")=0,"",SUMIFS(tblDaily[Admissions],tblDaily[EntryDate],DATE(2026,12,21),tblDaily[WardCode],"BG")),"")</f>
        <v/>
      </c>
      <c r="C456" s="5" t="str">
        <f>IFERROR(IF(SUMIFS(tblDaily[Discharges],tblDaily[EntryDate],DATE(2026,12,21),tblDaily[WardCode],"BG")=0,"",SUMIFS(tblDaily[Discharges],tblDaily[EntryDate],DATE(2026,12,21),tblDaily[WardCode],"BG")),"")</f>
        <v/>
      </c>
      <c r="D456" s="5" t="str">
        <f>IFERROR(IF(SUMIFS(tblDaily[Deaths],tblDaily[EntryDate],DATE(2026,12,21),tblDaily[WardCode],"BG")=0,"",SUMIFS(tblDaily[Deaths],tblDaily[EntryDate],DATE(2026,12,21),tblDaily[WardCode],"BG")),"")</f>
        <v/>
      </c>
      <c r="E456" s="5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5" t="str">
        <f>IFERROR(IF(SUMIFS(tblDaily[TransfersIn],tblDaily[EntryDate],DATE(2026,12,21),tblDaily[WardCode],"BG")=0,"",SUMIFS(tblDaily[TransfersIn],tblDaily[EntryDate],DATE(2026,12,21),tblDaily[WardCode],"BG")),"")</f>
        <v/>
      </c>
      <c r="G456" s="5" t="str">
        <f>IFERROR(IF(SUMIFS(tblDaily[TransfersOut],tblDaily[EntryDate],DATE(2026,12,21),tblDaily[WardCode],"BG")=0,"",SUMIFS(tblDaily[TransfersOut],tblDaily[EntryDate],DATE(2026,12,21),tblDaily[WardCode],"BG")),"")</f>
        <v/>
      </c>
      <c r="H456" s="5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IFERROR(IF(SUMIFS(tblDaily[Admissions],tblDaily[EntryDate],DATE(2026,12,22),tblDaily[WardCode],"BG")=0,"",SUMIFS(tblDaily[Admissions],tblDaily[EntryDate],DATE(2026,12,22),tblDaily[WardCode],"BG")),"")</f>
        <v/>
      </c>
      <c r="C457" s="5" t="str">
        <f>IFERROR(IF(SUMIFS(tblDaily[Discharges],tblDaily[EntryDate],DATE(2026,12,22),tblDaily[WardCode],"BG")=0,"",SUMIFS(tblDaily[Discharges],tblDaily[EntryDate],DATE(2026,12,22),tblDaily[WardCode],"BG")),"")</f>
        <v/>
      </c>
      <c r="D457" s="5" t="str">
        <f>IFERROR(IF(SUMIFS(tblDaily[Deaths],tblDaily[EntryDate],DATE(2026,12,22),tblDaily[WardCode],"BG")=0,"",SUMIFS(tblDaily[Deaths],tblDaily[EntryDate],DATE(2026,12,22),tblDaily[WardCode],"BG")),"")</f>
        <v/>
      </c>
      <c r="E457" s="5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5" t="str">
        <f>IFERROR(IF(SUMIFS(tblDaily[TransfersIn],tblDaily[EntryDate],DATE(2026,12,22),tblDaily[WardCode],"BG")=0,"",SUMIFS(tblDaily[TransfersIn],tblDaily[EntryDate],DATE(2026,12,22),tblDaily[WardCode],"BG")),"")</f>
        <v/>
      </c>
      <c r="G457" s="5" t="str">
        <f>IFERROR(IF(SUMIFS(tblDaily[TransfersOut],tblDaily[EntryDate],DATE(2026,12,22),tblDaily[WardCode],"BG")=0,"",SUMIFS(tblDaily[TransfersOut],tblDaily[EntryDate],DATE(2026,12,22),tblDaily[WardCode],"BG")),"")</f>
        <v/>
      </c>
      <c r="H457" s="5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IFERROR(IF(SUMIFS(tblDaily[Admissions],tblDaily[EntryDate],DATE(2026,12,23),tblDaily[WardCode],"BG")=0,"",SUMIFS(tblDaily[Admissions],tblDaily[EntryDate],DATE(2026,12,23),tblDaily[WardCode],"BG")),"")</f>
        <v/>
      </c>
      <c r="C458" s="5" t="str">
        <f>IFERROR(IF(SUMIFS(tblDaily[Discharges],tblDaily[EntryDate],DATE(2026,12,23),tblDaily[WardCode],"BG")=0,"",SUMIFS(tblDaily[Discharges],tblDaily[EntryDate],DATE(2026,12,23),tblDaily[WardCode],"BG")),"")</f>
        <v/>
      </c>
      <c r="D458" s="5" t="str">
        <f>IFERROR(IF(SUMIFS(tblDaily[Deaths],tblDaily[EntryDate],DATE(2026,12,23),tblDaily[WardCode],"BG")=0,"",SUMIFS(tblDaily[Deaths],tblDaily[EntryDate],DATE(2026,12,23),tblDaily[WardCode],"BG")),"")</f>
        <v/>
      </c>
      <c r="E458" s="5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5" t="str">
        <f>IFERROR(IF(SUMIFS(tblDaily[TransfersIn],tblDaily[EntryDate],DATE(2026,12,23),tblDaily[WardCode],"BG")=0,"",SUMIFS(tblDaily[TransfersIn],tblDaily[EntryDate],DATE(2026,12,23),tblDaily[WardCode],"BG")),"")</f>
        <v/>
      </c>
      <c r="G458" s="5" t="str">
        <f>IFERROR(IF(SUMIFS(tblDaily[TransfersOut],tblDaily[EntryDate],DATE(2026,12,23),tblDaily[WardCode],"BG")=0,"",SUMIFS(tblDaily[TransfersOut],tblDaily[EntryDate],DATE(2026,12,23),tblDaily[WardCode],"BG")),"")</f>
        <v/>
      </c>
      <c r="H458" s="5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IFERROR(IF(SUMIFS(tblDaily[Admissions],tblDaily[EntryDate],DATE(2026,12,24),tblDaily[WardCode],"BG")=0,"",SUMIFS(tblDaily[Admissions],tblDaily[EntryDate],DATE(2026,12,24),tblDaily[WardCode],"BG")),"")</f>
        <v/>
      </c>
      <c r="C459" s="5" t="str">
        <f>IFERROR(IF(SUMIFS(tblDaily[Discharges],tblDaily[EntryDate],DATE(2026,12,24),tblDaily[WardCode],"BG")=0,"",SUMIFS(tblDaily[Discharges],tblDaily[EntryDate],DATE(2026,12,24),tblDaily[WardCode],"BG")),"")</f>
        <v/>
      </c>
      <c r="D459" s="5" t="str">
        <f>IFERROR(IF(SUMIFS(tblDaily[Deaths],tblDaily[EntryDate],DATE(2026,12,24),tblDaily[WardCode],"BG")=0,"",SUMIFS(tblDaily[Deaths],tblDaily[EntryDate],DATE(2026,12,24),tblDaily[WardCode],"BG")),"")</f>
        <v/>
      </c>
      <c r="E459" s="5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5" t="str">
        <f>IFERROR(IF(SUMIFS(tblDaily[TransfersIn],tblDaily[EntryDate],DATE(2026,12,24),tblDaily[WardCode],"BG")=0,"",SUMIFS(tblDaily[TransfersIn],tblDaily[EntryDate],DATE(2026,12,24),tblDaily[WardCode],"BG")),"")</f>
        <v/>
      </c>
      <c r="G459" s="5" t="str">
        <f>IFERROR(IF(SUMIFS(tblDaily[TransfersOut],tblDaily[EntryDate],DATE(2026,12,24),tblDaily[WardCode],"BG")=0,"",SUMIFS(tblDaily[TransfersOut],tblDaily[EntryDate],DATE(2026,12,24),tblDaily[WardCode],"BG")),"")</f>
        <v/>
      </c>
      <c r="H459" s="5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IFERROR(IF(SUMIFS(tblDaily[Admissions],tblDaily[EntryDate],DATE(2026,12,25),tblDaily[WardCode],"BG")=0,"",SUMIFS(tblDaily[Admissions],tblDaily[EntryDate],DATE(2026,12,25),tblDaily[WardCode],"BG")),"")</f>
        <v/>
      </c>
      <c r="C460" s="5" t="str">
        <f>IFERROR(IF(SUMIFS(tblDaily[Discharges],tblDaily[EntryDate],DATE(2026,12,25),tblDaily[WardCode],"BG")=0,"",SUMIFS(tblDaily[Discharges],tblDaily[EntryDate],DATE(2026,12,25),tblDaily[WardCode],"BG")),"")</f>
        <v/>
      </c>
      <c r="D460" s="5" t="str">
        <f>IFERROR(IF(SUMIFS(tblDaily[Deaths],tblDaily[EntryDate],DATE(2026,12,25),tblDaily[WardCode],"BG")=0,"",SUMIFS(tblDaily[Deaths],tblDaily[EntryDate],DATE(2026,12,25),tblDaily[WardCode],"BG")),"")</f>
        <v/>
      </c>
      <c r="E460" s="5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5" t="str">
        <f>IFERROR(IF(SUMIFS(tblDaily[TransfersIn],tblDaily[EntryDate],DATE(2026,12,25),tblDaily[WardCode],"BG")=0,"",SUMIFS(tblDaily[TransfersIn],tblDaily[EntryDate],DATE(2026,12,25),tblDaily[WardCode],"BG")),"")</f>
        <v/>
      </c>
      <c r="G460" s="5" t="str">
        <f>IFERROR(IF(SUMIFS(tblDaily[TransfersOut],tblDaily[EntryDate],DATE(2026,12,25),tblDaily[WardCode],"BG")=0,"",SUMIFS(tblDaily[TransfersOut],tblDaily[EntryDate],DATE(2026,12,25),tblDaily[WardCode],"BG")),"")</f>
        <v/>
      </c>
      <c r="H460" s="5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IFERROR(IF(SUMIFS(tblDaily[Admissions],tblDaily[EntryDate],DATE(2026,12,26),tblDaily[WardCode],"BG")=0,"",SUMIFS(tblDaily[Admissions],tblDaily[EntryDate],DATE(2026,12,26),tblDaily[WardCode],"BG")),"")</f>
        <v/>
      </c>
      <c r="C461" s="5" t="str">
        <f>IFERROR(IF(SUMIFS(tblDaily[Discharges],tblDaily[EntryDate],DATE(2026,12,26),tblDaily[WardCode],"BG")=0,"",SUMIFS(tblDaily[Discharges],tblDaily[EntryDate],DATE(2026,12,26),tblDaily[WardCode],"BG")),"")</f>
        <v/>
      </c>
      <c r="D461" s="5" t="str">
        <f>IFERROR(IF(SUMIFS(tblDaily[Deaths],tblDaily[EntryDate],DATE(2026,12,26),tblDaily[WardCode],"BG")=0,"",SUMIFS(tblDaily[Deaths],tblDaily[EntryDate],DATE(2026,12,26),tblDaily[WardCode],"BG")),"")</f>
        <v/>
      </c>
      <c r="E461" s="5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5" t="str">
        <f>IFERROR(IF(SUMIFS(tblDaily[TransfersIn],tblDaily[EntryDate],DATE(2026,12,26),tblDaily[WardCode],"BG")=0,"",SUMIFS(tblDaily[TransfersIn],tblDaily[EntryDate],DATE(2026,12,26),tblDaily[WardCode],"BG")),"")</f>
        <v/>
      </c>
      <c r="G461" s="5" t="str">
        <f>IFERROR(IF(SUMIFS(tblDaily[TransfersOut],tblDaily[EntryDate],DATE(2026,12,26),tblDaily[WardCode],"BG")=0,"",SUMIFS(tblDaily[TransfersOut],tblDaily[EntryDate],DATE(2026,12,26),tblDaily[WardCode],"BG")),"")</f>
        <v/>
      </c>
      <c r="H461" s="5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IFERROR(IF(SUMIFS(tblDaily[Admissions],tblDaily[EntryDate],DATE(2026,12,27),tblDaily[WardCode],"BG")=0,"",SUMIFS(tblDaily[Admissions],tblDaily[EntryDate],DATE(2026,12,27),tblDaily[WardCode],"BG")),"")</f>
        <v/>
      </c>
      <c r="C462" s="5" t="str">
        <f>IFERROR(IF(SUMIFS(tblDaily[Discharges],tblDaily[EntryDate],DATE(2026,12,27),tblDaily[WardCode],"BG")=0,"",SUMIFS(tblDaily[Discharges],tblDaily[EntryDate],DATE(2026,12,27),tblDaily[WardCode],"BG")),"")</f>
        <v/>
      </c>
      <c r="D462" s="5" t="str">
        <f>IFERROR(IF(SUMIFS(tblDaily[Deaths],tblDaily[EntryDate],DATE(2026,12,27),tblDaily[WardCode],"BG")=0,"",SUMIFS(tblDaily[Deaths],tblDaily[EntryDate],DATE(2026,12,27),tblDaily[WardCode],"BG")),"")</f>
        <v/>
      </c>
      <c r="E462" s="5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5" t="str">
        <f>IFERROR(IF(SUMIFS(tblDaily[TransfersIn],tblDaily[EntryDate],DATE(2026,12,27),tblDaily[WardCode],"BG")=0,"",SUMIFS(tblDaily[TransfersIn],tblDaily[EntryDate],DATE(2026,12,27),tblDaily[WardCode],"BG")),"")</f>
        <v/>
      </c>
      <c r="G462" s="5" t="str">
        <f>IFERROR(IF(SUMIFS(tblDaily[TransfersOut],tblDaily[EntryDate],DATE(2026,12,27),tblDaily[WardCode],"BG")=0,"",SUMIFS(tblDaily[TransfersOut],tblDaily[EntryDate],DATE(2026,12,27),tblDaily[WardCode],"BG")),"")</f>
        <v/>
      </c>
      <c r="H462" s="5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IFERROR(IF(SUMIFS(tblDaily[Admissions],tblDaily[EntryDate],DATE(2026,12,28),tblDaily[WardCode],"BG")=0,"",SUMIFS(tblDaily[Admissions],tblDaily[EntryDate],DATE(2026,12,28),tblDaily[WardCode],"BG")),"")</f>
        <v/>
      </c>
      <c r="C463" s="5" t="str">
        <f>IFERROR(IF(SUMIFS(tblDaily[Discharges],tblDaily[EntryDate],DATE(2026,12,28),tblDaily[WardCode],"BG")=0,"",SUMIFS(tblDaily[Discharges],tblDaily[EntryDate],DATE(2026,12,28),tblDaily[WardCode],"BG")),"")</f>
        <v/>
      </c>
      <c r="D463" s="5" t="str">
        <f>IFERROR(IF(SUMIFS(tblDaily[Deaths],tblDaily[EntryDate],DATE(2026,12,28),tblDaily[WardCode],"BG")=0,"",SUMIFS(tblDaily[Deaths],tblDaily[EntryDate],DATE(2026,12,28),tblDaily[WardCode],"BG")),"")</f>
        <v/>
      </c>
      <c r="E463" s="5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5" t="str">
        <f>IFERROR(IF(SUMIFS(tblDaily[TransfersIn],tblDaily[EntryDate],DATE(2026,12,28),tblDaily[WardCode],"BG")=0,"",SUMIFS(tblDaily[TransfersIn],tblDaily[EntryDate],DATE(2026,12,28),tblDaily[WardCode],"BG")),"")</f>
        <v/>
      </c>
      <c r="G463" s="5" t="str">
        <f>IFERROR(IF(SUMIFS(tblDaily[TransfersOut],tblDaily[EntryDate],DATE(2026,12,28),tblDaily[WardCode],"BG")=0,"",SUMIFS(tblDaily[TransfersOut],tblDaily[EntryDate],DATE(2026,12,28),tblDaily[WardCode],"BG")),"")</f>
        <v/>
      </c>
      <c r="H463" s="5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IFERROR(IF(SUMIFS(tblDaily[Admissions],tblDaily[EntryDate],DATE(2026,12,29),tblDaily[WardCode],"BG")=0,"",SUMIFS(tblDaily[Admissions],tblDaily[EntryDate],DATE(2026,12,29),tblDaily[WardCode],"BG")),"")</f>
        <v/>
      </c>
      <c r="C464" s="5" t="str">
        <f>IFERROR(IF(SUMIFS(tblDaily[Discharges],tblDaily[EntryDate],DATE(2026,12,29),tblDaily[WardCode],"BG")=0,"",SUMIFS(tblDaily[Discharges],tblDaily[EntryDate],DATE(2026,12,29),tblDaily[WardCode],"BG")),"")</f>
        <v/>
      </c>
      <c r="D464" s="5" t="str">
        <f>IFERROR(IF(SUMIFS(tblDaily[Deaths],tblDaily[EntryDate],DATE(2026,12,29),tblDaily[WardCode],"BG")=0,"",SUMIFS(tblDaily[Deaths],tblDaily[EntryDate],DATE(2026,12,29),tblDaily[WardCode],"BG")),"")</f>
        <v/>
      </c>
      <c r="E464" s="5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5" t="str">
        <f>IFERROR(IF(SUMIFS(tblDaily[TransfersIn],tblDaily[EntryDate],DATE(2026,12,29),tblDaily[WardCode],"BG")=0,"",SUMIFS(tblDaily[TransfersIn],tblDaily[EntryDate],DATE(2026,12,29),tblDaily[WardCode],"BG")),"")</f>
        <v/>
      </c>
      <c r="G464" s="5" t="str">
        <f>IFERROR(IF(SUMIFS(tblDaily[TransfersOut],tblDaily[EntryDate],DATE(2026,12,29),tblDaily[WardCode],"BG")=0,"",SUMIFS(tblDaily[TransfersOut],tblDaily[EntryDate],DATE(2026,12,29),tblDaily[WardCode],"BG")),"")</f>
        <v/>
      </c>
      <c r="H464" s="5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IFERROR(IF(SUMIFS(tblDaily[Admissions],tblDaily[EntryDate],DATE(2026,12,30),tblDaily[WardCode],"BG")=0,"",SUMIFS(tblDaily[Admissions],tblDaily[EntryDate],DATE(2026,12,30),tblDaily[WardCode],"BG")),"")</f>
        <v/>
      </c>
      <c r="C465" s="5" t="str">
        <f>IFERROR(IF(SUMIFS(tblDaily[Discharges],tblDaily[EntryDate],DATE(2026,12,30),tblDaily[WardCode],"BG")=0,"",SUMIFS(tblDaily[Discharges],tblDaily[EntryDate],DATE(2026,12,30),tblDaily[WardCode],"BG")),"")</f>
        <v/>
      </c>
      <c r="D465" s="5" t="str">
        <f>IFERROR(IF(SUMIFS(tblDaily[Deaths],tblDaily[EntryDate],DATE(2026,12,30),tblDaily[WardCode],"BG")=0,"",SUMIFS(tblDaily[Deaths],tblDaily[EntryDate],DATE(2026,12,30),tblDaily[WardCode],"BG")),"")</f>
        <v/>
      </c>
      <c r="E465" s="5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5" t="str">
        <f>IFERROR(IF(SUMIFS(tblDaily[TransfersIn],tblDaily[EntryDate],DATE(2026,12,30),tblDaily[WardCode],"BG")=0,"",SUMIFS(tblDaily[TransfersIn],tblDaily[EntryDate],DATE(2026,12,30),tblDaily[WardCode],"BG")),"")</f>
        <v/>
      </c>
      <c r="G465" s="5" t="str">
        <f>IFERROR(IF(SUMIFS(tblDaily[TransfersOut],tblDaily[EntryDate],DATE(2026,12,30),tblDaily[WardCode],"BG")=0,"",SUMIFS(tblDaily[TransfersOut],tblDaily[EntryDate],DATE(2026,12,30),tblDaily[WardCode],"BG")),"")</f>
        <v/>
      </c>
      <c r="H465" s="5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IFERROR(IF(SUMIFS(tblDaily[Admissions],tblDaily[EntryDate],DATE(2026,12,31),tblDaily[WardCode],"BG")=0,"",SUMIFS(tblDaily[Admissions],tblDaily[EntryDate],DATE(2026,12,31),tblDaily[WardCode],"BG")),"")</f>
        <v/>
      </c>
      <c r="C466" s="5" t="str">
        <f>IFERROR(IF(SUMIFS(tblDaily[Discharges],tblDaily[EntryDate],DATE(2026,12,31),tblDaily[WardCode],"BG")=0,"",SUMIFS(tblDaily[Discharges],tblDaily[EntryDate],DATE(2026,12,31),tblDaily[WardCode],"BG")),"")</f>
        <v/>
      </c>
      <c r="D466" s="5" t="str">
        <f>IFERROR(IF(SUMIFS(tblDaily[Deaths],tblDaily[EntryDate],DATE(2026,12,31),tblDaily[WardCode],"BG")=0,"",SUMIFS(tblDaily[Deaths],tblDaily[EntryDate],DATE(2026,12,31),tblDaily[WardCode],"BG")),"")</f>
        <v/>
      </c>
      <c r="E466" s="5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5" t="str">
        <f>IFERROR(IF(SUMIFS(tblDaily[TransfersIn],tblDaily[EntryDate],DATE(2026,12,31),tblDaily[WardCode],"BG")=0,"",SUMIFS(tblDaily[TransfersIn],tblDaily[EntryDate],DATE(2026,12,31),tblDaily[WardCode],"BG")),"")</f>
        <v/>
      </c>
      <c r="G466" s="5" t="str">
        <f>IFERROR(IF(SUMIFS(tblDaily[TransfersOut],tblDaily[EntryDate],DATE(2026,12,31),tblDaily[WardCode],"BG")=0,"",SUMIFS(tblDaily[TransfersOut],tblDaily[EntryDate],DATE(2026,12,31),tblDaily[WardCode],"BG")),"")</f>
        <v/>
      </c>
      <c r="H466" s="5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95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100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IFERROR(INDEX(tblWardConfig[PrevYearRemaining],MATCH("BH",tblWardConfig[WardCode],0)),0)</f>
        <v>0</v>
      </c>
    </row>
    <row r="5" spans="1:8" x14ac:dyDescent="0.25">
      <c r="A5" s="1" t="s">
        <v>89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IFERROR(IF(SUMIFS(tblDaily[Admissions],tblDaily[EntryDate],DATE(2026,1,1),tblDaily[WardCode],"BH")=0,"",SUMIFS(tblDaily[Admissions],tblDaily[EntryDate],DATE(2026,1,1),tblDaily[WardCode],"BH")),"")</f>
        <v/>
      </c>
      <c r="C7" s="5" t="str">
        <f>IFERROR(IF(SUMIFS(tblDaily[Discharges],tblDaily[EntryDate],DATE(2026,1,1),tblDaily[WardCode],"BH")=0,"",SUMIFS(tblDaily[Discharges],tblDaily[EntryDate],DATE(2026,1,1),tblDaily[WardCode],"BH")),"")</f>
        <v/>
      </c>
      <c r="D7" s="5" t="str">
        <f>IFERROR(IF(SUMIFS(tblDaily[Deaths],tblDaily[EntryDate],DATE(2026,1,1),tblDaily[WardCode],"BH")=0,"",SUMIFS(tblDaily[Deaths],tblDaily[EntryDate],DATE(2026,1,1),tblDaily[WardCode],"BH")),"")</f>
        <v/>
      </c>
      <c r="E7" s="5" t="str">
        <f>IFERROR(IF(SUMIFS(tblDaily[DeathsUnder24Hrs],tblDaily[EntryDate],DATE(2026,1,1),tblDaily[WardCode],"BH")=0,"",SUMIFS(tblDaily[DeathsUnder24Hrs],tblDaily[EntryDate],DATE(2026,1,1),tblDaily[WardCode],"BH")),"")</f>
        <v/>
      </c>
      <c r="F7" s="5" t="str">
        <f>IFERROR(IF(SUMIFS(tblDaily[TransfersIn],tblDaily[EntryDate],DATE(2026,1,1),tblDaily[WardCode],"BH")=0,"",SUMIFS(tblDaily[TransfersIn],tblDaily[EntryDate],DATE(2026,1,1),tblDaily[WardCode],"BH")),"")</f>
        <v/>
      </c>
      <c r="G7" s="5" t="str">
        <f>IFERROR(IF(SUMIFS(tblDaily[TransfersOut],tblDaily[EntryDate],DATE(2026,1,1),tblDaily[WardCode],"BH")=0,"",SUMIFS(tblDaily[TransfersOut],tblDaily[EntryDate],DATE(2026,1,1),tblDaily[WardCode],"BH")),"")</f>
        <v/>
      </c>
      <c r="H7" s="5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IFERROR(IF(SUMIFS(tblDaily[Admissions],tblDaily[EntryDate],DATE(2026,1,2),tblDaily[WardCode],"BH")=0,"",SUMIFS(tblDaily[Admissions],tblDaily[EntryDate],DATE(2026,1,2),tblDaily[WardCode],"BH")),"")</f>
        <v/>
      </c>
      <c r="C8" s="5" t="str">
        <f>IFERROR(IF(SUMIFS(tblDaily[Discharges],tblDaily[EntryDate],DATE(2026,1,2),tblDaily[WardCode],"BH")=0,"",SUMIFS(tblDaily[Discharges],tblDaily[EntryDate],DATE(2026,1,2),tblDaily[WardCode],"BH")),"")</f>
        <v/>
      </c>
      <c r="D8" s="5" t="str">
        <f>IFERROR(IF(SUMIFS(tblDaily[Deaths],tblDaily[EntryDate],DATE(2026,1,2),tblDaily[WardCode],"BH")=0,"",SUMIFS(tblDaily[Deaths],tblDaily[EntryDate],DATE(2026,1,2),tblDaily[WardCode],"BH")),"")</f>
        <v/>
      </c>
      <c r="E8" s="5" t="str">
        <f>IFERROR(IF(SUMIFS(tblDaily[DeathsUnder24Hrs],tblDaily[EntryDate],DATE(2026,1,2),tblDaily[WardCode],"BH")=0,"",SUMIFS(tblDaily[DeathsUnder24Hrs],tblDaily[EntryDate],DATE(2026,1,2),tblDaily[WardCode],"BH")),"")</f>
        <v/>
      </c>
      <c r="F8" s="5" t="str">
        <f>IFERROR(IF(SUMIFS(tblDaily[TransfersIn],tblDaily[EntryDate],DATE(2026,1,2),tblDaily[WardCode],"BH")=0,"",SUMIFS(tblDaily[TransfersIn],tblDaily[EntryDate],DATE(2026,1,2),tblDaily[WardCode],"BH")),"")</f>
        <v/>
      </c>
      <c r="G8" s="5" t="str">
        <f>IFERROR(IF(SUMIFS(tblDaily[TransfersOut],tblDaily[EntryDate],DATE(2026,1,2),tblDaily[WardCode],"BH")=0,"",SUMIFS(tblDaily[TransfersOut],tblDaily[EntryDate],DATE(2026,1,2),tblDaily[WardCode],"BH")),"")</f>
        <v/>
      </c>
      <c r="H8" s="5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IFERROR(IF(SUMIFS(tblDaily[Admissions],tblDaily[EntryDate],DATE(2026,1,3),tblDaily[WardCode],"BH")=0,"",SUMIFS(tblDaily[Admissions],tblDaily[EntryDate],DATE(2026,1,3),tblDaily[WardCode],"BH")),"")</f>
        <v/>
      </c>
      <c r="C9" s="5" t="str">
        <f>IFERROR(IF(SUMIFS(tblDaily[Discharges],tblDaily[EntryDate],DATE(2026,1,3),tblDaily[WardCode],"BH")=0,"",SUMIFS(tblDaily[Discharges],tblDaily[EntryDate],DATE(2026,1,3),tblDaily[WardCode],"BH")),"")</f>
        <v/>
      </c>
      <c r="D9" s="5" t="str">
        <f>IFERROR(IF(SUMIFS(tblDaily[Deaths],tblDaily[EntryDate],DATE(2026,1,3),tblDaily[WardCode],"BH")=0,"",SUMIFS(tblDaily[Deaths],tblDaily[EntryDate],DATE(2026,1,3),tblDaily[WardCode],"BH")),"")</f>
        <v/>
      </c>
      <c r="E9" s="5" t="str">
        <f>IFERROR(IF(SUMIFS(tblDaily[DeathsUnder24Hrs],tblDaily[EntryDate],DATE(2026,1,3),tblDaily[WardCode],"BH")=0,"",SUMIFS(tblDaily[DeathsUnder24Hrs],tblDaily[EntryDate],DATE(2026,1,3),tblDaily[WardCode],"BH")),"")</f>
        <v/>
      </c>
      <c r="F9" s="5" t="str">
        <f>IFERROR(IF(SUMIFS(tblDaily[TransfersIn],tblDaily[EntryDate],DATE(2026,1,3),tblDaily[WardCode],"BH")=0,"",SUMIFS(tblDaily[TransfersIn],tblDaily[EntryDate],DATE(2026,1,3),tblDaily[WardCode],"BH")),"")</f>
        <v/>
      </c>
      <c r="G9" s="5" t="str">
        <f>IFERROR(IF(SUMIFS(tblDaily[TransfersOut],tblDaily[EntryDate],DATE(2026,1,3),tblDaily[WardCode],"BH")=0,"",SUMIFS(tblDaily[TransfersOut],tblDaily[EntryDate],DATE(2026,1,3),tblDaily[WardCode],"BH")),"")</f>
        <v/>
      </c>
      <c r="H9" s="5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IFERROR(IF(SUMIFS(tblDaily[Admissions],tblDaily[EntryDate],DATE(2026,1,4),tblDaily[WardCode],"BH")=0,"",SUMIFS(tblDaily[Admissions],tblDaily[EntryDate],DATE(2026,1,4),tblDaily[WardCode],"BH")),"")</f>
        <v/>
      </c>
      <c r="C10" s="5" t="str">
        <f>IFERROR(IF(SUMIFS(tblDaily[Discharges],tblDaily[EntryDate],DATE(2026,1,4),tblDaily[WardCode],"BH")=0,"",SUMIFS(tblDaily[Discharges],tblDaily[EntryDate],DATE(2026,1,4),tblDaily[WardCode],"BH")),"")</f>
        <v/>
      </c>
      <c r="D10" s="5" t="str">
        <f>IFERROR(IF(SUMIFS(tblDaily[Deaths],tblDaily[EntryDate],DATE(2026,1,4),tblDaily[WardCode],"BH")=0,"",SUMIFS(tblDaily[Deaths],tblDaily[EntryDate],DATE(2026,1,4),tblDaily[WardCode],"BH")),"")</f>
        <v/>
      </c>
      <c r="E10" s="5" t="str">
        <f>IFERROR(IF(SUMIFS(tblDaily[DeathsUnder24Hrs],tblDaily[EntryDate],DATE(2026,1,4),tblDaily[WardCode],"BH")=0,"",SUMIFS(tblDaily[DeathsUnder24Hrs],tblDaily[EntryDate],DATE(2026,1,4),tblDaily[WardCode],"BH")),"")</f>
        <v/>
      </c>
      <c r="F10" s="5" t="str">
        <f>IFERROR(IF(SUMIFS(tblDaily[TransfersIn],tblDaily[EntryDate],DATE(2026,1,4),tblDaily[WardCode],"BH")=0,"",SUMIFS(tblDaily[TransfersIn],tblDaily[EntryDate],DATE(2026,1,4),tblDaily[WardCode],"BH")),"")</f>
        <v/>
      </c>
      <c r="G10" s="5" t="str">
        <f>IFERROR(IF(SUMIFS(tblDaily[TransfersOut],tblDaily[EntryDate],DATE(2026,1,4),tblDaily[WardCode],"BH")=0,"",SUMIFS(tblDaily[TransfersOut],tblDaily[EntryDate],DATE(2026,1,4),tblDaily[WardCode],"BH")),"")</f>
        <v/>
      </c>
      <c r="H10" s="5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IFERROR(IF(SUMIFS(tblDaily[Admissions],tblDaily[EntryDate],DATE(2026,1,5),tblDaily[WardCode],"BH")=0,"",SUMIFS(tblDaily[Admissions],tblDaily[EntryDate],DATE(2026,1,5),tblDaily[WardCode],"BH")),"")</f>
        <v/>
      </c>
      <c r="C11" s="5" t="str">
        <f>IFERROR(IF(SUMIFS(tblDaily[Discharges],tblDaily[EntryDate],DATE(2026,1,5),tblDaily[WardCode],"BH")=0,"",SUMIFS(tblDaily[Discharges],tblDaily[EntryDate],DATE(2026,1,5),tblDaily[WardCode],"BH")),"")</f>
        <v/>
      </c>
      <c r="D11" s="5" t="str">
        <f>IFERROR(IF(SUMIFS(tblDaily[Deaths],tblDaily[EntryDate],DATE(2026,1,5),tblDaily[WardCode],"BH")=0,"",SUMIFS(tblDaily[Deaths],tblDaily[EntryDate],DATE(2026,1,5),tblDaily[WardCode],"BH")),"")</f>
        <v/>
      </c>
      <c r="E11" s="5" t="str">
        <f>IFERROR(IF(SUMIFS(tblDaily[DeathsUnder24Hrs],tblDaily[EntryDate],DATE(2026,1,5),tblDaily[WardCode],"BH")=0,"",SUMIFS(tblDaily[DeathsUnder24Hrs],tblDaily[EntryDate],DATE(2026,1,5),tblDaily[WardCode],"BH")),"")</f>
        <v/>
      </c>
      <c r="F11" s="5" t="str">
        <f>IFERROR(IF(SUMIFS(tblDaily[TransfersIn],tblDaily[EntryDate],DATE(2026,1,5),tblDaily[WardCode],"BH")=0,"",SUMIFS(tblDaily[TransfersIn],tblDaily[EntryDate],DATE(2026,1,5),tblDaily[WardCode],"BH")),"")</f>
        <v/>
      </c>
      <c r="G11" s="5" t="str">
        <f>IFERROR(IF(SUMIFS(tblDaily[TransfersOut],tblDaily[EntryDate],DATE(2026,1,5),tblDaily[WardCode],"BH")=0,"",SUMIFS(tblDaily[TransfersOut],tblDaily[EntryDate],DATE(2026,1,5),tblDaily[WardCode],"BH")),"")</f>
        <v/>
      </c>
      <c r="H11" s="5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IFERROR(IF(SUMIFS(tblDaily[Admissions],tblDaily[EntryDate],DATE(2026,1,6),tblDaily[WardCode],"BH")=0,"",SUMIFS(tblDaily[Admissions],tblDaily[EntryDate],DATE(2026,1,6),tblDaily[WardCode],"BH")),"")</f>
        <v/>
      </c>
      <c r="C12" s="5" t="str">
        <f>IFERROR(IF(SUMIFS(tblDaily[Discharges],tblDaily[EntryDate],DATE(2026,1,6),tblDaily[WardCode],"BH")=0,"",SUMIFS(tblDaily[Discharges],tblDaily[EntryDate],DATE(2026,1,6),tblDaily[WardCode],"BH")),"")</f>
        <v/>
      </c>
      <c r="D12" s="5" t="str">
        <f>IFERROR(IF(SUMIFS(tblDaily[Deaths],tblDaily[EntryDate],DATE(2026,1,6),tblDaily[WardCode],"BH")=0,"",SUMIFS(tblDaily[Deaths],tblDaily[EntryDate],DATE(2026,1,6),tblDaily[WardCode],"BH")),"")</f>
        <v/>
      </c>
      <c r="E12" s="5" t="str">
        <f>IFERROR(IF(SUMIFS(tblDaily[DeathsUnder24Hrs],tblDaily[EntryDate],DATE(2026,1,6),tblDaily[WardCode],"BH")=0,"",SUMIFS(tblDaily[DeathsUnder24Hrs],tblDaily[EntryDate],DATE(2026,1,6),tblDaily[WardCode],"BH")),"")</f>
        <v/>
      </c>
      <c r="F12" s="5" t="str">
        <f>IFERROR(IF(SUMIFS(tblDaily[TransfersIn],tblDaily[EntryDate],DATE(2026,1,6),tblDaily[WardCode],"BH")=0,"",SUMIFS(tblDaily[TransfersIn],tblDaily[EntryDate],DATE(2026,1,6),tblDaily[WardCode],"BH")),"")</f>
        <v/>
      </c>
      <c r="G12" s="5" t="str">
        <f>IFERROR(IF(SUMIFS(tblDaily[TransfersOut],tblDaily[EntryDate],DATE(2026,1,6),tblDaily[WardCode],"BH")=0,"",SUMIFS(tblDaily[TransfersOut],tblDaily[EntryDate],DATE(2026,1,6),tblDaily[WardCode],"BH")),"")</f>
        <v/>
      </c>
      <c r="H12" s="5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IFERROR(IF(SUMIFS(tblDaily[Admissions],tblDaily[EntryDate],DATE(2026,1,7),tblDaily[WardCode],"BH")=0,"",SUMIFS(tblDaily[Admissions],tblDaily[EntryDate],DATE(2026,1,7),tblDaily[WardCode],"BH")),"")</f>
        <v/>
      </c>
      <c r="C13" s="5" t="str">
        <f>IFERROR(IF(SUMIFS(tblDaily[Discharges],tblDaily[EntryDate],DATE(2026,1,7),tblDaily[WardCode],"BH")=0,"",SUMIFS(tblDaily[Discharges],tblDaily[EntryDate],DATE(2026,1,7),tblDaily[WardCode],"BH")),"")</f>
        <v/>
      </c>
      <c r="D13" s="5" t="str">
        <f>IFERROR(IF(SUMIFS(tblDaily[Deaths],tblDaily[EntryDate],DATE(2026,1,7),tblDaily[WardCode],"BH")=0,"",SUMIFS(tblDaily[Deaths],tblDaily[EntryDate],DATE(2026,1,7),tblDaily[WardCode],"BH")),"")</f>
        <v/>
      </c>
      <c r="E13" s="5" t="str">
        <f>IFERROR(IF(SUMIFS(tblDaily[DeathsUnder24Hrs],tblDaily[EntryDate],DATE(2026,1,7),tblDaily[WardCode],"BH")=0,"",SUMIFS(tblDaily[DeathsUnder24Hrs],tblDaily[EntryDate],DATE(2026,1,7),tblDaily[WardCode],"BH")),"")</f>
        <v/>
      </c>
      <c r="F13" s="5" t="str">
        <f>IFERROR(IF(SUMIFS(tblDaily[TransfersIn],tblDaily[EntryDate],DATE(2026,1,7),tblDaily[WardCode],"BH")=0,"",SUMIFS(tblDaily[TransfersIn],tblDaily[EntryDate],DATE(2026,1,7),tblDaily[WardCode],"BH")),"")</f>
        <v/>
      </c>
      <c r="G13" s="5" t="str">
        <f>IFERROR(IF(SUMIFS(tblDaily[TransfersOut],tblDaily[EntryDate],DATE(2026,1,7),tblDaily[WardCode],"BH")=0,"",SUMIFS(tblDaily[TransfersOut],tblDaily[EntryDate],DATE(2026,1,7),tblDaily[WardCode],"BH")),"")</f>
        <v/>
      </c>
      <c r="H13" s="5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IFERROR(IF(SUMIFS(tblDaily[Admissions],tblDaily[EntryDate],DATE(2026,1,8),tblDaily[WardCode],"BH")=0,"",SUMIFS(tblDaily[Admissions],tblDaily[EntryDate],DATE(2026,1,8),tblDaily[WardCode],"BH")),"")</f>
        <v/>
      </c>
      <c r="C14" s="5" t="str">
        <f>IFERROR(IF(SUMIFS(tblDaily[Discharges],tblDaily[EntryDate],DATE(2026,1,8),tblDaily[WardCode],"BH")=0,"",SUMIFS(tblDaily[Discharges],tblDaily[EntryDate],DATE(2026,1,8),tblDaily[WardCode],"BH")),"")</f>
        <v/>
      </c>
      <c r="D14" s="5" t="str">
        <f>IFERROR(IF(SUMIFS(tblDaily[Deaths],tblDaily[EntryDate],DATE(2026,1,8),tblDaily[WardCode],"BH")=0,"",SUMIFS(tblDaily[Deaths],tblDaily[EntryDate],DATE(2026,1,8),tblDaily[WardCode],"BH")),"")</f>
        <v/>
      </c>
      <c r="E14" s="5" t="str">
        <f>IFERROR(IF(SUMIFS(tblDaily[DeathsUnder24Hrs],tblDaily[EntryDate],DATE(2026,1,8),tblDaily[WardCode],"BH")=0,"",SUMIFS(tblDaily[DeathsUnder24Hrs],tblDaily[EntryDate],DATE(2026,1,8),tblDaily[WardCode],"BH")),"")</f>
        <v/>
      </c>
      <c r="F14" s="5" t="str">
        <f>IFERROR(IF(SUMIFS(tblDaily[TransfersIn],tblDaily[EntryDate],DATE(2026,1,8),tblDaily[WardCode],"BH")=0,"",SUMIFS(tblDaily[TransfersIn],tblDaily[EntryDate],DATE(2026,1,8),tblDaily[WardCode],"BH")),"")</f>
        <v/>
      </c>
      <c r="G14" s="5" t="str">
        <f>IFERROR(IF(SUMIFS(tblDaily[TransfersOut],tblDaily[EntryDate],DATE(2026,1,8),tblDaily[WardCode],"BH")=0,"",SUMIFS(tblDaily[TransfersOut],tblDaily[EntryDate],DATE(2026,1,8),tblDaily[WardCode],"BH")),"")</f>
        <v/>
      </c>
      <c r="H14" s="5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IFERROR(IF(SUMIFS(tblDaily[Admissions],tblDaily[EntryDate],DATE(2026,1,9),tblDaily[WardCode],"BH")=0,"",SUMIFS(tblDaily[Admissions],tblDaily[EntryDate],DATE(2026,1,9),tblDaily[WardCode],"BH")),"")</f>
        <v/>
      </c>
      <c r="C15" s="5" t="str">
        <f>IFERROR(IF(SUMIFS(tblDaily[Discharges],tblDaily[EntryDate],DATE(2026,1,9),tblDaily[WardCode],"BH")=0,"",SUMIFS(tblDaily[Discharges],tblDaily[EntryDate],DATE(2026,1,9),tblDaily[WardCode],"BH")),"")</f>
        <v/>
      </c>
      <c r="D15" s="5" t="str">
        <f>IFERROR(IF(SUMIFS(tblDaily[Deaths],tblDaily[EntryDate],DATE(2026,1,9),tblDaily[WardCode],"BH")=0,"",SUMIFS(tblDaily[Deaths],tblDaily[EntryDate],DATE(2026,1,9),tblDaily[WardCode],"BH")),"")</f>
        <v/>
      </c>
      <c r="E15" s="5" t="str">
        <f>IFERROR(IF(SUMIFS(tblDaily[DeathsUnder24Hrs],tblDaily[EntryDate],DATE(2026,1,9),tblDaily[WardCode],"BH")=0,"",SUMIFS(tblDaily[DeathsUnder24Hrs],tblDaily[EntryDate],DATE(2026,1,9),tblDaily[WardCode],"BH")),"")</f>
        <v/>
      </c>
      <c r="F15" s="5" t="str">
        <f>IFERROR(IF(SUMIFS(tblDaily[TransfersIn],tblDaily[EntryDate],DATE(2026,1,9),tblDaily[WardCode],"BH")=0,"",SUMIFS(tblDaily[TransfersIn],tblDaily[EntryDate],DATE(2026,1,9),tblDaily[WardCode],"BH")),"")</f>
        <v/>
      </c>
      <c r="G15" s="5" t="str">
        <f>IFERROR(IF(SUMIFS(tblDaily[TransfersOut],tblDaily[EntryDate],DATE(2026,1,9),tblDaily[WardCode],"BH")=0,"",SUMIFS(tblDaily[TransfersOut],tblDaily[EntryDate],DATE(2026,1,9),tblDaily[WardCode],"BH")),"")</f>
        <v/>
      </c>
      <c r="H15" s="5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IFERROR(IF(SUMIFS(tblDaily[Admissions],tblDaily[EntryDate],DATE(2026,1,10),tblDaily[WardCode],"BH")=0,"",SUMIFS(tblDaily[Admissions],tblDaily[EntryDate],DATE(2026,1,10),tblDaily[WardCode],"BH")),"")</f>
        <v/>
      </c>
      <c r="C16" s="5" t="str">
        <f>IFERROR(IF(SUMIFS(tblDaily[Discharges],tblDaily[EntryDate],DATE(2026,1,10),tblDaily[WardCode],"BH")=0,"",SUMIFS(tblDaily[Discharges],tblDaily[EntryDate],DATE(2026,1,10),tblDaily[WardCode],"BH")),"")</f>
        <v/>
      </c>
      <c r="D16" s="5" t="str">
        <f>IFERROR(IF(SUMIFS(tblDaily[Deaths],tblDaily[EntryDate],DATE(2026,1,10),tblDaily[WardCode],"BH")=0,"",SUMIFS(tblDaily[Deaths],tblDaily[EntryDate],DATE(2026,1,10),tblDaily[WardCode],"BH")),"")</f>
        <v/>
      </c>
      <c r="E16" s="5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5" t="str">
        <f>IFERROR(IF(SUMIFS(tblDaily[TransfersIn],tblDaily[EntryDate],DATE(2026,1,10),tblDaily[WardCode],"BH")=0,"",SUMIFS(tblDaily[TransfersIn],tblDaily[EntryDate],DATE(2026,1,10),tblDaily[WardCode],"BH")),"")</f>
        <v/>
      </c>
      <c r="G16" s="5" t="str">
        <f>IFERROR(IF(SUMIFS(tblDaily[TransfersOut],tblDaily[EntryDate],DATE(2026,1,10),tblDaily[WardCode],"BH")=0,"",SUMIFS(tblDaily[TransfersOut],tblDaily[EntryDate],DATE(2026,1,10),tblDaily[WardCode],"BH")),"")</f>
        <v/>
      </c>
      <c r="H16" s="5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IFERROR(IF(SUMIFS(tblDaily[Admissions],tblDaily[EntryDate],DATE(2026,1,11),tblDaily[WardCode],"BH")=0,"",SUMIFS(tblDaily[Admissions],tblDaily[EntryDate],DATE(2026,1,11),tblDaily[WardCode],"BH")),"")</f>
        <v/>
      </c>
      <c r="C17" s="5" t="str">
        <f>IFERROR(IF(SUMIFS(tblDaily[Discharges],tblDaily[EntryDate],DATE(2026,1,11),tblDaily[WardCode],"BH")=0,"",SUMIFS(tblDaily[Discharges],tblDaily[EntryDate],DATE(2026,1,11),tblDaily[WardCode],"BH")),"")</f>
        <v/>
      </c>
      <c r="D17" s="5" t="str">
        <f>IFERROR(IF(SUMIFS(tblDaily[Deaths],tblDaily[EntryDate],DATE(2026,1,11),tblDaily[WardCode],"BH")=0,"",SUMIFS(tblDaily[Deaths],tblDaily[EntryDate],DATE(2026,1,11),tblDaily[WardCode],"BH")),"")</f>
        <v/>
      </c>
      <c r="E17" s="5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5" t="str">
        <f>IFERROR(IF(SUMIFS(tblDaily[TransfersIn],tblDaily[EntryDate],DATE(2026,1,11),tblDaily[WardCode],"BH")=0,"",SUMIFS(tblDaily[TransfersIn],tblDaily[EntryDate],DATE(2026,1,11),tblDaily[WardCode],"BH")),"")</f>
        <v/>
      </c>
      <c r="G17" s="5" t="str">
        <f>IFERROR(IF(SUMIFS(tblDaily[TransfersOut],tblDaily[EntryDate],DATE(2026,1,11),tblDaily[WardCode],"BH")=0,"",SUMIFS(tblDaily[TransfersOut],tblDaily[EntryDate],DATE(2026,1,11),tblDaily[WardCode],"BH")),"")</f>
        <v/>
      </c>
      <c r="H17" s="5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IFERROR(IF(SUMIFS(tblDaily[Admissions],tblDaily[EntryDate],DATE(2026,1,12),tblDaily[WardCode],"BH")=0,"",SUMIFS(tblDaily[Admissions],tblDaily[EntryDate],DATE(2026,1,12),tblDaily[WardCode],"BH")),"")</f>
        <v/>
      </c>
      <c r="C18" s="5" t="str">
        <f>IFERROR(IF(SUMIFS(tblDaily[Discharges],tblDaily[EntryDate],DATE(2026,1,12),tblDaily[WardCode],"BH")=0,"",SUMIFS(tblDaily[Discharges],tblDaily[EntryDate],DATE(2026,1,12),tblDaily[WardCode],"BH")),"")</f>
        <v/>
      </c>
      <c r="D18" s="5" t="str">
        <f>IFERROR(IF(SUMIFS(tblDaily[Deaths],tblDaily[EntryDate],DATE(2026,1,12),tblDaily[WardCode],"BH")=0,"",SUMIFS(tblDaily[Deaths],tblDaily[EntryDate],DATE(2026,1,12),tblDaily[WardCode],"BH")),"")</f>
        <v/>
      </c>
      <c r="E18" s="5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5" t="str">
        <f>IFERROR(IF(SUMIFS(tblDaily[TransfersIn],tblDaily[EntryDate],DATE(2026,1,12),tblDaily[WardCode],"BH")=0,"",SUMIFS(tblDaily[TransfersIn],tblDaily[EntryDate],DATE(2026,1,12),tblDaily[WardCode],"BH")),"")</f>
        <v/>
      </c>
      <c r="G18" s="5" t="str">
        <f>IFERROR(IF(SUMIFS(tblDaily[TransfersOut],tblDaily[EntryDate],DATE(2026,1,12),tblDaily[WardCode],"BH")=0,"",SUMIFS(tblDaily[TransfersOut],tblDaily[EntryDate],DATE(2026,1,12),tblDaily[WardCode],"BH")),"")</f>
        <v/>
      </c>
      <c r="H18" s="5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IFERROR(IF(SUMIFS(tblDaily[Admissions],tblDaily[EntryDate],DATE(2026,1,13),tblDaily[WardCode],"BH")=0,"",SUMIFS(tblDaily[Admissions],tblDaily[EntryDate],DATE(2026,1,13),tblDaily[WardCode],"BH")),"")</f>
        <v/>
      </c>
      <c r="C19" s="5" t="str">
        <f>IFERROR(IF(SUMIFS(tblDaily[Discharges],tblDaily[EntryDate],DATE(2026,1,13),tblDaily[WardCode],"BH")=0,"",SUMIFS(tblDaily[Discharges],tblDaily[EntryDate],DATE(2026,1,13),tblDaily[WardCode],"BH")),"")</f>
        <v/>
      </c>
      <c r="D19" s="5" t="str">
        <f>IFERROR(IF(SUMIFS(tblDaily[Deaths],tblDaily[EntryDate],DATE(2026,1,13),tblDaily[WardCode],"BH")=0,"",SUMIFS(tblDaily[Deaths],tblDaily[EntryDate],DATE(2026,1,13),tblDaily[WardCode],"BH")),"")</f>
        <v/>
      </c>
      <c r="E19" s="5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5" t="str">
        <f>IFERROR(IF(SUMIFS(tblDaily[TransfersIn],tblDaily[EntryDate],DATE(2026,1,13),tblDaily[WardCode],"BH")=0,"",SUMIFS(tblDaily[TransfersIn],tblDaily[EntryDate],DATE(2026,1,13),tblDaily[WardCode],"BH")),"")</f>
        <v/>
      </c>
      <c r="G19" s="5" t="str">
        <f>IFERROR(IF(SUMIFS(tblDaily[TransfersOut],tblDaily[EntryDate],DATE(2026,1,13),tblDaily[WardCode],"BH")=0,"",SUMIFS(tblDaily[TransfersOut],tblDaily[EntryDate],DATE(2026,1,13),tblDaily[WardCode],"BH")),"")</f>
        <v/>
      </c>
      <c r="H19" s="5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IFERROR(IF(SUMIFS(tblDaily[Admissions],tblDaily[EntryDate],DATE(2026,1,14),tblDaily[WardCode],"BH")=0,"",SUMIFS(tblDaily[Admissions],tblDaily[EntryDate],DATE(2026,1,14),tblDaily[WardCode],"BH")),"")</f>
        <v/>
      </c>
      <c r="C20" s="5" t="str">
        <f>IFERROR(IF(SUMIFS(tblDaily[Discharges],tblDaily[EntryDate],DATE(2026,1,14),tblDaily[WardCode],"BH")=0,"",SUMIFS(tblDaily[Discharges],tblDaily[EntryDate],DATE(2026,1,14),tblDaily[WardCode],"BH")),"")</f>
        <v/>
      </c>
      <c r="D20" s="5" t="str">
        <f>IFERROR(IF(SUMIFS(tblDaily[Deaths],tblDaily[EntryDate],DATE(2026,1,14),tblDaily[WardCode],"BH")=0,"",SUMIFS(tblDaily[Deaths],tblDaily[EntryDate],DATE(2026,1,14),tblDaily[WardCode],"BH")),"")</f>
        <v/>
      </c>
      <c r="E20" s="5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5" t="str">
        <f>IFERROR(IF(SUMIFS(tblDaily[TransfersIn],tblDaily[EntryDate],DATE(2026,1,14),tblDaily[WardCode],"BH")=0,"",SUMIFS(tblDaily[TransfersIn],tblDaily[EntryDate],DATE(2026,1,14),tblDaily[WardCode],"BH")),"")</f>
        <v/>
      </c>
      <c r="G20" s="5" t="str">
        <f>IFERROR(IF(SUMIFS(tblDaily[TransfersOut],tblDaily[EntryDate],DATE(2026,1,14),tblDaily[WardCode],"BH")=0,"",SUMIFS(tblDaily[TransfersOut],tblDaily[EntryDate],DATE(2026,1,14),tblDaily[WardCode],"BH")),"")</f>
        <v/>
      </c>
      <c r="H20" s="5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IFERROR(IF(SUMIFS(tblDaily[Admissions],tblDaily[EntryDate],DATE(2026,1,15),tblDaily[WardCode],"BH")=0,"",SUMIFS(tblDaily[Admissions],tblDaily[EntryDate],DATE(2026,1,15),tblDaily[WardCode],"BH")),"")</f>
        <v/>
      </c>
      <c r="C21" s="5" t="str">
        <f>IFERROR(IF(SUMIFS(tblDaily[Discharges],tblDaily[EntryDate],DATE(2026,1,15),tblDaily[WardCode],"BH")=0,"",SUMIFS(tblDaily[Discharges],tblDaily[EntryDate],DATE(2026,1,15),tblDaily[WardCode],"BH")),"")</f>
        <v/>
      </c>
      <c r="D21" s="5" t="str">
        <f>IFERROR(IF(SUMIFS(tblDaily[Deaths],tblDaily[EntryDate],DATE(2026,1,15),tblDaily[WardCode],"BH")=0,"",SUMIFS(tblDaily[Deaths],tblDaily[EntryDate],DATE(2026,1,15),tblDaily[WardCode],"BH")),"")</f>
        <v/>
      </c>
      <c r="E21" s="5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5" t="str">
        <f>IFERROR(IF(SUMIFS(tblDaily[TransfersIn],tblDaily[EntryDate],DATE(2026,1,15),tblDaily[WardCode],"BH")=0,"",SUMIFS(tblDaily[TransfersIn],tblDaily[EntryDate],DATE(2026,1,15),tblDaily[WardCode],"BH")),"")</f>
        <v/>
      </c>
      <c r="G21" s="5" t="str">
        <f>IFERROR(IF(SUMIFS(tblDaily[TransfersOut],tblDaily[EntryDate],DATE(2026,1,15),tblDaily[WardCode],"BH")=0,"",SUMIFS(tblDaily[TransfersOut],tblDaily[EntryDate],DATE(2026,1,15),tblDaily[WardCode],"BH")),"")</f>
        <v/>
      </c>
      <c r="H21" s="5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IFERROR(IF(SUMIFS(tblDaily[Admissions],tblDaily[EntryDate],DATE(2026,1,16),tblDaily[WardCode],"BH")=0,"",SUMIFS(tblDaily[Admissions],tblDaily[EntryDate],DATE(2026,1,16),tblDaily[WardCode],"BH")),"")</f>
        <v/>
      </c>
      <c r="C22" s="5" t="str">
        <f>IFERROR(IF(SUMIFS(tblDaily[Discharges],tblDaily[EntryDate],DATE(2026,1,16),tblDaily[WardCode],"BH")=0,"",SUMIFS(tblDaily[Discharges],tblDaily[EntryDate],DATE(2026,1,16),tblDaily[WardCode],"BH")),"")</f>
        <v/>
      </c>
      <c r="D22" s="5" t="str">
        <f>IFERROR(IF(SUMIFS(tblDaily[Deaths],tblDaily[EntryDate],DATE(2026,1,16),tblDaily[WardCode],"BH")=0,"",SUMIFS(tblDaily[Deaths],tblDaily[EntryDate],DATE(2026,1,16),tblDaily[WardCode],"BH")),"")</f>
        <v/>
      </c>
      <c r="E22" s="5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5" t="str">
        <f>IFERROR(IF(SUMIFS(tblDaily[TransfersIn],tblDaily[EntryDate],DATE(2026,1,16),tblDaily[WardCode],"BH")=0,"",SUMIFS(tblDaily[TransfersIn],tblDaily[EntryDate],DATE(2026,1,16),tblDaily[WardCode],"BH")),"")</f>
        <v/>
      </c>
      <c r="G22" s="5" t="str">
        <f>IFERROR(IF(SUMIFS(tblDaily[TransfersOut],tblDaily[EntryDate],DATE(2026,1,16),tblDaily[WardCode],"BH")=0,"",SUMIFS(tblDaily[TransfersOut],tblDaily[EntryDate],DATE(2026,1,16),tblDaily[WardCode],"BH")),"")</f>
        <v/>
      </c>
      <c r="H22" s="5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IFERROR(IF(SUMIFS(tblDaily[Admissions],tblDaily[EntryDate],DATE(2026,1,17),tblDaily[WardCode],"BH")=0,"",SUMIFS(tblDaily[Admissions],tblDaily[EntryDate],DATE(2026,1,17),tblDaily[WardCode],"BH")),"")</f>
        <v/>
      </c>
      <c r="C23" s="5" t="str">
        <f>IFERROR(IF(SUMIFS(tblDaily[Discharges],tblDaily[EntryDate],DATE(2026,1,17),tblDaily[WardCode],"BH")=0,"",SUMIFS(tblDaily[Discharges],tblDaily[EntryDate],DATE(2026,1,17),tblDaily[WardCode],"BH")),"")</f>
        <v/>
      </c>
      <c r="D23" s="5" t="str">
        <f>IFERROR(IF(SUMIFS(tblDaily[Deaths],tblDaily[EntryDate],DATE(2026,1,17),tblDaily[WardCode],"BH")=0,"",SUMIFS(tblDaily[Deaths],tblDaily[EntryDate],DATE(2026,1,17),tblDaily[WardCode],"BH")),"")</f>
        <v/>
      </c>
      <c r="E23" s="5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5" t="str">
        <f>IFERROR(IF(SUMIFS(tblDaily[TransfersIn],tblDaily[EntryDate],DATE(2026,1,17),tblDaily[WardCode],"BH")=0,"",SUMIFS(tblDaily[TransfersIn],tblDaily[EntryDate],DATE(2026,1,17),tblDaily[WardCode],"BH")),"")</f>
        <v/>
      </c>
      <c r="G23" s="5" t="str">
        <f>IFERROR(IF(SUMIFS(tblDaily[TransfersOut],tblDaily[EntryDate],DATE(2026,1,17),tblDaily[WardCode],"BH")=0,"",SUMIFS(tblDaily[TransfersOut],tblDaily[EntryDate],DATE(2026,1,17),tblDaily[WardCode],"BH")),"")</f>
        <v/>
      </c>
      <c r="H23" s="5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IFERROR(IF(SUMIFS(tblDaily[Admissions],tblDaily[EntryDate],DATE(2026,1,18),tblDaily[WardCode],"BH")=0,"",SUMIFS(tblDaily[Admissions],tblDaily[EntryDate],DATE(2026,1,18),tblDaily[WardCode],"BH")),"")</f>
        <v/>
      </c>
      <c r="C24" s="5" t="str">
        <f>IFERROR(IF(SUMIFS(tblDaily[Discharges],tblDaily[EntryDate],DATE(2026,1,18),tblDaily[WardCode],"BH")=0,"",SUMIFS(tblDaily[Discharges],tblDaily[EntryDate],DATE(2026,1,18),tblDaily[WardCode],"BH")),"")</f>
        <v/>
      </c>
      <c r="D24" s="5" t="str">
        <f>IFERROR(IF(SUMIFS(tblDaily[Deaths],tblDaily[EntryDate],DATE(2026,1,18),tblDaily[WardCode],"BH")=0,"",SUMIFS(tblDaily[Deaths],tblDaily[EntryDate],DATE(2026,1,18),tblDaily[WardCode],"BH")),"")</f>
        <v/>
      </c>
      <c r="E24" s="5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5" t="str">
        <f>IFERROR(IF(SUMIFS(tblDaily[TransfersIn],tblDaily[EntryDate],DATE(2026,1,18),tblDaily[WardCode],"BH")=0,"",SUMIFS(tblDaily[TransfersIn],tblDaily[EntryDate],DATE(2026,1,18),tblDaily[WardCode],"BH")),"")</f>
        <v/>
      </c>
      <c r="G24" s="5" t="str">
        <f>IFERROR(IF(SUMIFS(tblDaily[TransfersOut],tblDaily[EntryDate],DATE(2026,1,18),tblDaily[WardCode],"BH")=0,"",SUMIFS(tblDaily[TransfersOut],tblDaily[EntryDate],DATE(2026,1,18),tblDaily[WardCode],"BH")),"")</f>
        <v/>
      </c>
      <c r="H24" s="5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IFERROR(IF(SUMIFS(tblDaily[Admissions],tblDaily[EntryDate],DATE(2026,1,19),tblDaily[WardCode],"BH")=0,"",SUMIFS(tblDaily[Admissions],tblDaily[EntryDate],DATE(2026,1,19),tblDaily[WardCode],"BH")),"")</f>
        <v/>
      </c>
      <c r="C25" s="5" t="str">
        <f>IFERROR(IF(SUMIFS(tblDaily[Discharges],tblDaily[EntryDate],DATE(2026,1,19),tblDaily[WardCode],"BH")=0,"",SUMIFS(tblDaily[Discharges],tblDaily[EntryDate],DATE(2026,1,19),tblDaily[WardCode],"BH")),"")</f>
        <v/>
      </c>
      <c r="D25" s="5" t="str">
        <f>IFERROR(IF(SUMIFS(tblDaily[Deaths],tblDaily[EntryDate],DATE(2026,1,19),tblDaily[WardCode],"BH")=0,"",SUMIFS(tblDaily[Deaths],tblDaily[EntryDate],DATE(2026,1,19),tblDaily[WardCode],"BH")),"")</f>
        <v/>
      </c>
      <c r="E25" s="5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5" t="str">
        <f>IFERROR(IF(SUMIFS(tblDaily[TransfersIn],tblDaily[EntryDate],DATE(2026,1,19),tblDaily[WardCode],"BH")=0,"",SUMIFS(tblDaily[TransfersIn],tblDaily[EntryDate],DATE(2026,1,19),tblDaily[WardCode],"BH")),"")</f>
        <v/>
      </c>
      <c r="G25" s="5" t="str">
        <f>IFERROR(IF(SUMIFS(tblDaily[TransfersOut],tblDaily[EntryDate],DATE(2026,1,19),tblDaily[WardCode],"BH")=0,"",SUMIFS(tblDaily[TransfersOut],tblDaily[EntryDate],DATE(2026,1,19),tblDaily[WardCode],"BH")),"")</f>
        <v/>
      </c>
      <c r="H25" s="5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IFERROR(IF(SUMIFS(tblDaily[Admissions],tblDaily[EntryDate],DATE(2026,1,20),tblDaily[WardCode],"BH")=0,"",SUMIFS(tblDaily[Admissions],tblDaily[EntryDate],DATE(2026,1,20),tblDaily[WardCode],"BH")),"")</f>
        <v/>
      </c>
      <c r="C26" s="5" t="str">
        <f>IFERROR(IF(SUMIFS(tblDaily[Discharges],tblDaily[EntryDate],DATE(2026,1,20),tblDaily[WardCode],"BH")=0,"",SUMIFS(tblDaily[Discharges],tblDaily[EntryDate],DATE(2026,1,20),tblDaily[WardCode],"BH")),"")</f>
        <v/>
      </c>
      <c r="D26" s="5" t="str">
        <f>IFERROR(IF(SUMIFS(tblDaily[Deaths],tblDaily[EntryDate],DATE(2026,1,20),tblDaily[WardCode],"BH")=0,"",SUMIFS(tblDaily[Deaths],tblDaily[EntryDate],DATE(2026,1,20),tblDaily[WardCode],"BH")),"")</f>
        <v/>
      </c>
      <c r="E26" s="5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5" t="str">
        <f>IFERROR(IF(SUMIFS(tblDaily[TransfersIn],tblDaily[EntryDate],DATE(2026,1,20),tblDaily[WardCode],"BH")=0,"",SUMIFS(tblDaily[TransfersIn],tblDaily[EntryDate],DATE(2026,1,20),tblDaily[WardCode],"BH")),"")</f>
        <v/>
      </c>
      <c r="G26" s="5" t="str">
        <f>IFERROR(IF(SUMIFS(tblDaily[TransfersOut],tblDaily[EntryDate],DATE(2026,1,20),tblDaily[WardCode],"BH")=0,"",SUMIFS(tblDaily[TransfersOut],tblDaily[EntryDate],DATE(2026,1,20),tblDaily[WardCode],"BH")),"")</f>
        <v/>
      </c>
      <c r="H26" s="5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IFERROR(IF(SUMIFS(tblDaily[Admissions],tblDaily[EntryDate],DATE(2026,1,21),tblDaily[WardCode],"BH")=0,"",SUMIFS(tblDaily[Admissions],tblDaily[EntryDate],DATE(2026,1,21),tblDaily[WardCode],"BH")),"")</f>
        <v/>
      </c>
      <c r="C27" s="5" t="str">
        <f>IFERROR(IF(SUMIFS(tblDaily[Discharges],tblDaily[EntryDate],DATE(2026,1,21),tblDaily[WardCode],"BH")=0,"",SUMIFS(tblDaily[Discharges],tblDaily[EntryDate],DATE(2026,1,21),tblDaily[WardCode],"BH")),"")</f>
        <v/>
      </c>
      <c r="D27" s="5" t="str">
        <f>IFERROR(IF(SUMIFS(tblDaily[Deaths],tblDaily[EntryDate],DATE(2026,1,21),tblDaily[WardCode],"BH")=0,"",SUMIFS(tblDaily[Deaths],tblDaily[EntryDate],DATE(2026,1,21),tblDaily[WardCode],"BH")),"")</f>
        <v/>
      </c>
      <c r="E27" s="5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5" t="str">
        <f>IFERROR(IF(SUMIFS(tblDaily[TransfersIn],tblDaily[EntryDate],DATE(2026,1,21),tblDaily[WardCode],"BH")=0,"",SUMIFS(tblDaily[TransfersIn],tblDaily[EntryDate],DATE(2026,1,21),tblDaily[WardCode],"BH")),"")</f>
        <v/>
      </c>
      <c r="G27" s="5" t="str">
        <f>IFERROR(IF(SUMIFS(tblDaily[TransfersOut],tblDaily[EntryDate],DATE(2026,1,21),tblDaily[WardCode],"BH")=0,"",SUMIFS(tblDaily[TransfersOut],tblDaily[EntryDate],DATE(2026,1,21),tblDaily[WardCode],"BH")),"")</f>
        <v/>
      </c>
      <c r="H27" s="5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IFERROR(IF(SUMIFS(tblDaily[Admissions],tblDaily[EntryDate],DATE(2026,1,22),tblDaily[WardCode],"BH")=0,"",SUMIFS(tblDaily[Admissions],tblDaily[EntryDate],DATE(2026,1,22),tblDaily[WardCode],"BH")),"")</f>
        <v/>
      </c>
      <c r="C28" s="5" t="str">
        <f>IFERROR(IF(SUMIFS(tblDaily[Discharges],tblDaily[EntryDate],DATE(2026,1,22),tblDaily[WardCode],"BH")=0,"",SUMIFS(tblDaily[Discharges],tblDaily[EntryDate],DATE(2026,1,22),tblDaily[WardCode],"BH")),"")</f>
        <v/>
      </c>
      <c r="D28" s="5" t="str">
        <f>IFERROR(IF(SUMIFS(tblDaily[Deaths],tblDaily[EntryDate],DATE(2026,1,22),tblDaily[WardCode],"BH")=0,"",SUMIFS(tblDaily[Deaths],tblDaily[EntryDate],DATE(2026,1,22),tblDaily[WardCode],"BH")),"")</f>
        <v/>
      </c>
      <c r="E28" s="5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5" t="str">
        <f>IFERROR(IF(SUMIFS(tblDaily[TransfersIn],tblDaily[EntryDate],DATE(2026,1,22),tblDaily[WardCode],"BH")=0,"",SUMIFS(tblDaily[TransfersIn],tblDaily[EntryDate],DATE(2026,1,22),tblDaily[WardCode],"BH")),"")</f>
        <v/>
      </c>
      <c r="G28" s="5" t="str">
        <f>IFERROR(IF(SUMIFS(tblDaily[TransfersOut],tblDaily[EntryDate],DATE(2026,1,22),tblDaily[WardCode],"BH")=0,"",SUMIFS(tblDaily[TransfersOut],tblDaily[EntryDate],DATE(2026,1,22),tblDaily[WardCode],"BH")),"")</f>
        <v/>
      </c>
      <c r="H28" s="5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IFERROR(IF(SUMIFS(tblDaily[Admissions],tblDaily[EntryDate],DATE(2026,1,23),tblDaily[WardCode],"BH")=0,"",SUMIFS(tblDaily[Admissions],tblDaily[EntryDate],DATE(2026,1,23),tblDaily[WardCode],"BH")),"")</f>
        <v/>
      </c>
      <c r="C29" s="5" t="str">
        <f>IFERROR(IF(SUMIFS(tblDaily[Discharges],tblDaily[EntryDate],DATE(2026,1,23),tblDaily[WardCode],"BH")=0,"",SUMIFS(tblDaily[Discharges],tblDaily[EntryDate],DATE(2026,1,23),tblDaily[WardCode],"BH")),"")</f>
        <v/>
      </c>
      <c r="D29" s="5" t="str">
        <f>IFERROR(IF(SUMIFS(tblDaily[Deaths],tblDaily[EntryDate],DATE(2026,1,23),tblDaily[WardCode],"BH")=0,"",SUMIFS(tblDaily[Deaths],tblDaily[EntryDate],DATE(2026,1,23),tblDaily[WardCode],"BH")),"")</f>
        <v/>
      </c>
      <c r="E29" s="5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5" t="str">
        <f>IFERROR(IF(SUMIFS(tblDaily[TransfersIn],tblDaily[EntryDate],DATE(2026,1,23),tblDaily[WardCode],"BH")=0,"",SUMIFS(tblDaily[TransfersIn],tblDaily[EntryDate],DATE(2026,1,23),tblDaily[WardCode],"BH")),"")</f>
        <v/>
      </c>
      <c r="G29" s="5" t="str">
        <f>IFERROR(IF(SUMIFS(tblDaily[TransfersOut],tblDaily[EntryDate],DATE(2026,1,23),tblDaily[WardCode],"BH")=0,"",SUMIFS(tblDaily[TransfersOut],tblDaily[EntryDate],DATE(2026,1,23),tblDaily[WardCode],"BH")),"")</f>
        <v/>
      </c>
      <c r="H29" s="5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IFERROR(IF(SUMIFS(tblDaily[Admissions],tblDaily[EntryDate],DATE(2026,1,24),tblDaily[WardCode],"BH")=0,"",SUMIFS(tblDaily[Admissions],tblDaily[EntryDate],DATE(2026,1,24),tblDaily[WardCode],"BH")),"")</f>
        <v/>
      </c>
      <c r="C30" s="5" t="str">
        <f>IFERROR(IF(SUMIFS(tblDaily[Discharges],tblDaily[EntryDate],DATE(2026,1,24),tblDaily[WardCode],"BH")=0,"",SUMIFS(tblDaily[Discharges],tblDaily[EntryDate],DATE(2026,1,24),tblDaily[WardCode],"BH")),"")</f>
        <v/>
      </c>
      <c r="D30" s="5" t="str">
        <f>IFERROR(IF(SUMIFS(tblDaily[Deaths],tblDaily[EntryDate],DATE(2026,1,24),tblDaily[WardCode],"BH")=0,"",SUMIFS(tblDaily[Deaths],tblDaily[EntryDate],DATE(2026,1,24),tblDaily[WardCode],"BH")),"")</f>
        <v/>
      </c>
      <c r="E30" s="5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5" t="str">
        <f>IFERROR(IF(SUMIFS(tblDaily[TransfersIn],tblDaily[EntryDate],DATE(2026,1,24),tblDaily[WardCode],"BH")=0,"",SUMIFS(tblDaily[TransfersIn],tblDaily[EntryDate],DATE(2026,1,24),tblDaily[WardCode],"BH")),"")</f>
        <v/>
      </c>
      <c r="G30" s="5" t="str">
        <f>IFERROR(IF(SUMIFS(tblDaily[TransfersOut],tblDaily[EntryDate],DATE(2026,1,24),tblDaily[WardCode],"BH")=0,"",SUMIFS(tblDaily[TransfersOut],tblDaily[EntryDate],DATE(2026,1,24),tblDaily[WardCode],"BH")),"")</f>
        <v/>
      </c>
      <c r="H30" s="5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IFERROR(IF(SUMIFS(tblDaily[Admissions],tblDaily[EntryDate],DATE(2026,1,25),tblDaily[WardCode],"BH")=0,"",SUMIFS(tblDaily[Admissions],tblDaily[EntryDate],DATE(2026,1,25),tblDaily[WardCode],"BH")),"")</f>
        <v/>
      </c>
      <c r="C31" s="5" t="str">
        <f>IFERROR(IF(SUMIFS(tblDaily[Discharges],tblDaily[EntryDate],DATE(2026,1,25),tblDaily[WardCode],"BH")=0,"",SUMIFS(tblDaily[Discharges],tblDaily[EntryDate],DATE(2026,1,25),tblDaily[WardCode],"BH")),"")</f>
        <v/>
      </c>
      <c r="D31" s="5" t="str">
        <f>IFERROR(IF(SUMIFS(tblDaily[Deaths],tblDaily[EntryDate],DATE(2026,1,25),tblDaily[WardCode],"BH")=0,"",SUMIFS(tblDaily[Deaths],tblDaily[EntryDate],DATE(2026,1,25),tblDaily[WardCode],"BH")),"")</f>
        <v/>
      </c>
      <c r="E31" s="5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5" t="str">
        <f>IFERROR(IF(SUMIFS(tblDaily[TransfersIn],tblDaily[EntryDate],DATE(2026,1,25),tblDaily[WardCode],"BH")=0,"",SUMIFS(tblDaily[TransfersIn],tblDaily[EntryDate],DATE(2026,1,25),tblDaily[WardCode],"BH")),"")</f>
        <v/>
      </c>
      <c r="G31" s="5" t="str">
        <f>IFERROR(IF(SUMIFS(tblDaily[TransfersOut],tblDaily[EntryDate],DATE(2026,1,25),tblDaily[WardCode],"BH")=0,"",SUMIFS(tblDaily[TransfersOut],tblDaily[EntryDate],DATE(2026,1,25),tblDaily[WardCode],"BH")),"")</f>
        <v/>
      </c>
      <c r="H31" s="5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IFERROR(IF(SUMIFS(tblDaily[Admissions],tblDaily[EntryDate],DATE(2026,1,26),tblDaily[WardCode],"BH")=0,"",SUMIFS(tblDaily[Admissions],tblDaily[EntryDate],DATE(2026,1,26),tblDaily[WardCode],"BH")),"")</f>
        <v/>
      </c>
      <c r="C32" s="5" t="str">
        <f>IFERROR(IF(SUMIFS(tblDaily[Discharges],tblDaily[EntryDate],DATE(2026,1,26),tblDaily[WardCode],"BH")=0,"",SUMIFS(tblDaily[Discharges],tblDaily[EntryDate],DATE(2026,1,26),tblDaily[WardCode],"BH")),"")</f>
        <v/>
      </c>
      <c r="D32" s="5" t="str">
        <f>IFERROR(IF(SUMIFS(tblDaily[Deaths],tblDaily[EntryDate],DATE(2026,1,26),tblDaily[WardCode],"BH")=0,"",SUMIFS(tblDaily[Deaths],tblDaily[EntryDate],DATE(2026,1,26),tblDaily[WardCode],"BH")),"")</f>
        <v/>
      </c>
      <c r="E32" s="5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5" t="str">
        <f>IFERROR(IF(SUMIFS(tblDaily[TransfersIn],tblDaily[EntryDate],DATE(2026,1,26),tblDaily[WardCode],"BH")=0,"",SUMIFS(tblDaily[TransfersIn],tblDaily[EntryDate],DATE(2026,1,26),tblDaily[WardCode],"BH")),"")</f>
        <v/>
      </c>
      <c r="G32" s="5" t="str">
        <f>IFERROR(IF(SUMIFS(tblDaily[TransfersOut],tblDaily[EntryDate],DATE(2026,1,26),tblDaily[WardCode],"BH")=0,"",SUMIFS(tblDaily[TransfersOut],tblDaily[EntryDate],DATE(2026,1,26),tblDaily[WardCode],"BH")),"")</f>
        <v/>
      </c>
      <c r="H32" s="5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IFERROR(IF(SUMIFS(tblDaily[Admissions],tblDaily[EntryDate],DATE(2026,1,27),tblDaily[WardCode],"BH")=0,"",SUMIFS(tblDaily[Admissions],tblDaily[EntryDate],DATE(2026,1,27),tblDaily[WardCode],"BH")),"")</f>
        <v/>
      </c>
      <c r="C33" s="5" t="str">
        <f>IFERROR(IF(SUMIFS(tblDaily[Discharges],tblDaily[EntryDate],DATE(2026,1,27),tblDaily[WardCode],"BH")=0,"",SUMIFS(tblDaily[Discharges],tblDaily[EntryDate],DATE(2026,1,27),tblDaily[WardCode],"BH")),"")</f>
        <v/>
      </c>
      <c r="D33" s="5" t="str">
        <f>IFERROR(IF(SUMIFS(tblDaily[Deaths],tblDaily[EntryDate],DATE(2026,1,27),tblDaily[WardCode],"BH")=0,"",SUMIFS(tblDaily[Deaths],tblDaily[EntryDate],DATE(2026,1,27),tblDaily[WardCode],"BH")),"")</f>
        <v/>
      </c>
      <c r="E33" s="5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5" t="str">
        <f>IFERROR(IF(SUMIFS(tblDaily[TransfersIn],tblDaily[EntryDate],DATE(2026,1,27),tblDaily[WardCode],"BH")=0,"",SUMIFS(tblDaily[TransfersIn],tblDaily[EntryDate],DATE(2026,1,27),tblDaily[WardCode],"BH")),"")</f>
        <v/>
      </c>
      <c r="G33" s="5" t="str">
        <f>IFERROR(IF(SUMIFS(tblDaily[TransfersOut],tblDaily[EntryDate],DATE(2026,1,27),tblDaily[WardCode],"BH")=0,"",SUMIFS(tblDaily[TransfersOut],tblDaily[EntryDate],DATE(2026,1,27),tblDaily[WardCode],"BH")),"")</f>
        <v/>
      </c>
      <c r="H33" s="5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IFERROR(IF(SUMIFS(tblDaily[Admissions],tblDaily[EntryDate],DATE(2026,1,28),tblDaily[WardCode],"BH")=0,"",SUMIFS(tblDaily[Admissions],tblDaily[EntryDate],DATE(2026,1,28),tblDaily[WardCode],"BH")),"")</f>
        <v/>
      </c>
      <c r="C34" s="5" t="str">
        <f>IFERROR(IF(SUMIFS(tblDaily[Discharges],tblDaily[EntryDate],DATE(2026,1,28),tblDaily[WardCode],"BH")=0,"",SUMIFS(tblDaily[Discharges],tblDaily[EntryDate],DATE(2026,1,28),tblDaily[WardCode],"BH")),"")</f>
        <v/>
      </c>
      <c r="D34" s="5" t="str">
        <f>IFERROR(IF(SUMIFS(tblDaily[Deaths],tblDaily[EntryDate],DATE(2026,1,28),tblDaily[WardCode],"BH")=0,"",SUMIFS(tblDaily[Deaths],tblDaily[EntryDate],DATE(2026,1,28),tblDaily[WardCode],"BH")),"")</f>
        <v/>
      </c>
      <c r="E34" s="5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5" t="str">
        <f>IFERROR(IF(SUMIFS(tblDaily[TransfersIn],tblDaily[EntryDate],DATE(2026,1,28),tblDaily[WardCode],"BH")=0,"",SUMIFS(tblDaily[TransfersIn],tblDaily[EntryDate],DATE(2026,1,28),tblDaily[WardCode],"BH")),"")</f>
        <v/>
      </c>
      <c r="G34" s="5" t="str">
        <f>IFERROR(IF(SUMIFS(tblDaily[TransfersOut],tblDaily[EntryDate],DATE(2026,1,28),tblDaily[WardCode],"BH")=0,"",SUMIFS(tblDaily[TransfersOut],tblDaily[EntryDate],DATE(2026,1,28),tblDaily[WardCode],"BH")),"")</f>
        <v/>
      </c>
      <c r="H34" s="5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IFERROR(IF(SUMIFS(tblDaily[Admissions],tblDaily[EntryDate],DATE(2026,1,29),tblDaily[WardCode],"BH")=0,"",SUMIFS(tblDaily[Admissions],tblDaily[EntryDate],DATE(2026,1,29),tblDaily[WardCode],"BH")),"")</f>
        <v/>
      </c>
      <c r="C35" s="5" t="str">
        <f>IFERROR(IF(SUMIFS(tblDaily[Discharges],tblDaily[EntryDate],DATE(2026,1,29),tblDaily[WardCode],"BH")=0,"",SUMIFS(tblDaily[Discharges],tblDaily[EntryDate],DATE(2026,1,29),tblDaily[WardCode],"BH")),"")</f>
        <v/>
      </c>
      <c r="D35" s="5" t="str">
        <f>IFERROR(IF(SUMIFS(tblDaily[Deaths],tblDaily[EntryDate],DATE(2026,1,29),tblDaily[WardCode],"BH")=0,"",SUMIFS(tblDaily[Deaths],tblDaily[EntryDate],DATE(2026,1,29),tblDaily[WardCode],"BH")),"")</f>
        <v/>
      </c>
      <c r="E35" s="5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5" t="str">
        <f>IFERROR(IF(SUMIFS(tblDaily[TransfersIn],tblDaily[EntryDate],DATE(2026,1,29),tblDaily[WardCode],"BH")=0,"",SUMIFS(tblDaily[TransfersIn],tblDaily[EntryDate],DATE(2026,1,29),tblDaily[WardCode],"BH")),"")</f>
        <v/>
      </c>
      <c r="G35" s="5" t="str">
        <f>IFERROR(IF(SUMIFS(tblDaily[TransfersOut],tblDaily[EntryDate],DATE(2026,1,29),tblDaily[WardCode],"BH")=0,"",SUMIFS(tblDaily[TransfersOut],tblDaily[EntryDate],DATE(2026,1,29),tblDaily[WardCode],"BH")),"")</f>
        <v/>
      </c>
      <c r="H35" s="5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IFERROR(IF(SUMIFS(tblDaily[Admissions],tblDaily[EntryDate],DATE(2026,1,30),tblDaily[WardCode],"BH")=0,"",SUMIFS(tblDaily[Admissions],tblDaily[EntryDate],DATE(2026,1,30),tblDaily[WardCode],"BH")),"")</f>
        <v/>
      </c>
      <c r="C36" s="5" t="str">
        <f>IFERROR(IF(SUMIFS(tblDaily[Discharges],tblDaily[EntryDate],DATE(2026,1,30),tblDaily[WardCode],"BH")=0,"",SUMIFS(tblDaily[Discharges],tblDaily[EntryDate],DATE(2026,1,30),tblDaily[WardCode],"BH")),"")</f>
        <v/>
      </c>
      <c r="D36" s="5" t="str">
        <f>IFERROR(IF(SUMIFS(tblDaily[Deaths],tblDaily[EntryDate],DATE(2026,1,30),tblDaily[WardCode],"BH")=0,"",SUMIFS(tblDaily[Deaths],tblDaily[EntryDate],DATE(2026,1,30),tblDaily[WardCode],"BH")),"")</f>
        <v/>
      </c>
      <c r="E36" s="5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5" t="str">
        <f>IFERROR(IF(SUMIFS(tblDaily[TransfersIn],tblDaily[EntryDate],DATE(2026,1,30),tblDaily[WardCode],"BH")=0,"",SUMIFS(tblDaily[TransfersIn],tblDaily[EntryDate],DATE(2026,1,30),tblDaily[WardCode],"BH")),"")</f>
        <v/>
      </c>
      <c r="G36" s="5" t="str">
        <f>IFERROR(IF(SUMIFS(tblDaily[TransfersOut],tblDaily[EntryDate],DATE(2026,1,30),tblDaily[WardCode],"BH")=0,"",SUMIFS(tblDaily[TransfersOut],tblDaily[EntryDate],DATE(2026,1,30),tblDaily[WardCode],"BH")),"")</f>
        <v/>
      </c>
      <c r="H36" s="5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IFERROR(IF(SUMIFS(tblDaily[Admissions],tblDaily[EntryDate],DATE(2026,1,31),tblDaily[WardCode],"BH")=0,"",SUMIFS(tblDaily[Admissions],tblDaily[EntryDate],DATE(2026,1,31),tblDaily[WardCode],"BH")),"")</f>
        <v/>
      </c>
      <c r="C37" s="5" t="str">
        <f>IFERROR(IF(SUMIFS(tblDaily[Discharges],tblDaily[EntryDate],DATE(2026,1,31),tblDaily[WardCode],"BH")=0,"",SUMIFS(tblDaily[Discharges],tblDaily[EntryDate],DATE(2026,1,31),tblDaily[WardCode],"BH")),"")</f>
        <v/>
      </c>
      <c r="D37" s="5" t="str">
        <f>IFERROR(IF(SUMIFS(tblDaily[Deaths],tblDaily[EntryDate],DATE(2026,1,31),tblDaily[WardCode],"BH")=0,"",SUMIFS(tblDaily[Deaths],tblDaily[EntryDate],DATE(2026,1,31),tblDaily[WardCode],"BH")),"")</f>
        <v/>
      </c>
      <c r="E37" s="5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5" t="str">
        <f>IFERROR(IF(SUMIFS(tblDaily[TransfersIn],tblDaily[EntryDate],DATE(2026,1,31),tblDaily[WardCode],"BH")=0,"",SUMIFS(tblDaily[TransfersIn],tblDaily[EntryDate],DATE(2026,1,31),tblDaily[WardCode],"BH")),"")</f>
        <v/>
      </c>
      <c r="G37" s="5" t="str">
        <f>IFERROR(IF(SUMIFS(tblDaily[TransfersOut],tblDaily[EntryDate],DATE(2026,1,31),tblDaily[WardCode],"BH")=0,"",SUMIFS(tblDaily[TransfersOut],tblDaily[EntryDate],DATE(2026,1,31),tblDaily[WardCode],"BH")),"")</f>
        <v/>
      </c>
      <c r="H37" s="5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9" t="s">
        <v>95</v>
      </c>
      <c r="B38" s="9">
        <f>SUMIFS(tblDaily[Admissions],tblDaily[Month],1,tblDaily[WardCode],"BH")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100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IFERROR(SUMIFS(tblDaily[Remaining],tblDaily[EntryDate],DATE(2026,1,31),tblDaily[WardCode],"BH"),0)</f>
        <v>0</v>
      </c>
    </row>
    <row r="44" spans="1:8" x14ac:dyDescent="0.25">
      <c r="A44" s="1" t="s">
        <v>89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IFERROR(IF(SUMIFS(tblDaily[Admissions],tblDaily[EntryDate],DATE(2026,2,1),tblDaily[WardCode],"BH")=0,"",SUMIFS(tblDaily[Admissions],tblDaily[EntryDate],DATE(2026,2,1),tblDaily[WardCode],"BH")),"")</f>
        <v/>
      </c>
      <c r="C46" s="5" t="str">
        <f>IFERROR(IF(SUMIFS(tblDaily[Discharges],tblDaily[EntryDate],DATE(2026,2,1),tblDaily[WardCode],"BH")=0,"",SUMIFS(tblDaily[Discharges],tblDaily[EntryDate],DATE(2026,2,1),tblDaily[WardCode],"BH")),"")</f>
        <v/>
      </c>
      <c r="D46" s="5" t="str">
        <f>IFERROR(IF(SUMIFS(tblDaily[Deaths],tblDaily[EntryDate],DATE(2026,2,1),tblDaily[WardCode],"BH")=0,"",SUMIFS(tblDaily[Deaths],tblDaily[EntryDate],DATE(2026,2,1),tblDaily[WardCode],"BH")),"")</f>
        <v/>
      </c>
      <c r="E46" s="5" t="str">
        <f>IFERROR(IF(SUMIFS(tblDaily[DeathsUnder24Hrs],tblDaily[EntryDate],DATE(2026,2,1),tblDaily[WardCode],"BH")=0,"",SUMIFS(tblDaily[DeathsUnder24Hrs],tblDaily[EntryDate],DATE(2026,2,1),tblDaily[WardCode],"BH")),"")</f>
        <v/>
      </c>
      <c r="F46" s="5" t="str">
        <f>IFERROR(IF(SUMIFS(tblDaily[TransfersIn],tblDaily[EntryDate],DATE(2026,2,1),tblDaily[WardCode],"BH")=0,"",SUMIFS(tblDaily[TransfersIn],tblDaily[EntryDate],DATE(2026,2,1),tblDaily[WardCode],"BH")),"")</f>
        <v/>
      </c>
      <c r="G46" s="5" t="str">
        <f>IFERROR(IF(SUMIFS(tblDaily[TransfersOut],tblDaily[EntryDate],DATE(2026,2,1),tblDaily[WardCode],"BH")=0,"",SUMIFS(tblDaily[TransfersOut],tblDaily[EntryDate],DATE(2026,2,1),tblDaily[WardCode],"BH")),"")</f>
        <v/>
      </c>
      <c r="H46" s="5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IFERROR(IF(SUMIFS(tblDaily[Admissions],tblDaily[EntryDate],DATE(2026,2,2),tblDaily[WardCode],"BH")=0,"",SUMIFS(tblDaily[Admissions],tblDaily[EntryDate],DATE(2026,2,2),tblDaily[WardCode],"BH")),"")</f>
        <v/>
      </c>
      <c r="C47" s="5" t="str">
        <f>IFERROR(IF(SUMIFS(tblDaily[Discharges],tblDaily[EntryDate],DATE(2026,2,2),tblDaily[WardCode],"BH")=0,"",SUMIFS(tblDaily[Discharges],tblDaily[EntryDate],DATE(2026,2,2),tblDaily[WardCode],"BH")),"")</f>
        <v/>
      </c>
      <c r="D47" s="5" t="str">
        <f>IFERROR(IF(SUMIFS(tblDaily[Deaths],tblDaily[EntryDate],DATE(2026,2,2),tblDaily[WardCode],"BH")=0,"",SUMIFS(tblDaily[Deaths],tblDaily[EntryDate],DATE(2026,2,2),tblDaily[WardCode],"BH")),"")</f>
        <v/>
      </c>
      <c r="E47" s="5" t="str">
        <f>IFERROR(IF(SUMIFS(tblDaily[DeathsUnder24Hrs],tblDaily[EntryDate],DATE(2026,2,2),tblDaily[WardCode],"BH")=0,"",SUMIFS(tblDaily[DeathsUnder24Hrs],tblDaily[EntryDate],DATE(2026,2,2),tblDaily[WardCode],"BH")),"")</f>
        <v/>
      </c>
      <c r="F47" s="5" t="str">
        <f>IFERROR(IF(SUMIFS(tblDaily[TransfersIn],tblDaily[EntryDate],DATE(2026,2,2),tblDaily[WardCode],"BH")=0,"",SUMIFS(tblDaily[TransfersIn],tblDaily[EntryDate],DATE(2026,2,2),tblDaily[WardCode],"BH")),"")</f>
        <v/>
      </c>
      <c r="G47" s="5" t="str">
        <f>IFERROR(IF(SUMIFS(tblDaily[TransfersOut],tblDaily[EntryDate],DATE(2026,2,2),tblDaily[WardCode],"BH")=0,"",SUMIFS(tblDaily[TransfersOut],tblDaily[EntryDate],DATE(2026,2,2),tblDaily[WardCode],"BH")),"")</f>
        <v/>
      </c>
      <c r="H47" s="5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IFERROR(IF(SUMIFS(tblDaily[Admissions],tblDaily[EntryDate],DATE(2026,2,3),tblDaily[WardCode],"BH")=0,"",SUMIFS(tblDaily[Admissions],tblDaily[EntryDate],DATE(2026,2,3),tblDaily[WardCode],"BH")),"")</f>
        <v/>
      </c>
      <c r="C48" s="5" t="str">
        <f>IFERROR(IF(SUMIFS(tblDaily[Discharges],tblDaily[EntryDate],DATE(2026,2,3),tblDaily[WardCode],"BH")=0,"",SUMIFS(tblDaily[Discharges],tblDaily[EntryDate],DATE(2026,2,3),tblDaily[WardCode],"BH")),"")</f>
        <v/>
      </c>
      <c r="D48" s="5" t="str">
        <f>IFERROR(IF(SUMIFS(tblDaily[Deaths],tblDaily[EntryDate],DATE(2026,2,3),tblDaily[WardCode],"BH")=0,"",SUMIFS(tblDaily[Deaths],tblDaily[EntryDate],DATE(2026,2,3),tblDaily[WardCode],"BH")),"")</f>
        <v/>
      </c>
      <c r="E48" s="5" t="str">
        <f>IFERROR(IF(SUMIFS(tblDaily[DeathsUnder24Hrs],tblDaily[EntryDate],DATE(2026,2,3),tblDaily[WardCode],"BH")=0,"",SUMIFS(tblDaily[DeathsUnder24Hrs],tblDaily[EntryDate],DATE(2026,2,3),tblDaily[WardCode],"BH")),"")</f>
        <v/>
      </c>
      <c r="F48" s="5" t="str">
        <f>IFERROR(IF(SUMIFS(tblDaily[TransfersIn],tblDaily[EntryDate],DATE(2026,2,3),tblDaily[WardCode],"BH")=0,"",SUMIFS(tblDaily[TransfersIn],tblDaily[EntryDate],DATE(2026,2,3),tblDaily[WardCode],"BH")),"")</f>
        <v/>
      </c>
      <c r="G48" s="5" t="str">
        <f>IFERROR(IF(SUMIFS(tblDaily[TransfersOut],tblDaily[EntryDate],DATE(2026,2,3),tblDaily[WardCode],"BH")=0,"",SUMIFS(tblDaily[TransfersOut],tblDaily[EntryDate],DATE(2026,2,3),tblDaily[WardCode],"BH")),"")</f>
        <v/>
      </c>
      <c r="H48" s="5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IFERROR(IF(SUMIFS(tblDaily[Admissions],tblDaily[EntryDate],DATE(2026,2,4),tblDaily[WardCode],"BH")=0,"",SUMIFS(tblDaily[Admissions],tblDaily[EntryDate],DATE(2026,2,4),tblDaily[WardCode],"BH")),"")</f>
        <v/>
      </c>
      <c r="C49" s="5" t="str">
        <f>IFERROR(IF(SUMIFS(tblDaily[Discharges],tblDaily[EntryDate],DATE(2026,2,4),tblDaily[WardCode],"BH")=0,"",SUMIFS(tblDaily[Discharges],tblDaily[EntryDate],DATE(2026,2,4),tblDaily[WardCode],"BH")),"")</f>
        <v/>
      </c>
      <c r="D49" s="5" t="str">
        <f>IFERROR(IF(SUMIFS(tblDaily[Deaths],tblDaily[EntryDate],DATE(2026,2,4),tblDaily[WardCode],"BH")=0,"",SUMIFS(tblDaily[Deaths],tblDaily[EntryDate],DATE(2026,2,4),tblDaily[WardCode],"BH")),"")</f>
        <v/>
      </c>
      <c r="E49" s="5" t="str">
        <f>IFERROR(IF(SUMIFS(tblDaily[DeathsUnder24Hrs],tblDaily[EntryDate],DATE(2026,2,4),tblDaily[WardCode],"BH")=0,"",SUMIFS(tblDaily[DeathsUnder24Hrs],tblDaily[EntryDate],DATE(2026,2,4),tblDaily[WardCode],"BH")),"")</f>
        <v/>
      </c>
      <c r="F49" s="5" t="str">
        <f>IFERROR(IF(SUMIFS(tblDaily[TransfersIn],tblDaily[EntryDate],DATE(2026,2,4),tblDaily[WardCode],"BH")=0,"",SUMIFS(tblDaily[TransfersIn],tblDaily[EntryDate],DATE(2026,2,4),tblDaily[WardCode],"BH")),"")</f>
        <v/>
      </c>
      <c r="G49" s="5" t="str">
        <f>IFERROR(IF(SUMIFS(tblDaily[TransfersOut],tblDaily[EntryDate],DATE(2026,2,4),tblDaily[WardCode],"BH")=0,"",SUMIFS(tblDaily[TransfersOut],tblDaily[EntryDate],DATE(2026,2,4),tblDaily[WardCode],"BH")),"")</f>
        <v/>
      </c>
      <c r="H49" s="5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IFERROR(IF(SUMIFS(tblDaily[Admissions],tblDaily[EntryDate],DATE(2026,2,5),tblDaily[WardCode],"BH")=0,"",SUMIFS(tblDaily[Admissions],tblDaily[EntryDate],DATE(2026,2,5),tblDaily[WardCode],"BH")),"")</f>
        <v/>
      </c>
      <c r="C50" s="5" t="str">
        <f>IFERROR(IF(SUMIFS(tblDaily[Discharges],tblDaily[EntryDate],DATE(2026,2,5),tblDaily[WardCode],"BH")=0,"",SUMIFS(tblDaily[Discharges],tblDaily[EntryDate],DATE(2026,2,5),tblDaily[WardCode],"BH")),"")</f>
        <v/>
      </c>
      <c r="D50" s="5" t="str">
        <f>IFERROR(IF(SUMIFS(tblDaily[Deaths],tblDaily[EntryDate],DATE(2026,2,5),tblDaily[WardCode],"BH")=0,"",SUMIFS(tblDaily[Deaths],tblDaily[EntryDate],DATE(2026,2,5),tblDaily[WardCode],"BH")),"")</f>
        <v/>
      </c>
      <c r="E50" s="5" t="str">
        <f>IFERROR(IF(SUMIFS(tblDaily[DeathsUnder24Hrs],tblDaily[EntryDate],DATE(2026,2,5),tblDaily[WardCode],"BH")=0,"",SUMIFS(tblDaily[DeathsUnder24Hrs],tblDaily[EntryDate],DATE(2026,2,5),tblDaily[WardCode],"BH")),"")</f>
        <v/>
      </c>
      <c r="F50" s="5" t="str">
        <f>IFERROR(IF(SUMIFS(tblDaily[TransfersIn],tblDaily[EntryDate],DATE(2026,2,5),tblDaily[WardCode],"BH")=0,"",SUMIFS(tblDaily[TransfersIn],tblDaily[EntryDate],DATE(2026,2,5),tblDaily[WardCode],"BH")),"")</f>
        <v/>
      </c>
      <c r="G50" s="5" t="str">
        <f>IFERROR(IF(SUMIFS(tblDaily[TransfersOut],tblDaily[EntryDate],DATE(2026,2,5),tblDaily[WardCode],"BH")=0,"",SUMIFS(tblDaily[TransfersOut],tblDaily[EntryDate],DATE(2026,2,5),tblDaily[WardCode],"BH")),"")</f>
        <v/>
      </c>
      <c r="H50" s="5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IFERROR(IF(SUMIFS(tblDaily[Admissions],tblDaily[EntryDate],DATE(2026,2,6),tblDaily[WardCode],"BH")=0,"",SUMIFS(tblDaily[Admissions],tblDaily[EntryDate],DATE(2026,2,6),tblDaily[WardCode],"BH")),"")</f>
        <v/>
      </c>
      <c r="C51" s="5" t="str">
        <f>IFERROR(IF(SUMIFS(tblDaily[Discharges],tblDaily[EntryDate],DATE(2026,2,6),tblDaily[WardCode],"BH")=0,"",SUMIFS(tblDaily[Discharges],tblDaily[EntryDate],DATE(2026,2,6),tblDaily[WardCode],"BH")),"")</f>
        <v/>
      </c>
      <c r="D51" s="5" t="str">
        <f>IFERROR(IF(SUMIFS(tblDaily[Deaths],tblDaily[EntryDate],DATE(2026,2,6),tblDaily[WardCode],"BH")=0,"",SUMIFS(tblDaily[Deaths],tblDaily[EntryDate],DATE(2026,2,6),tblDaily[WardCode],"BH")),"")</f>
        <v/>
      </c>
      <c r="E51" s="5" t="str">
        <f>IFERROR(IF(SUMIFS(tblDaily[DeathsUnder24Hrs],tblDaily[EntryDate],DATE(2026,2,6),tblDaily[WardCode],"BH")=0,"",SUMIFS(tblDaily[DeathsUnder24Hrs],tblDaily[EntryDate],DATE(2026,2,6),tblDaily[WardCode],"BH")),"")</f>
        <v/>
      </c>
      <c r="F51" s="5" t="str">
        <f>IFERROR(IF(SUMIFS(tblDaily[TransfersIn],tblDaily[EntryDate],DATE(2026,2,6),tblDaily[WardCode],"BH")=0,"",SUMIFS(tblDaily[TransfersIn],tblDaily[EntryDate],DATE(2026,2,6),tblDaily[WardCode],"BH")),"")</f>
        <v/>
      </c>
      <c r="G51" s="5" t="str">
        <f>IFERROR(IF(SUMIFS(tblDaily[TransfersOut],tblDaily[EntryDate],DATE(2026,2,6),tblDaily[WardCode],"BH")=0,"",SUMIFS(tblDaily[TransfersOut],tblDaily[EntryDate],DATE(2026,2,6),tblDaily[WardCode],"BH")),"")</f>
        <v/>
      </c>
      <c r="H51" s="5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IFERROR(IF(SUMIFS(tblDaily[Admissions],tblDaily[EntryDate],DATE(2026,2,7),tblDaily[WardCode],"BH")=0,"",SUMIFS(tblDaily[Admissions],tblDaily[EntryDate],DATE(2026,2,7),tblDaily[WardCode],"BH")),"")</f>
        <v/>
      </c>
      <c r="C52" s="5" t="str">
        <f>IFERROR(IF(SUMIFS(tblDaily[Discharges],tblDaily[EntryDate],DATE(2026,2,7),tblDaily[WardCode],"BH")=0,"",SUMIFS(tblDaily[Discharges],tblDaily[EntryDate],DATE(2026,2,7),tblDaily[WardCode],"BH")),"")</f>
        <v/>
      </c>
      <c r="D52" s="5" t="str">
        <f>IFERROR(IF(SUMIFS(tblDaily[Deaths],tblDaily[EntryDate],DATE(2026,2,7),tblDaily[WardCode],"BH")=0,"",SUMIFS(tblDaily[Deaths],tblDaily[EntryDate],DATE(2026,2,7),tblDaily[WardCode],"BH")),"")</f>
        <v/>
      </c>
      <c r="E52" s="5" t="str">
        <f>IFERROR(IF(SUMIFS(tblDaily[DeathsUnder24Hrs],tblDaily[EntryDate],DATE(2026,2,7),tblDaily[WardCode],"BH")=0,"",SUMIFS(tblDaily[DeathsUnder24Hrs],tblDaily[EntryDate],DATE(2026,2,7),tblDaily[WardCode],"BH")),"")</f>
        <v/>
      </c>
      <c r="F52" s="5" t="str">
        <f>IFERROR(IF(SUMIFS(tblDaily[TransfersIn],tblDaily[EntryDate],DATE(2026,2,7),tblDaily[WardCode],"BH")=0,"",SUMIFS(tblDaily[TransfersIn],tblDaily[EntryDate],DATE(2026,2,7),tblDaily[WardCode],"BH")),"")</f>
        <v/>
      </c>
      <c r="G52" s="5" t="str">
        <f>IFERROR(IF(SUMIFS(tblDaily[TransfersOut],tblDaily[EntryDate],DATE(2026,2,7),tblDaily[WardCode],"BH")=0,"",SUMIFS(tblDaily[TransfersOut],tblDaily[EntryDate],DATE(2026,2,7),tblDaily[WardCode],"BH")),"")</f>
        <v/>
      </c>
      <c r="H52" s="5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IFERROR(IF(SUMIFS(tblDaily[Admissions],tblDaily[EntryDate],DATE(2026,2,8),tblDaily[WardCode],"BH")=0,"",SUMIFS(tblDaily[Admissions],tblDaily[EntryDate],DATE(2026,2,8),tblDaily[WardCode],"BH")),"")</f>
        <v/>
      </c>
      <c r="C53" s="5" t="str">
        <f>IFERROR(IF(SUMIFS(tblDaily[Discharges],tblDaily[EntryDate],DATE(2026,2,8),tblDaily[WardCode],"BH")=0,"",SUMIFS(tblDaily[Discharges],tblDaily[EntryDate],DATE(2026,2,8),tblDaily[WardCode],"BH")),"")</f>
        <v/>
      </c>
      <c r="D53" s="5" t="str">
        <f>IFERROR(IF(SUMIFS(tblDaily[Deaths],tblDaily[EntryDate],DATE(2026,2,8),tblDaily[WardCode],"BH")=0,"",SUMIFS(tblDaily[Deaths],tblDaily[EntryDate],DATE(2026,2,8),tblDaily[WardCode],"BH")),"")</f>
        <v/>
      </c>
      <c r="E53" s="5" t="str">
        <f>IFERROR(IF(SUMIFS(tblDaily[DeathsUnder24Hrs],tblDaily[EntryDate],DATE(2026,2,8),tblDaily[WardCode],"BH")=0,"",SUMIFS(tblDaily[DeathsUnder24Hrs],tblDaily[EntryDate],DATE(2026,2,8),tblDaily[WardCode],"BH")),"")</f>
        <v/>
      </c>
      <c r="F53" s="5" t="str">
        <f>IFERROR(IF(SUMIFS(tblDaily[TransfersIn],tblDaily[EntryDate],DATE(2026,2,8),tblDaily[WardCode],"BH")=0,"",SUMIFS(tblDaily[TransfersIn],tblDaily[EntryDate],DATE(2026,2,8),tblDaily[WardCode],"BH")),"")</f>
        <v/>
      </c>
      <c r="G53" s="5" t="str">
        <f>IFERROR(IF(SUMIFS(tblDaily[TransfersOut],tblDaily[EntryDate],DATE(2026,2,8),tblDaily[WardCode],"BH")=0,"",SUMIFS(tblDaily[TransfersOut],tblDaily[EntryDate],DATE(2026,2,8),tblDaily[WardCode],"BH")),"")</f>
        <v/>
      </c>
      <c r="H53" s="5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IFERROR(IF(SUMIFS(tblDaily[Admissions],tblDaily[EntryDate],DATE(2026,2,9),tblDaily[WardCode],"BH")=0,"",SUMIFS(tblDaily[Admissions],tblDaily[EntryDate],DATE(2026,2,9),tblDaily[WardCode],"BH")),"")</f>
        <v/>
      </c>
      <c r="C54" s="5" t="str">
        <f>IFERROR(IF(SUMIFS(tblDaily[Discharges],tblDaily[EntryDate],DATE(2026,2,9),tblDaily[WardCode],"BH")=0,"",SUMIFS(tblDaily[Discharges],tblDaily[EntryDate],DATE(2026,2,9),tblDaily[WardCode],"BH")),"")</f>
        <v/>
      </c>
      <c r="D54" s="5" t="str">
        <f>IFERROR(IF(SUMIFS(tblDaily[Deaths],tblDaily[EntryDate],DATE(2026,2,9),tblDaily[WardCode],"BH")=0,"",SUMIFS(tblDaily[Deaths],tblDaily[EntryDate],DATE(2026,2,9),tblDaily[WardCode],"BH")),"")</f>
        <v/>
      </c>
      <c r="E54" s="5" t="str">
        <f>IFERROR(IF(SUMIFS(tblDaily[DeathsUnder24Hrs],tblDaily[EntryDate],DATE(2026,2,9),tblDaily[WardCode],"BH")=0,"",SUMIFS(tblDaily[DeathsUnder24Hrs],tblDaily[EntryDate],DATE(2026,2,9),tblDaily[WardCode],"BH")),"")</f>
        <v/>
      </c>
      <c r="F54" s="5" t="str">
        <f>IFERROR(IF(SUMIFS(tblDaily[TransfersIn],tblDaily[EntryDate],DATE(2026,2,9),tblDaily[WardCode],"BH")=0,"",SUMIFS(tblDaily[TransfersIn],tblDaily[EntryDate],DATE(2026,2,9),tblDaily[WardCode],"BH")),"")</f>
        <v/>
      </c>
      <c r="G54" s="5" t="str">
        <f>IFERROR(IF(SUMIFS(tblDaily[TransfersOut],tblDaily[EntryDate],DATE(2026,2,9),tblDaily[WardCode],"BH")=0,"",SUMIFS(tblDaily[TransfersOut],tblDaily[EntryDate],DATE(2026,2,9),tblDaily[WardCode],"BH")),"")</f>
        <v/>
      </c>
      <c r="H54" s="5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IFERROR(IF(SUMIFS(tblDaily[Admissions],tblDaily[EntryDate],DATE(2026,2,10),tblDaily[WardCode],"BH")=0,"",SUMIFS(tblDaily[Admissions],tblDaily[EntryDate],DATE(2026,2,10),tblDaily[WardCode],"BH")),"")</f>
        <v/>
      </c>
      <c r="C55" s="5" t="str">
        <f>IFERROR(IF(SUMIFS(tblDaily[Discharges],tblDaily[EntryDate],DATE(2026,2,10),tblDaily[WardCode],"BH")=0,"",SUMIFS(tblDaily[Discharges],tblDaily[EntryDate],DATE(2026,2,10),tblDaily[WardCode],"BH")),"")</f>
        <v/>
      </c>
      <c r="D55" s="5" t="str">
        <f>IFERROR(IF(SUMIFS(tblDaily[Deaths],tblDaily[EntryDate],DATE(2026,2,10),tblDaily[WardCode],"BH")=0,"",SUMIFS(tblDaily[Deaths],tblDaily[EntryDate],DATE(2026,2,10),tblDaily[WardCode],"BH")),"")</f>
        <v/>
      </c>
      <c r="E55" s="5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5" t="str">
        <f>IFERROR(IF(SUMIFS(tblDaily[TransfersIn],tblDaily[EntryDate],DATE(2026,2,10),tblDaily[WardCode],"BH")=0,"",SUMIFS(tblDaily[TransfersIn],tblDaily[EntryDate],DATE(2026,2,10),tblDaily[WardCode],"BH")),"")</f>
        <v/>
      </c>
      <c r="G55" s="5" t="str">
        <f>IFERROR(IF(SUMIFS(tblDaily[TransfersOut],tblDaily[EntryDate],DATE(2026,2,10),tblDaily[WardCode],"BH")=0,"",SUMIFS(tblDaily[TransfersOut],tblDaily[EntryDate],DATE(2026,2,10),tblDaily[WardCode],"BH")),"")</f>
        <v/>
      </c>
      <c r="H55" s="5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IFERROR(IF(SUMIFS(tblDaily[Admissions],tblDaily[EntryDate],DATE(2026,2,11),tblDaily[WardCode],"BH")=0,"",SUMIFS(tblDaily[Admissions],tblDaily[EntryDate],DATE(2026,2,11),tblDaily[WardCode],"BH")),"")</f>
        <v/>
      </c>
      <c r="C56" s="5" t="str">
        <f>IFERROR(IF(SUMIFS(tblDaily[Discharges],tblDaily[EntryDate],DATE(2026,2,11),tblDaily[WardCode],"BH")=0,"",SUMIFS(tblDaily[Discharges],tblDaily[EntryDate],DATE(2026,2,11),tblDaily[WardCode],"BH")),"")</f>
        <v/>
      </c>
      <c r="D56" s="5" t="str">
        <f>IFERROR(IF(SUMIFS(tblDaily[Deaths],tblDaily[EntryDate],DATE(2026,2,11),tblDaily[WardCode],"BH")=0,"",SUMIFS(tblDaily[Deaths],tblDaily[EntryDate],DATE(2026,2,11),tblDaily[WardCode],"BH")),"")</f>
        <v/>
      </c>
      <c r="E56" s="5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5" t="str">
        <f>IFERROR(IF(SUMIFS(tblDaily[TransfersIn],tblDaily[EntryDate],DATE(2026,2,11),tblDaily[WardCode],"BH")=0,"",SUMIFS(tblDaily[TransfersIn],tblDaily[EntryDate],DATE(2026,2,11),tblDaily[WardCode],"BH")),"")</f>
        <v/>
      </c>
      <c r="G56" s="5" t="str">
        <f>IFERROR(IF(SUMIFS(tblDaily[TransfersOut],tblDaily[EntryDate],DATE(2026,2,11),tblDaily[WardCode],"BH")=0,"",SUMIFS(tblDaily[TransfersOut],tblDaily[EntryDate],DATE(2026,2,11),tblDaily[WardCode],"BH")),"")</f>
        <v/>
      </c>
      <c r="H56" s="5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IFERROR(IF(SUMIFS(tblDaily[Admissions],tblDaily[EntryDate],DATE(2026,2,12),tblDaily[WardCode],"BH")=0,"",SUMIFS(tblDaily[Admissions],tblDaily[EntryDate],DATE(2026,2,12),tblDaily[WardCode],"BH")),"")</f>
        <v/>
      </c>
      <c r="C57" s="5" t="str">
        <f>IFERROR(IF(SUMIFS(tblDaily[Discharges],tblDaily[EntryDate],DATE(2026,2,12),tblDaily[WardCode],"BH")=0,"",SUMIFS(tblDaily[Discharges],tblDaily[EntryDate],DATE(2026,2,12),tblDaily[WardCode],"BH")),"")</f>
        <v/>
      </c>
      <c r="D57" s="5" t="str">
        <f>IFERROR(IF(SUMIFS(tblDaily[Deaths],tblDaily[EntryDate],DATE(2026,2,12),tblDaily[WardCode],"BH")=0,"",SUMIFS(tblDaily[Deaths],tblDaily[EntryDate],DATE(2026,2,12),tblDaily[WardCode],"BH")),"")</f>
        <v/>
      </c>
      <c r="E57" s="5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5" t="str">
        <f>IFERROR(IF(SUMIFS(tblDaily[TransfersIn],tblDaily[EntryDate],DATE(2026,2,12),tblDaily[WardCode],"BH")=0,"",SUMIFS(tblDaily[TransfersIn],tblDaily[EntryDate],DATE(2026,2,12),tblDaily[WardCode],"BH")),"")</f>
        <v/>
      </c>
      <c r="G57" s="5" t="str">
        <f>IFERROR(IF(SUMIFS(tblDaily[TransfersOut],tblDaily[EntryDate],DATE(2026,2,12),tblDaily[WardCode],"BH")=0,"",SUMIFS(tblDaily[TransfersOut],tblDaily[EntryDate],DATE(2026,2,12),tblDaily[WardCode],"BH")),"")</f>
        <v/>
      </c>
      <c r="H57" s="5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IFERROR(IF(SUMIFS(tblDaily[Admissions],tblDaily[EntryDate],DATE(2026,2,13),tblDaily[WardCode],"BH")=0,"",SUMIFS(tblDaily[Admissions],tblDaily[EntryDate],DATE(2026,2,13),tblDaily[WardCode],"BH")),"")</f>
        <v/>
      </c>
      <c r="C58" s="5" t="str">
        <f>IFERROR(IF(SUMIFS(tblDaily[Discharges],tblDaily[EntryDate],DATE(2026,2,13),tblDaily[WardCode],"BH")=0,"",SUMIFS(tblDaily[Discharges],tblDaily[EntryDate],DATE(2026,2,13),tblDaily[WardCode],"BH")),"")</f>
        <v/>
      </c>
      <c r="D58" s="5" t="str">
        <f>IFERROR(IF(SUMIFS(tblDaily[Deaths],tblDaily[EntryDate],DATE(2026,2,13),tblDaily[WardCode],"BH")=0,"",SUMIFS(tblDaily[Deaths],tblDaily[EntryDate],DATE(2026,2,13),tblDaily[WardCode],"BH")),"")</f>
        <v/>
      </c>
      <c r="E58" s="5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5" t="str">
        <f>IFERROR(IF(SUMIFS(tblDaily[TransfersIn],tblDaily[EntryDate],DATE(2026,2,13),tblDaily[WardCode],"BH")=0,"",SUMIFS(tblDaily[TransfersIn],tblDaily[EntryDate],DATE(2026,2,13),tblDaily[WardCode],"BH")),"")</f>
        <v/>
      </c>
      <c r="G58" s="5" t="str">
        <f>IFERROR(IF(SUMIFS(tblDaily[TransfersOut],tblDaily[EntryDate],DATE(2026,2,13),tblDaily[WardCode],"BH")=0,"",SUMIFS(tblDaily[TransfersOut],tblDaily[EntryDate],DATE(2026,2,13),tblDaily[WardCode],"BH")),"")</f>
        <v/>
      </c>
      <c r="H58" s="5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IFERROR(IF(SUMIFS(tblDaily[Admissions],tblDaily[EntryDate],DATE(2026,2,14),tblDaily[WardCode],"BH")=0,"",SUMIFS(tblDaily[Admissions],tblDaily[EntryDate],DATE(2026,2,14),tblDaily[WardCode],"BH")),"")</f>
        <v/>
      </c>
      <c r="C59" s="5" t="str">
        <f>IFERROR(IF(SUMIFS(tblDaily[Discharges],tblDaily[EntryDate],DATE(2026,2,14),tblDaily[WardCode],"BH")=0,"",SUMIFS(tblDaily[Discharges],tblDaily[EntryDate],DATE(2026,2,14),tblDaily[WardCode],"BH")),"")</f>
        <v/>
      </c>
      <c r="D59" s="5" t="str">
        <f>IFERROR(IF(SUMIFS(tblDaily[Deaths],tblDaily[EntryDate],DATE(2026,2,14),tblDaily[WardCode],"BH")=0,"",SUMIFS(tblDaily[Deaths],tblDaily[EntryDate],DATE(2026,2,14),tblDaily[WardCode],"BH")),"")</f>
        <v/>
      </c>
      <c r="E59" s="5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5" t="str">
        <f>IFERROR(IF(SUMIFS(tblDaily[TransfersIn],tblDaily[EntryDate],DATE(2026,2,14),tblDaily[WardCode],"BH")=0,"",SUMIFS(tblDaily[TransfersIn],tblDaily[EntryDate],DATE(2026,2,14),tblDaily[WardCode],"BH")),"")</f>
        <v/>
      </c>
      <c r="G59" s="5" t="str">
        <f>IFERROR(IF(SUMIFS(tblDaily[TransfersOut],tblDaily[EntryDate],DATE(2026,2,14),tblDaily[WardCode],"BH")=0,"",SUMIFS(tblDaily[TransfersOut],tblDaily[EntryDate],DATE(2026,2,14),tblDaily[WardCode],"BH")),"")</f>
        <v/>
      </c>
      <c r="H59" s="5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IFERROR(IF(SUMIFS(tblDaily[Admissions],tblDaily[EntryDate],DATE(2026,2,15),tblDaily[WardCode],"BH")=0,"",SUMIFS(tblDaily[Admissions],tblDaily[EntryDate],DATE(2026,2,15),tblDaily[WardCode],"BH")),"")</f>
        <v/>
      </c>
      <c r="C60" s="5" t="str">
        <f>IFERROR(IF(SUMIFS(tblDaily[Discharges],tblDaily[EntryDate],DATE(2026,2,15),tblDaily[WardCode],"BH")=0,"",SUMIFS(tblDaily[Discharges],tblDaily[EntryDate],DATE(2026,2,15),tblDaily[WardCode],"BH")),"")</f>
        <v/>
      </c>
      <c r="D60" s="5" t="str">
        <f>IFERROR(IF(SUMIFS(tblDaily[Deaths],tblDaily[EntryDate],DATE(2026,2,15),tblDaily[WardCode],"BH")=0,"",SUMIFS(tblDaily[Deaths],tblDaily[EntryDate],DATE(2026,2,15),tblDaily[WardCode],"BH")),"")</f>
        <v/>
      </c>
      <c r="E60" s="5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5" t="str">
        <f>IFERROR(IF(SUMIFS(tblDaily[TransfersIn],tblDaily[EntryDate],DATE(2026,2,15),tblDaily[WardCode],"BH")=0,"",SUMIFS(tblDaily[TransfersIn],tblDaily[EntryDate],DATE(2026,2,15),tblDaily[WardCode],"BH")),"")</f>
        <v/>
      </c>
      <c r="G60" s="5" t="str">
        <f>IFERROR(IF(SUMIFS(tblDaily[TransfersOut],tblDaily[EntryDate],DATE(2026,2,15),tblDaily[WardCode],"BH")=0,"",SUMIFS(tblDaily[TransfersOut],tblDaily[EntryDate],DATE(2026,2,15),tblDaily[WardCode],"BH")),"")</f>
        <v/>
      </c>
      <c r="H60" s="5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IFERROR(IF(SUMIFS(tblDaily[Admissions],tblDaily[EntryDate],DATE(2026,2,16),tblDaily[WardCode],"BH")=0,"",SUMIFS(tblDaily[Admissions],tblDaily[EntryDate],DATE(2026,2,16),tblDaily[WardCode],"BH")),"")</f>
        <v/>
      </c>
      <c r="C61" s="5" t="str">
        <f>IFERROR(IF(SUMIFS(tblDaily[Discharges],tblDaily[EntryDate],DATE(2026,2,16),tblDaily[WardCode],"BH")=0,"",SUMIFS(tblDaily[Discharges],tblDaily[EntryDate],DATE(2026,2,16),tblDaily[WardCode],"BH")),"")</f>
        <v/>
      </c>
      <c r="D61" s="5" t="str">
        <f>IFERROR(IF(SUMIFS(tblDaily[Deaths],tblDaily[EntryDate],DATE(2026,2,16),tblDaily[WardCode],"BH")=0,"",SUMIFS(tblDaily[Deaths],tblDaily[EntryDate],DATE(2026,2,16),tblDaily[WardCode],"BH")),"")</f>
        <v/>
      </c>
      <c r="E61" s="5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5" t="str">
        <f>IFERROR(IF(SUMIFS(tblDaily[TransfersIn],tblDaily[EntryDate],DATE(2026,2,16),tblDaily[WardCode],"BH")=0,"",SUMIFS(tblDaily[TransfersIn],tblDaily[EntryDate],DATE(2026,2,16),tblDaily[WardCode],"BH")),"")</f>
        <v/>
      </c>
      <c r="G61" s="5" t="str">
        <f>IFERROR(IF(SUMIFS(tblDaily[TransfersOut],tblDaily[EntryDate],DATE(2026,2,16),tblDaily[WardCode],"BH")=0,"",SUMIFS(tblDaily[TransfersOut],tblDaily[EntryDate],DATE(2026,2,16),tblDaily[WardCode],"BH")),"")</f>
        <v/>
      </c>
      <c r="H61" s="5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IFERROR(IF(SUMIFS(tblDaily[Admissions],tblDaily[EntryDate],DATE(2026,2,17),tblDaily[WardCode],"BH")=0,"",SUMIFS(tblDaily[Admissions],tblDaily[EntryDate],DATE(2026,2,17),tblDaily[WardCode],"BH")),"")</f>
        <v/>
      </c>
      <c r="C62" s="5" t="str">
        <f>IFERROR(IF(SUMIFS(tblDaily[Discharges],tblDaily[EntryDate],DATE(2026,2,17),tblDaily[WardCode],"BH")=0,"",SUMIFS(tblDaily[Discharges],tblDaily[EntryDate],DATE(2026,2,17),tblDaily[WardCode],"BH")),"")</f>
        <v/>
      </c>
      <c r="D62" s="5" t="str">
        <f>IFERROR(IF(SUMIFS(tblDaily[Deaths],tblDaily[EntryDate],DATE(2026,2,17),tblDaily[WardCode],"BH")=0,"",SUMIFS(tblDaily[Deaths],tblDaily[EntryDate],DATE(2026,2,17),tblDaily[WardCode],"BH")),"")</f>
        <v/>
      </c>
      <c r="E62" s="5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5" t="str">
        <f>IFERROR(IF(SUMIFS(tblDaily[TransfersIn],tblDaily[EntryDate],DATE(2026,2,17),tblDaily[WardCode],"BH")=0,"",SUMIFS(tblDaily[TransfersIn],tblDaily[EntryDate],DATE(2026,2,17),tblDaily[WardCode],"BH")),"")</f>
        <v/>
      </c>
      <c r="G62" s="5" t="str">
        <f>IFERROR(IF(SUMIFS(tblDaily[TransfersOut],tblDaily[EntryDate],DATE(2026,2,17),tblDaily[WardCode],"BH")=0,"",SUMIFS(tblDaily[TransfersOut],tblDaily[EntryDate],DATE(2026,2,17),tblDaily[WardCode],"BH")),"")</f>
        <v/>
      </c>
      <c r="H62" s="5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IFERROR(IF(SUMIFS(tblDaily[Admissions],tblDaily[EntryDate],DATE(2026,2,18),tblDaily[WardCode],"BH")=0,"",SUMIFS(tblDaily[Admissions],tblDaily[EntryDate],DATE(2026,2,18),tblDaily[WardCode],"BH")),"")</f>
        <v/>
      </c>
      <c r="C63" s="5" t="str">
        <f>IFERROR(IF(SUMIFS(tblDaily[Discharges],tblDaily[EntryDate],DATE(2026,2,18),tblDaily[WardCode],"BH")=0,"",SUMIFS(tblDaily[Discharges],tblDaily[EntryDate],DATE(2026,2,18),tblDaily[WardCode],"BH")),"")</f>
        <v/>
      </c>
      <c r="D63" s="5" t="str">
        <f>IFERROR(IF(SUMIFS(tblDaily[Deaths],tblDaily[EntryDate],DATE(2026,2,18),tblDaily[WardCode],"BH")=0,"",SUMIFS(tblDaily[Deaths],tblDaily[EntryDate],DATE(2026,2,18),tblDaily[WardCode],"BH")),"")</f>
        <v/>
      </c>
      <c r="E63" s="5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5" t="str">
        <f>IFERROR(IF(SUMIFS(tblDaily[TransfersIn],tblDaily[EntryDate],DATE(2026,2,18),tblDaily[WardCode],"BH")=0,"",SUMIFS(tblDaily[TransfersIn],tblDaily[EntryDate],DATE(2026,2,18),tblDaily[WardCode],"BH")),"")</f>
        <v/>
      </c>
      <c r="G63" s="5" t="str">
        <f>IFERROR(IF(SUMIFS(tblDaily[TransfersOut],tblDaily[EntryDate],DATE(2026,2,18),tblDaily[WardCode],"BH")=0,"",SUMIFS(tblDaily[TransfersOut],tblDaily[EntryDate],DATE(2026,2,18),tblDaily[WardCode],"BH")),"")</f>
        <v/>
      </c>
      <c r="H63" s="5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IFERROR(IF(SUMIFS(tblDaily[Admissions],tblDaily[EntryDate],DATE(2026,2,19),tblDaily[WardCode],"BH")=0,"",SUMIFS(tblDaily[Admissions],tblDaily[EntryDate],DATE(2026,2,19),tblDaily[WardCode],"BH")),"")</f>
        <v/>
      </c>
      <c r="C64" s="5" t="str">
        <f>IFERROR(IF(SUMIFS(tblDaily[Discharges],tblDaily[EntryDate],DATE(2026,2,19),tblDaily[WardCode],"BH")=0,"",SUMIFS(tblDaily[Discharges],tblDaily[EntryDate],DATE(2026,2,19),tblDaily[WardCode],"BH")),"")</f>
        <v/>
      </c>
      <c r="D64" s="5" t="str">
        <f>IFERROR(IF(SUMIFS(tblDaily[Deaths],tblDaily[EntryDate],DATE(2026,2,19),tblDaily[WardCode],"BH")=0,"",SUMIFS(tblDaily[Deaths],tblDaily[EntryDate],DATE(2026,2,19),tblDaily[WardCode],"BH")),"")</f>
        <v/>
      </c>
      <c r="E64" s="5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5" t="str">
        <f>IFERROR(IF(SUMIFS(tblDaily[TransfersIn],tblDaily[EntryDate],DATE(2026,2,19),tblDaily[WardCode],"BH")=0,"",SUMIFS(tblDaily[TransfersIn],tblDaily[EntryDate],DATE(2026,2,19),tblDaily[WardCode],"BH")),"")</f>
        <v/>
      </c>
      <c r="G64" s="5" t="str">
        <f>IFERROR(IF(SUMIFS(tblDaily[TransfersOut],tblDaily[EntryDate],DATE(2026,2,19),tblDaily[WardCode],"BH")=0,"",SUMIFS(tblDaily[TransfersOut],tblDaily[EntryDate],DATE(2026,2,19),tblDaily[WardCode],"BH")),"")</f>
        <v/>
      </c>
      <c r="H64" s="5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IFERROR(IF(SUMIFS(tblDaily[Admissions],tblDaily[EntryDate],DATE(2026,2,20),tblDaily[WardCode],"BH")=0,"",SUMIFS(tblDaily[Admissions],tblDaily[EntryDate],DATE(2026,2,20),tblDaily[WardCode],"BH")),"")</f>
        <v/>
      </c>
      <c r="C65" s="5" t="str">
        <f>IFERROR(IF(SUMIFS(tblDaily[Discharges],tblDaily[EntryDate],DATE(2026,2,20),tblDaily[WardCode],"BH")=0,"",SUMIFS(tblDaily[Discharges],tblDaily[EntryDate],DATE(2026,2,20),tblDaily[WardCode],"BH")),"")</f>
        <v/>
      </c>
      <c r="D65" s="5" t="str">
        <f>IFERROR(IF(SUMIFS(tblDaily[Deaths],tblDaily[EntryDate],DATE(2026,2,20),tblDaily[WardCode],"BH")=0,"",SUMIFS(tblDaily[Deaths],tblDaily[EntryDate],DATE(2026,2,20),tblDaily[WardCode],"BH")),"")</f>
        <v/>
      </c>
      <c r="E65" s="5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5" t="str">
        <f>IFERROR(IF(SUMIFS(tblDaily[TransfersIn],tblDaily[EntryDate],DATE(2026,2,20),tblDaily[WardCode],"BH")=0,"",SUMIFS(tblDaily[TransfersIn],tblDaily[EntryDate],DATE(2026,2,20),tblDaily[WardCode],"BH")),"")</f>
        <v/>
      </c>
      <c r="G65" s="5" t="str">
        <f>IFERROR(IF(SUMIFS(tblDaily[TransfersOut],tblDaily[EntryDate],DATE(2026,2,20),tblDaily[WardCode],"BH")=0,"",SUMIFS(tblDaily[TransfersOut],tblDaily[EntryDate],DATE(2026,2,20),tblDaily[WardCode],"BH")),"")</f>
        <v/>
      </c>
      <c r="H65" s="5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IFERROR(IF(SUMIFS(tblDaily[Admissions],tblDaily[EntryDate],DATE(2026,2,21),tblDaily[WardCode],"BH")=0,"",SUMIFS(tblDaily[Admissions],tblDaily[EntryDate],DATE(2026,2,21),tblDaily[WardCode],"BH")),"")</f>
        <v/>
      </c>
      <c r="C66" s="5" t="str">
        <f>IFERROR(IF(SUMIFS(tblDaily[Discharges],tblDaily[EntryDate],DATE(2026,2,21),tblDaily[WardCode],"BH")=0,"",SUMIFS(tblDaily[Discharges],tblDaily[EntryDate],DATE(2026,2,21),tblDaily[WardCode],"BH")),"")</f>
        <v/>
      </c>
      <c r="D66" s="5" t="str">
        <f>IFERROR(IF(SUMIFS(tblDaily[Deaths],tblDaily[EntryDate],DATE(2026,2,21),tblDaily[WardCode],"BH")=0,"",SUMIFS(tblDaily[Deaths],tblDaily[EntryDate],DATE(2026,2,21),tblDaily[WardCode],"BH")),"")</f>
        <v/>
      </c>
      <c r="E66" s="5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5" t="str">
        <f>IFERROR(IF(SUMIFS(tblDaily[TransfersIn],tblDaily[EntryDate],DATE(2026,2,21),tblDaily[WardCode],"BH")=0,"",SUMIFS(tblDaily[TransfersIn],tblDaily[EntryDate],DATE(2026,2,21),tblDaily[WardCode],"BH")),"")</f>
        <v/>
      </c>
      <c r="G66" s="5" t="str">
        <f>IFERROR(IF(SUMIFS(tblDaily[TransfersOut],tblDaily[EntryDate],DATE(2026,2,21),tblDaily[WardCode],"BH")=0,"",SUMIFS(tblDaily[TransfersOut],tblDaily[EntryDate],DATE(2026,2,21),tblDaily[WardCode],"BH")),"")</f>
        <v/>
      </c>
      <c r="H66" s="5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IFERROR(IF(SUMIFS(tblDaily[Admissions],tblDaily[EntryDate],DATE(2026,2,22),tblDaily[WardCode],"BH")=0,"",SUMIFS(tblDaily[Admissions],tblDaily[EntryDate],DATE(2026,2,22),tblDaily[WardCode],"BH")),"")</f>
        <v/>
      </c>
      <c r="C67" s="5" t="str">
        <f>IFERROR(IF(SUMIFS(tblDaily[Discharges],tblDaily[EntryDate],DATE(2026,2,22),tblDaily[WardCode],"BH")=0,"",SUMIFS(tblDaily[Discharges],tblDaily[EntryDate],DATE(2026,2,22),tblDaily[WardCode],"BH")),"")</f>
        <v/>
      </c>
      <c r="D67" s="5" t="str">
        <f>IFERROR(IF(SUMIFS(tblDaily[Deaths],tblDaily[EntryDate],DATE(2026,2,22),tblDaily[WardCode],"BH")=0,"",SUMIFS(tblDaily[Deaths],tblDaily[EntryDate],DATE(2026,2,22),tblDaily[WardCode],"BH")),"")</f>
        <v/>
      </c>
      <c r="E67" s="5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5" t="str">
        <f>IFERROR(IF(SUMIFS(tblDaily[TransfersIn],tblDaily[EntryDate],DATE(2026,2,22),tblDaily[WardCode],"BH")=0,"",SUMIFS(tblDaily[TransfersIn],tblDaily[EntryDate],DATE(2026,2,22),tblDaily[WardCode],"BH")),"")</f>
        <v/>
      </c>
      <c r="G67" s="5" t="str">
        <f>IFERROR(IF(SUMIFS(tblDaily[TransfersOut],tblDaily[EntryDate],DATE(2026,2,22),tblDaily[WardCode],"BH")=0,"",SUMIFS(tblDaily[TransfersOut],tblDaily[EntryDate],DATE(2026,2,22),tblDaily[WardCode],"BH")),"")</f>
        <v/>
      </c>
      <c r="H67" s="5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IFERROR(IF(SUMIFS(tblDaily[Admissions],tblDaily[EntryDate],DATE(2026,2,23),tblDaily[WardCode],"BH")=0,"",SUMIFS(tblDaily[Admissions],tblDaily[EntryDate],DATE(2026,2,23),tblDaily[WardCode],"BH")),"")</f>
        <v/>
      </c>
      <c r="C68" s="5" t="str">
        <f>IFERROR(IF(SUMIFS(tblDaily[Discharges],tblDaily[EntryDate],DATE(2026,2,23),tblDaily[WardCode],"BH")=0,"",SUMIFS(tblDaily[Discharges],tblDaily[EntryDate],DATE(2026,2,23),tblDaily[WardCode],"BH")),"")</f>
        <v/>
      </c>
      <c r="D68" s="5" t="str">
        <f>IFERROR(IF(SUMIFS(tblDaily[Deaths],tblDaily[EntryDate],DATE(2026,2,23),tblDaily[WardCode],"BH")=0,"",SUMIFS(tblDaily[Deaths],tblDaily[EntryDate],DATE(2026,2,23),tblDaily[WardCode],"BH")),"")</f>
        <v/>
      </c>
      <c r="E68" s="5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5" t="str">
        <f>IFERROR(IF(SUMIFS(tblDaily[TransfersIn],tblDaily[EntryDate],DATE(2026,2,23),tblDaily[WardCode],"BH")=0,"",SUMIFS(tblDaily[TransfersIn],tblDaily[EntryDate],DATE(2026,2,23),tblDaily[WardCode],"BH")),"")</f>
        <v/>
      </c>
      <c r="G68" s="5" t="str">
        <f>IFERROR(IF(SUMIFS(tblDaily[TransfersOut],tblDaily[EntryDate],DATE(2026,2,23),tblDaily[WardCode],"BH")=0,"",SUMIFS(tblDaily[TransfersOut],tblDaily[EntryDate],DATE(2026,2,23),tblDaily[WardCode],"BH")),"")</f>
        <v/>
      </c>
      <c r="H68" s="5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IFERROR(IF(SUMIFS(tblDaily[Admissions],tblDaily[EntryDate],DATE(2026,2,24),tblDaily[WardCode],"BH")=0,"",SUMIFS(tblDaily[Admissions],tblDaily[EntryDate],DATE(2026,2,24),tblDaily[WardCode],"BH")),"")</f>
        <v/>
      </c>
      <c r="C69" s="5" t="str">
        <f>IFERROR(IF(SUMIFS(tblDaily[Discharges],tblDaily[EntryDate],DATE(2026,2,24),tblDaily[WardCode],"BH")=0,"",SUMIFS(tblDaily[Discharges],tblDaily[EntryDate],DATE(2026,2,24),tblDaily[WardCode],"BH")),"")</f>
        <v/>
      </c>
      <c r="D69" s="5" t="str">
        <f>IFERROR(IF(SUMIFS(tblDaily[Deaths],tblDaily[EntryDate],DATE(2026,2,24),tblDaily[WardCode],"BH")=0,"",SUMIFS(tblDaily[Deaths],tblDaily[EntryDate],DATE(2026,2,24),tblDaily[WardCode],"BH")),"")</f>
        <v/>
      </c>
      <c r="E69" s="5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5" t="str">
        <f>IFERROR(IF(SUMIFS(tblDaily[TransfersIn],tblDaily[EntryDate],DATE(2026,2,24),tblDaily[WardCode],"BH")=0,"",SUMIFS(tblDaily[TransfersIn],tblDaily[EntryDate],DATE(2026,2,24),tblDaily[WardCode],"BH")),"")</f>
        <v/>
      </c>
      <c r="G69" s="5" t="str">
        <f>IFERROR(IF(SUMIFS(tblDaily[TransfersOut],tblDaily[EntryDate],DATE(2026,2,24),tblDaily[WardCode],"BH")=0,"",SUMIFS(tblDaily[TransfersOut],tblDaily[EntryDate],DATE(2026,2,24),tblDaily[WardCode],"BH")),"")</f>
        <v/>
      </c>
      <c r="H69" s="5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IFERROR(IF(SUMIFS(tblDaily[Admissions],tblDaily[EntryDate],DATE(2026,2,25),tblDaily[WardCode],"BH")=0,"",SUMIFS(tblDaily[Admissions],tblDaily[EntryDate],DATE(2026,2,25),tblDaily[WardCode],"BH")),"")</f>
        <v/>
      </c>
      <c r="C70" s="5" t="str">
        <f>IFERROR(IF(SUMIFS(tblDaily[Discharges],tblDaily[EntryDate],DATE(2026,2,25),tblDaily[WardCode],"BH")=0,"",SUMIFS(tblDaily[Discharges],tblDaily[EntryDate],DATE(2026,2,25),tblDaily[WardCode],"BH")),"")</f>
        <v/>
      </c>
      <c r="D70" s="5" t="str">
        <f>IFERROR(IF(SUMIFS(tblDaily[Deaths],tblDaily[EntryDate],DATE(2026,2,25),tblDaily[WardCode],"BH")=0,"",SUMIFS(tblDaily[Deaths],tblDaily[EntryDate],DATE(2026,2,25),tblDaily[WardCode],"BH")),"")</f>
        <v/>
      </c>
      <c r="E70" s="5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5" t="str">
        <f>IFERROR(IF(SUMIFS(tblDaily[TransfersIn],tblDaily[EntryDate],DATE(2026,2,25),tblDaily[WardCode],"BH")=0,"",SUMIFS(tblDaily[TransfersIn],tblDaily[EntryDate],DATE(2026,2,25),tblDaily[WardCode],"BH")),"")</f>
        <v/>
      </c>
      <c r="G70" s="5" t="str">
        <f>IFERROR(IF(SUMIFS(tblDaily[TransfersOut],tblDaily[EntryDate],DATE(2026,2,25),tblDaily[WardCode],"BH")=0,"",SUMIFS(tblDaily[TransfersOut],tblDaily[EntryDate],DATE(2026,2,25),tblDaily[WardCode],"BH")),"")</f>
        <v/>
      </c>
      <c r="H70" s="5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IFERROR(IF(SUMIFS(tblDaily[Admissions],tblDaily[EntryDate],DATE(2026,2,26),tblDaily[WardCode],"BH")=0,"",SUMIFS(tblDaily[Admissions],tblDaily[EntryDate],DATE(2026,2,26),tblDaily[WardCode],"BH")),"")</f>
        <v/>
      </c>
      <c r="C71" s="5" t="str">
        <f>IFERROR(IF(SUMIFS(tblDaily[Discharges],tblDaily[EntryDate],DATE(2026,2,26),tblDaily[WardCode],"BH")=0,"",SUMIFS(tblDaily[Discharges],tblDaily[EntryDate],DATE(2026,2,26),tblDaily[WardCode],"BH")),"")</f>
        <v/>
      </c>
      <c r="D71" s="5" t="str">
        <f>IFERROR(IF(SUMIFS(tblDaily[Deaths],tblDaily[EntryDate],DATE(2026,2,26),tblDaily[WardCode],"BH")=0,"",SUMIFS(tblDaily[Deaths],tblDaily[EntryDate],DATE(2026,2,26),tblDaily[WardCode],"BH")),"")</f>
        <v/>
      </c>
      <c r="E71" s="5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5" t="str">
        <f>IFERROR(IF(SUMIFS(tblDaily[TransfersIn],tblDaily[EntryDate],DATE(2026,2,26),tblDaily[WardCode],"BH")=0,"",SUMIFS(tblDaily[TransfersIn],tblDaily[EntryDate],DATE(2026,2,26),tblDaily[WardCode],"BH")),"")</f>
        <v/>
      </c>
      <c r="G71" s="5" t="str">
        <f>IFERROR(IF(SUMIFS(tblDaily[TransfersOut],tblDaily[EntryDate],DATE(2026,2,26),tblDaily[WardCode],"BH")=0,"",SUMIFS(tblDaily[TransfersOut],tblDaily[EntryDate],DATE(2026,2,26),tblDaily[WardCode],"BH")),"")</f>
        <v/>
      </c>
      <c r="H71" s="5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IFERROR(IF(SUMIFS(tblDaily[Admissions],tblDaily[EntryDate],DATE(2026,2,27),tblDaily[WardCode],"BH")=0,"",SUMIFS(tblDaily[Admissions],tblDaily[EntryDate],DATE(2026,2,27),tblDaily[WardCode],"BH")),"")</f>
        <v/>
      </c>
      <c r="C72" s="5" t="str">
        <f>IFERROR(IF(SUMIFS(tblDaily[Discharges],tblDaily[EntryDate],DATE(2026,2,27),tblDaily[WardCode],"BH")=0,"",SUMIFS(tblDaily[Discharges],tblDaily[EntryDate],DATE(2026,2,27),tblDaily[WardCode],"BH")),"")</f>
        <v/>
      </c>
      <c r="D72" s="5" t="str">
        <f>IFERROR(IF(SUMIFS(tblDaily[Deaths],tblDaily[EntryDate],DATE(2026,2,27),tblDaily[WardCode],"BH")=0,"",SUMIFS(tblDaily[Deaths],tblDaily[EntryDate],DATE(2026,2,27),tblDaily[WardCode],"BH")),"")</f>
        <v/>
      </c>
      <c r="E72" s="5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5" t="str">
        <f>IFERROR(IF(SUMIFS(tblDaily[TransfersIn],tblDaily[EntryDate],DATE(2026,2,27),tblDaily[WardCode],"BH")=0,"",SUMIFS(tblDaily[TransfersIn],tblDaily[EntryDate],DATE(2026,2,27),tblDaily[WardCode],"BH")),"")</f>
        <v/>
      </c>
      <c r="G72" s="5" t="str">
        <f>IFERROR(IF(SUMIFS(tblDaily[TransfersOut],tblDaily[EntryDate],DATE(2026,2,27),tblDaily[WardCode],"BH")=0,"",SUMIFS(tblDaily[TransfersOut],tblDaily[EntryDate],DATE(2026,2,27),tblDaily[WardCode],"BH")),"")</f>
        <v/>
      </c>
      <c r="H72" s="5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IFERROR(IF(SUMIFS(tblDaily[Admissions],tblDaily[EntryDate],DATE(2026,2,28),tblDaily[WardCode],"BH")=0,"",SUMIFS(tblDaily[Admissions],tblDaily[EntryDate],DATE(2026,2,28),tblDaily[WardCode],"BH")),"")</f>
        <v/>
      </c>
      <c r="C73" s="5" t="str">
        <f>IFERROR(IF(SUMIFS(tblDaily[Discharges],tblDaily[EntryDate],DATE(2026,2,28),tblDaily[WardCode],"BH")=0,"",SUMIFS(tblDaily[Discharges],tblDaily[EntryDate],DATE(2026,2,28),tblDaily[WardCode],"BH")),"")</f>
        <v/>
      </c>
      <c r="D73" s="5" t="str">
        <f>IFERROR(IF(SUMIFS(tblDaily[Deaths],tblDaily[EntryDate],DATE(2026,2,28),tblDaily[WardCode],"BH")=0,"",SUMIFS(tblDaily[Deaths],tblDaily[EntryDate],DATE(2026,2,28),tblDaily[WardCode],"BH")),"")</f>
        <v/>
      </c>
      <c r="E73" s="5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5" t="str">
        <f>IFERROR(IF(SUMIFS(tblDaily[TransfersIn],tblDaily[EntryDate],DATE(2026,2,28),tblDaily[WardCode],"BH")=0,"",SUMIFS(tblDaily[TransfersIn],tblDaily[EntryDate],DATE(2026,2,28),tblDaily[WardCode],"BH")),"")</f>
        <v/>
      </c>
      <c r="G73" s="5" t="str">
        <f>IFERROR(IF(SUMIFS(tblDaily[TransfersOut],tblDaily[EntryDate],DATE(2026,2,28),tblDaily[WardCode],"BH")=0,"",SUMIFS(tblDaily[TransfersOut],tblDaily[EntryDate],DATE(2026,2,28),tblDaily[WardCode],"BH")),"")</f>
        <v/>
      </c>
      <c r="H73" s="5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100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89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IFERROR(IF(SUMIFS(tblDaily[Admissions],tblDaily[EntryDate],DATE(2026,3,1),tblDaily[WardCode],"BH")=0,"",SUMIFS(tblDaily[Admissions],tblDaily[EntryDate],DATE(2026,3,1),tblDaily[WardCode],"BH")),"")</f>
        <v/>
      </c>
      <c r="C85" s="5" t="str">
        <f>IFERROR(IF(SUMIFS(tblDaily[Discharges],tblDaily[EntryDate],DATE(2026,3,1),tblDaily[WardCode],"BH")=0,"",SUMIFS(tblDaily[Discharges],tblDaily[EntryDate],DATE(2026,3,1),tblDaily[WardCode],"BH")),"")</f>
        <v/>
      </c>
      <c r="D85" s="5" t="str">
        <f>IFERROR(IF(SUMIFS(tblDaily[Deaths],tblDaily[EntryDate],DATE(2026,3,1),tblDaily[WardCode],"BH")=0,"",SUMIFS(tblDaily[Deaths],tblDaily[EntryDate],DATE(2026,3,1),tblDaily[WardCode],"BH")),"")</f>
        <v/>
      </c>
      <c r="E85" s="5" t="str">
        <f>IFERROR(IF(SUMIFS(tblDaily[DeathsUnder24Hrs],tblDaily[EntryDate],DATE(2026,3,1),tblDaily[WardCode],"BH")=0,"",SUMIFS(tblDaily[DeathsUnder24Hrs],tblDaily[EntryDate],DATE(2026,3,1),tblDaily[WardCode],"BH")),"")</f>
        <v/>
      </c>
      <c r="F85" s="5" t="str">
        <f>IFERROR(IF(SUMIFS(tblDaily[TransfersIn],tblDaily[EntryDate],DATE(2026,3,1),tblDaily[WardCode],"BH")=0,"",SUMIFS(tblDaily[TransfersIn],tblDaily[EntryDate],DATE(2026,3,1),tblDaily[WardCode],"BH")),"")</f>
        <v/>
      </c>
      <c r="G85" s="5" t="str">
        <f>IFERROR(IF(SUMIFS(tblDaily[TransfersOut],tblDaily[EntryDate],DATE(2026,3,1),tblDaily[WardCode],"BH")=0,"",SUMIFS(tblDaily[TransfersOut],tblDaily[EntryDate],DATE(2026,3,1),tblDaily[WardCode],"BH")),"")</f>
        <v/>
      </c>
      <c r="H85" s="5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IFERROR(IF(SUMIFS(tblDaily[Admissions],tblDaily[EntryDate],DATE(2026,3,2),tblDaily[WardCode],"BH")=0,"",SUMIFS(tblDaily[Admissions],tblDaily[EntryDate],DATE(2026,3,2),tblDaily[WardCode],"BH")),"")</f>
        <v/>
      </c>
      <c r="C86" s="5" t="str">
        <f>IFERROR(IF(SUMIFS(tblDaily[Discharges],tblDaily[EntryDate],DATE(2026,3,2),tblDaily[WardCode],"BH")=0,"",SUMIFS(tblDaily[Discharges],tblDaily[EntryDate],DATE(2026,3,2),tblDaily[WardCode],"BH")),"")</f>
        <v/>
      </c>
      <c r="D86" s="5" t="str">
        <f>IFERROR(IF(SUMIFS(tblDaily[Deaths],tblDaily[EntryDate],DATE(2026,3,2),tblDaily[WardCode],"BH")=0,"",SUMIFS(tblDaily[Deaths],tblDaily[EntryDate],DATE(2026,3,2),tblDaily[WardCode],"BH")),"")</f>
        <v/>
      </c>
      <c r="E86" s="5" t="str">
        <f>IFERROR(IF(SUMIFS(tblDaily[DeathsUnder24Hrs],tblDaily[EntryDate],DATE(2026,3,2),tblDaily[WardCode],"BH")=0,"",SUMIFS(tblDaily[DeathsUnder24Hrs],tblDaily[EntryDate],DATE(2026,3,2),tblDaily[WardCode],"BH")),"")</f>
        <v/>
      </c>
      <c r="F86" s="5" t="str">
        <f>IFERROR(IF(SUMIFS(tblDaily[TransfersIn],tblDaily[EntryDate],DATE(2026,3,2),tblDaily[WardCode],"BH")=0,"",SUMIFS(tblDaily[TransfersIn],tblDaily[EntryDate],DATE(2026,3,2),tblDaily[WardCode],"BH")),"")</f>
        <v/>
      </c>
      <c r="G86" s="5" t="str">
        <f>IFERROR(IF(SUMIFS(tblDaily[TransfersOut],tblDaily[EntryDate],DATE(2026,3,2),tblDaily[WardCode],"BH")=0,"",SUMIFS(tblDaily[TransfersOut],tblDaily[EntryDate],DATE(2026,3,2),tblDaily[WardCode],"BH")),"")</f>
        <v/>
      </c>
      <c r="H86" s="5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IFERROR(IF(SUMIFS(tblDaily[Admissions],tblDaily[EntryDate],DATE(2026,3,3),tblDaily[WardCode],"BH")=0,"",SUMIFS(tblDaily[Admissions],tblDaily[EntryDate],DATE(2026,3,3),tblDaily[WardCode],"BH")),"")</f>
        <v/>
      </c>
      <c r="C87" s="5" t="str">
        <f>IFERROR(IF(SUMIFS(tblDaily[Discharges],tblDaily[EntryDate],DATE(2026,3,3),tblDaily[WardCode],"BH")=0,"",SUMIFS(tblDaily[Discharges],tblDaily[EntryDate],DATE(2026,3,3),tblDaily[WardCode],"BH")),"")</f>
        <v/>
      </c>
      <c r="D87" s="5" t="str">
        <f>IFERROR(IF(SUMIFS(tblDaily[Deaths],tblDaily[EntryDate],DATE(2026,3,3),tblDaily[WardCode],"BH")=0,"",SUMIFS(tblDaily[Deaths],tblDaily[EntryDate],DATE(2026,3,3),tblDaily[WardCode],"BH")),"")</f>
        <v/>
      </c>
      <c r="E87" s="5" t="str">
        <f>IFERROR(IF(SUMIFS(tblDaily[DeathsUnder24Hrs],tblDaily[EntryDate],DATE(2026,3,3),tblDaily[WardCode],"BH")=0,"",SUMIFS(tblDaily[DeathsUnder24Hrs],tblDaily[EntryDate],DATE(2026,3,3),tblDaily[WardCode],"BH")),"")</f>
        <v/>
      </c>
      <c r="F87" s="5" t="str">
        <f>IFERROR(IF(SUMIFS(tblDaily[TransfersIn],tblDaily[EntryDate],DATE(2026,3,3),tblDaily[WardCode],"BH")=0,"",SUMIFS(tblDaily[TransfersIn],tblDaily[EntryDate],DATE(2026,3,3),tblDaily[WardCode],"BH")),"")</f>
        <v/>
      </c>
      <c r="G87" s="5" t="str">
        <f>IFERROR(IF(SUMIFS(tblDaily[TransfersOut],tblDaily[EntryDate],DATE(2026,3,3),tblDaily[WardCode],"BH")=0,"",SUMIFS(tblDaily[TransfersOut],tblDaily[EntryDate],DATE(2026,3,3),tblDaily[WardCode],"BH")),"")</f>
        <v/>
      </c>
      <c r="H87" s="5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IFERROR(IF(SUMIFS(tblDaily[Admissions],tblDaily[EntryDate],DATE(2026,3,4),tblDaily[WardCode],"BH")=0,"",SUMIFS(tblDaily[Admissions],tblDaily[EntryDate],DATE(2026,3,4),tblDaily[WardCode],"BH")),"")</f>
        <v/>
      </c>
      <c r="C88" s="5" t="str">
        <f>IFERROR(IF(SUMIFS(tblDaily[Discharges],tblDaily[EntryDate],DATE(2026,3,4),tblDaily[WardCode],"BH")=0,"",SUMIFS(tblDaily[Discharges],tblDaily[EntryDate],DATE(2026,3,4),tblDaily[WardCode],"BH")),"")</f>
        <v/>
      </c>
      <c r="D88" s="5" t="str">
        <f>IFERROR(IF(SUMIFS(tblDaily[Deaths],tblDaily[EntryDate],DATE(2026,3,4),tblDaily[WardCode],"BH")=0,"",SUMIFS(tblDaily[Deaths],tblDaily[EntryDate],DATE(2026,3,4),tblDaily[WardCode],"BH")),"")</f>
        <v/>
      </c>
      <c r="E88" s="5" t="str">
        <f>IFERROR(IF(SUMIFS(tblDaily[DeathsUnder24Hrs],tblDaily[EntryDate],DATE(2026,3,4),tblDaily[WardCode],"BH")=0,"",SUMIFS(tblDaily[DeathsUnder24Hrs],tblDaily[EntryDate],DATE(2026,3,4),tblDaily[WardCode],"BH")),"")</f>
        <v/>
      </c>
      <c r="F88" s="5" t="str">
        <f>IFERROR(IF(SUMIFS(tblDaily[TransfersIn],tblDaily[EntryDate],DATE(2026,3,4),tblDaily[WardCode],"BH")=0,"",SUMIFS(tblDaily[TransfersIn],tblDaily[EntryDate],DATE(2026,3,4),tblDaily[WardCode],"BH")),"")</f>
        <v/>
      </c>
      <c r="G88" s="5" t="str">
        <f>IFERROR(IF(SUMIFS(tblDaily[TransfersOut],tblDaily[EntryDate],DATE(2026,3,4),tblDaily[WardCode],"BH")=0,"",SUMIFS(tblDaily[TransfersOut],tblDaily[EntryDate],DATE(2026,3,4),tblDaily[WardCode],"BH")),"")</f>
        <v/>
      </c>
      <c r="H88" s="5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IFERROR(IF(SUMIFS(tblDaily[Admissions],tblDaily[EntryDate],DATE(2026,3,5),tblDaily[WardCode],"BH")=0,"",SUMIFS(tblDaily[Admissions],tblDaily[EntryDate],DATE(2026,3,5),tblDaily[WardCode],"BH")),"")</f>
        <v/>
      </c>
      <c r="C89" s="5" t="str">
        <f>IFERROR(IF(SUMIFS(tblDaily[Discharges],tblDaily[EntryDate],DATE(2026,3,5),tblDaily[WardCode],"BH")=0,"",SUMIFS(tblDaily[Discharges],tblDaily[EntryDate],DATE(2026,3,5),tblDaily[WardCode],"BH")),"")</f>
        <v/>
      </c>
      <c r="D89" s="5" t="str">
        <f>IFERROR(IF(SUMIFS(tblDaily[Deaths],tblDaily[EntryDate],DATE(2026,3,5),tblDaily[WardCode],"BH")=0,"",SUMIFS(tblDaily[Deaths],tblDaily[EntryDate],DATE(2026,3,5),tblDaily[WardCode],"BH")),"")</f>
        <v/>
      </c>
      <c r="E89" s="5" t="str">
        <f>IFERROR(IF(SUMIFS(tblDaily[DeathsUnder24Hrs],tblDaily[EntryDate],DATE(2026,3,5),tblDaily[WardCode],"BH")=0,"",SUMIFS(tblDaily[DeathsUnder24Hrs],tblDaily[EntryDate],DATE(2026,3,5),tblDaily[WardCode],"BH")),"")</f>
        <v/>
      </c>
      <c r="F89" s="5" t="str">
        <f>IFERROR(IF(SUMIFS(tblDaily[TransfersIn],tblDaily[EntryDate],DATE(2026,3,5),tblDaily[WardCode],"BH")=0,"",SUMIFS(tblDaily[TransfersIn],tblDaily[EntryDate],DATE(2026,3,5),tblDaily[WardCode],"BH")),"")</f>
        <v/>
      </c>
      <c r="G89" s="5" t="str">
        <f>IFERROR(IF(SUMIFS(tblDaily[TransfersOut],tblDaily[EntryDate],DATE(2026,3,5),tblDaily[WardCode],"BH")=0,"",SUMIFS(tblDaily[TransfersOut],tblDaily[EntryDate],DATE(2026,3,5),tblDaily[WardCode],"BH")),"")</f>
        <v/>
      </c>
      <c r="H89" s="5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IFERROR(IF(SUMIFS(tblDaily[Admissions],tblDaily[EntryDate],DATE(2026,3,6),tblDaily[WardCode],"BH")=0,"",SUMIFS(tblDaily[Admissions],tblDaily[EntryDate],DATE(2026,3,6),tblDaily[WardCode],"BH")),"")</f>
        <v/>
      </c>
      <c r="C90" s="5" t="str">
        <f>IFERROR(IF(SUMIFS(tblDaily[Discharges],tblDaily[EntryDate],DATE(2026,3,6),tblDaily[WardCode],"BH")=0,"",SUMIFS(tblDaily[Discharges],tblDaily[EntryDate],DATE(2026,3,6),tblDaily[WardCode],"BH")),"")</f>
        <v/>
      </c>
      <c r="D90" s="5" t="str">
        <f>IFERROR(IF(SUMIFS(tblDaily[Deaths],tblDaily[EntryDate],DATE(2026,3,6),tblDaily[WardCode],"BH")=0,"",SUMIFS(tblDaily[Deaths],tblDaily[EntryDate],DATE(2026,3,6),tblDaily[WardCode],"BH")),"")</f>
        <v/>
      </c>
      <c r="E90" s="5" t="str">
        <f>IFERROR(IF(SUMIFS(tblDaily[DeathsUnder24Hrs],tblDaily[EntryDate],DATE(2026,3,6),tblDaily[WardCode],"BH")=0,"",SUMIFS(tblDaily[DeathsUnder24Hrs],tblDaily[EntryDate],DATE(2026,3,6),tblDaily[WardCode],"BH")),"")</f>
        <v/>
      </c>
      <c r="F90" s="5" t="str">
        <f>IFERROR(IF(SUMIFS(tblDaily[TransfersIn],tblDaily[EntryDate],DATE(2026,3,6),tblDaily[WardCode],"BH")=0,"",SUMIFS(tblDaily[TransfersIn],tblDaily[EntryDate],DATE(2026,3,6),tblDaily[WardCode],"BH")),"")</f>
        <v/>
      </c>
      <c r="G90" s="5" t="str">
        <f>IFERROR(IF(SUMIFS(tblDaily[TransfersOut],tblDaily[EntryDate],DATE(2026,3,6),tblDaily[WardCode],"BH")=0,"",SUMIFS(tblDaily[TransfersOut],tblDaily[EntryDate],DATE(2026,3,6),tblDaily[WardCode],"BH")),"")</f>
        <v/>
      </c>
      <c r="H90" s="5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IFERROR(IF(SUMIFS(tblDaily[Admissions],tblDaily[EntryDate],DATE(2026,3,7),tblDaily[WardCode],"BH")=0,"",SUMIFS(tblDaily[Admissions],tblDaily[EntryDate],DATE(2026,3,7),tblDaily[WardCode],"BH")),"")</f>
        <v/>
      </c>
      <c r="C91" s="5" t="str">
        <f>IFERROR(IF(SUMIFS(tblDaily[Discharges],tblDaily[EntryDate],DATE(2026,3,7),tblDaily[WardCode],"BH")=0,"",SUMIFS(tblDaily[Discharges],tblDaily[EntryDate],DATE(2026,3,7),tblDaily[WardCode],"BH")),"")</f>
        <v/>
      </c>
      <c r="D91" s="5" t="str">
        <f>IFERROR(IF(SUMIFS(tblDaily[Deaths],tblDaily[EntryDate],DATE(2026,3,7),tblDaily[WardCode],"BH")=0,"",SUMIFS(tblDaily[Deaths],tblDaily[EntryDate],DATE(2026,3,7),tblDaily[WardCode],"BH")),"")</f>
        <v/>
      </c>
      <c r="E91" s="5" t="str">
        <f>IFERROR(IF(SUMIFS(tblDaily[DeathsUnder24Hrs],tblDaily[EntryDate],DATE(2026,3,7),tblDaily[WardCode],"BH")=0,"",SUMIFS(tblDaily[DeathsUnder24Hrs],tblDaily[EntryDate],DATE(2026,3,7),tblDaily[WardCode],"BH")),"")</f>
        <v/>
      </c>
      <c r="F91" s="5" t="str">
        <f>IFERROR(IF(SUMIFS(tblDaily[TransfersIn],tblDaily[EntryDate],DATE(2026,3,7),tblDaily[WardCode],"BH")=0,"",SUMIFS(tblDaily[TransfersIn],tblDaily[EntryDate],DATE(2026,3,7),tblDaily[WardCode],"BH")),"")</f>
        <v/>
      </c>
      <c r="G91" s="5" t="str">
        <f>IFERROR(IF(SUMIFS(tblDaily[TransfersOut],tblDaily[EntryDate],DATE(2026,3,7),tblDaily[WardCode],"BH")=0,"",SUMIFS(tblDaily[TransfersOut],tblDaily[EntryDate],DATE(2026,3,7),tblDaily[WardCode],"BH")),"")</f>
        <v/>
      </c>
      <c r="H91" s="5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IFERROR(IF(SUMIFS(tblDaily[Admissions],tblDaily[EntryDate],DATE(2026,3,8),tblDaily[WardCode],"BH")=0,"",SUMIFS(tblDaily[Admissions],tblDaily[EntryDate],DATE(2026,3,8),tblDaily[WardCode],"BH")),"")</f>
        <v/>
      </c>
      <c r="C92" s="5" t="str">
        <f>IFERROR(IF(SUMIFS(tblDaily[Discharges],tblDaily[EntryDate],DATE(2026,3,8),tblDaily[WardCode],"BH")=0,"",SUMIFS(tblDaily[Discharges],tblDaily[EntryDate],DATE(2026,3,8),tblDaily[WardCode],"BH")),"")</f>
        <v/>
      </c>
      <c r="D92" s="5" t="str">
        <f>IFERROR(IF(SUMIFS(tblDaily[Deaths],tblDaily[EntryDate],DATE(2026,3,8),tblDaily[WardCode],"BH")=0,"",SUMIFS(tblDaily[Deaths],tblDaily[EntryDate],DATE(2026,3,8),tblDaily[WardCode],"BH")),"")</f>
        <v/>
      </c>
      <c r="E92" s="5" t="str">
        <f>IFERROR(IF(SUMIFS(tblDaily[DeathsUnder24Hrs],tblDaily[EntryDate],DATE(2026,3,8),tblDaily[WardCode],"BH")=0,"",SUMIFS(tblDaily[DeathsUnder24Hrs],tblDaily[EntryDate],DATE(2026,3,8),tblDaily[WardCode],"BH")),"")</f>
        <v/>
      </c>
      <c r="F92" s="5" t="str">
        <f>IFERROR(IF(SUMIFS(tblDaily[TransfersIn],tblDaily[EntryDate],DATE(2026,3,8),tblDaily[WardCode],"BH")=0,"",SUMIFS(tblDaily[TransfersIn],tblDaily[EntryDate],DATE(2026,3,8),tblDaily[WardCode],"BH")),"")</f>
        <v/>
      </c>
      <c r="G92" s="5" t="str">
        <f>IFERROR(IF(SUMIFS(tblDaily[TransfersOut],tblDaily[EntryDate],DATE(2026,3,8),tblDaily[WardCode],"BH")=0,"",SUMIFS(tblDaily[TransfersOut],tblDaily[EntryDate],DATE(2026,3,8),tblDaily[WardCode],"BH")),"")</f>
        <v/>
      </c>
      <c r="H92" s="5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IFERROR(IF(SUMIFS(tblDaily[Admissions],tblDaily[EntryDate],DATE(2026,3,9),tblDaily[WardCode],"BH")=0,"",SUMIFS(tblDaily[Admissions],tblDaily[EntryDate],DATE(2026,3,9),tblDaily[WardCode],"BH")),"")</f>
        <v/>
      </c>
      <c r="C93" s="5" t="str">
        <f>IFERROR(IF(SUMIFS(tblDaily[Discharges],tblDaily[EntryDate],DATE(2026,3,9),tblDaily[WardCode],"BH")=0,"",SUMIFS(tblDaily[Discharges],tblDaily[EntryDate],DATE(2026,3,9),tblDaily[WardCode],"BH")),"")</f>
        <v/>
      </c>
      <c r="D93" s="5" t="str">
        <f>IFERROR(IF(SUMIFS(tblDaily[Deaths],tblDaily[EntryDate],DATE(2026,3,9),tblDaily[WardCode],"BH")=0,"",SUMIFS(tblDaily[Deaths],tblDaily[EntryDate],DATE(2026,3,9),tblDaily[WardCode],"BH")),"")</f>
        <v/>
      </c>
      <c r="E93" s="5" t="str">
        <f>IFERROR(IF(SUMIFS(tblDaily[DeathsUnder24Hrs],tblDaily[EntryDate],DATE(2026,3,9),tblDaily[WardCode],"BH")=0,"",SUMIFS(tblDaily[DeathsUnder24Hrs],tblDaily[EntryDate],DATE(2026,3,9),tblDaily[WardCode],"BH")),"")</f>
        <v/>
      </c>
      <c r="F93" s="5" t="str">
        <f>IFERROR(IF(SUMIFS(tblDaily[TransfersIn],tblDaily[EntryDate],DATE(2026,3,9),tblDaily[WardCode],"BH")=0,"",SUMIFS(tblDaily[TransfersIn],tblDaily[EntryDate],DATE(2026,3,9),tblDaily[WardCode],"BH")),"")</f>
        <v/>
      </c>
      <c r="G93" s="5" t="str">
        <f>IFERROR(IF(SUMIFS(tblDaily[TransfersOut],tblDaily[EntryDate],DATE(2026,3,9),tblDaily[WardCode],"BH")=0,"",SUMIFS(tblDaily[TransfersOut],tblDaily[EntryDate],DATE(2026,3,9),tblDaily[WardCode],"BH")),"")</f>
        <v/>
      </c>
      <c r="H93" s="5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IFERROR(IF(SUMIFS(tblDaily[Admissions],tblDaily[EntryDate],DATE(2026,3,10),tblDaily[WardCode],"BH")=0,"",SUMIFS(tblDaily[Admissions],tblDaily[EntryDate],DATE(2026,3,10),tblDaily[WardCode],"BH")),"")</f>
        <v/>
      </c>
      <c r="C94" s="5" t="str">
        <f>IFERROR(IF(SUMIFS(tblDaily[Discharges],tblDaily[EntryDate],DATE(2026,3,10),tblDaily[WardCode],"BH")=0,"",SUMIFS(tblDaily[Discharges],tblDaily[EntryDate],DATE(2026,3,10),tblDaily[WardCode],"BH")),"")</f>
        <v/>
      </c>
      <c r="D94" s="5" t="str">
        <f>IFERROR(IF(SUMIFS(tblDaily[Deaths],tblDaily[EntryDate],DATE(2026,3,10),tblDaily[WardCode],"BH")=0,"",SUMIFS(tblDaily[Deaths],tblDaily[EntryDate],DATE(2026,3,10),tblDaily[WardCode],"BH")),"")</f>
        <v/>
      </c>
      <c r="E94" s="5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5" t="str">
        <f>IFERROR(IF(SUMIFS(tblDaily[TransfersIn],tblDaily[EntryDate],DATE(2026,3,10),tblDaily[WardCode],"BH")=0,"",SUMIFS(tblDaily[TransfersIn],tblDaily[EntryDate],DATE(2026,3,10),tblDaily[WardCode],"BH")),"")</f>
        <v/>
      </c>
      <c r="G94" s="5" t="str">
        <f>IFERROR(IF(SUMIFS(tblDaily[TransfersOut],tblDaily[EntryDate],DATE(2026,3,10),tblDaily[WardCode],"BH")=0,"",SUMIFS(tblDaily[TransfersOut],tblDaily[EntryDate],DATE(2026,3,10),tblDaily[WardCode],"BH")),"")</f>
        <v/>
      </c>
      <c r="H94" s="5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IFERROR(IF(SUMIFS(tblDaily[Admissions],tblDaily[EntryDate],DATE(2026,3,11),tblDaily[WardCode],"BH")=0,"",SUMIFS(tblDaily[Admissions],tblDaily[EntryDate],DATE(2026,3,11),tblDaily[WardCode],"BH")),"")</f>
        <v/>
      </c>
      <c r="C95" s="5" t="str">
        <f>IFERROR(IF(SUMIFS(tblDaily[Discharges],tblDaily[EntryDate],DATE(2026,3,11),tblDaily[WardCode],"BH")=0,"",SUMIFS(tblDaily[Discharges],tblDaily[EntryDate],DATE(2026,3,11),tblDaily[WardCode],"BH")),"")</f>
        <v/>
      </c>
      <c r="D95" s="5" t="str">
        <f>IFERROR(IF(SUMIFS(tblDaily[Deaths],tblDaily[EntryDate],DATE(2026,3,11),tblDaily[WardCode],"BH")=0,"",SUMIFS(tblDaily[Deaths],tblDaily[EntryDate],DATE(2026,3,11),tblDaily[WardCode],"BH")),"")</f>
        <v/>
      </c>
      <c r="E95" s="5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5" t="str">
        <f>IFERROR(IF(SUMIFS(tblDaily[TransfersIn],tblDaily[EntryDate],DATE(2026,3,11),tblDaily[WardCode],"BH")=0,"",SUMIFS(tblDaily[TransfersIn],tblDaily[EntryDate],DATE(2026,3,11),tblDaily[WardCode],"BH")),"")</f>
        <v/>
      </c>
      <c r="G95" s="5" t="str">
        <f>IFERROR(IF(SUMIFS(tblDaily[TransfersOut],tblDaily[EntryDate],DATE(2026,3,11),tblDaily[WardCode],"BH")=0,"",SUMIFS(tblDaily[TransfersOut],tblDaily[EntryDate],DATE(2026,3,11),tblDaily[WardCode],"BH")),"")</f>
        <v/>
      </c>
      <c r="H95" s="5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IFERROR(IF(SUMIFS(tblDaily[Admissions],tblDaily[EntryDate],DATE(2026,3,12),tblDaily[WardCode],"BH")=0,"",SUMIFS(tblDaily[Admissions],tblDaily[EntryDate],DATE(2026,3,12),tblDaily[WardCode],"BH")),"")</f>
        <v/>
      </c>
      <c r="C96" s="5" t="str">
        <f>IFERROR(IF(SUMIFS(tblDaily[Discharges],tblDaily[EntryDate],DATE(2026,3,12),tblDaily[WardCode],"BH")=0,"",SUMIFS(tblDaily[Discharges],tblDaily[EntryDate],DATE(2026,3,12),tblDaily[WardCode],"BH")),"")</f>
        <v/>
      </c>
      <c r="D96" s="5" t="str">
        <f>IFERROR(IF(SUMIFS(tblDaily[Deaths],tblDaily[EntryDate],DATE(2026,3,12),tblDaily[WardCode],"BH")=0,"",SUMIFS(tblDaily[Deaths],tblDaily[EntryDate],DATE(2026,3,12),tblDaily[WardCode],"BH")),"")</f>
        <v/>
      </c>
      <c r="E96" s="5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5" t="str">
        <f>IFERROR(IF(SUMIFS(tblDaily[TransfersIn],tblDaily[EntryDate],DATE(2026,3,12),tblDaily[WardCode],"BH")=0,"",SUMIFS(tblDaily[TransfersIn],tblDaily[EntryDate],DATE(2026,3,12),tblDaily[WardCode],"BH")),"")</f>
        <v/>
      </c>
      <c r="G96" s="5" t="str">
        <f>IFERROR(IF(SUMIFS(tblDaily[TransfersOut],tblDaily[EntryDate],DATE(2026,3,12),tblDaily[WardCode],"BH")=0,"",SUMIFS(tblDaily[TransfersOut],tblDaily[EntryDate],DATE(2026,3,12),tblDaily[WardCode],"BH")),"")</f>
        <v/>
      </c>
      <c r="H96" s="5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IFERROR(IF(SUMIFS(tblDaily[Admissions],tblDaily[EntryDate],DATE(2026,3,13),tblDaily[WardCode],"BH")=0,"",SUMIFS(tblDaily[Admissions],tblDaily[EntryDate],DATE(2026,3,13),tblDaily[WardCode],"BH")),"")</f>
        <v/>
      </c>
      <c r="C97" s="5" t="str">
        <f>IFERROR(IF(SUMIFS(tblDaily[Discharges],tblDaily[EntryDate],DATE(2026,3,13),tblDaily[WardCode],"BH")=0,"",SUMIFS(tblDaily[Discharges],tblDaily[EntryDate],DATE(2026,3,13),tblDaily[WardCode],"BH")),"")</f>
        <v/>
      </c>
      <c r="D97" s="5" t="str">
        <f>IFERROR(IF(SUMIFS(tblDaily[Deaths],tblDaily[EntryDate],DATE(2026,3,13),tblDaily[WardCode],"BH")=0,"",SUMIFS(tblDaily[Deaths],tblDaily[EntryDate],DATE(2026,3,13),tblDaily[WardCode],"BH")),"")</f>
        <v/>
      </c>
      <c r="E97" s="5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5" t="str">
        <f>IFERROR(IF(SUMIFS(tblDaily[TransfersIn],tblDaily[EntryDate],DATE(2026,3,13),tblDaily[WardCode],"BH")=0,"",SUMIFS(tblDaily[TransfersIn],tblDaily[EntryDate],DATE(2026,3,13),tblDaily[WardCode],"BH")),"")</f>
        <v/>
      </c>
      <c r="G97" s="5" t="str">
        <f>IFERROR(IF(SUMIFS(tblDaily[TransfersOut],tblDaily[EntryDate],DATE(2026,3,13),tblDaily[WardCode],"BH")=0,"",SUMIFS(tblDaily[TransfersOut],tblDaily[EntryDate],DATE(2026,3,13),tblDaily[WardCode],"BH")),"")</f>
        <v/>
      </c>
      <c r="H97" s="5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IFERROR(IF(SUMIFS(tblDaily[Admissions],tblDaily[EntryDate],DATE(2026,3,14),tblDaily[WardCode],"BH")=0,"",SUMIFS(tblDaily[Admissions],tblDaily[EntryDate],DATE(2026,3,14),tblDaily[WardCode],"BH")),"")</f>
        <v/>
      </c>
      <c r="C98" s="5" t="str">
        <f>IFERROR(IF(SUMIFS(tblDaily[Discharges],tblDaily[EntryDate],DATE(2026,3,14),tblDaily[WardCode],"BH")=0,"",SUMIFS(tblDaily[Discharges],tblDaily[EntryDate],DATE(2026,3,14),tblDaily[WardCode],"BH")),"")</f>
        <v/>
      </c>
      <c r="D98" s="5" t="str">
        <f>IFERROR(IF(SUMIFS(tblDaily[Deaths],tblDaily[EntryDate],DATE(2026,3,14),tblDaily[WardCode],"BH")=0,"",SUMIFS(tblDaily[Deaths],tblDaily[EntryDate],DATE(2026,3,14),tblDaily[WardCode],"BH")),"")</f>
        <v/>
      </c>
      <c r="E98" s="5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5" t="str">
        <f>IFERROR(IF(SUMIFS(tblDaily[TransfersIn],tblDaily[EntryDate],DATE(2026,3,14),tblDaily[WardCode],"BH")=0,"",SUMIFS(tblDaily[TransfersIn],tblDaily[EntryDate],DATE(2026,3,14),tblDaily[WardCode],"BH")),"")</f>
        <v/>
      </c>
      <c r="G98" s="5" t="str">
        <f>IFERROR(IF(SUMIFS(tblDaily[TransfersOut],tblDaily[EntryDate],DATE(2026,3,14),tblDaily[WardCode],"BH")=0,"",SUMIFS(tblDaily[TransfersOut],tblDaily[EntryDate],DATE(2026,3,14),tblDaily[WardCode],"BH")),"")</f>
        <v/>
      </c>
      <c r="H98" s="5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IFERROR(IF(SUMIFS(tblDaily[Admissions],tblDaily[EntryDate],DATE(2026,3,15),tblDaily[WardCode],"BH")=0,"",SUMIFS(tblDaily[Admissions],tblDaily[EntryDate],DATE(2026,3,15),tblDaily[WardCode],"BH")),"")</f>
        <v/>
      </c>
      <c r="C99" s="5" t="str">
        <f>IFERROR(IF(SUMIFS(tblDaily[Discharges],tblDaily[EntryDate],DATE(2026,3,15),tblDaily[WardCode],"BH")=0,"",SUMIFS(tblDaily[Discharges],tblDaily[EntryDate],DATE(2026,3,15),tblDaily[WardCode],"BH")),"")</f>
        <v/>
      </c>
      <c r="D99" s="5" t="str">
        <f>IFERROR(IF(SUMIFS(tblDaily[Deaths],tblDaily[EntryDate],DATE(2026,3,15),tblDaily[WardCode],"BH")=0,"",SUMIFS(tblDaily[Deaths],tblDaily[EntryDate],DATE(2026,3,15),tblDaily[WardCode],"BH")),"")</f>
        <v/>
      </c>
      <c r="E99" s="5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5" t="str">
        <f>IFERROR(IF(SUMIFS(tblDaily[TransfersIn],tblDaily[EntryDate],DATE(2026,3,15),tblDaily[WardCode],"BH")=0,"",SUMIFS(tblDaily[TransfersIn],tblDaily[EntryDate],DATE(2026,3,15),tblDaily[WardCode],"BH")),"")</f>
        <v/>
      </c>
      <c r="G99" s="5" t="str">
        <f>IFERROR(IF(SUMIFS(tblDaily[TransfersOut],tblDaily[EntryDate],DATE(2026,3,15),tblDaily[WardCode],"BH")=0,"",SUMIFS(tblDaily[TransfersOut],tblDaily[EntryDate],DATE(2026,3,15),tblDaily[WardCode],"BH")),"")</f>
        <v/>
      </c>
      <c r="H99" s="5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IFERROR(IF(SUMIFS(tblDaily[Admissions],tblDaily[EntryDate],DATE(2026,3,16),tblDaily[WardCode],"BH")=0,"",SUMIFS(tblDaily[Admissions],tblDaily[EntryDate],DATE(2026,3,16),tblDaily[WardCode],"BH")),"")</f>
        <v/>
      </c>
      <c r="C100" s="5" t="str">
        <f>IFERROR(IF(SUMIFS(tblDaily[Discharges],tblDaily[EntryDate],DATE(2026,3,16),tblDaily[WardCode],"BH")=0,"",SUMIFS(tblDaily[Discharges],tblDaily[EntryDate],DATE(2026,3,16),tblDaily[WardCode],"BH")),"")</f>
        <v/>
      </c>
      <c r="D100" s="5" t="str">
        <f>IFERROR(IF(SUMIFS(tblDaily[Deaths],tblDaily[EntryDate],DATE(2026,3,16),tblDaily[WardCode],"BH")=0,"",SUMIFS(tblDaily[Deaths],tblDaily[EntryDate],DATE(2026,3,16),tblDaily[WardCode],"BH")),"")</f>
        <v/>
      </c>
      <c r="E100" s="5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5" t="str">
        <f>IFERROR(IF(SUMIFS(tblDaily[TransfersIn],tblDaily[EntryDate],DATE(2026,3,16),tblDaily[WardCode],"BH")=0,"",SUMIFS(tblDaily[TransfersIn],tblDaily[EntryDate],DATE(2026,3,16),tblDaily[WardCode],"BH")),"")</f>
        <v/>
      </c>
      <c r="G100" s="5" t="str">
        <f>IFERROR(IF(SUMIFS(tblDaily[TransfersOut],tblDaily[EntryDate],DATE(2026,3,16),tblDaily[WardCode],"BH")=0,"",SUMIFS(tblDaily[TransfersOut],tblDaily[EntryDate],DATE(2026,3,16),tblDaily[WardCode],"BH")),"")</f>
        <v/>
      </c>
      <c r="H100" s="5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IFERROR(IF(SUMIFS(tblDaily[Admissions],tblDaily[EntryDate],DATE(2026,3,17),tblDaily[WardCode],"BH")=0,"",SUMIFS(tblDaily[Admissions],tblDaily[EntryDate],DATE(2026,3,17),tblDaily[WardCode],"BH")),"")</f>
        <v/>
      </c>
      <c r="C101" s="5" t="str">
        <f>IFERROR(IF(SUMIFS(tblDaily[Discharges],tblDaily[EntryDate],DATE(2026,3,17),tblDaily[WardCode],"BH")=0,"",SUMIFS(tblDaily[Discharges],tblDaily[EntryDate],DATE(2026,3,17),tblDaily[WardCode],"BH")),"")</f>
        <v/>
      </c>
      <c r="D101" s="5" t="str">
        <f>IFERROR(IF(SUMIFS(tblDaily[Deaths],tblDaily[EntryDate],DATE(2026,3,17),tblDaily[WardCode],"BH")=0,"",SUMIFS(tblDaily[Deaths],tblDaily[EntryDate],DATE(2026,3,17),tblDaily[WardCode],"BH")),"")</f>
        <v/>
      </c>
      <c r="E101" s="5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5" t="str">
        <f>IFERROR(IF(SUMIFS(tblDaily[TransfersIn],tblDaily[EntryDate],DATE(2026,3,17),tblDaily[WardCode],"BH")=0,"",SUMIFS(tblDaily[TransfersIn],tblDaily[EntryDate],DATE(2026,3,17),tblDaily[WardCode],"BH")),"")</f>
        <v/>
      </c>
      <c r="G101" s="5" t="str">
        <f>IFERROR(IF(SUMIFS(tblDaily[TransfersOut],tblDaily[EntryDate],DATE(2026,3,17),tblDaily[WardCode],"BH")=0,"",SUMIFS(tblDaily[TransfersOut],tblDaily[EntryDate],DATE(2026,3,17),tblDaily[WardCode],"BH")),"")</f>
        <v/>
      </c>
      <c r="H101" s="5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IFERROR(IF(SUMIFS(tblDaily[Admissions],tblDaily[EntryDate],DATE(2026,3,18),tblDaily[WardCode],"BH")=0,"",SUMIFS(tblDaily[Admissions],tblDaily[EntryDate],DATE(2026,3,18),tblDaily[WardCode],"BH")),"")</f>
        <v/>
      </c>
      <c r="C102" s="5" t="str">
        <f>IFERROR(IF(SUMIFS(tblDaily[Discharges],tblDaily[EntryDate],DATE(2026,3,18),tblDaily[WardCode],"BH")=0,"",SUMIFS(tblDaily[Discharges],tblDaily[EntryDate],DATE(2026,3,18),tblDaily[WardCode],"BH")),"")</f>
        <v/>
      </c>
      <c r="D102" s="5" t="str">
        <f>IFERROR(IF(SUMIFS(tblDaily[Deaths],tblDaily[EntryDate],DATE(2026,3,18),tblDaily[WardCode],"BH")=0,"",SUMIFS(tblDaily[Deaths],tblDaily[EntryDate],DATE(2026,3,18),tblDaily[WardCode],"BH")),"")</f>
        <v/>
      </c>
      <c r="E102" s="5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5" t="str">
        <f>IFERROR(IF(SUMIFS(tblDaily[TransfersIn],tblDaily[EntryDate],DATE(2026,3,18),tblDaily[WardCode],"BH")=0,"",SUMIFS(tblDaily[TransfersIn],tblDaily[EntryDate],DATE(2026,3,18),tblDaily[WardCode],"BH")),"")</f>
        <v/>
      </c>
      <c r="G102" s="5" t="str">
        <f>IFERROR(IF(SUMIFS(tblDaily[TransfersOut],tblDaily[EntryDate],DATE(2026,3,18),tblDaily[WardCode],"BH")=0,"",SUMIFS(tblDaily[TransfersOut],tblDaily[EntryDate],DATE(2026,3,18),tblDaily[WardCode],"BH")),"")</f>
        <v/>
      </c>
      <c r="H102" s="5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IFERROR(IF(SUMIFS(tblDaily[Admissions],tblDaily[EntryDate],DATE(2026,3,19),tblDaily[WardCode],"BH")=0,"",SUMIFS(tblDaily[Admissions],tblDaily[EntryDate],DATE(2026,3,19),tblDaily[WardCode],"BH")),"")</f>
        <v/>
      </c>
      <c r="C103" s="5" t="str">
        <f>IFERROR(IF(SUMIFS(tblDaily[Discharges],tblDaily[EntryDate],DATE(2026,3,19),tblDaily[WardCode],"BH")=0,"",SUMIFS(tblDaily[Discharges],tblDaily[EntryDate],DATE(2026,3,19),tblDaily[WardCode],"BH")),"")</f>
        <v/>
      </c>
      <c r="D103" s="5" t="str">
        <f>IFERROR(IF(SUMIFS(tblDaily[Deaths],tblDaily[EntryDate],DATE(2026,3,19),tblDaily[WardCode],"BH")=0,"",SUMIFS(tblDaily[Deaths],tblDaily[EntryDate],DATE(2026,3,19),tblDaily[WardCode],"BH")),"")</f>
        <v/>
      </c>
      <c r="E103" s="5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5" t="str">
        <f>IFERROR(IF(SUMIFS(tblDaily[TransfersIn],tblDaily[EntryDate],DATE(2026,3,19),tblDaily[WardCode],"BH")=0,"",SUMIFS(tblDaily[TransfersIn],tblDaily[EntryDate],DATE(2026,3,19),tblDaily[WardCode],"BH")),"")</f>
        <v/>
      </c>
      <c r="G103" s="5" t="str">
        <f>IFERROR(IF(SUMIFS(tblDaily[TransfersOut],tblDaily[EntryDate],DATE(2026,3,19),tblDaily[WardCode],"BH")=0,"",SUMIFS(tblDaily[TransfersOut],tblDaily[EntryDate],DATE(2026,3,19),tblDaily[WardCode],"BH")),"")</f>
        <v/>
      </c>
      <c r="H103" s="5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IFERROR(IF(SUMIFS(tblDaily[Admissions],tblDaily[EntryDate],DATE(2026,3,20),tblDaily[WardCode],"BH")=0,"",SUMIFS(tblDaily[Admissions],tblDaily[EntryDate],DATE(2026,3,20),tblDaily[WardCode],"BH")),"")</f>
        <v/>
      </c>
      <c r="C104" s="5" t="str">
        <f>IFERROR(IF(SUMIFS(tblDaily[Discharges],tblDaily[EntryDate],DATE(2026,3,20),tblDaily[WardCode],"BH")=0,"",SUMIFS(tblDaily[Discharges],tblDaily[EntryDate],DATE(2026,3,20),tblDaily[WardCode],"BH")),"")</f>
        <v/>
      </c>
      <c r="D104" s="5" t="str">
        <f>IFERROR(IF(SUMIFS(tblDaily[Deaths],tblDaily[EntryDate],DATE(2026,3,20),tblDaily[WardCode],"BH")=0,"",SUMIFS(tblDaily[Deaths],tblDaily[EntryDate],DATE(2026,3,20),tblDaily[WardCode],"BH")),"")</f>
        <v/>
      </c>
      <c r="E104" s="5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5" t="str">
        <f>IFERROR(IF(SUMIFS(tblDaily[TransfersIn],tblDaily[EntryDate],DATE(2026,3,20),tblDaily[WardCode],"BH")=0,"",SUMIFS(tblDaily[TransfersIn],tblDaily[EntryDate],DATE(2026,3,20),tblDaily[WardCode],"BH")),"")</f>
        <v/>
      </c>
      <c r="G104" s="5" t="str">
        <f>IFERROR(IF(SUMIFS(tblDaily[TransfersOut],tblDaily[EntryDate],DATE(2026,3,20),tblDaily[WardCode],"BH")=0,"",SUMIFS(tblDaily[TransfersOut],tblDaily[EntryDate],DATE(2026,3,20),tblDaily[WardCode],"BH")),"")</f>
        <v/>
      </c>
      <c r="H104" s="5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IFERROR(IF(SUMIFS(tblDaily[Admissions],tblDaily[EntryDate],DATE(2026,3,21),tblDaily[WardCode],"BH")=0,"",SUMIFS(tblDaily[Admissions],tblDaily[EntryDate],DATE(2026,3,21),tblDaily[WardCode],"BH")),"")</f>
        <v/>
      </c>
      <c r="C105" s="5" t="str">
        <f>IFERROR(IF(SUMIFS(tblDaily[Discharges],tblDaily[EntryDate],DATE(2026,3,21),tblDaily[WardCode],"BH")=0,"",SUMIFS(tblDaily[Discharges],tblDaily[EntryDate],DATE(2026,3,21),tblDaily[WardCode],"BH")),"")</f>
        <v/>
      </c>
      <c r="D105" s="5" t="str">
        <f>IFERROR(IF(SUMIFS(tblDaily[Deaths],tblDaily[EntryDate],DATE(2026,3,21),tblDaily[WardCode],"BH")=0,"",SUMIFS(tblDaily[Deaths],tblDaily[EntryDate],DATE(2026,3,21),tblDaily[WardCode],"BH")),"")</f>
        <v/>
      </c>
      <c r="E105" s="5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5" t="str">
        <f>IFERROR(IF(SUMIFS(tblDaily[TransfersIn],tblDaily[EntryDate],DATE(2026,3,21),tblDaily[WardCode],"BH")=0,"",SUMIFS(tblDaily[TransfersIn],tblDaily[EntryDate],DATE(2026,3,21),tblDaily[WardCode],"BH")),"")</f>
        <v/>
      </c>
      <c r="G105" s="5" t="str">
        <f>IFERROR(IF(SUMIFS(tblDaily[TransfersOut],tblDaily[EntryDate],DATE(2026,3,21),tblDaily[WardCode],"BH")=0,"",SUMIFS(tblDaily[TransfersOut],tblDaily[EntryDate],DATE(2026,3,21),tblDaily[WardCode],"BH")),"")</f>
        <v/>
      </c>
      <c r="H105" s="5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IFERROR(IF(SUMIFS(tblDaily[Admissions],tblDaily[EntryDate],DATE(2026,3,22),tblDaily[WardCode],"BH")=0,"",SUMIFS(tblDaily[Admissions],tblDaily[EntryDate],DATE(2026,3,22),tblDaily[WardCode],"BH")),"")</f>
        <v/>
      </c>
      <c r="C106" s="5" t="str">
        <f>IFERROR(IF(SUMIFS(tblDaily[Discharges],tblDaily[EntryDate],DATE(2026,3,22),tblDaily[WardCode],"BH")=0,"",SUMIFS(tblDaily[Discharges],tblDaily[EntryDate],DATE(2026,3,22),tblDaily[WardCode],"BH")),"")</f>
        <v/>
      </c>
      <c r="D106" s="5" t="str">
        <f>IFERROR(IF(SUMIFS(tblDaily[Deaths],tblDaily[EntryDate],DATE(2026,3,22),tblDaily[WardCode],"BH")=0,"",SUMIFS(tblDaily[Deaths],tblDaily[EntryDate],DATE(2026,3,22),tblDaily[WardCode],"BH")),"")</f>
        <v/>
      </c>
      <c r="E106" s="5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5" t="str">
        <f>IFERROR(IF(SUMIFS(tblDaily[TransfersIn],tblDaily[EntryDate],DATE(2026,3,22),tblDaily[WardCode],"BH")=0,"",SUMIFS(tblDaily[TransfersIn],tblDaily[EntryDate],DATE(2026,3,22),tblDaily[WardCode],"BH")),"")</f>
        <v/>
      </c>
      <c r="G106" s="5" t="str">
        <f>IFERROR(IF(SUMIFS(tblDaily[TransfersOut],tblDaily[EntryDate],DATE(2026,3,22),tblDaily[WardCode],"BH")=0,"",SUMIFS(tblDaily[TransfersOut],tblDaily[EntryDate],DATE(2026,3,22),tblDaily[WardCode],"BH")),"")</f>
        <v/>
      </c>
      <c r="H106" s="5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IFERROR(IF(SUMIFS(tblDaily[Admissions],tblDaily[EntryDate],DATE(2026,3,23),tblDaily[WardCode],"BH")=0,"",SUMIFS(tblDaily[Admissions],tblDaily[EntryDate],DATE(2026,3,23),tblDaily[WardCode],"BH")),"")</f>
        <v/>
      </c>
      <c r="C107" s="5" t="str">
        <f>IFERROR(IF(SUMIFS(tblDaily[Discharges],tblDaily[EntryDate],DATE(2026,3,23),tblDaily[WardCode],"BH")=0,"",SUMIFS(tblDaily[Discharges],tblDaily[EntryDate],DATE(2026,3,23),tblDaily[WardCode],"BH")),"")</f>
        <v/>
      </c>
      <c r="D107" s="5" t="str">
        <f>IFERROR(IF(SUMIFS(tblDaily[Deaths],tblDaily[EntryDate],DATE(2026,3,23),tblDaily[WardCode],"BH")=0,"",SUMIFS(tblDaily[Deaths],tblDaily[EntryDate],DATE(2026,3,23),tblDaily[WardCode],"BH")),"")</f>
        <v/>
      </c>
      <c r="E107" s="5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5" t="str">
        <f>IFERROR(IF(SUMIFS(tblDaily[TransfersIn],tblDaily[EntryDate],DATE(2026,3,23),tblDaily[WardCode],"BH")=0,"",SUMIFS(tblDaily[TransfersIn],tblDaily[EntryDate],DATE(2026,3,23),tblDaily[WardCode],"BH")),"")</f>
        <v/>
      </c>
      <c r="G107" s="5" t="str">
        <f>IFERROR(IF(SUMIFS(tblDaily[TransfersOut],tblDaily[EntryDate],DATE(2026,3,23),tblDaily[WardCode],"BH")=0,"",SUMIFS(tblDaily[TransfersOut],tblDaily[EntryDate],DATE(2026,3,23),tblDaily[WardCode],"BH")),"")</f>
        <v/>
      </c>
      <c r="H107" s="5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IFERROR(IF(SUMIFS(tblDaily[Admissions],tblDaily[EntryDate],DATE(2026,3,24),tblDaily[WardCode],"BH")=0,"",SUMIFS(tblDaily[Admissions],tblDaily[EntryDate],DATE(2026,3,24),tblDaily[WardCode],"BH")),"")</f>
        <v/>
      </c>
      <c r="C108" s="5" t="str">
        <f>IFERROR(IF(SUMIFS(tblDaily[Discharges],tblDaily[EntryDate],DATE(2026,3,24),tblDaily[WardCode],"BH")=0,"",SUMIFS(tblDaily[Discharges],tblDaily[EntryDate],DATE(2026,3,24),tblDaily[WardCode],"BH")),"")</f>
        <v/>
      </c>
      <c r="D108" s="5" t="str">
        <f>IFERROR(IF(SUMIFS(tblDaily[Deaths],tblDaily[EntryDate],DATE(2026,3,24),tblDaily[WardCode],"BH")=0,"",SUMIFS(tblDaily[Deaths],tblDaily[EntryDate],DATE(2026,3,24),tblDaily[WardCode],"BH")),"")</f>
        <v/>
      </c>
      <c r="E108" s="5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5" t="str">
        <f>IFERROR(IF(SUMIFS(tblDaily[TransfersIn],tblDaily[EntryDate],DATE(2026,3,24),tblDaily[WardCode],"BH")=0,"",SUMIFS(tblDaily[TransfersIn],tblDaily[EntryDate],DATE(2026,3,24),tblDaily[WardCode],"BH")),"")</f>
        <v/>
      </c>
      <c r="G108" s="5" t="str">
        <f>IFERROR(IF(SUMIFS(tblDaily[TransfersOut],tblDaily[EntryDate],DATE(2026,3,24),tblDaily[WardCode],"BH")=0,"",SUMIFS(tblDaily[TransfersOut],tblDaily[EntryDate],DATE(2026,3,24),tblDaily[WardCode],"BH")),"")</f>
        <v/>
      </c>
      <c r="H108" s="5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IFERROR(IF(SUMIFS(tblDaily[Admissions],tblDaily[EntryDate],DATE(2026,3,25),tblDaily[WardCode],"BH")=0,"",SUMIFS(tblDaily[Admissions],tblDaily[EntryDate],DATE(2026,3,25),tblDaily[WardCode],"BH")),"")</f>
        <v/>
      </c>
      <c r="C109" s="5" t="str">
        <f>IFERROR(IF(SUMIFS(tblDaily[Discharges],tblDaily[EntryDate],DATE(2026,3,25),tblDaily[WardCode],"BH")=0,"",SUMIFS(tblDaily[Discharges],tblDaily[EntryDate],DATE(2026,3,25),tblDaily[WardCode],"BH")),"")</f>
        <v/>
      </c>
      <c r="D109" s="5" t="str">
        <f>IFERROR(IF(SUMIFS(tblDaily[Deaths],tblDaily[EntryDate],DATE(2026,3,25),tblDaily[WardCode],"BH")=0,"",SUMIFS(tblDaily[Deaths],tblDaily[EntryDate],DATE(2026,3,25),tblDaily[WardCode],"BH")),"")</f>
        <v/>
      </c>
      <c r="E109" s="5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5" t="str">
        <f>IFERROR(IF(SUMIFS(tblDaily[TransfersIn],tblDaily[EntryDate],DATE(2026,3,25),tblDaily[WardCode],"BH")=0,"",SUMIFS(tblDaily[TransfersIn],tblDaily[EntryDate],DATE(2026,3,25),tblDaily[WardCode],"BH")),"")</f>
        <v/>
      </c>
      <c r="G109" s="5" t="str">
        <f>IFERROR(IF(SUMIFS(tblDaily[TransfersOut],tblDaily[EntryDate],DATE(2026,3,25),tblDaily[WardCode],"BH")=0,"",SUMIFS(tblDaily[TransfersOut],tblDaily[EntryDate],DATE(2026,3,25),tblDaily[WardCode],"BH")),"")</f>
        <v/>
      </c>
      <c r="H109" s="5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IFERROR(IF(SUMIFS(tblDaily[Admissions],tblDaily[EntryDate],DATE(2026,3,26),tblDaily[WardCode],"BH")=0,"",SUMIFS(tblDaily[Admissions],tblDaily[EntryDate],DATE(2026,3,26),tblDaily[WardCode],"BH")),"")</f>
        <v/>
      </c>
      <c r="C110" s="5" t="str">
        <f>IFERROR(IF(SUMIFS(tblDaily[Discharges],tblDaily[EntryDate],DATE(2026,3,26),tblDaily[WardCode],"BH")=0,"",SUMIFS(tblDaily[Discharges],tblDaily[EntryDate],DATE(2026,3,26),tblDaily[WardCode],"BH")),"")</f>
        <v/>
      </c>
      <c r="D110" s="5" t="str">
        <f>IFERROR(IF(SUMIFS(tblDaily[Deaths],tblDaily[EntryDate],DATE(2026,3,26),tblDaily[WardCode],"BH")=0,"",SUMIFS(tblDaily[Deaths],tblDaily[EntryDate],DATE(2026,3,26),tblDaily[WardCode],"BH")),"")</f>
        <v/>
      </c>
      <c r="E110" s="5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5" t="str">
        <f>IFERROR(IF(SUMIFS(tblDaily[TransfersIn],tblDaily[EntryDate],DATE(2026,3,26),tblDaily[WardCode],"BH")=0,"",SUMIFS(tblDaily[TransfersIn],tblDaily[EntryDate],DATE(2026,3,26),tblDaily[WardCode],"BH")),"")</f>
        <v/>
      </c>
      <c r="G110" s="5" t="str">
        <f>IFERROR(IF(SUMIFS(tblDaily[TransfersOut],tblDaily[EntryDate],DATE(2026,3,26),tblDaily[WardCode],"BH")=0,"",SUMIFS(tblDaily[TransfersOut],tblDaily[EntryDate],DATE(2026,3,26),tblDaily[WardCode],"BH")),"")</f>
        <v/>
      </c>
      <c r="H110" s="5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IFERROR(IF(SUMIFS(tblDaily[Admissions],tblDaily[EntryDate],DATE(2026,3,27),tblDaily[WardCode],"BH")=0,"",SUMIFS(tblDaily[Admissions],tblDaily[EntryDate],DATE(2026,3,27),tblDaily[WardCode],"BH")),"")</f>
        <v/>
      </c>
      <c r="C111" s="5" t="str">
        <f>IFERROR(IF(SUMIFS(tblDaily[Discharges],tblDaily[EntryDate],DATE(2026,3,27),tblDaily[WardCode],"BH")=0,"",SUMIFS(tblDaily[Discharges],tblDaily[EntryDate],DATE(2026,3,27),tblDaily[WardCode],"BH")),"")</f>
        <v/>
      </c>
      <c r="D111" s="5" t="str">
        <f>IFERROR(IF(SUMIFS(tblDaily[Deaths],tblDaily[EntryDate],DATE(2026,3,27),tblDaily[WardCode],"BH")=0,"",SUMIFS(tblDaily[Deaths],tblDaily[EntryDate],DATE(2026,3,27),tblDaily[WardCode],"BH")),"")</f>
        <v/>
      </c>
      <c r="E111" s="5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5" t="str">
        <f>IFERROR(IF(SUMIFS(tblDaily[TransfersIn],tblDaily[EntryDate],DATE(2026,3,27),tblDaily[WardCode],"BH")=0,"",SUMIFS(tblDaily[TransfersIn],tblDaily[EntryDate],DATE(2026,3,27),tblDaily[WardCode],"BH")),"")</f>
        <v/>
      </c>
      <c r="G111" s="5" t="str">
        <f>IFERROR(IF(SUMIFS(tblDaily[TransfersOut],tblDaily[EntryDate],DATE(2026,3,27),tblDaily[WardCode],"BH")=0,"",SUMIFS(tblDaily[TransfersOut],tblDaily[EntryDate],DATE(2026,3,27),tblDaily[WardCode],"BH")),"")</f>
        <v/>
      </c>
      <c r="H111" s="5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IFERROR(IF(SUMIFS(tblDaily[Admissions],tblDaily[EntryDate],DATE(2026,3,28),tblDaily[WardCode],"BH")=0,"",SUMIFS(tblDaily[Admissions],tblDaily[EntryDate],DATE(2026,3,28),tblDaily[WardCode],"BH")),"")</f>
        <v/>
      </c>
      <c r="C112" s="5" t="str">
        <f>IFERROR(IF(SUMIFS(tblDaily[Discharges],tblDaily[EntryDate],DATE(2026,3,28),tblDaily[WardCode],"BH")=0,"",SUMIFS(tblDaily[Discharges],tblDaily[EntryDate],DATE(2026,3,28),tblDaily[WardCode],"BH")),"")</f>
        <v/>
      </c>
      <c r="D112" s="5" t="str">
        <f>IFERROR(IF(SUMIFS(tblDaily[Deaths],tblDaily[EntryDate],DATE(2026,3,28),tblDaily[WardCode],"BH")=0,"",SUMIFS(tblDaily[Deaths],tblDaily[EntryDate],DATE(2026,3,28),tblDaily[WardCode],"BH")),"")</f>
        <v/>
      </c>
      <c r="E112" s="5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5" t="str">
        <f>IFERROR(IF(SUMIFS(tblDaily[TransfersIn],tblDaily[EntryDate],DATE(2026,3,28),tblDaily[WardCode],"BH")=0,"",SUMIFS(tblDaily[TransfersIn],tblDaily[EntryDate],DATE(2026,3,28),tblDaily[WardCode],"BH")),"")</f>
        <v/>
      </c>
      <c r="G112" s="5" t="str">
        <f>IFERROR(IF(SUMIFS(tblDaily[TransfersOut],tblDaily[EntryDate],DATE(2026,3,28),tblDaily[WardCode],"BH")=0,"",SUMIFS(tblDaily[TransfersOut],tblDaily[EntryDate],DATE(2026,3,28),tblDaily[WardCode],"BH")),"")</f>
        <v/>
      </c>
      <c r="H112" s="5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IFERROR(IF(SUMIFS(tblDaily[Admissions],tblDaily[EntryDate],DATE(2026,3,29),tblDaily[WardCode],"BH")=0,"",SUMIFS(tblDaily[Admissions],tblDaily[EntryDate],DATE(2026,3,29),tblDaily[WardCode],"BH")),"")</f>
        <v/>
      </c>
      <c r="C113" s="5" t="str">
        <f>IFERROR(IF(SUMIFS(tblDaily[Discharges],tblDaily[EntryDate],DATE(2026,3,29),tblDaily[WardCode],"BH")=0,"",SUMIFS(tblDaily[Discharges],tblDaily[EntryDate],DATE(2026,3,29),tblDaily[WardCode],"BH")),"")</f>
        <v/>
      </c>
      <c r="D113" s="5" t="str">
        <f>IFERROR(IF(SUMIFS(tblDaily[Deaths],tblDaily[EntryDate],DATE(2026,3,29),tblDaily[WardCode],"BH")=0,"",SUMIFS(tblDaily[Deaths],tblDaily[EntryDate],DATE(2026,3,29),tblDaily[WardCode],"BH")),"")</f>
        <v/>
      </c>
      <c r="E113" s="5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5" t="str">
        <f>IFERROR(IF(SUMIFS(tblDaily[TransfersIn],tblDaily[EntryDate],DATE(2026,3,29),tblDaily[WardCode],"BH")=0,"",SUMIFS(tblDaily[TransfersIn],tblDaily[EntryDate],DATE(2026,3,29),tblDaily[WardCode],"BH")),"")</f>
        <v/>
      </c>
      <c r="G113" s="5" t="str">
        <f>IFERROR(IF(SUMIFS(tblDaily[TransfersOut],tblDaily[EntryDate],DATE(2026,3,29),tblDaily[WardCode],"BH")=0,"",SUMIFS(tblDaily[TransfersOut],tblDaily[EntryDate],DATE(2026,3,29),tblDaily[WardCode],"BH")),"")</f>
        <v/>
      </c>
      <c r="H113" s="5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IFERROR(IF(SUMIFS(tblDaily[Admissions],tblDaily[EntryDate],DATE(2026,3,30),tblDaily[WardCode],"BH")=0,"",SUMIFS(tblDaily[Admissions],tblDaily[EntryDate],DATE(2026,3,30),tblDaily[WardCode],"BH")),"")</f>
        <v/>
      </c>
      <c r="C114" s="5" t="str">
        <f>IFERROR(IF(SUMIFS(tblDaily[Discharges],tblDaily[EntryDate],DATE(2026,3,30),tblDaily[WardCode],"BH")=0,"",SUMIFS(tblDaily[Discharges],tblDaily[EntryDate],DATE(2026,3,30),tblDaily[WardCode],"BH")),"")</f>
        <v/>
      </c>
      <c r="D114" s="5" t="str">
        <f>IFERROR(IF(SUMIFS(tblDaily[Deaths],tblDaily[EntryDate],DATE(2026,3,30),tblDaily[WardCode],"BH")=0,"",SUMIFS(tblDaily[Deaths],tblDaily[EntryDate],DATE(2026,3,30),tblDaily[WardCode],"BH")),"")</f>
        <v/>
      </c>
      <c r="E114" s="5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5" t="str">
        <f>IFERROR(IF(SUMIFS(tblDaily[TransfersIn],tblDaily[EntryDate],DATE(2026,3,30),tblDaily[WardCode],"BH")=0,"",SUMIFS(tblDaily[TransfersIn],tblDaily[EntryDate],DATE(2026,3,30),tblDaily[WardCode],"BH")),"")</f>
        <v/>
      </c>
      <c r="G114" s="5" t="str">
        <f>IFERROR(IF(SUMIFS(tblDaily[TransfersOut],tblDaily[EntryDate],DATE(2026,3,30),tblDaily[WardCode],"BH")=0,"",SUMIFS(tblDaily[TransfersOut],tblDaily[EntryDate],DATE(2026,3,30),tblDaily[WardCode],"BH")),"")</f>
        <v/>
      </c>
      <c r="H114" s="5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IFERROR(IF(SUMIFS(tblDaily[Admissions],tblDaily[EntryDate],DATE(2026,3,31),tblDaily[WardCode],"BH")=0,"",SUMIFS(tblDaily[Admissions],tblDaily[EntryDate],DATE(2026,3,31),tblDaily[WardCode],"BH")),"")</f>
        <v/>
      </c>
      <c r="C115" s="5" t="str">
        <f>IFERROR(IF(SUMIFS(tblDaily[Discharges],tblDaily[EntryDate],DATE(2026,3,31),tblDaily[WardCode],"BH")=0,"",SUMIFS(tblDaily[Discharges],tblDaily[EntryDate],DATE(2026,3,31),tblDaily[WardCode],"BH")),"")</f>
        <v/>
      </c>
      <c r="D115" s="5" t="str">
        <f>IFERROR(IF(SUMIFS(tblDaily[Deaths],tblDaily[EntryDate],DATE(2026,3,31),tblDaily[WardCode],"BH")=0,"",SUMIFS(tblDaily[Deaths],tblDaily[EntryDate],DATE(2026,3,31),tblDaily[WardCode],"BH")),"")</f>
        <v/>
      </c>
      <c r="E115" s="5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5" t="str">
        <f>IFERROR(IF(SUMIFS(tblDaily[TransfersIn],tblDaily[EntryDate],DATE(2026,3,31),tblDaily[WardCode],"BH")=0,"",SUMIFS(tblDaily[TransfersIn],tblDaily[EntryDate],DATE(2026,3,31),tblDaily[WardCode],"BH")),"")</f>
        <v/>
      </c>
      <c r="G115" s="5" t="str">
        <f>IFERROR(IF(SUMIFS(tblDaily[TransfersOut],tblDaily[EntryDate],DATE(2026,3,31),tblDaily[WardCode],"BH")=0,"",SUMIFS(tblDaily[TransfersOut],tblDaily[EntryDate],DATE(2026,3,31),tblDaily[WardCode],"BH")),"")</f>
        <v/>
      </c>
      <c r="H115" s="5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95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100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89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IFERROR(IF(SUMIFS(tblDaily[Admissions],tblDaily[EntryDate],DATE(2026,4,1),tblDaily[WardCode],"BH")=0,"",SUMIFS(tblDaily[Admissions],tblDaily[EntryDate],DATE(2026,4,1),tblDaily[WardCode],"BH")),"")</f>
        <v/>
      </c>
      <c r="C124" s="5" t="str">
        <f>IFERROR(IF(SUMIFS(tblDaily[Discharges],tblDaily[EntryDate],DATE(2026,4,1),tblDaily[WardCode],"BH")=0,"",SUMIFS(tblDaily[Discharges],tblDaily[EntryDate],DATE(2026,4,1),tblDaily[WardCode],"BH")),"")</f>
        <v/>
      </c>
      <c r="D124" s="5" t="str">
        <f>IFERROR(IF(SUMIFS(tblDaily[Deaths],tblDaily[EntryDate],DATE(2026,4,1),tblDaily[WardCode],"BH")=0,"",SUMIFS(tblDaily[Deaths],tblDaily[EntryDate],DATE(2026,4,1),tblDaily[WardCode],"BH")),"")</f>
        <v/>
      </c>
      <c r="E124" s="5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5" t="str">
        <f>IFERROR(IF(SUMIFS(tblDaily[TransfersIn],tblDaily[EntryDate],DATE(2026,4,1),tblDaily[WardCode],"BH")=0,"",SUMIFS(tblDaily[TransfersIn],tblDaily[EntryDate],DATE(2026,4,1),tblDaily[WardCode],"BH")),"")</f>
        <v/>
      </c>
      <c r="G124" s="5" t="str">
        <f>IFERROR(IF(SUMIFS(tblDaily[TransfersOut],tblDaily[EntryDate],DATE(2026,4,1),tblDaily[WardCode],"BH")=0,"",SUMIFS(tblDaily[TransfersOut],tblDaily[EntryDate],DATE(2026,4,1),tblDaily[WardCode],"BH")),"")</f>
        <v/>
      </c>
      <c r="H124" s="5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IFERROR(IF(SUMIFS(tblDaily[Admissions],tblDaily[EntryDate],DATE(2026,4,2),tblDaily[WardCode],"BH")=0,"",SUMIFS(tblDaily[Admissions],tblDaily[EntryDate],DATE(2026,4,2),tblDaily[WardCode],"BH")),"")</f>
        <v/>
      </c>
      <c r="C125" s="5" t="str">
        <f>IFERROR(IF(SUMIFS(tblDaily[Discharges],tblDaily[EntryDate],DATE(2026,4,2),tblDaily[WardCode],"BH")=0,"",SUMIFS(tblDaily[Discharges],tblDaily[EntryDate],DATE(2026,4,2),tblDaily[WardCode],"BH")),"")</f>
        <v/>
      </c>
      <c r="D125" s="5" t="str">
        <f>IFERROR(IF(SUMIFS(tblDaily[Deaths],tblDaily[EntryDate],DATE(2026,4,2),tblDaily[WardCode],"BH")=0,"",SUMIFS(tblDaily[Deaths],tblDaily[EntryDate],DATE(2026,4,2),tblDaily[WardCode],"BH")),"")</f>
        <v/>
      </c>
      <c r="E125" s="5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5" t="str">
        <f>IFERROR(IF(SUMIFS(tblDaily[TransfersIn],tblDaily[EntryDate],DATE(2026,4,2),tblDaily[WardCode],"BH")=0,"",SUMIFS(tblDaily[TransfersIn],tblDaily[EntryDate],DATE(2026,4,2),tblDaily[WardCode],"BH")),"")</f>
        <v/>
      </c>
      <c r="G125" s="5" t="str">
        <f>IFERROR(IF(SUMIFS(tblDaily[TransfersOut],tblDaily[EntryDate],DATE(2026,4,2),tblDaily[WardCode],"BH")=0,"",SUMIFS(tblDaily[TransfersOut],tblDaily[EntryDate],DATE(2026,4,2),tblDaily[WardCode],"BH")),"")</f>
        <v/>
      </c>
      <c r="H125" s="5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IFERROR(IF(SUMIFS(tblDaily[Admissions],tblDaily[EntryDate],DATE(2026,4,3),tblDaily[WardCode],"BH")=0,"",SUMIFS(tblDaily[Admissions],tblDaily[EntryDate],DATE(2026,4,3),tblDaily[WardCode],"BH")),"")</f>
        <v/>
      </c>
      <c r="C126" s="5" t="str">
        <f>IFERROR(IF(SUMIFS(tblDaily[Discharges],tblDaily[EntryDate],DATE(2026,4,3),tblDaily[WardCode],"BH")=0,"",SUMIFS(tblDaily[Discharges],tblDaily[EntryDate],DATE(2026,4,3),tblDaily[WardCode],"BH")),"")</f>
        <v/>
      </c>
      <c r="D126" s="5" t="str">
        <f>IFERROR(IF(SUMIFS(tblDaily[Deaths],tblDaily[EntryDate],DATE(2026,4,3),tblDaily[WardCode],"BH")=0,"",SUMIFS(tblDaily[Deaths],tblDaily[EntryDate],DATE(2026,4,3),tblDaily[WardCode],"BH")),"")</f>
        <v/>
      </c>
      <c r="E126" s="5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5" t="str">
        <f>IFERROR(IF(SUMIFS(tblDaily[TransfersIn],tblDaily[EntryDate],DATE(2026,4,3),tblDaily[WardCode],"BH")=0,"",SUMIFS(tblDaily[TransfersIn],tblDaily[EntryDate],DATE(2026,4,3),tblDaily[WardCode],"BH")),"")</f>
        <v/>
      </c>
      <c r="G126" s="5" t="str">
        <f>IFERROR(IF(SUMIFS(tblDaily[TransfersOut],tblDaily[EntryDate],DATE(2026,4,3),tblDaily[WardCode],"BH")=0,"",SUMIFS(tblDaily[TransfersOut],tblDaily[EntryDate],DATE(2026,4,3),tblDaily[WardCode],"BH")),"")</f>
        <v/>
      </c>
      <c r="H126" s="5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IFERROR(IF(SUMIFS(tblDaily[Admissions],tblDaily[EntryDate],DATE(2026,4,4),tblDaily[WardCode],"BH")=0,"",SUMIFS(tblDaily[Admissions],tblDaily[EntryDate],DATE(2026,4,4),tblDaily[WardCode],"BH")),"")</f>
        <v/>
      </c>
      <c r="C127" s="5" t="str">
        <f>IFERROR(IF(SUMIFS(tblDaily[Discharges],tblDaily[EntryDate],DATE(2026,4,4),tblDaily[WardCode],"BH")=0,"",SUMIFS(tblDaily[Discharges],tblDaily[EntryDate],DATE(2026,4,4),tblDaily[WardCode],"BH")),"")</f>
        <v/>
      </c>
      <c r="D127" s="5" t="str">
        <f>IFERROR(IF(SUMIFS(tblDaily[Deaths],tblDaily[EntryDate],DATE(2026,4,4),tblDaily[WardCode],"BH")=0,"",SUMIFS(tblDaily[Deaths],tblDaily[EntryDate],DATE(2026,4,4),tblDaily[WardCode],"BH")),"")</f>
        <v/>
      </c>
      <c r="E127" s="5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5" t="str">
        <f>IFERROR(IF(SUMIFS(tblDaily[TransfersIn],tblDaily[EntryDate],DATE(2026,4,4),tblDaily[WardCode],"BH")=0,"",SUMIFS(tblDaily[TransfersIn],tblDaily[EntryDate],DATE(2026,4,4),tblDaily[WardCode],"BH")),"")</f>
        <v/>
      </c>
      <c r="G127" s="5" t="str">
        <f>IFERROR(IF(SUMIFS(tblDaily[TransfersOut],tblDaily[EntryDate],DATE(2026,4,4),tblDaily[WardCode],"BH")=0,"",SUMIFS(tblDaily[TransfersOut],tblDaily[EntryDate],DATE(2026,4,4),tblDaily[WardCode],"BH")),"")</f>
        <v/>
      </c>
      <c r="H127" s="5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IFERROR(IF(SUMIFS(tblDaily[Admissions],tblDaily[EntryDate],DATE(2026,4,5),tblDaily[WardCode],"BH")=0,"",SUMIFS(tblDaily[Admissions],tblDaily[EntryDate],DATE(2026,4,5),tblDaily[WardCode],"BH")),"")</f>
        <v/>
      </c>
      <c r="C128" s="5" t="str">
        <f>IFERROR(IF(SUMIFS(tblDaily[Discharges],tblDaily[EntryDate],DATE(2026,4,5),tblDaily[WardCode],"BH")=0,"",SUMIFS(tblDaily[Discharges],tblDaily[EntryDate],DATE(2026,4,5),tblDaily[WardCode],"BH")),"")</f>
        <v/>
      </c>
      <c r="D128" s="5" t="str">
        <f>IFERROR(IF(SUMIFS(tblDaily[Deaths],tblDaily[EntryDate],DATE(2026,4,5),tblDaily[WardCode],"BH")=0,"",SUMIFS(tblDaily[Deaths],tblDaily[EntryDate],DATE(2026,4,5),tblDaily[WardCode],"BH")),"")</f>
        <v/>
      </c>
      <c r="E128" s="5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5" t="str">
        <f>IFERROR(IF(SUMIFS(tblDaily[TransfersIn],tblDaily[EntryDate],DATE(2026,4,5),tblDaily[WardCode],"BH")=0,"",SUMIFS(tblDaily[TransfersIn],tblDaily[EntryDate],DATE(2026,4,5),tblDaily[WardCode],"BH")),"")</f>
        <v/>
      </c>
      <c r="G128" s="5" t="str">
        <f>IFERROR(IF(SUMIFS(tblDaily[TransfersOut],tblDaily[EntryDate],DATE(2026,4,5),tblDaily[WardCode],"BH")=0,"",SUMIFS(tblDaily[TransfersOut],tblDaily[EntryDate],DATE(2026,4,5),tblDaily[WardCode],"BH")),"")</f>
        <v/>
      </c>
      <c r="H128" s="5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IFERROR(IF(SUMIFS(tblDaily[Admissions],tblDaily[EntryDate],DATE(2026,4,6),tblDaily[WardCode],"BH")=0,"",SUMIFS(tblDaily[Admissions],tblDaily[EntryDate],DATE(2026,4,6),tblDaily[WardCode],"BH")),"")</f>
        <v/>
      </c>
      <c r="C129" s="5" t="str">
        <f>IFERROR(IF(SUMIFS(tblDaily[Discharges],tblDaily[EntryDate],DATE(2026,4,6),tblDaily[WardCode],"BH")=0,"",SUMIFS(tblDaily[Discharges],tblDaily[EntryDate],DATE(2026,4,6),tblDaily[WardCode],"BH")),"")</f>
        <v/>
      </c>
      <c r="D129" s="5" t="str">
        <f>IFERROR(IF(SUMIFS(tblDaily[Deaths],tblDaily[EntryDate],DATE(2026,4,6),tblDaily[WardCode],"BH")=0,"",SUMIFS(tblDaily[Deaths],tblDaily[EntryDate],DATE(2026,4,6),tblDaily[WardCode],"BH")),"")</f>
        <v/>
      </c>
      <c r="E129" s="5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5" t="str">
        <f>IFERROR(IF(SUMIFS(tblDaily[TransfersIn],tblDaily[EntryDate],DATE(2026,4,6),tblDaily[WardCode],"BH")=0,"",SUMIFS(tblDaily[TransfersIn],tblDaily[EntryDate],DATE(2026,4,6),tblDaily[WardCode],"BH")),"")</f>
        <v/>
      </c>
      <c r="G129" s="5" t="str">
        <f>IFERROR(IF(SUMIFS(tblDaily[TransfersOut],tblDaily[EntryDate],DATE(2026,4,6),tblDaily[WardCode],"BH")=0,"",SUMIFS(tblDaily[TransfersOut],tblDaily[EntryDate],DATE(2026,4,6),tblDaily[WardCode],"BH")),"")</f>
        <v/>
      </c>
      <c r="H129" s="5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IFERROR(IF(SUMIFS(tblDaily[Admissions],tblDaily[EntryDate],DATE(2026,4,7),tblDaily[WardCode],"BH")=0,"",SUMIFS(tblDaily[Admissions],tblDaily[EntryDate],DATE(2026,4,7),tblDaily[WardCode],"BH")),"")</f>
        <v/>
      </c>
      <c r="C130" s="5" t="str">
        <f>IFERROR(IF(SUMIFS(tblDaily[Discharges],tblDaily[EntryDate],DATE(2026,4,7),tblDaily[WardCode],"BH")=0,"",SUMIFS(tblDaily[Discharges],tblDaily[EntryDate],DATE(2026,4,7),tblDaily[WardCode],"BH")),"")</f>
        <v/>
      </c>
      <c r="D130" s="5" t="str">
        <f>IFERROR(IF(SUMIFS(tblDaily[Deaths],tblDaily[EntryDate],DATE(2026,4,7),tblDaily[WardCode],"BH")=0,"",SUMIFS(tblDaily[Deaths],tblDaily[EntryDate],DATE(2026,4,7),tblDaily[WardCode],"BH")),"")</f>
        <v/>
      </c>
      <c r="E130" s="5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5" t="str">
        <f>IFERROR(IF(SUMIFS(tblDaily[TransfersIn],tblDaily[EntryDate],DATE(2026,4,7),tblDaily[WardCode],"BH")=0,"",SUMIFS(tblDaily[TransfersIn],tblDaily[EntryDate],DATE(2026,4,7),tblDaily[WardCode],"BH")),"")</f>
        <v/>
      </c>
      <c r="G130" s="5" t="str">
        <f>IFERROR(IF(SUMIFS(tblDaily[TransfersOut],tblDaily[EntryDate],DATE(2026,4,7),tblDaily[WardCode],"BH")=0,"",SUMIFS(tblDaily[TransfersOut],tblDaily[EntryDate],DATE(2026,4,7),tblDaily[WardCode],"BH")),"")</f>
        <v/>
      </c>
      <c r="H130" s="5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IFERROR(IF(SUMIFS(tblDaily[Admissions],tblDaily[EntryDate],DATE(2026,4,8),tblDaily[WardCode],"BH")=0,"",SUMIFS(tblDaily[Admissions],tblDaily[EntryDate],DATE(2026,4,8),tblDaily[WardCode],"BH")),"")</f>
        <v/>
      </c>
      <c r="C131" s="5" t="str">
        <f>IFERROR(IF(SUMIFS(tblDaily[Discharges],tblDaily[EntryDate],DATE(2026,4,8),tblDaily[WardCode],"BH")=0,"",SUMIFS(tblDaily[Discharges],tblDaily[EntryDate],DATE(2026,4,8),tblDaily[WardCode],"BH")),"")</f>
        <v/>
      </c>
      <c r="D131" s="5" t="str">
        <f>IFERROR(IF(SUMIFS(tblDaily[Deaths],tblDaily[EntryDate],DATE(2026,4,8),tblDaily[WardCode],"BH")=0,"",SUMIFS(tblDaily[Deaths],tblDaily[EntryDate],DATE(2026,4,8),tblDaily[WardCode],"BH")),"")</f>
        <v/>
      </c>
      <c r="E131" s="5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5" t="str">
        <f>IFERROR(IF(SUMIFS(tblDaily[TransfersIn],tblDaily[EntryDate],DATE(2026,4,8),tblDaily[WardCode],"BH")=0,"",SUMIFS(tblDaily[TransfersIn],tblDaily[EntryDate],DATE(2026,4,8),tblDaily[WardCode],"BH")),"")</f>
        <v/>
      </c>
      <c r="G131" s="5" t="str">
        <f>IFERROR(IF(SUMIFS(tblDaily[TransfersOut],tblDaily[EntryDate],DATE(2026,4,8),tblDaily[WardCode],"BH")=0,"",SUMIFS(tblDaily[TransfersOut],tblDaily[EntryDate],DATE(2026,4,8),tblDaily[WardCode],"BH")),"")</f>
        <v/>
      </c>
      <c r="H131" s="5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IFERROR(IF(SUMIFS(tblDaily[Admissions],tblDaily[EntryDate],DATE(2026,4,9),tblDaily[WardCode],"BH")=0,"",SUMIFS(tblDaily[Admissions],tblDaily[EntryDate],DATE(2026,4,9),tblDaily[WardCode],"BH")),"")</f>
        <v/>
      </c>
      <c r="C132" s="5" t="str">
        <f>IFERROR(IF(SUMIFS(tblDaily[Discharges],tblDaily[EntryDate],DATE(2026,4,9),tblDaily[WardCode],"BH")=0,"",SUMIFS(tblDaily[Discharges],tblDaily[EntryDate],DATE(2026,4,9),tblDaily[WardCode],"BH")),"")</f>
        <v/>
      </c>
      <c r="D132" s="5" t="str">
        <f>IFERROR(IF(SUMIFS(tblDaily[Deaths],tblDaily[EntryDate],DATE(2026,4,9),tblDaily[WardCode],"BH")=0,"",SUMIFS(tblDaily[Deaths],tblDaily[EntryDate],DATE(2026,4,9),tblDaily[WardCode],"BH")),"")</f>
        <v/>
      </c>
      <c r="E132" s="5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5" t="str">
        <f>IFERROR(IF(SUMIFS(tblDaily[TransfersIn],tblDaily[EntryDate],DATE(2026,4,9),tblDaily[WardCode],"BH")=0,"",SUMIFS(tblDaily[TransfersIn],tblDaily[EntryDate],DATE(2026,4,9),tblDaily[WardCode],"BH")),"")</f>
        <v/>
      </c>
      <c r="G132" s="5" t="str">
        <f>IFERROR(IF(SUMIFS(tblDaily[TransfersOut],tblDaily[EntryDate],DATE(2026,4,9),tblDaily[WardCode],"BH")=0,"",SUMIFS(tblDaily[TransfersOut],tblDaily[EntryDate],DATE(2026,4,9),tblDaily[WardCode],"BH")),"")</f>
        <v/>
      </c>
      <c r="H132" s="5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IFERROR(IF(SUMIFS(tblDaily[Admissions],tblDaily[EntryDate],DATE(2026,4,10),tblDaily[WardCode],"BH")=0,"",SUMIFS(tblDaily[Admissions],tblDaily[EntryDate],DATE(2026,4,10),tblDaily[WardCode],"BH")),"")</f>
        <v/>
      </c>
      <c r="C133" s="5" t="str">
        <f>IFERROR(IF(SUMIFS(tblDaily[Discharges],tblDaily[EntryDate],DATE(2026,4,10),tblDaily[WardCode],"BH")=0,"",SUMIFS(tblDaily[Discharges],tblDaily[EntryDate],DATE(2026,4,10),tblDaily[WardCode],"BH")),"")</f>
        <v/>
      </c>
      <c r="D133" s="5" t="str">
        <f>IFERROR(IF(SUMIFS(tblDaily[Deaths],tblDaily[EntryDate],DATE(2026,4,10),tblDaily[WardCode],"BH")=0,"",SUMIFS(tblDaily[Deaths],tblDaily[EntryDate],DATE(2026,4,10),tblDaily[WardCode],"BH")),"")</f>
        <v/>
      </c>
      <c r="E133" s="5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5" t="str">
        <f>IFERROR(IF(SUMIFS(tblDaily[TransfersIn],tblDaily[EntryDate],DATE(2026,4,10),tblDaily[WardCode],"BH")=0,"",SUMIFS(tblDaily[TransfersIn],tblDaily[EntryDate],DATE(2026,4,10),tblDaily[WardCode],"BH")),"")</f>
        <v/>
      </c>
      <c r="G133" s="5" t="str">
        <f>IFERROR(IF(SUMIFS(tblDaily[TransfersOut],tblDaily[EntryDate],DATE(2026,4,10),tblDaily[WardCode],"BH")=0,"",SUMIFS(tblDaily[TransfersOut],tblDaily[EntryDate],DATE(2026,4,10),tblDaily[WardCode],"BH")),"")</f>
        <v/>
      </c>
      <c r="H133" s="5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IFERROR(IF(SUMIFS(tblDaily[Admissions],tblDaily[EntryDate],DATE(2026,4,11),tblDaily[WardCode],"BH")=0,"",SUMIFS(tblDaily[Admissions],tblDaily[EntryDate],DATE(2026,4,11),tblDaily[WardCode],"BH")),"")</f>
        <v/>
      </c>
      <c r="C134" s="5" t="str">
        <f>IFERROR(IF(SUMIFS(tblDaily[Discharges],tblDaily[EntryDate],DATE(2026,4,11),tblDaily[WardCode],"BH")=0,"",SUMIFS(tblDaily[Discharges],tblDaily[EntryDate],DATE(2026,4,11),tblDaily[WardCode],"BH")),"")</f>
        <v/>
      </c>
      <c r="D134" s="5" t="str">
        <f>IFERROR(IF(SUMIFS(tblDaily[Deaths],tblDaily[EntryDate],DATE(2026,4,11),tblDaily[WardCode],"BH")=0,"",SUMIFS(tblDaily[Deaths],tblDaily[EntryDate],DATE(2026,4,11),tblDaily[WardCode],"BH")),"")</f>
        <v/>
      </c>
      <c r="E134" s="5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5" t="str">
        <f>IFERROR(IF(SUMIFS(tblDaily[TransfersIn],tblDaily[EntryDate],DATE(2026,4,11),tblDaily[WardCode],"BH")=0,"",SUMIFS(tblDaily[TransfersIn],tblDaily[EntryDate],DATE(2026,4,11),tblDaily[WardCode],"BH")),"")</f>
        <v/>
      </c>
      <c r="G134" s="5" t="str">
        <f>IFERROR(IF(SUMIFS(tblDaily[TransfersOut],tblDaily[EntryDate],DATE(2026,4,11),tblDaily[WardCode],"BH")=0,"",SUMIFS(tblDaily[TransfersOut],tblDaily[EntryDate],DATE(2026,4,11),tblDaily[WardCode],"BH")),"")</f>
        <v/>
      </c>
      <c r="H134" s="5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IFERROR(IF(SUMIFS(tblDaily[Admissions],tblDaily[EntryDate],DATE(2026,4,12),tblDaily[WardCode],"BH")=0,"",SUMIFS(tblDaily[Admissions],tblDaily[EntryDate],DATE(2026,4,12),tblDaily[WardCode],"BH")),"")</f>
        <v/>
      </c>
      <c r="C135" s="5" t="str">
        <f>IFERROR(IF(SUMIFS(tblDaily[Discharges],tblDaily[EntryDate],DATE(2026,4,12),tblDaily[WardCode],"BH")=0,"",SUMIFS(tblDaily[Discharges],tblDaily[EntryDate],DATE(2026,4,12),tblDaily[WardCode],"BH")),"")</f>
        <v/>
      </c>
      <c r="D135" s="5" t="str">
        <f>IFERROR(IF(SUMIFS(tblDaily[Deaths],tblDaily[EntryDate],DATE(2026,4,12),tblDaily[WardCode],"BH")=0,"",SUMIFS(tblDaily[Deaths],tblDaily[EntryDate],DATE(2026,4,12),tblDaily[WardCode],"BH")),"")</f>
        <v/>
      </c>
      <c r="E135" s="5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5" t="str">
        <f>IFERROR(IF(SUMIFS(tblDaily[TransfersIn],tblDaily[EntryDate],DATE(2026,4,12),tblDaily[WardCode],"BH")=0,"",SUMIFS(tblDaily[TransfersIn],tblDaily[EntryDate],DATE(2026,4,12),tblDaily[WardCode],"BH")),"")</f>
        <v/>
      </c>
      <c r="G135" s="5" t="str">
        <f>IFERROR(IF(SUMIFS(tblDaily[TransfersOut],tblDaily[EntryDate],DATE(2026,4,12),tblDaily[WardCode],"BH")=0,"",SUMIFS(tblDaily[TransfersOut],tblDaily[EntryDate],DATE(2026,4,12),tblDaily[WardCode],"BH")),"")</f>
        <v/>
      </c>
      <c r="H135" s="5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IFERROR(IF(SUMIFS(tblDaily[Admissions],tblDaily[EntryDate],DATE(2026,4,13),tblDaily[WardCode],"BH")=0,"",SUMIFS(tblDaily[Admissions],tblDaily[EntryDate],DATE(2026,4,13),tblDaily[WardCode],"BH")),"")</f>
        <v/>
      </c>
      <c r="C136" s="5" t="str">
        <f>IFERROR(IF(SUMIFS(tblDaily[Discharges],tblDaily[EntryDate],DATE(2026,4,13),tblDaily[WardCode],"BH")=0,"",SUMIFS(tblDaily[Discharges],tblDaily[EntryDate],DATE(2026,4,13),tblDaily[WardCode],"BH")),"")</f>
        <v/>
      </c>
      <c r="D136" s="5" t="str">
        <f>IFERROR(IF(SUMIFS(tblDaily[Deaths],tblDaily[EntryDate],DATE(2026,4,13),tblDaily[WardCode],"BH")=0,"",SUMIFS(tblDaily[Deaths],tblDaily[EntryDate],DATE(2026,4,13),tblDaily[WardCode],"BH")),"")</f>
        <v/>
      </c>
      <c r="E136" s="5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5" t="str">
        <f>IFERROR(IF(SUMIFS(tblDaily[TransfersIn],tblDaily[EntryDate],DATE(2026,4,13),tblDaily[WardCode],"BH")=0,"",SUMIFS(tblDaily[TransfersIn],tblDaily[EntryDate],DATE(2026,4,13),tblDaily[WardCode],"BH")),"")</f>
        <v/>
      </c>
      <c r="G136" s="5" t="str">
        <f>IFERROR(IF(SUMIFS(tblDaily[TransfersOut],tblDaily[EntryDate],DATE(2026,4,13),tblDaily[WardCode],"BH")=0,"",SUMIFS(tblDaily[TransfersOut],tblDaily[EntryDate],DATE(2026,4,13),tblDaily[WardCode],"BH")),"")</f>
        <v/>
      </c>
      <c r="H136" s="5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IFERROR(IF(SUMIFS(tblDaily[Admissions],tblDaily[EntryDate],DATE(2026,4,14),tblDaily[WardCode],"BH")=0,"",SUMIFS(tblDaily[Admissions],tblDaily[EntryDate],DATE(2026,4,14),tblDaily[WardCode],"BH")),"")</f>
        <v/>
      </c>
      <c r="C137" s="5" t="str">
        <f>IFERROR(IF(SUMIFS(tblDaily[Discharges],tblDaily[EntryDate],DATE(2026,4,14),tblDaily[WardCode],"BH")=0,"",SUMIFS(tblDaily[Discharges],tblDaily[EntryDate],DATE(2026,4,14),tblDaily[WardCode],"BH")),"")</f>
        <v/>
      </c>
      <c r="D137" s="5" t="str">
        <f>IFERROR(IF(SUMIFS(tblDaily[Deaths],tblDaily[EntryDate],DATE(2026,4,14),tblDaily[WardCode],"BH")=0,"",SUMIFS(tblDaily[Deaths],tblDaily[EntryDate],DATE(2026,4,14),tblDaily[WardCode],"BH")),"")</f>
        <v/>
      </c>
      <c r="E137" s="5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5" t="str">
        <f>IFERROR(IF(SUMIFS(tblDaily[TransfersIn],tblDaily[EntryDate],DATE(2026,4,14),tblDaily[WardCode],"BH")=0,"",SUMIFS(tblDaily[TransfersIn],tblDaily[EntryDate],DATE(2026,4,14),tblDaily[WardCode],"BH")),"")</f>
        <v/>
      </c>
      <c r="G137" s="5" t="str">
        <f>IFERROR(IF(SUMIFS(tblDaily[TransfersOut],tblDaily[EntryDate],DATE(2026,4,14),tblDaily[WardCode],"BH")=0,"",SUMIFS(tblDaily[TransfersOut],tblDaily[EntryDate],DATE(2026,4,14),tblDaily[WardCode],"BH")),"")</f>
        <v/>
      </c>
      <c r="H137" s="5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IFERROR(IF(SUMIFS(tblDaily[Admissions],tblDaily[EntryDate],DATE(2026,4,15),tblDaily[WardCode],"BH")=0,"",SUMIFS(tblDaily[Admissions],tblDaily[EntryDate],DATE(2026,4,15),tblDaily[WardCode],"BH")),"")</f>
        <v/>
      </c>
      <c r="C138" s="5" t="str">
        <f>IFERROR(IF(SUMIFS(tblDaily[Discharges],tblDaily[EntryDate],DATE(2026,4,15),tblDaily[WardCode],"BH")=0,"",SUMIFS(tblDaily[Discharges],tblDaily[EntryDate],DATE(2026,4,15),tblDaily[WardCode],"BH")),"")</f>
        <v/>
      </c>
      <c r="D138" s="5" t="str">
        <f>IFERROR(IF(SUMIFS(tblDaily[Deaths],tblDaily[EntryDate],DATE(2026,4,15),tblDaily[WardCode],"BH")=0,"",SUMIFS(tblDaily[Deaths],tblDaily[EntryDate],DATE(2026,4,15),tblDaily[WardCode],"BH")),"")</f>
        <v/>
      </c>
      <c r="E138" s="5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5" t="str">
        <f>IFERROR(IF(SUMIFS(tblDaily[TransfersIn],tblDaily[EntryDate],DATE(2026,4,15),tblDaily[WardCode],"BH")=0,"",SUMIFS(tblDaily[TransfersIn],tblDaily[EntryDate],DATE(2026,4,15),tblDaily[WardCode],"BH")),"")</f>
        <v/>
      </c>
      <c r="G138" s="5" t="str">
        <f>IFERROR(IF(SUMIFS(tblDaily[TransfersOut],tblDaily[EntryDate],DATE(2026,4,15),tblDaily[WardCode],"BH")=0,"",SUMIFS(tblDaily[TransfersOut],tblDaily[EntryDate],DATE(2026,4,15),tblDaily[WardCode],"BH")),"")</f>
        <v/>
      </c>
      <c r="H138" s="5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IFERROR(IF(SUMIFS(tblDaily[Admissions],tblDaily[EntryDate],DATE(2026,4,16),tblDaily[WardCode],"BH")=0,"",SUMIFS(tblDaily[Admissions],tblDaily[EntryDate],DATE(2026,4,16),tblDaily[WardCode],"BH")),"")</f>
        <v/>
      </c>
      <c r="C139" s="5" t="str">
        <f>IFERROR(IF(SUMIFS(tblDaily[Discharges],tblDaily[EntryDate],DATE(2026,4,16),tblDaily[WardCode],"BH")=0,"",SUMIFS(tblDaily[Discharges],tblDaily[EntryDate],DATE(2026,4,16),tblDaily[WardCode],"BH")),"")</f>
        <v/>
      </c>
      <c r="D139" s="5" t="str">
        <f>IFERROR(IF(SUMIFS(tblDaily[Deaths],tblDaily[EntryDate],DATE(2026,4,16),tblDaily[WardCode],"BH")=0,"",SUMIFS(tblDaily[Deaths],tblDaily[EntryDate],DATE(2026,4,16),tblDaily[WardCode],"BH")),"")</f>
        <v/>
      </c>
      <c r="E139" s="5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5" t="str">
        <f>IFERROR(IF(SUMIFS(tblDaily[TransfersIn],tblDaily[EntryDate],DATE(2026,4,16),tblDaily[WardCode],"BH")=0,"",SUMIFS(tblDaily[TransfersIn],tblDaily[EntryDate],DATE(2026,4,16),tblDaily[WardCode],"BH")),"")</f>
        <v/>
      </c>
      <c r="G139" s="5" t="str">
        <f>IFERROR(IF(SUMIFS(tblDaily[TransfersOut],tblDaily[EntryDate],DATE(2026,4,16),tblDaily[WardCode],"BH")=0,"",SUMIFS(tblDaily[TransfersOut],tblDaily[EntryDate],DATE(2026,4,16),tblDaily[WardCode],"BH")),"")</f>
        <v/>
      </c>
      <c r="H139" s="5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IFERROR(IF(SUMIFS(tblDaily[Admissions],tblDaily[EntryDate],DATE(2026,4,17),tblDaily[WardCode],"BH")=0,"",SUMIFS(tblDaily[Admissions],tblDaily[EntryDate],DATE(2026,4,17),tblDaily[WardCode],"BH")),"")</f>
        <v/>
      </c>
      <c r="C140" s="5" t="str">
        <f>IFERROR(IF(SUMIFS(tblDaily[Discharges],tblDaily[EntryDate],DATE(2026,4,17),tblDaily[WardCode],"BH")=0,"",SUMIFS(tblDaily[Discharges],tblDaily[EntryDate],DATE(2026,4,17),tblDaily[WardCode],"BH")),"")</f>
        <v/>
      </c>
      <c r="D140" s="5" t="str">
        <f>IFERROR(IF(SUMIFS(tblDaily[Deaths],tblDaily[EntryDate],DATE(2026,4,17),tblDaily[WardCode],"BH")=0,"",SUMIFS(tblDaily[Deaths],tblDaily[EntryDate],DATE(2026,4,17),tblDaily[WardCode],"BH")),"")</f>
        <v/>
      </c>
      <c r="E140" s="5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5" t="str">
        <f>IFERROR(IF(SUMIFS(tblDaily[TransfersIn],tblDaily[EntryDate],DATE(2026,4,17),tblDaily[WardCode],"BH")=0,"",SUMIFS(tblDaily[TransfersIn],tblDaily[EntryDate],DATE(2026,4,17),tblDaily[WardCode],"BH")),"")</f>
        <v/>
      </c>
      <c r="G140" s="5" t="str">
        <f>IFERROR(IF(SUMIFS(tblDaily[TransfersOut],tblDaily[EntryDate],DATE(2026,4,17),tblDaily[WardCode],"BH")=0,"",SUMIFS(tblDaily[TransfersOut],tblDaily[EntryDate],DATE(2026,4,17),tblDaily[WardCode],"BH")),"")</f>
        <v/>
      </c>
      <c r="H140" s="5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IFERROR(IF(SUMIFS(tblDaily[Admissions],tblDaily[EntryDate],DATE(2026,4,18),tblDaily[WardCode],"BH")=0,"",SUMIFS(tblDaily[Admissions],tblDaily[EntryDate],DATE(2026,4,18),tblDaily[WardCode],"BH")),"")</f>
        <v/>
      </c>
      <c r="C141" s="5" t="str">
        <f>IFERROR(IF(SUMIFS(tblDaily[Discharges],tblDaily[EntryDate],DATE(2026,4,18),tblDaily[WardCode],"BH")=0,"",SUMIFS(tblDaily[Discharges],tblDaily[EntryDate],DATE(2026,4,18),tblDaily[WardCode],"BH")),"")</f>
        <v/>
      </c>
      <c r="D141" s="5" t="str">
        <f>IFERROR(IF(SUMIFS(tblDaily[Deaths],tblDaily[EntryDate],DATE(2026,4,18),tblDaily[WardCode],"BH")=0,"",SUMIFS(tblDaily[Deaths],tblDaily[EntryDate],DATE(2026,4,18),tblDaily[WardCode],"BH")),"")</f>
        <v/>
      </c>
      <c r="E141" s="5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5" t="str">
        <f>IFERROR(IF(SUMIFS(tblDaily[TransfersIn],tblDaily[EntryDate],DATE(2026,4,18),tblDaily[WardCode],"BH")=0,"",SUMIFS(tblDaily[TransfersIn],tblDaily[EntryDate],DATE(2026,4,18),tblDaily[WardCode],"BH")),"")</f>
        <v/>
      </c>
      <c r="G141" s="5" t="str">
        <f>IFERROR(IF(SUMIFS(tblDaily[TransfersOut],tblDaily[EntryDate],DATE(2026,4,18),tblDaily[WardCode],"BH")=0,"",SUMIFS(tblDaily[TransfersOut],tblDaily[EntryDate],DATE(2026,4,18),tblDaily[WardCode],"BH")),"")</f>
        <v/>
      </c>
      <c r="H141" s="5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IFERROR(IF(SUMIFS(tblDaily[Admissions],tblDaily[EntryDate],DATE(2026,4,19),tblDaily[WardCode],"BH")=0,"",SUMIFS(tblDaily[Admissions],tblDaily[EntryDate],DATE(2026,4,19),tblDaily[WardCode],"BH")),"")</f>
        <v/>
      </c>
      <c r="C142" s="5" t="str">
        <f>IFERROR(IF(SUMIFS(tblDaily[Discharges],tblDaily[EntryDate],DATE(2026,4,19),tblDaily[WardCode],"BH")=0,"",SUMIFS(tblDaily[Discharges],tblDaily[EntryDate],DATE(2026,4,19),tblDaily[WardCode],"BH")),"")</f>
        <v/>
      </c>
      <c r="D142" s="5" t="str">
        <f>IFERROR(IF(SUMIFS(tblDaily[Deaths],tblDaily[EntryDate],DATE(2026,4,19),tblDaily[WardCode],"BH")=0,"",SUMIFS(tblDaily[Deaths],tblDaily[EntryDate],DATE(2026,4,19),tblDaily[WardCode],"BH")),"")</f>
        <v/>
      </c>
      <c r="E142" s="5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5" t="str">
        <f>IFERROR(IF(SUMIFS(tblDaily[TransfersIn],tblDaily[EntryDate],DATE(2026,4,19),tblDaily[WardCode],"BH")=0,"",SUMIFS(tblDaily[TransfersIn],tblDaily[EntryDate],DATE(2026,4,19),tblDaily[WardCode],"BH")),"")</f>
        <v/>
      </c>
      <c r="G142" s="5" t="str">
        <f>IFERROR(IF(SUMIFS(tblDaily[TransfersOut],tblDaily[EntryDate],DATE(2026,4,19),tblDaily[WardCode],"BH")=0,"",SUMIFS(tblDaily[TransfersOut],tblDaily[EntryDate],DATE(2026,4,19),tblDaily[WardCode],"BH")),"")</f>
        <v/>
      </c>
      <c r="H142" s="5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IFERROR(IF(SUMIFS(tblDaily[Admissions],tblDaily[EntryDate],DATE(2026,4,20),tblDaily[WardCode],"BH")=0,"",SUMIFS(tblDaily[Admissions],tblDaily[EntryDate],DATE(2026,4,20),tblDaily[WardCode],"BH")),"")</f>
        <v/>
      </c>
      <c r="C143" s="5" t="str">
        <f>IFERROR(IF(SUMIFS(tblDaily[Discharges],tblDaily[EntryDate],DATE(2026,4,20),tblDaily[WardCode],"BH")=0,"",SUMIFS(tblDaily[Discharges],tblDaily[EntryDate],DATE(2026,4,20),tblDaily[WardCode],"BH")),"")</f>
        <v/>
      </c>
      <c r="D143" s="5" t="str">
        <f>IFERROR(IF(SUMIFS(tblDaily[Deaths],tblDaily[EntryDate],DATE(2026,4,20),tblDaily[WardCode],"BH")=0,"",SUMIFS(tblDaily[Deaths],tblDaily[EntryDate],DATE(2026,4,20),tblDaily[WardCode],"BH")),"")</f>
        <v/>
      </c>
      <c r="E143" s="5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5" t="str">
        <f>IFERROR(IF(SUMIFS(tblDaily[TransfersIn],tblDaily[EntryDate],DATE(2026,4,20),tblDaily[WardCode],"BH")=0,"",SUMIFS(tblDaily[TransfersIn],tblDaily[EntryDate],DATE(2026,4,20),tblDaily[WardCode],"BH")),"")</f>
        <v/>
      </c>
      <c r="G143" s="5" t="str">
        <f>IFERROR(IF(SUMIFS(tblDaily[TransfersOut],tblDaily[EntryDate],DATE(2026,4,20),tblDaily[WardCode],"BH")=0,"",SUMIFS(tblDaily[TransfersOut],tblDaily[EntryDate],DATE(2026,4,20),tblDaily[WardCode],"BH")),"")</f>
        <v/>
      </c>
      <c r="H143" s="5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IFERROR(IF(SUMIFS(tblDaily[Admissions],tblDaily[EntryDate],DATE(2026,4,21),tblDaily[WardCode],"BH")=0,"",SUMIFS(tblDaily[Admissions],tblDaily[EntryDate],DATE(2026,4,21),tblDaily[WardCode],"BH")),"")</f>
        <v/>
      </c>
      <c r="C144" s="5" t="str">
        <f>IFERROR(IF(SUMIFS(tblDaily[Discharges],tblDaily[EntryDate],DATE(2026,4,21),tblDaily[WardCode],"BH")=0,"",SUMIFS(tblDaily[Discharges],tblDaily[EntryDate],DATE(2026,4,21),tblDaily[WardCode],"BH")),"")</f>
        <v/>
      </c>
      <c r="D144" s="5" t="str">
        <f>IFERROR(IF(SUMIFS(tblDaily[Deaths],tblDaily[EntryDate],DATE(2026,4,21),tblDaily[WardCode],"BH")=0,"",SUMIFS(tblDaily[Deaths],tblDaily[EntryDate],DATE(2026,4,21),tblDaily[WardCode],"BH")),"")</f>
        <v/>
      </c>
      <c r="E144" s="5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5" t="str">
        <f>IFERROR(IF(SUMIFS(tblDaily[TransfersIn],tblDaily[EntryDate],DATE(2026,4,21),tblDaily[WardCode],"BH")=0,"",SUMIFS(tblDaily[TransfersIn],tblDaily[EntryDate],DATE(2026,4,21),tblDaily[WardCode],"BH")),"")</f>
        <v/>
      </c>
      <c r="G144" s="5" t="str">
        <f>IFERROR(IF(SUMIFS(tblDaily[TransfersOut],tblDaily[EntryDate],DATE(2026,4,21),tblDaily[WardCode],"BH")=0,"",SUMIFS(tblDaily[TransfersOut],tblDaily[EntryDate],DATE(2026,4,21),tblDaily[WardCode],"BH")),"")</f>
        <v/>
      </c>
      <c r="H144" s="5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IFERROR(IF(SUMIFS(tblDaily[Admissions],tblDaily[EntryDate],DATE(2026,4,22),tblDaily[WardCode],"BH")=0,"",SUMIFS(tblDaily[Admissions],tblDaily[EntryDate],DATE(2026,4,22),tblDaily[WardCode],"BH")),"")</f>
        <v/>
      </c>
      <c r="C145" s="5" t="str">
        <f>IFERROR(IF(SUMIFS(tblDaily[Discharges],tblDaily[EntryDate],DATE(2026,4,22),tblDaily[WardCode],"BH")=0,"",SUMIFS(tblDaily[Discharges],tblDaily[EntryDate],DATE(2026,4,22),tblDaily[WardCode],"BH")),"")</f>
        <v/>
      </c>
      <c r="D145" s="5" t="str">
        <f>IFERROR(IF(SUMIFS(tblDaily[Deaths],tblDaily[EntryDate],DATE(2026,4,22),tblDaily[WardCode],"BH")=0,"",SUMIFS(tblDaily[Deaths],tblDaily[EntryDate],DATE(2026,4,22),tblDaily[WardCode],"BH")),"")</f>
        <v/>
      </c>
      <c r="E145" s="5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5" t="str">
        <f>IFERROR(IF(SUMIFS(tblDaily[TransfersIn],tblDaily[EntryDate],DATE(2026,4,22),tblDaily[WardCode],"BH")=0,"",SUMIFS(tblDaily[TransfersIn],tblDaily[EntryDate],DATE(2026,4,22),tblDaily[WardCode],"BH")),"")</f>
        <v/>
      </c>
      <c r="G145" s="5" t="str">
        <f>IFERROR(IF(SUMIFS(tblDaily[TransfersOut],tblDaily[EntryDate],DATE(2026,4,22),tblDaily[WardCode],"BH")=0,"",SUMIFS(tblDaily[TransfersOut],tblDaily[EntryDate],DATE(2026,4,22),tblDaily[WardCode],"BH")),"")</f>
        <v/>
      </c>
      <c r="H145" s="5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IFERROR(IF(SUMIFS(tblDaily[Admissions],tblDaily[EntryDate],DATE(2026,4,23),tblDaily[WardCode],"BH")=0,"",SUMIFS(tblDaily[Admissions],tblDaily[EntryDate],DATE(2026,4,23),tblDaily[WardCode],"BH")),"")</f>
        <v/>
      </c>
      <c r="C146" s="5" t="str">
        <f>IFERROR(IF(SUMIFS(tblDaily[Discharges],tblDaily[EntryDate],DATE(2026,4,23),tblDaily[WardCode],"BH")=0,"",SUMIFS(tblDaily[Discharges],tblDaily[EntryDate],DATE(2026,4,23),tblDaily[WardCode],"BH")),"")</f>
        <v/>
      </c>
      <c r="D146" s="5" t="str">
        <f>IFERROR(IF(SUMIFS(tblDaily[Deaths],tblDaily[EntryDate],DATE(2026,4,23),tblDaily[WardCode],"BH")=0,"",SUMIFS(tblDaily[Deaths],tblDaily[EntryDate],DATE(2026,4,23),tblDaily[WardCode],"BH")),"")</f>
        <v/>
      </c>
      <c r="E146" s="5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5" t="str">
        <f>IFERROR(IF(SUMIFS(tblDaily[TransfersIn],tblDaily[EntryDate],DATE(2026,4,23),tblDaily[WardCode],"BH")=0,"",SUMIFS(tblDaily[TransfersIn],tblDaily[EntryDate],DATE(2026,4,23),tblDaily[WardCode],"BH")),"")</f>
        <v/>
      </c>
      <c r="G146" s="5" t="str">
        <f>IFERROR(IF(SUMIFS(tblDaily[TransfersOut],tblDaily[EntryDate],DATE(2026,4,23),tblDaily[WardCode],"BH")=0,"",SUMIFS(tblDaily[TransfersOut],tblDaily[EntryDate],DATE(2026,4,23),tblDaily[WardCode],"BH")),"")</f>
        <v/>
      </c>
      <c r="H146" s="5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IFERROR(IF(SUMIFS(tblDaily[Admissions],tblDaily[EntryDate],DATE(2026,4,24),tblDaily[WardCode],"BH")=0,"",SUMIFS(tblDaily[Admissions],tblDaily[EntryDate],DATE(2026,4,24),tblDaily[WardCode],"BH")),"")</f>
        <v/>
      </c>
      <c r="C147" s="5" t="str">
        <f>IFERROR(IF(SUMIFS(tblDaily[Discharges],tblDaily[EntryDate],DATE(2026,4,24),tblDaily[WardCode],"BH")=0,"",SUMIFS(tblDaily[Discharges],tblDaily[EntryDate],DATE(2026,4,24),tblDaily[WardCode],"BH")),"")</f>
        <v/>
      </c>
      <c r="D147" s="5" t="str">
        <f>IFERROR(IF(SUMIFS(tblDaily[Deaths],tblDaily[EntryDate],DATE(2026,4,24),tblDaily[WardCode],"BH")=0,"",SUMIFS(tblDaily[Deaths],tblDaily[EntryDate],DATE(2026,4,24),tblDaily[WardCode],"BH")),"")</f>
        <v/>
      </c>
      <c r="E147" s="5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5" t="str">
        <f>IFERROR(IF(SUMIFS(tblDaily[TransfersIn],tblDaily[EntryDate],DATE(2026,4,24),tblDaily[WardCode],"BH")=0,"",SUMIFS(tblDaily[TransfersIn],tblDaily[EntryDate],DATE(2026,4,24),tblDaily[WardCode],"BH")),"")</f>
        <v/>
      </c>
      <c r="G147" s="5" t="str">
        <f>IFERROR(IF(SUMIFS(tblDaily[TransfersOut],tblDaily[EntryDate],DATE(2026,4,24),tblDaily[WardCode],"BH")=0,"",SUMIFS(tblDaily[TransfersOut],tblDaily[EntryDate],DATE(2026,4,24),tblDaily[WardCode],"BH")),"")</f>
        <v/>
      </c>
      <c r="H147" s="5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IFERROR(IF(SUMIFS(tblDaily[Admissions],tblDaily[EntryDate],DATE(2026,4,25),tblDaily[WardCode],"BH")=0,"",SUMIFS(tblDaily[Admissions],tblDaily[EntryDate],DATE(2026,4,25),tblDaily[WardCode],"BH")),"")</f>
        <v/>
      </c>
      <c r="C148" s="5" t="str">
        <f>IFERROR(IF(SUMIFS(tblDaily[Discharges],tblDaily[EntryDate],DATE(2026,4,25),tblDaily[WardCode],"BH")=0,"",SUMIFS(tblDaily[Discharges],tblDaily[EntryDate],DATE(2026,4,25),tblDaily[WardCode],"BH")),"")</f>
        <v/>
      </c>
      <c r="D148" s="5" t="str">
        <f>IFERROR(IF(SUMIFS(tblDaily[Deaths],tblDaily[EntryDate],DATE(2026,4,25),tblDaily[WardCode],"BH")=0,"",SUMIFS(tblDaily[Deaths],tblDaily[EntryDate],DATE(2026,4,25),tblDaily[WardCode],"BH")),"")</f>
        <v/>
      </c>
      <c r="E148" s="5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5" t="str">
        <f>IFERROR(IF(SUMIFS(tblDaily[TransfersIn],tblDaily[EntryDate],DATE(2026,4,25),tblDaily[WardCode],"BH")=0,"",SUMIFS(tblDaily[TransfersIn],tblDaily[EntryDate],DATE(2026,4,25),tblDaily[WardCode],"BH")),"")</f>
        <v/>
      </c>
      <c r="G148" s="5" t="str">
        <f>IFERROR(IF(SUMIFS(tblDaily[TransfersOut],tblDaily[EntryDate],DATE(2026,4,25),tblDaily[WardCode],"BH")=0,"",SUMIFS(tblDaily[TransfersOut],tblDaily[EntryDate],DATE(2026,4,25),tblDaily[WardCode],"BH")),"")</f>
        <v/>
      </c>
      <c r="H148" s="5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IFERROR(IF(SUMIFS(tblDaily[Admissions],tblDaily[EntryDate],DATE(2026,4,26),tblDaily[WardCode],"BH")=0,"",SUMIFS(tblDaily[Admissions],tblDaily[EntryDate],DATE(2026,4,26),tblDaily[WardCode],"BH")),"")</f>
        <v/>
      </c>
      <c r="C149" s="5" t="str">
        <f>IFERROR(IF(SUMIFS(tblDaily[Discharges],tblDaily[EntryDate],DATE(2026,4,26),tblDaily[WardCode],"BH")=0,"",SUMIFS(tblDaily[Discharges],tblDaily[EntryDate],DATE(2026,4,26),tblDaily[WardCode],"BH")),"")</f>
        <v/>
      </c>
      <c r="D149" s="5" t="str">
        <f>IFERROR(IF(SUMIFS(tblDaily[Deaths],tblDaily[EntryDate],DATE(2026,4,26),tblDaily[WardCode],"BH")=0,"",SUMIFS(tblDaily[Deaths],tblDaily[EntryDate],DATE(2026,4,26),tblDaily[WardCode],"BH")),"")</f>
        <v/>
      </c>
      <c r="E149" s="5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5" t="str">
        <f>IFERROR(IF(SUMIFS(tblDaily[TransfersIn],tblDaily[EntryDate],DATE(2026,4,26),tblDaily[WardCode],"BH")=0,"",SUMIFS(tblDaily[TransfersIn],tblDaily[EntryDate],DATE(2026,4,26),tblDaily[WardCode],"BH")),"")</f>
        <v/>
      </c>
      <c r="G149" s="5" t="str">
        <f>IFERROR(IF(SUMIFS(tblDaily[TransfersOut],tblDaily[EntryDate],DATE(2026,4,26),tblDaily[WardCode],"BH")=0,"",SUMIFS(tblDaily[TransfersOut],tblDaily[EntryDate],DATE(2026,4,26),tblDaily[WardCode],"BH")),"")</f>
        <v/>
      </c>
      <c r="H149" s="5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IFERROR(IF(SUMIFS(tblDaily[Admissions],tblDaily[EntryDate],DATE(2026,4,27),tblDaily[WardCode],"BH")=0,"",SUMIFS(tblDaily[Admissions],tblDaily[EntryDate],DATE(2026,4,27),tblDaily[WardCode],"BH")),"")</f>
        <v/>
      </c>
      <c r="C150" s="5" t="str">
        <f>IFERROR(IF(SUMIFS(tblDaily[Discharges],tblDaily[EntryDate],DATE(2026,4,27),tblDaily[WardCode],"BH")=0,"",SUMIFS(tblDaily[Discharges],tblDaily[EntryDate],DATE(2026,4,27),tblDaily[WardCode],"BH")),"")</f>
        <v/>
      </c>
      <c r="D150" s="5" t="str">
        <f>IFERROR(IF(SUMIFS(tblDaily[Deaths],tblDaily[EntryDate],DATE(2026,4,27),tblDaily[WardCode],"BH")=0,"",SUMIFS(tblDaily[Deaths],tblDaily[EntryDate],DATE(2026,4,27),tblDaily[WardCode],"BH")),"")</f>
        <v/>
      </c>
      <c r="E150" s="5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5" t="str">
        <f>IFERROR(IF(SUMIFS(tblDaily[TransfersIn],tblDaily[EntryDate],DATE(2026,4,27),tblDaily[WardCode],"BH")=0,"",SUMIFS(tblDaily[TransfersIn],tblDaily[EntryDate],DATE(2026,4,27),tblDaily[WardCode],"BH")),"")</f>
        <v/>
      </c>
      <c r="G150" s="5" t="str">
        <f>IFERROR(IF(SUMIFS(tblDaily[TransfersOut],tblDaily[EntryDate],DATE(2026,4,27),tblDaily[WardCode],"BH")=0,"",SUMIFS(tblDaily[TransfersOut],tblDaily[EntryDate],DATE(2026,4,27),tblDaily[WardCode],"BH")),"")</f>
        <v/>
      </c>
      <c r="H150" s="5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IFERROR(IF(SUMIFS(tblDaily[Admissions],tblDaily[EntryDate],DATE(2026,4,28),tblDaily[WardCode],"BH")=0,"",SUMIFS(tblDaily[Admissions],tblDaily[EntryDate],DATE(2026,4,28),tblDaily[WardCode],"BH")),"")</f>
        <v/>
      </c>
      <c r="C151" s="5" t="str">
        <f>IFERROR(IF(SUMIFS(tblDaily[Discharges],tblDaily[EntryDate],DATE(2026,4,28),tblDaily[WardCode],"BH")=0,"",SUMIFS(tblDaily[Discharges],tblDaily[EntryDate],DATE(2026,4,28),tblDaily[WardCode],"BH")),"")</f>
        <v/>
      </c>
      <c r="D151" s="5" t="str">
        <f>IFERROR(IF(SUMIFS(tblDaily[Deaths],tblDaily[EntryDate],DATE(2026,4,28),tblDaily[WardCode],"BH")=0,"",SUMIFS(tblDaily[Deaths],tblDaily[EntryDate],DATE(2026,4,28),tblDaily[WardCode],"BH")),"")</f>
        <v/>
      </c>
      <c r="E151" s="5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5" t="str">
        <f>IFERROR(IF(SUMIFS(tblDaily[TransfersIn],tblDaily[EntryDate],DATE(2026,4,28),tblDaily[WardCode],"BH")=0,"",SUMIFS(tblDaily[TransfersIn],tblDaily[EntryDate],DATE(2026,4,28),tblDaily[WardCode],"BH")),"")</f>
        <v/>
      </c>
      <c r="G151" s="5" t="str">
        <f>IFERROR(IF(SUMIFS(tblDaily[TransfersOut],tblDaily[EntryDate],DATE(2026,4,28),tblDaily[WardCode],"BH")=0,"",SUMIFS(tblDaily[TransfersOut],tblDaily[EntryDate],DATE(2026,4,28),tblDaily[WardCode],"BH")),"")</f>
        <v/>
      </c>
      <c r="H151" s="5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IFERROR(IF(SUMIFS(tblDaily[Admissions],tblDaily[EntryDate],DATE(2026,4,29),tblDaily[WardCode],"BH")=0,"",SUMIFS(tblDaily[Admissions],tblDaily[EntryDate],DATE(2026,4,29),tblDaily[WardCode],"BH")),"")</f>
        <v/>
      </c>
      <c r="C152" s="5" t="str">
        <f>IFERROR(IF(SUMIFS(tblDaily[Discharges],tblDaily[EntryDate],DATE(2026,4,29),tblDaily[WardCode],"BH")=0,"",SUMIFS(tblDaily[Discharges],tblDaily[EntryDate],DATE(2026,4,29),tblDaily[WardCode],"BH")),"")</f>
        <v/>
      </c>
      <c r="D152" s="5" t="str">
        <f>IFERROR(IF(SUMIFS(tblDaily[Deaths],tblDaily[EntryDate],DATE(2026,4,29),tblDaily[WardCode],"BH")=0,"",SUMIFS(tblDaily[Deaths],tblDaily[EntryDate],DATE(2026,4,29),tblDaily[WardCode],"BH")),"")</f>
        <v/>
      </c>
      <c r="E152" s="5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5" t="str">
        <f>IFERROR(IF(SUMIFS(tblDaily[TransfersIn],tblDaily[EntryDate],DATE(2026,4,29),tblDaily[WardCode],"BH")=0,"",SUMIFS(tblDaily[TransfersIn],tblDaily[EntryDate],DATE(2026,4,29),tblDaily[WardCode],"BH")),"")</f>
        <v/>
      </c>
      <c r="G152" s="5" t="str">
        <f>IFERROR(IF(SUMIFS(tblDaily[TransfersOut],tblDaily[EntryDate],DATE(2026,4,29),tblDaily[WardCode],"BH")=0,"",SUMIFS(tblDaily[TransfersOut],tblDaily[EntryDate],DATE(2026,4,29),tblDaily[WardCode],"BH")),"")</f>
        <v/>
      </c>
      <c r="H152" s="5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IFERROR(IF(SUMIFS(tblDaily[Admissions],tblDaily[EntryDate],DATE(2026,4,30),tblDaily[WardCode],"BH")=0,"",SUMIFS(tblDaily[Admissions],tblDaily[EntryDate],DATE(2026,4,30),tblDaily[WardCode],"BH")),"")</f>
        <v/>
      </c>
      <c r="C153" s="5" t="str">
        <f>IFERROR(IF(SUMIFS(tblDaily[Discharges],tblDaily[EntryDate],DATE(2026,4,30),tblDaily[WardCode],"BH")=0,"",SUMIFS(tblDaily[Discharges],tblDaily[EntryDate],DATE(2026,4,30),tblDaily[WardCode],"BH")),"")</f>
        <v/>
      </c>
      <c r="D153" s="5" t="str">
        <f>IFERROR(IF(SUMIFS(tblDaily[Deaths],tblDaily[EntryDate],DATE(2026,4,30),tblDaily[WardCode],"BH")=0,"",SUMIFS(tblDaily[Deaths],tblDaily[EntryDate],DATE(2026,4,30),tblDaily[WardCode],"BH")),"")</f>
        <v/>
      </c>
      <c r="E153" s="5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5" t="str">
        <f>IFERROR(IF(SUMIFS(tblDaily[TransfersIn],tblDaily[EntryDate],DATE(2026,4,30),tblDaily[WardCode],"BH")=0,"",SUMIFS(tblDaily[TransfersIn],tblDaily[EntryDate],DATE(2026,4,30),tblDaily[WardCode],"BH")),"")</f>
        <v/>
      </c>
      <c r="G153" s="5" t="str">
        <f>IFERROR(IF(SUMIFS(tblDaily[TransfersOut],tblDaily[EntryDate],DATE(2026,4,30),tblDaily[WardCode],"BH")=0,"",SUMIFS(tblDaily[TransfersOut],tblDaily[EntryDate],DATE(2026,4,30),tblDaily[WardCode],"BH")),"")</f>
        <v/>
      </c>
      <c r="H153" s="5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100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89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IFERROR(IF(SUMIFS(tblDaily[Admissions],tblDaily[EntryDate],DATE(2026,5,1),tblDaily[WardCode],"BH")=0,"",SUMIFS(tblDaily[Admissions],tblDaily[EntryDate],DATE(2026,5,1),tblDaily[WardCode],"BH")),"")</f>
        <v/>
      </c>
      <c r="C163" s="5" t="str">
        <f>IFERROR(IF(SUMIFS(tblDaily[Discharges],tblDaily[EntryDate],DATE(2026,5,1),tblDaily[WardCode],"BH")=0,"",SUMIFS(tblDaily[Discharges],tblDaily[EntryDate],DATE(2026,5,1),tblDaily[WardCode],"BH")),"")</f>
        <v/>
      </c>
      <c r="D163" s="5" t="str">
        <f>IFERROR(IF(SUMIFS(tblDaily[Deaths],tblDaily[EntryDate],DATE(2026,5,1),tblDaily[WardCode],"BH")=0,"",SUMIFS(tblDaily[Deaths],tblDaily[EntryDate],DATE(2026,5,1),tblDaily[WardCode],"BH")),"")</f>
        <v/>
      </c>
      <c r="E163" s="5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5" t="str">
        <f>IFERROR(IF(SUMIFS(tblDaily[TransfersIn],tblDaily[EntryDate],DATE(2026,5,1),tblDaily[WardCode],"BH")=0,"",SUMIFS(tblDaily[TransfersIn],tblDaily[EntryDate],DATE(2026,5,1),tblDaily[WardCode],"BH")),"")</f>
        <v/>
      </c>
      <c r="G163" s="5" t="str">
        <f>IFERROR(IF(SUMIFS(tblDaily[TransfersOut],tblDaily[EntryDate],DATE(2026,5,1),tblDaily[WardCode],"BH")=0,"",SUMIFS(tblDaily[TransfersOut],tblDaily[EntryDate],DATE(2026,5,1),tblDaily[WardCode],"BH")),"")</f>
        <v/>
      </c>
      <c r="H163" s="5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IFERROR(IF(SUMIFS(tblDaily[Admissions],tblDaily[EntryDate],DATE(2026,5,2),tblDaily[WardCode],"BH")=0,"",SUMIFS(tblDaily[Admissions],tblDaily[EntryDate],DATE(2026,5,2),tblDaily[WardCode],"BH")),"")</f>
        <v/>
      </c>
      <c r="C164" s="5" t="str">
        <f>IFERROR(IF(SUMIFS(tblDaily[Discharges],tblDaily[EntryDate],DATE(2026,5,2),tblDaily[WardCode],"BH")=0,"",SUMIFS(tblDaily[Discharges],tblDaily[EntryDate],DATE(2026,5,2),tblDaily[WardCode],"BH")),"")</f>
        <v/>
      </c>
      <c r="D164" s="5" t="str">
        <f>IFERROR(IF(SUMIFS(tblDaily[Deaths],tblDaily[EntryDate],DATE(2026,5,2),tblDaily[WardCode],"BH")=0,"",SUMIFS(tblDaily[Deaths],tblDaily[EntryDate],DATE(2026,5,2),tblDaily[WardCode],"BH")),"")</f>
        <v/>
      </c>
      <c r="E164" s="5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5" t="str">
        <f>IFERROR(IF(SUMIFS(tblDaily[TransfersIn],tblDaily[EntryDate],DATE(2026,5,2),tblDaily[WardCode],"BH")=0,"",SUMIFS(tblDaily[TransfersIn],tblDaily[EntryDate],DATE(2026,5,2),tblDaily[WardCode],"BH")),"")</f>
        <v/>
      </c>
      <c r="G164" s="5" t="str">
        <f>IFERROR(IF(SUMIFS(tblDaily[TransfersOut],tblDaily[EntryDate],DATE(2026,5,2),tblDaily[WardCode],"BH")=0,"",SUMIFS(tblDaily[TransfersOut],tblDaily[EntryDate],DATE(2026,5,2),tblDaily[WardCode],"BH")),"")</f>
        <v/>
      </c>
      <c r="H164" s="5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IFERROR(IF(SUMIFS(tblDaily[Admissions],tblDaily[EntryDate],DATE(2026,5,3),tblDaily[WardCode],"BH")=0,"",SUMIFS(tblDaily[Admissions],tblDaily[EntryDate],DATE(2026,5,3),tblDaily[WardCode],"BH")),"")</f>
        <v/>
      </c>
      <c r="C165" s="5" t="str">
        <f>IFERROR(IF(SUMIFS(tblDaily[Discharges],tblDaily[EntryDate],DATE(2026,5,3),tblDaily[WardCode],"BH")=0,"",SUMIFS(tblDaily[Discharges],tblDaily[EntryDate],DATE(2026,5,3),tblDaily[WardCode],"BH")),"")</f>
        <v/>
      </c>
      <c r="D165" s="5" t="str">
        <f>IFERROR(IF(SUMIFS(tblDaily[Deaths],tblDaily[EntryDate],DATE(2026,5,3),tblDaily[WardCode],"BH")=0,"",SUMIFS(tblDaily[Deaths],tblDaily[EntryDate],DATE(2026,5,3),tblDaily[WardCode],"BH")),"")</f>
        <v/>
      </c>
      <c r="E165" s="5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5" t="str">
        <f>IFERROR(IF(SUMIFS(tblDaily[TransfersIn],tblDaily[EntryDate],DATE(2026,5,3),tblDaily[WardCode],"BH")=0,"",SUMIFS(tblDaily[TransfersIn],tblDaily[EntryDate],DATE(2026,5,3),tblDaily[WardCode],"BH")),"")</f>
        <v/>
      </c>
      <c r="G165" s="5" t="str">
        <f>IFERROR(IF(SUMIFS(tblDaily[TransfersOut],tblDaily[EntryDate],DATE(2026,5,3),tblDaily[WardCode],"BH")=0,"",SUMIFS(tblDaily[TransfersOut],tblDaily[EntryDate],DATE(2026,5,3),tblDaily[WardCode],"BH")),"")</f>
        <v/>
      </c>
      <c r="H165" s="5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IFERROR(IF(SUMIFS(tblDaily[Admissions],tblDaily[EntryDate],DATE(2026,5,4),tblDaily[WardCode],"BH")=0,"",SUMIFS(tblDaily[Admissions],tblDaily[EntryDate],DATE(2026,5,4),tblDaily[WardCode],"BH")),"")</f>
        <v/>
      </c>
      <c r="C166" s="5" t="str">
        <f>IFERROR(IF(SUMIFS(tblDaily[Discharges],tblDaily[EntryDate],DATE(2026,5,4),tblDaily[WardCode],"BH")=0,"",SUMIFS(tblDaily[Discharges],tblDaily[EntryDate],DATE(2026,5,4),tblDaily[WardCode],"BH")),"")</f>
        <v/>
      </c>
      <c r="D166" s="5" t="str">
        <f>IFERROR(IF(SUMIFS(tblDaily[Deaths],tblDaily[EntryDate],DATE(2026,5,4),tblDaily[WardCode],"BH")=0,"",SUMIFS(tblDaily[Deaths],tblDaily[EntryDate],DATE(2026,5,4),tblDaily[WardCode],"BH")),"")</f>
        <v/>
      </c>
      <c r="E166" s="5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5" t="str">
        <f>IFERROR(IF(SUMIFS(tblDaily[TransfersIn],tblDaily[EntryDate],DATE(2026,5,4),tblDaily[WardCode],"BH")=0,"",SUMIFS(tblDaily[TransfersIn],tblDaily[EntryDate],DATE(2026,5,4),tblDaily[WardCode],"BH")),"")</f>
        <v/>
      </c>
      <c r="G166" s="5" t="str">
        <f>IFERROR(IF(SUMIFS(tblDaily[TransfersOut],tblDaily[EntryDate],DATE(2026,5,4),tblDaily[WardCode],"BH")=0,"",SUMIFS(tblDaily[TransfersOut],tblDaily[EntryDate],DATE(2026,5,4),tblDaily[WardCode],"BH")),"")</f>
        <v/>
      </c>
      <c r="H166" s="5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IFERROR(IF(SUMIFS(tblDaily[Admissions],tblDaily[EntryDate],DATE(2026,5,5),tblDaily[WardCode],"BH")=0,"",SUMIFS(tblDaily[Admissions],tblDaily[EntryDate],DATE(2026,5,5),tblDaily[WardCode],"BH")),"")</f>
        <v/>
      </c>
      <c r="C167" s="5" t="str">
        <f>IFERROR(IF(SUMIFS(tblDaily[Discharges],tblDaily[EntryDate],DATE(2026,5,5),tblDaily[WardCode],"BH")=0,"",SUMIFS(tblDaily[Discharges],tblDaily[EntryDate],DATE(2026,5,5),tblDaily[WardCode],"BH")),"")</f>
        <v/>
      </c>
      <c r="D167" s="5" t="str">
        <f>IFERROR(IF(SUMIFS(tblDaily[Deaths],tblDaily[EntryDate],DATE(2026,5,5),tblDaily[WardCode],"BH")=0,"",SUMIFS(tblDaily[Deaths],tblDaily[EntryDate],DATE(2026,5,5),tblDaily[WardCode],"BH")),"")</f>
        <v/>
      </c>
      <c r="E167" s="5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5" t="str">
        <f>IFERROR(IF(SUMIFS(tblDaily[TransfersIn],tblDaily[EntryDate],DATE(2026,5,5),tblDaily[WardCode],"BH")=0,"",SUMIFS(tblDaily[TransfersIn],tblDaily[EntryDate],DATE(2026,5,5),tblDaily[WardCode],"BH")),"")</f>
        <v/>
      </c>
      <c r="G167" s="5" t="str">
        <f>IFERROR(IF(SUMIFS(tblDaily[TransfersOut],tblDaily[EntryDate],DATE(2026,5,5),tblDaily[WardCode],"BH")=0,"",SUMIFS(tblDaily[TransfersOut],tblDaily[EntryDate],DATE(2026,5,5),tblDaily[WardCode],"BH")),"")</f>
        <v/>
      </c>
      <c r="H167" s="5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IFERROR(IF(SUMIFS(tblDaily[Admissions],tblDaily[EntryDate],DATE(2026,5,6),tblDaily[WardCode],"BH")=0,"",SUMIFS(tblDaily[Admissions],tblDaily[EntryDate],DATE(2026,5,6),tblDaily[WardCode],"BH")),"")</f>
        <v/>
      </c>
      <c r="C168" s="5" t="str">
        <f>IFERROR(IF(SUMIFS(tblDaily[Discharges],tblDaily[EntryDate],DATE(2026,5,6),tblDaily[WardCode],"BH")=0,"",SUMIFS(tblDaily[Discharges],tblDaily[EntryDate],DATE(2026,5,6),tblDaily[WardCode],"BH")),"")</f>
        <v/>
      </c>
      <c r="D168" s="5" t="str">
        <f>IFERROR(IF(SUMIFS(tblDaily[Deaths],tblDaily[EntryDate],DATE(2026,5,6),tblDaily[WardCode],"BH")=0,"",SUMIFS(tblDaily[Deaths],tblDaily[EntryDate],DATE(2026,5,6),tblDaily[WardCode],"BH")),"")</f>
        <v/>
      </c>
      <c r="E168" s="5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5" t="str">
        <f>IFERROR(IF(SUMIFS(tblDaily[TransfersIn],tblDaily[EntryDate],DATE(2026,5,6),tblDaily[WardCode],"BH")=0,"",SUMIFS(tblDaily[TransfersIn],tblDaily[EntryDate],DATE(2026,5,6),tblDaily[WardCode],"BH")),"")</f>
        <v/>
      </c>
      <c r="G168" s="5" t="str">
        <f>IFERROR(IF(SUMIFS(tblDaily[TransfersOut],tblDaily[EntryDate],DATE(2026,5,6),tblDaily[WardCode],"BH")=0,"",SUMIFS(tblDaily[TransfersOut],tblDaily[EntryDate],DATE(2026,5,6),tblDaily[WardCode],"BH")),"")</f>
        <v/>
      </c>
      <c r="H168" s="5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IFERROR(IF(SUMIFS(tblDaily[Admissions],tblDaily[EntryDate],DATE(2026,5,7),tblDaily[WardCode],"BH")=0,"",SUMIFS(tblDaily[Admissions],tblDaily[EntryDate],DATE(2026,5,7),tblDaily[WardCode],"BH")),"")</f>
        <v/>
      </c>
      <c r="C169" s="5" t="str">
        <f>IFERROR(IF(SUMIFS(tblDaily[Discharges],tblDaily[EntryDate],DATE(2026,5,7),tblDaily[WardCode],"BH")=0,"",SUMIFS(tblDaily[Discharges],tblDaily[EntryDate],DATE(2026,5,7),tblDaily[WardCode],"BH")),"")</f>
        <v/>
      </c>
      <c r="D169" s="5" t="str">
        <f>IFERROR(IF(SUMIFS(tblDaily[Deaths],tblDaily[EntryDate],DATE(2026,5,7),tblDaily[WardCode],"BH")=0,"",SUMIFS(tblDaily[Deaths],tblDaily[EntryDate],DATE(2026,5,7),tblDaily[WardCode],"BH")),"")</f>
        <v/>
      </c>
      <c r="E169" s="5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5" t="str">
        <f>IFERROR(IF(SUMIFS(tblDaily[TransfersIn],tblDaily[EntryDate],DATE(2026,5,7),tblDaily[WardCode],"BH")=0,"",SUMIFS(tblDaily[TransfersIn],tblDaily[EntryDate],DATE(2026,5,7),tblDaily[WardCode],"BH")),"")</f>
        <v/>
      </c>
      <c r="G169" s="5" t="str">
        <f>IFERROR(IF(SUMIFS(tblDaily[TransfersOut],tblDaily[EntryDate],DATE(2026,5,7),tblDaily[WardCode],"BH")=0,"",SUMIFS(tblDaily[TransfersOut],tblDaily[EntryDate],DATE(2026,5,7),tblDaily[WardCode],"BH")),"")</f>
        <v/>
      </c>
      <c r="H169" s="5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IFERROR(IF(SUMIFS(tblDaily[Admissions],tblDaily[EntryDate],DATE(2026,5,8),tblDaily[WardCode],"BH")=0,"",SUMIFS(tblDaily[Admissions],tblDaily[EntryDate],DATE(2026,5,8),tblDaily[WardCode],"BH")),"")</f>
        <v/>
      </c>
      <c r="C170" s="5" t="str">
        <f>IFERROR(IF(SUMIFS(tblDaily[Discharges],tblDaily[EntryDate],DATE(2026,5,8),tblDaily[WardCode],"BH")=0,"",SUMIFS(tblDaily[Discharges],tblDaily[EntryDate],DATE(2026,5,8),tblDaily[WardCode],"BH")),"")</f>
        <v/>
      </c>
      <c r="D170" s="5" t="str">
        <f>IFERROR(IF(SUMIFS(tblDaily[Deaths],tblDaily[EntryDate],DATE(2026,5,8),tblDaily[WardCode],"BH")=0,"",SUMIFS(tblDaily[Deaths],tblDaily[EntryDate],DATE(2026,5,8),tblDaily[WardCode],"BH")),"")</f>
        <v/>
      </c>
      <c r="E170" s="5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5" t="str">
        <f>IFERROR(IF(SUMIFS(tblDaily[TransfersIn],tblDaily[EntryDate],DATE(2026,5,8),tblDaily[WardCode],"BH")=0,"",SUMIFS(tblDaily[TransfersIn],tblDaily[EntryDate],DATE(2026,5,8),tblDaily[WardCode],"BH")),"")</f>
        <v/>
      </c>
      <c r="G170" s="5" t="str">
        <f>IFERROR(IF(SUMIFS(tblDaily[TransfersOut],tblDaily[EntryDate],DATE(2026,5,8),tblDaily[WardCode],"BH")=0,"",SUMIFS(tblDaily[TransfersOut],tblDaily[EntryDate],DATE(2026,5,8),tblDaily[WardCode],"BH")),"")</f>
        <v/>
      </c>
      <c r="H170" s="5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IFERROR(IF(SUMIFS(tblDaily[Admissions],tblDaily[EntryDate],DATE(2026,5,9),tblDaily[WardCode],"BH")=0,"",SUMIFS(tblDaily[Admissions],tblDaily[EntryDate],DATE(2026,5,9),tblDaily[WardCode],"BH")),"")</f>
        <v/>
      </c>
      <c r="C171" s="5" t="str">
        <f>IFERROR(IF(SUMIFS(tblDaily[Discharges],tblDaily[EntryDate],DATE(2026,5,9),tblDaily[WardCode],"BH")=0,"",SUMIFS(tblDaily[Discharges],tblDaily[EntryDate],DATE(2026,5,9),tblDaily[WardCode],"BH")),"")</f>
        <v/>
      </c>
      <c r="D171" s="5" t="str">
        <f>IFERROR(IF(SUMIFS(tblDaily[Deaths],tblDaily[EntryDate],DATE(2026,5,9),tblDaily[WardCode],"BH")=0,"",SUMIFS(tblDaily[Deaths],tblDaily[EntryDate],DATE(2026,5,9),tblDaily[WardCode],"BH")),"")</f>
        <v/>
      </c>
      <c r="E171" s="5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5" t="str">
        <f>IFERROR(IF(SUMIFS(tblDaily[TransfersIn],tblDaily[EntryDate],DATE(2026,5,9),tblDaily[WardCode],"BH")=0,"",SUMIFS(tblDaily[TransfersIn],tblDaily[EntryDate],DATE(2026,5,9),tblDaily[WardCode],"BH")),"")</f>
        <v/>
      </c>
      <c r="G171" s="5" t="str">
        <f>IFERROR(IF(SUMIFS(tblDaily[TransfersOut],tblDaily[EntryDate],DATE(2026,5,9),tblDaily[WardCode],"BH")=0,"",SUMIFS(tblDaily[TransfersOut],tblDaily[EntryDate],DATE(2026,5,9),tblDaily[WardCode],"BH")),"")</f>
        <v/>
      </c>
      <c r="H171" s="5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IFERROR(IF(SUMIFS(tblDaily[Admissions],tblDaily[EntryDate],DATE(2026,5,10),tblDaily[WardCode],"BH")=0,"",SUMIFS(tblDaily[Admissions],tblDaily[EntryDate],DATE(2026,5,10),tblDaily[WardCode],"BH")),"")</f>
        <v/>
      </c>
      <c r="C172" s="5" t="str">
        <f>IFERROR(IF(SUMIFS(tblDaily[Discharges],tblDaily[EntryDate],DATE(2026,5,10),tblDaily[WardCode],"BH")=0,"",SUMIFS(tblDaily[Discharges],tblDaily[EntryDate],DATE(2026,5,10),tblDaily[WardCode],"BH")),"")</f>
        <v/>
      </c>
      <c r="D172" s="5" t="str">
        <f>IFERROR(IF(SUMIFS(tblDaily[Deaths],tblDaily[EntryDate],DATE(2026,5,10),tblDaily[WardCode],"BH")=0,"",SUMIFS(tblDaily[Deaths],tblDaily[EntryDate],DATE(2026,5,10),tblDaily[WardCode],"BH")),"")</f>
        <v/>
      </c>
      <c r="E172" s="5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5" t="str">
        <f>IFERROR(IF(SUMIFS(tblDaily[TransfersIn],tblDaily[EntryDate],DATE(2026,5,10),tblDaily[WardCode],"BH")=0,"",SUMIFS(tblDaily[TransfersIn],tblDaily[EntryDate],DATE(2026,5,10),tblDaily[WardCode],"BH")),"")</f>
        <v/>
      </c>
      <c r="G172" s="5" t="str">
        <f>IFERROR(IF(SUMIFS(tblDaily[TransfersOut],tblDaily[EntryDate],DATE(2026,5,10),tblDaily[WardCode],"BH")=0,"",SUMIFS(tblDaily[TransfersOut],tblDaily[EntryDate],DATE(2026,5,10),tblDaily[WardCode],"BH")),"")</f>
        <v/>
      </c>
      <c r="H172" s="5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IFERROR(IF(SUMIFS(tblDaily[Admissions],tblDaily[EntryDate],DATE(2026,5,11),tblDaily[WardCode],"BH")=0,"",SUMIFS(tblDaily[Admissions],tblDaily[EntryDate],DATE(2026,5,11),tblDaily[WardCode],"BH")),"")</f>
        <v/>
      </c>
      <c r="C173" s="5" t="str">
        <f>IFERROR(IF(SUMIFS(tblDaily[Discharges],tblDaily[EntryDate],DATE(2026,5,11),tblDaily[WardCode],"BH")=0,"",SUMIFS(tblDaily[Discharges],tblDaily[EntryDate],DATE(2026,5,11),tblDaily[WardCode],"BH")),"")</f>
        <v/>
      </c>
      <c r="D173" s="5" t="str">
        <f>IFERROR(IF(SUMIFS(tblDaily[Deaths],tblDaily[EntryDate],DATE(2026,5,11),tblDaily[WardCode],"BH")=0,"",SUMIFS(tblDaily[Deaths],tblDaily[EntryDate],DATE(2026,5,11),tblDaily[WardCode],"BH")),"")</f>
        <v/>
      </c>
      <c r="E173" s="5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5" t="str">
        <f>IFERROR(IF(SUMIFS(tblDaily[TransfersIn],tblDaily[EntryDate],DATE(2026,5,11),tblDaily[WardCode],"BH")=0,"",SUMIFS(tblDaily[TransfersIn],tblDaily[EntryDate],DATE(2026,5,11),tblDaily[WardCode],"BH")),"")</f>
        <v/>
      </c>
      <c r="G173" s="5" t="str">
        <f>IFERROR(IF(SUMIFS(tblDaily[TransfersOut],tblDaily[EntryDate],DATE(2026,5,11),tblDaily[WardCode],"BH")=0,"",SUMIFS(tblDaily[TransfersOut],tblDaily[EntryDate],DATE(2026,5,11),tblDaily[WardCode],"BH")),"")</f>
        <v/>
      </c>
      <c r="H173" s="5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IFERROR(IF(SUMIFS(tblDaily[Admissions],tblDaily[EntryDate],DATE(2026,5,12),tblDaily[WardCode],"BH")=0,"",SUMIFS(tblDaily[Admissions],tblDaily[EntryDate],DATE(2026,5,12),tblDaily[WardCode],"BH")),"")</f>
        <v/>
      </c>
      <c r="C174" s="5" t="str">
        <f>IFERROR(IF(SUMIFS(tblDaily[Discharges],tblDaily[EntryDate],DATE(2026,5,12),tblDaily[WardCode],"BH")=0,"",SUMIFS(tblDaily[Discharges],tblDaily[EntryDate],DATE(2026,5,12),tblDaily[WardCode],"BH")),"")</f>
        <v/>
      </c>
      <c r="D174" s="5" t="str">
        <f>IFERROR(IF(SUMIFS(tblDaily[Deaths],tblDaily[EntryDate],DATE(2026,5,12),tblDaily[WardCode],"BH")=0,"",SUMIFS(tblDaily[Deaths],tblDaily[EntryDate],DATE(2026,5,12),tblDaily[WardCode],"BH")),"")</f>
        <v/>
      </c>
      <c r="E174" s="5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5" t="str">
        <f>IFERROR(IF(SUMIFS(tblDaily[TransfersIn],tblDaily[EntryDate],DATE(2026,5,12),tblDaily[WardCode],"BH")=0,"",SUMIFS(tblDaily[TransfersIn],tblDaily[EntryDate],DATE(2026,5,12),tblDaily[WardCode],"BH")),"")</f>
        <v/>
      </c>
      <c r="G174" s="5" t="str">
        <f>IFERROR(IF(SUMIFS(tblDaily[TransfersOut],tblDaily[EntryDate],DATE(2026,5,12),tblDaily[WardCode],"BH")=0,"",SUMIFS(tblDaily[TransfersOut],tblDaily[EntryDate],DATE(2026,5,12),tblDaily[WardCode],"BH")),"")</f>
        <v/>
      </c>
      <c r="H174" s="5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IFERROR(IF(SUMIFS(tblDaily[Admissions],tblDaily[EntryDate],DATE(2026,5,13),tblDaily[WardCode],"BH")=0,"",SUMIFS(tblDaily[Admissions],tblDaily[EntryDate],DATE(2026,5,13),tblDaily[WardCode],"BH")),"")</f>
        <v/>
      </c>
      <c r="C175" s="5" t="str">
        <f>IFERROR(IF(SUMIFS(tblDaily[Discharges],tblDaily[EntryDate],DATE(2026,5,13),tblDaily[WardCode],"BH")=0,"",SUMIFS(tblDaily[Discharges],tblDaily[EntryDate],DATE(2026,5,13),tblDaily[WardCode],"BH")),"")</f>
        <v/>
      </c>
      <c r="D175" s="5" t="str">
        <f>IFERROR(IF(SUMIFS(tblDaily[Deaths],tblDaily[EntryDate],DATE(2026,5,13),tblDaily[WardCode],"BH")=0,"",SUMIFS(tblDaily[Deaths],tblDaily[EntryDate],DATE(2026,5,13),tblDaily[WardCode],"BH")),"")</f>
        <v/>
      </c>
      <c r="E175" s="5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5" t="str">
        <f>IFERROR(IF(SUMIFS(tblDaily[TransfersIn],tblDaily[EntryDate],DATE(2026,5,13),tblDaily[WardCode],"BH")=0,"",SUMIFS(tblDaily[TransfersIn],tblDaily[EntryDate],DATE(2026,5,13),tblDaily[WardCode],"BH")),"")</f>
        <v/>
      </c>
      <c r="G175" s="5" t="str">
        <f>IFERROR(IF(SUMIFS(tblDaily[TransfersOut],tblDaily[EntryDate],DATE(2026,5,13),tblDaily[WardCode],"BH")=0,"",SUMIFS(tblDaily[TransfersOut],tblDaily[EntryDate],DATE(2026,5,13),tblDaily[WardCode],"BH")),"")</f>
        <v/>
      </c>
      <c r="H175" s="5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IFERROR(IF(SUMIFS(tblDaily[Admissions],tblDaily[EntryDate],DATE(2026,5,14),tblDaily[WardCode],"BH")=0,"",SUMIFS(tblDaily[Admissions],tblDaily[EntryDate],DATE(2026,5,14),tblDaily[WardCode],"BH")),"")</f>
        <v/>
      </c>
      <c r="C176" s="5" t="str">
        <f>IFERROR(IF(SUMIFS(tblDaily[Discharges],tblDaily[EntryDate],DATE(2026,5,14),tblDaily[WardCode],"BH")=0,"",SUMIFS(tblDaily[Discharges],tblDaily[EntryDate],DATE(2026,5,14),tblDaily[WardCode],"BH")),"")</f>
        <v/>
      </c>
      <c r="D176" s="5" t="str">
        <f>IFERROR(IF(SUMIFS(tblDaily[Deaths],tblDaily[EntryDate],DATE(2026,5,14),tblDaily[WardCode],"BH")=0,"",SUMIFS(tblDaily[Deaths],tblDaily[EntryDate],DATE(2026,5,14),tblDaily[WardCode],"BH")),"")</f>
        <v/>
      </c>
      <c r="E176" s="5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5" t="str">
        <f>IFERROR(IF(SUMIFS(tblDaily[TransfersIn],tblDaily[EntryDate],DATE(2026,5,14),tblDaily[WardCode],"BH")=0,"",SUMIFS(tblDaily[TransfersIn],tblDaily[EntryDate],DATE(2026,5,14),tblDaily[WardCode],"BH")),"")</f>
        <v/>
      </c>
      <c r="G176" s="5" t="str">
        <f>IFERROR(IF(SUMIFS(tblDaily[TransfersOut],tblDaily[EntryDate],DATE(2026,5,14),tblDaily[WardCode],"BH")=0,"",SUMIFS(tblDaily[TransfersOut],tblDaily[EntryDate],DATE(2026,5,14),tblDaily[WardCode],"BH")),"")</f>
        <v/>
      </c>
      <c r="H176" s="5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IFERROR(IF(SUMIFS(tblDaily[Admissions],tblDaily[EntryDate],DATE(2026,5,15),tblDaily[WardCode],"BH")=0,"",SUMIFS(tblDaily[Admissions],tblDaily[EntryDate],DATE(2026,5,15),tblDaily[WardCode],"BH")),"")</f>
        <v/>
      </c>
      <c r="C177" s="5" t="str">
        <f>IFERROR(IF(SUMIFS(tblDaily[Discharges],tblDaily[EntryDate],DATE(2026,5,15),tblDaily[WardCode],"BH")=0,"",SUMIFS(tblDaily[Discharges],tblDaily[EntryDate],DATE(2026,5,15),tblDaily[WardCode],"BH")),"")</f>
        <v/>
      </c>
      <c r="D177" s="5" t="str">
        <f>IFERROR(IF(SUMIFS(tblDaily[Deaths],tblDaily[EntryDate],DATE(2026,5,15),tblDaily[WardCode],"BH")=0,"",SUMIFS(tblDaily[Deaths],tblDaily[EntryDate],DATE(2026,5,15),tblDaily[WardCode],"BH")),"")</f>
        <v/>
      </c>
      <c r="E177" s="5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5" t="str">
        <f>IFERROR(IF(SUMIFS(tblDaily[TransfersIn],tblDaily[EntryDate],DATE(2026,5,15),tblDaily[WardCode],"BH")=0,"",SUMIFS(tblDaily[TransfersIn],tblDaily[EntryDate],DATE(2026,5,15),tblDaily[WardCode],"BH")),"")</f>
        <v/>
      </c>
      <c r="G177" s="5" t="str">
        <f>IFERROR(IF(SUMIFS(tblDaily[TransfersOut],tblDaily[EntryDate],DATE(2026,5,15),tblDaily[WardCode],"BH")=0,"",SUMIFS(tblDaily[TransfersOut],tblDaily[EntryDate],DATE(2026,5,15),tblDaily[WardCode],"BH")),"")</f>
        <v/>
      </c>
      <c r="H177" s="5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IFERROR(IF(SUMIFS(tblDaily[Admissions],tblDaily[EntryDate],DATE(2026,5,16),tblDaily[WardCode],"BH")=0,"",SUMIFS(tblDaily[Admissions],tblDaily[EntryDate],DATE(2026,5,16),tblDaily[WardCode],"BH")),"")</f>
        <v/>
      </c>
      <c r="C178" s="5" t="str">
        <f>IFERROR(IF(SUMIFS(tblDaily[Discharges],tblDaily[EntryDate],DATE(2026,5,16),tblDaily[WardCode],"BH")=0,"",SUMIFS(tblDaily[Discharges],tblDaily[EntryDate],DATE(2026,5,16),tblDaily[WardCode],"BH")),"")</f>
        <v/>
      </c>
      <c r="D178" s="5" t="str">
        <f>IFERROR(IF(SUMIFS(tblDaily[Deaths],tblDaily[EntryDate],DATE(2026,5,16),tblDaily[WardCode],"BH")=0,"",SUMIFS(tblDaily[Deaths],tblDaily[EntryDate],DATE(2026,5,16),tblDaily[WardCode],"BH")),"")</f>
        <v/>
      </c>
      <c r="E178" s="5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5" t="str">
        <f>IFERROR(IF(SUMIFS(tblDaily[TransfersIn],tblDaily[EntryDate],DATE(2026,5,16),tblDaily[WardCode],"BH")=0,"",SUMIFS(tblDaily[TransfersIn],tblDaily[EntryDate],DATE(2026,5,16),tblDaily[WardCode],"BH")),"")</f>
        <v/>
      </c>
      <c r="G178" s="5" t="str">
        <f>IFERROR(IF(SUMIFS(tblDaily[TransfersOut],tblDaily[EntryDate],DATE(2026,5,16),tblDaily[WardCode],"BH")=0,"",SUMIFS(tblDaily[TransfersOut],tblDaily[EntryDate],DATE(2026,5,16),tblDaily[WardCode],"BH")),"")</f>
        <v/>
      </c>
      <c r="H178" s="5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IFERROR(IF(SUMIFS(tblDaily[Admissions],tblDaily[EntryDate],DATE(2026,5,17),tblDaily[WardCode],"BH")=0,"",SUMIFS(tblDaily[Admissions],tblDaily[EntryDate],DATE(2026,5,17),tblDaily[WardCode],"BH")),"")</f>
        <v/>
      </c>
      <c r="C179" s="5" t="str">
        <f>IFERROR(IF(SUMIFS(tblDaily[Discharges],tblDaily[EntryDate],DATE(2026,5,17),tblDaily[WardCode],"BH")=0,"",SUMIFS(tblDaily[Discharges],tblDaily[EntryDate],DATE(2026,5,17),tblDaily[WardCode],"BH")),"")</f>
        <v/>
      </c>
      <c r="D179" s="5" t="str">
        <f>IFERROR(IF(SUMIFS(tblDaily[Deaths],tblDaily[EntryDate],DATE(2026,5,17),tblDaily[WardCode],"BH")=0,"",SUMIFS(tblDaily[Deaths],tblDaily[EntryDate],DATE(2026,5,17),tblDaily[WardCode],"BH")),"")</f>
        <v/>
      </c>
      <c r="E179" s="5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5" t="str">
        <f>IFERROR(IF(SUMIFS(tblDaily[TransfersIn],tblDaily[EntryDate],DATE(2026,5,17),tblDaily[WardCode],"BH")=0,"",SUMIFS(tblDaily[TransfersIn],tblDaily[EntryDate],DATE(2026,5,17),tblDaily[WardCode],"BH")),"")</f>
        <v/>
      </c>
      <c r="G179" s="5" t="str">
        <f>IFERROR(IF(SUMIFS(tblDaily[TransfersOut],tblDaily[EntryDate],DATE(2026,5,17),tblDaily[WardCode],"BH")=0,"",SUMIFS(tblDaily[TransfersOut],tblDaily[EntryDate],DATE(2026,5,17),tblDaily[WardCode],"BH")),"")</f>
        <v/>
      </c>
      <c r="H179" s="5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IFERROR(IF(SUMIFS(tblDaily[Admissions],tblDaily[EntryDate],DATE(2026,5,18),tblDaily[WardCode],"BH")=0,"",SUMIFS(tblDaily[Admissions],tblDaily[EntryDate],DATE(2026,5,18),tblDaily[WardCode],"BH")),"")</f>
        <v/>
      </c>
      <c r="C180" s="5" t="str">
        <f>IFERROR(IF(SUMIFS(tblDaily[Discharges],tblDaily[EntryDate],DATE(2026,5,18),tblDaily[WardCode],"BH")=0,"",SUMIFS(tblDaily[Discharges],tblDaily[EntryDate],DATE(2026,5,18),tblDaily[WardCode],"BH")),"")</f>
        <v/>
      </c>
      <c r="D180" s="5" t="str">
        <f>IFERROR(IF(SUMIFS(tblDaily[Deaths],tblDaily[EntryDate],DATE(2026,5,18),tblDaily[WardCode],"BH")=0,"",SUMIFS(tblDaily[Deaths],tblDaily[EntryDate],DATE(2026,5,18),tblDaily[WardCode],"BH")),"")</f>
        <v/>
      </c>
      <c r="E180" s="5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5" t="str">
        <f>IFERROR(IF(SUMIFS(tblDaily[TransfersIn],tblDaily[EntryDate],DATE(2026,5,18),tblDaily[WardCode],"BH")=0,"",SUMIFS(tblDaily[TransfersIn],tblDaily[EntryDate],DATE(2026,5,18),tblDaily[WardCode],"BH")),"")</f>
        <v/>
      </c>
      <c r="G180" s="5" t="str">
        <f>IFERROR(IF(SUMIFS(tblDaily[TransfersOut],tblDaily[EntryDate],DATE(2026,5,18),tblDaily[WardCode],"BH")=0,"",SUMIFS(tblDaily[TransfersOut],tblDaily[EntryDate],DATE(2026,5,18),tblDaily[WardCode],"BH")),"")</f>
        <v/>
      </c>
      <c r="H180" s="5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IFERROR(IF(SUMIFS(tblDaily[Admissions],tblDaily[EntryDate],DATE(2026,5,19),tblDaily[WardCode],"BH")=0,"",SUMIFS(tblDaily[Admissions],tblDaily[EntryDate],DATE(2026,5,19),tblDaily[WardCode],"BH")),"")</f>
        <v/>
      </c>
      <c r="C181" s="5" t="str">
        <f>IFERROR(IF(SUMIFS(tblDaily[Discharges],tblDaily[EntryDate],DATE(2026,5,19),tblDaily[WardCode],"BH")=0,"",SUMIFS(tblDaily[Discharges],tblDaily[EntryDate],DATE(2026,5,19),tblDaily[WardCode],"BH")),"")</f>
        <v/>
      </c>
      <c r="D181" s="5" t="str">
        <f>IFERROR(IF(SUMIFS(tblDaily[Deaths],tblDaily[EntryDate],DATE(2026,5,19),tblDaily[WardCode],"BH")=0,"",SUMIFS(tblDaily[Deaths],tblDaily[EntryDate],DATE(2026,5,19),tblDaily[WardCode],"BH")),"")</f>
        <v/>
      </c>
      <c r="E181" s="5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5" t="str">
        <f>IFERROR(IF(SUMIFS(tblDaily[TransfersIn],tblDaily[EntryDate],DATE(2026,5,19),tblDaily[WardCode],"BH")=0,"",SUMIFS(tblDaily[TransfersIn],tblDaily[EntryDate],DATE(2026,5,19),tblDaily[WardCode],"BH")),"")</f>
        <v/>
      </c>
      <c r="G181" s="5" t="str">
        <f>IFERROR(IF(SUMIFS(tblDaily[TransfersOut],tblDaily[EntryDate],DATE(2026,5,19),tblDaily[WardCode],"BH")=0,"",SUMIFS(tblDaily[TransfersOut],tblDaily[EntryDate],DATE(2026,5,19),tblDaily[WardCode],"BH")),"")</f>
        <v/>
      </c>
      <c r="H181" s="5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IFERROR(IF(SUMIFS(tblDaily[Admissions],tblDaily[EntryDate],DATE(2026,5,20),tblDaily[WardCode],"BH")=0,"",SUMIFS(tblDaily[Admissions],tblDaily[EntryDate],DATE(2026,5,20),tblDaily[WardCode],"BH")),"")</f>
        <v/>
      </c>
      <c r="C182" s="5" t="str">
        <f>IFERROR(IF(SUMIFS(tblDaily[Discharges],tblDaily[EntryDate],DATE(2026,5,20),tblDaily[WardCode],"BH")=0,"",SUMIFS(tblDaily[Discharges],tblDaily[EntryDate],DATE(2026,5,20),tblDaily[WardCode],"BH")),"")</f>
        <v/>
      </c>
      <c r="D182" s="5" t="str">
        <f>IFERROR(IF(SUMIFS(tblDaily[Deaths],tblDaily[EntryDate],DATE(2026,5,20),tblDaily[WardCode],"BH")=0,"",SUMIFS(tblDaily[Deaths],tblDaily[EntryDate],DATE(2026,5,20),tblDaily[WardCode],"BH")),"")</f>
        <v/>
      </c>
      <c r="E182" s="5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5" t="str">
        <f>IFERROR(IF(SUMIFS(tblDaily[TransfersIn],tblDaily[EntryDate],DATE(2026,5,20),tblDaily[WardCode],"BH")=0,"",SUMIFS(tblDaily[TransfersIn],tblDaily[EntryDate],DATE(2026,5,20),tblDaily[WardCode],"BH")),"")</f>
        <v/>
      </c>
      <c r="G182" s="5" t="str">
        <f>IFERROR(IF(SUMIFS(tblDaily[TransfersOut],tblDaily[EntryDate],DATE(2026,5,20),tblDaily[WardCode],"BH")=0,"",SUMIFS(tblDaily[TransfersOut],tblDaily[EntryDate],DATE(2026,5,20),tblDaily[WardCode],"BH")),"")</f>
        <v/>
      </c>
      <c r="H182" s="5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IFERROR(IF(SUMIFS(tblDaily[Admissions],tblDaily[EntryDate],DATE(2026,5,21),tblDaily[WardCode],"BH")=0,"",SUMIFS(tblDaily[Admissions],tblDaily[EntryDate],DATE(2026,5,21),tblDaily[WardCode],"BH")),"")</f>
        <v/>
      </c>
      <c r="C183" s="5" t="str">
        <f>IFERROR(IF(SUMIFS(tblDaily[Discharges],tblDaily[EntryDate],DATE(2026,5,21),tblDaily[WardCode],"BH")=0,"",SUMIFS(tblDaily[Discharges],tblDaily[EntryDate],DATE(2026,5,21),tblDaily[WardCode],"BH")),"")</f>
        <v/>
      </c>
      <c r="D183" s="5" t="str">
        <f>IFERROR(IF(SUMIFS(tblDaily[Deaths],tblDaily[EntryDate],DATE(2026,5,21),tblDaily[WardCode],"BH")=0,"",SUMIFS(tblDaily[Deaths],tblDaily[EntryDate],DATE(2026,5,21),tblDaily[WardCode],"BH")),"")</f>
        <v/>
      </c>
      <c r="E183" s="5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5" t="str">
        <f>IFERROR(IF(SUMIFS(tblDaily[TransfersIn],tblDaily[EntryDate],DATE(2026,5,21),tblDaily[WardCode],"BH")=0,"",SUMIFS(tblDaily[TransfersIn],tblDaily[EntryDate],DATE(2026,5,21),tblDaily[WardCode],"BH")),"")</f>
        <v/>
      </c>
      <c r="G183" s="5" t="str">
        <f>IFERROR(IF(SUMIFS(tblDaily[TransfersOut],tblDaily[EntryDate],DATE(2026,5,21),tblDaily[WardCode],"BH")=0,"",SUMIFS(tblDaily[TransfersOut],tblDaily[EntryDate],DATE(2026,5,21),tblDaily[WardCode],"BH")),"")</f>
        <v/>
      </c>
      <c r="H183" s="5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IFERROR(IF(SUMIFS(tblDaily[Admissions],tblDaily[EntryDate],DATE(2026,5,22),tblDaily[WardCode],"BH")=0,"",SUMIFS(tblDaily[Admissions],tblDaily[EntryDate],DATE(2026,5,22),tblDaily[WardCode],"BH")),"")</f>
        <v/>
      </c>
      <c r="C184" s="5" t="str">
        <f>IFERROR(IF(SUMIFS(tblDaily[Discharges],tblDaily[EntryDate],DATE(2026,5,22),tblDaily[WardCode],"BH")=0,"",SUMIFS(tblDaily[Discharges],tblDaily[EntryDate],DATE(2026,5,22),tblDaily[WardCode],"BH")),"")</f>
        <v/>
      </c>
      <c r="D184" s="5" t="str">
        <f>IFERROR(IF(SUMIFS(tblDaily[Deaths],tblDaily[EntryDate],DATE(2026,5,22),tblDaily[WardCode],"BH")=0,"",SUMIFS(tblDaily[Deaths],tblDaily[EntryDate],DATE(2026,5,22),tblDaily[WardCode],"BH")),"")</f>
        <v/>
      </c>
      <c r="E184" s="5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5" t="str">
        <f>IFERROR(IF(SUMIFS(tblDaily[TransfersIn],tblDaily[EntryDate],DATE(2026,5,22),tblDaily[WardCode],"BH")=0,"",SUMIFS(tblDaily[TransfersIn],tblDaily[EntryDate],DATE(2026,5,22),tblDaily[WardCode],"BH")),"")</f>
        <v/>
      </c>
      <c r="G184" s="5" t="str">
        <f>IFERROR(IF(SUMIFS(tblDaily[TransfersOut],tblDaily[EntryDate],DATE(2026,5,22),tblDaily[WardCode],"BH")=0,"",SUMIFS(tblDaily[TransfersOut],tblDaily[EntryDate],DATE(2026,5,22),tblDaily[WardCode],"BH")),"")</f>
        <v/>
      </c>
      <c r="H184" s="5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IFERROR(IF(SUMIFS(tblDaily[Admissions],tblDaily[EntryDate],DATE(2026,5,23),tblDaily[WardCode],"BH")=0,"",SUMIFS(tblDaily[Admissions],tblDaily[EntryDate],DATE(2026,5,23),tblDaily[WardCode],"BH")),"")</f>
        <v/>
      </c>
      <c r="C185" s="5" t="str">
        <f>IFERROR(IF(SUMIFS(tblDaily[Discharges],tblDaily[EntryDate],DATE(2026,5,23),tblDaily[WardCode],"BH")=0,"",SUMIFS(tblDaily[Discharges],tblDaily[EntryDate],DATE(2026,5,23),tblDaily[WardCode],"BH")),"")</f>
        <v/>
      </c>
      <c r="D185" s="5" t="str">
        <f>IFERROR(IF(SUMIFS(tblDaily[Deaths],tblDaily[EntryDate],DATE(2026,5,23),tblDaily[WardCode],"BH")=0,"",SUMIFS(tblDaily[Deaths],tblDaily[EntryDate],DATE(2026,5,23),tblDaily[WardCode],"BH")),"")</f>
        <v/>
      </c>
      <c r="E185" s="5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5" t="str">
        <f>IFERROR(IF(SUMIFS(tblDaily[TransfersIn],tblDaily[EntryDate],DATE(2026,5,23),tblDaily[WardCode],"BH")=0,"",SUMIFS(tblDaily[TransfersIn],tblDaily[EntryDate],DATE(2026,5,23),tblDaily[WardCode],"BH")),"")</f>
        <v/>
      </c>
      <c r="G185" s="5" t="str">
        <f>IFERROR(IF(SUMIFS(tblDaily[TransfersOut],tblDaily[EntryDate],DATE(2026,5,23),tblDaily[WardCode],"BH")=0,"",SUMIFS(tblDaily[TransfersOut],tblDaily[EntryDate],DATE(2026,5,23),tblDaily[WardCode],"BH")),"")</f>
        <v/>
      </c>
      <c r="H185" s="5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IFERROR(IF(SUMIFS(tblDaily[Admissions],tblDaily[EntryDate],DATE(2026,5,24),tblDaily[WardCode],"BH")=0,"",SUMIFS(tblDaily[Admissions],tblDaily[EntryDate],DATE(2026,5,24),tblDaily[WardCode],"BH")),"")</f>
        <v/>
      </c>
      <c r="C186" s="5" t="str">
        <f>IFERROR(IF(SUMIFS(tblDaily[Discharges],tblDaily[EntryDate],DATE(2026,5,24),tblDaily[WardCode],"BH")=0,"",SUMIFS(tblDaily[Discharges],tblDaily[EntryDate],DATE(2026,5,24),tblDaily[WardCode],"BH")),"")</f>
        <v/>
      </c>
      <c r="D186" s="5" t="str">
        <f>IFERROR(IF(SUMIFS(tblDaily[Deaths],tblDaily[EntryDate],DATE(2026,5,24),tblDaily[WardCode],"BH")=0,"",SUMIFS(tblDaily[Deaths],tblDaily[EntryDate],DATE(2026,5,24),tblDaily[WardCode],"BH")),"")</f>
        <v/>
      </c>
      <c r="E186" s="5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5" t="str">
        <f>IFERROR(IF(SUMIFS(tblDaily[TransfersIn],tblDaily[EntryDate],DATE(2026,5,24),tblDaily[WardCode],"BH")=0,"",SUMIFS(tblDaily[TransfersIn],tblDaily[EntryDate],DATE(2026,5,24),tblDaily[WardCode],"BH")),"")</f>
        <v/>
      </c>
      <c r="G186" s="5" t="str">
        <f>IFERROR(IF(SUMIFS(tblDaily[TransfersOut],tblDaily[EntryDate],DATE(2026,5,24),tblDaily[WardCode],"BH")=0,"",SUMIFS(tblDaily[TransfersOut],tblDaily[EntryDate],DATE(2026,5,24),tblDaily[WardCode],"BH")),"")</f>
        <v/>
      </c>
      <c r="H186" s="5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IFERROR(IF(SUMIFS(tblDaily[Admissions],tblDaily[EntryDate],DATE(2026,5,25),tblDaily[WardCode],"BH")=0,"",SUMIFS(tblDaily[Admissions],tblDaily[EntryDate],DATE(2026,5,25),tblDaily[WardCode],"BH")),"")</f>
        <v/>
      </c>
      <c r="C187" s="5" t="str">
        <f>IFERROR(IF(SUMIFS(tblDaily[Discharges],tblDaily[EntryDate],DATE(2026,5,25),tblDaily[WardCode],"BH")=0,"",SUMIFS(tblDaily[Discharges],tblDaily[EntryDate],DATE(2026,5,25),tblDaily[WardCode],"BH")),"")</f>
        <v/>
      </c>
      <c r="D187" s="5" t="str">
        <f>IFERROR(IF(SUMIFS(tblDaily[Deaths],tblDaily[EntryDate],DATE(2026,5,25),tblDaily[WardCode],"BH")=0,"",SUMIFS(tblDaily[Deaths],tblDaily[EntryDate],DATE(2026,5,25),tblDaily[WardCode],"BH")),"")</f>
        <v/>
      </c>
      <c r="E187" s="5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5" t="str">
        <f>IFERROR(IF(SUMIFS(tblDaily[TransfersIn],tblDaily[EntryDate],DATE(2026,5,25),tblDaily[WardCode],"BH")=0,"",SUMIFS(tblDaily[TransfersIn],tblDaily[EntryDate],DATE(2026,5,25),tblDaily[WardCode],"BH")),"")</f>
        <v/>
      </c>
      <c r="G187" s="5" t="str">
        <f>IFERROR(IF(SUMIFS(tblDaily[TransfersOut],tblDaily[EntryDate],DATE(2026,5,25),tblDaily[WardCode],"BH")=0,"",SUMIFS(tblDaily[TransfersOut],tblDaily[EntryDate],DATE(2026,5,25),tblDaily[WardCode],"BH")),"")</f>
        <v/>
      </c>
      <c r="H187" s="5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IFERROR(IF(SUMIFS(tblDaily[Admissions],tblDaily[EntryDate],DATE(2026,5,26),tblDaily[WardCode],"BH")=0,"",SUMIFS(tblDaily[Admissions],tblDaily[EntryDate],DATE(2026,5,26),tblDaily[WardCode],"BH")),"")</f>
        <v/>
      </c>
      <c r="C188" s="5" t="str">
        <f>IFERROR(IF(SUMIFS(tblDaily[Discharges],tblDaily[EntryDate],DATE(2026,5,26),tblDaily[WardCode],"BH")=0,"",SUMIFS(tblDaily[Discharges],tblDaily[EntryDate],DATE(2026,5,26),tblDaily[WardCode],"BH")),"")</f>
        <v/>
      </c>
      <c r="D188" s="5" t="str">
        <f>IFERROR(IF(SUMIFS(tblDaily[Deaths],tblDaily[EntryDate],DATE(2026,5,26),tblDaily[WardCode],"BH")=0,"",SUMIFS(tblDaily[Deaths],tblDaily[EntryDate],DATE(2026,5,26),tblDaily[WardCode],"BH")),"")</f>
        <v/>
      </c>
      <c r="E188" s="5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5" t="str">
        <f>IFERROR(IF(SUMIFS(tblDaily[TransfersIn],tblDaily[EntryDate],DATE(2026,5,26),tblDaily[WardCode],"BH")=0,"",SUMIFS(tblDaily[TransfersIn],tblDaily[EntryDate],DATE(2026,5,26),tblDaily[WardCode],"BH")),"")</f>
        <v/>
      </c>
      <c r="G188" s="5" t="str">
        <f>IFERROR(IF(SUMIFS(tblDaily[TransfersOut],tblDaily[EntryDate],DATE(2026,5,26),tblDaily[WardCode],"BH")=0,"",SUMIFS(tblDaily[TransfersOut],tblDaily[EntryDate],DATE(2026,5,26),tblDaily[WardCode],"BH")),"")</f>
        <v/>
      </c>
      <c r="H188" s="5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IFERROR(IF(SUMIFS(tblDaily[Admissions],tblDaily[EntryDate],DATE(2026,5,27),tblDaily[WardCode],"BH")=0,"",SUMIFS(tblDaily[Admissions],tblDaily[EntryDate],DATE(2026,5,27),tblDaily[WardCode],"BH")),"")</f>
        <v/>
      </c>
      <c r="C189" s="5" t="str">
        <f>IFERROR(IF(SUMIFS(tblDaily[Discharges],tblDaily[EntryDate],DATE(2026,5,27),tblDaily[WardCode],"BH")=0,"",SUMIFS(tblDaily[Discharges],tblDaily[EntryDate],DATE(2026,5,27),tblDaily[WardCode],"BH")),"")</f>
        <v/>
      </c>
      <c r="D189" s="5" t="str">
        <f>IFERROR(IF(SUMIFS(tblDaily[Deaths],tblDaily[EntryDate],DATE(2026,5,27),tblDaily[WardCode],"BH")=0,"",SUMIFS(tblDaily[Deaths],tblDaily[EntryDate],DATE(2026,5,27),tblDaily[WardCode],"BH")),"")</f>
        <v/>
      </c>
      <c r="E189" s="5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5" t="str">
        <f>IFERROR(IF(SUMIFS(tblDaily[TransfersIn],tblDaily[EntryDate],DATE(2026,5,27),tblDaily[WardCode],"BH")=0,"",SUMIFS(tblDaily[TransfersIn],tblDaily[EntryDate],DATE(2026,5,27),tblDaily[WardCode],"BH")),"")</f>
        <v/>
      </c>
      <c r="G189" s="5" t="str">
        <f>IFERROR(IF(SUMIFS(tblDaily[TransfersOut],tblDaily[EntryDate],DATE(2026,5,27),tblDaily[WardCode],"BH")=0,"",SUMIFS(tblDaily[TransfersOut],tblDaily[EntryDate],DATE(2026,5,27),tblDaily[WardCode],"BH")),"")</f>
        <v/>
      </c>
      <c r="H189" s="5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IFERROR(IF(SUMIFS(tblDaily[Admissions],tblDaily[EntryDate],DATE(2026,5,28),tblDaily[WardCode],"BH")=0,"",SUMIFS(tblDaily[Admissions],tblDaily[EntryDate],DATE(2026,5,28),tblDaily[WardCode],"BH")),"")</f>
        <v/>
      </c>
      <c r="C190" s="5" t="str">
        <f>IFERROR(IF(SUMIFS(tblDaily[Discharges],tblDaily[EntryDate],DATE(2026,5,28),tblDaily[WardCode],"BH")=0,"",SUMIFS(tblDaily[Discharges],tblDaily[EntryDate],DATE(2026,5,28),tblDaily[WardCode],"BH")),"")</f>
        <v/>
      </c>
      <c r="D190" s="5" t="str">
        <f>IFERROR(IF(SUMIFS(tblDaily[Deaths],tblDaily[EntryDate],DATE(2026,5,28),tblDaily[WardCode],"BH")=0,"",SUMIFS(tblDaily[Deaths],tblDaily[EntryDate],DATE(2026,5,28),tblDaily[WardCode],"BH")),"")</f>
        <v/>
      </c>
      <c r="E190" s="5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5" t="str">
        <f>IFERROR(IF(SUMIFS(tblDaily[TransfersIn],tblDaily[EntryDate],DATE(2026,5,28),tblDaily[WardCode],"BH")=0,"",SUMIFS(tblDaily[TransfersIn],tblDaily[EntryDate],DATE(2026,5,28),tblDaily[WardCode],"BH")),"")</f>
        <v/>
      </c>
      <c r="G190" s="5" t="str">
        <f>IFERROR(IF(SUMIFS(tblDaily[TransfersOut],tblDaily[EntryDate],DATE(2026,5,28),tblDaily[WardCode],"BH")=0,"",SUMIFS(tblDaily[TransfersOut],tblDaily[EntryDate],DATE(2026,5,28),tblDaily[WardCode],"BH")),"")</f>
        <v/>
      </c>
      <c r="H190" s="5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IFERROR(IF(SUMIFS(tblDaily[Admissions],tblDaily[EntryDate],DATE(2026,5,29),tblDaily[WardCode],"BH")=0,"",SUMIFS(tblDaily[Admissions],tblDaily[EntryDate],DATE(2026,5,29),tblDaily[WardCode],"BH")),"")</f>
        <v/>
      </c>
      <c r="C191" s="5" t="str">
        <f>IFERROR(IF(SUMIFS(tblDaily[Discharges],tblDaily[EntryDate],DATE(2026,5,29),tblDaily[WardCode],"BH")=0,"",SUMIFS(tblDaily[Discharges],tblDaily[EntryDate],DATE(2026,5,29),tblDaily[WardCode],"BH")),"")</f>
        <v/>
      </c>
      <c r="D191" s="5" t="str">
        <f>IFERROR(IF(SUMIFS(tblDaily[Deaths],tblDaily[EntryDate],DATE(2026,5,29),tblDaily[WardCode],"BH")=0,"",SUMIFS(tblDaily[Deaths],tblDaily[EntryDate],DATE(2026,5,29),tblDaily[WardCode],"BH")),"")</f>
        <v/>
      </c>
      <c r="E191" s="5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5" t="str">
        <f>IFERROR(IF(SUMIFS(tblDaily[TransfersIn],tblDaily[EntryDate],DATE(2026,5,29),tblDaily[WardCode],"BH")=0,"",SUMIFS(tblDaily[TransfersIn],tblDaily[EntryDate],DATE(2026,5,29),tblDaily[WardCode],"BH")),"")</f>
        <v/>
      </c>
      <c r="G191" s="5" t="str">
        <f>IFERROR(IF(SUMIFS(tblDaily[TransfersOut],tblDaily[EntryDate],DATE(2026,5,29),tblDaily[WardCode],"BH")=0,"",SUMIFS(tblDaily[TransfersOut],tblDaily[EntryDate],DATE(2026,5,29),tblDaily[WardCode],"BH")),"")</f>
        <v/>
      </c>
      <c r="H191" s="5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IFERROR(IF(SUMIFS(tblDaily[Admissions],tblDaily[EntryDate],DATE(2026,5,30),tblDaily[WardCode],"BH")=0,"",SUMIFS(tblDaily[Admissions],tblDaily[EntryDate],DATE(2026,5,30),tblDaily[WardCode],"BH")),"")</f>
        <v/>
      </c>
      <c r="C192" s="5" t="str">
        <f>IFERROR(IF(SUMIFS(tblDaily[Discharges],tblDaily[EntryDate],DATE(2026,5,30),tblDaily[WardCode],"BH")=0,"",SUMIFS(tblDaily[Discharges],tblDaily[EntryDate],DATE(2026,5,30),tblDaily[WardCode],"BH")),"")</f>
        <v/>
      </c>
      <c r="D192" s="5" t="str">
        <f>IFERROR(IF(SUMIFS(tblDaily[Deaths],tblDaily[EntryDate],DATE(2026,5,30),tblDaily[WardCode],"BH")=0,"",SUMIFS(tblDaily[Deaths],tblDaily[EntryDate],DATE(2026,5,30),tblDaily[WardCode],"BH")),"")</f>
        <v/>
      </c>
      <c r="E192" s="5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5" t="str">
        <f>IFERROR(IF(SUMIFS(tblDaily[TransfersIn],tblDaily[EntryDate],DATE(2026,5,30),tblDaily[WardCode],"BH")=0,"",SUMIFS(tblDaily[TransfersIn],tblDaily[EntryDate],DATE(2026,5,30),tblDaily[WardCode],"BH")),"")</f>
        <v/>
      </c>
      <c r="G192" s="5" t="str">
        <f>IFERROR(IF(SUMIFS(tblDaily[TransfersOut],tblDaily[EntryDate],DATE(2026,5,30),tblDaily[WardCode],"BH")=0,"",SUMIFS(tblDaily[TransfersOut],tblDaily[EntryDate],DATE(2026,5,30),tblDaily[WardCode],"BH")),"")</f>
        <v/>
      </c>
      <c r="H192" s="5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IFERROR(IF(SUMIFS(tblDaily[Admissions],tblDaily[EntryDate],DATE(2026,5,31),tblDaily[WardCode],"BH")=0,"",SUMIFS(tblDaily[Admissions],tblDaily[EntryDate],DATE(2026,5,31),tblDaily[WardCode],"BH")),"")</f>
        <v/>
      </c>
      <c r="C193" s="5" t="str">
        <f>IFERROR(IF(SUMIFS(tblDaily[Discharges],tblDaily[EntryDate],DATE(2026,5,31),tblDaily[WardCode],"BH")=0,"",SUMIFS(tblDaily[Discharges],tblDaily[EntryDate],DATE(2026,5,31),tblDaily[WardCode],"BH")),"")</f>
        <v/>
      </c>
      <c r="D193" s="5" t="str">
        <f>IFERROR(IF(SUMIFS(tblDaily[Deaths],tblDaily[EntryDate],DATE(2026,5,31),tblDaily[WardCode],"BH")=0,"",SUMIFS(tblDaily[Deaths],tblDaily[EntryDate],DATE(2026,5,31),tblDaily[WardCode],"BH")),"")</f>
        <v/>
      </c>
      <c r="E193" s="5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5" t="str">
        <f>IFERROR(IF(SUMIFS(tblDaily[TransfersIn],tblDaily[EntryDate],DATE(2026,5,31),tblDaily[WardCode],"BH")=0,"",SUMIFS(tblDaily[TransfersIn],tblDaily[EntryDate],DATE(2026,5,31),tblDaily[WardCode],"BH")),"")</f>
        <v/>
      </c>
      <c r="G193" s="5" t="str">
        <f>IFERROR(IF(SUMIFS(tblDaily[TransfersOut],tblDaily[EntryDate],DATE(2026,5,31),tblDaily[WardCode],"BH")=0,"",SUMIFS(tblDaily[TransfersOut],tblDaily[EntryDate],DATE(2026,5,31),tblDaily[WardCode],"BH")),"")</f>
        <v/>
      </c>
      <c r="H193" s="5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95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100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89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IFERROR(IF(SUMIFS(tblDaily[Admissions],tblDaily[EntryDate],DATE(2026,6,1),tblDaily[WardCode],"BH")=0,"",SUMIFS(tblDaily[Admissions],tblDaily[EntryDate],DATE(2026,6,1),tblDaily[WardCode],"BH")),"")</f>
        <v/>
      </c>
      <c r="C202" s="5" t="str">
        <f>IFERROR(IF(SUMIFS(tblDaily[Discharges],tblDaily[EntryDate],DATE(2026,6,1),tblDaily[WardCode],"BH")=0,"",SUMIFS(tblDaily[Discharges],tblDaily[EntryDate],DATE(2026,6,1),tblDaily[WardCode],"BH")),"")</f>
        <v/>
      </c>
      <c r="D202" s="5" t="str">
        <f>IFERROR(IF(SUMIFS(tblDaily[Deaths],tblDaily[EntryDate],DATE(2026,6,1),tblDaily[WardCode],"BH")=0,"",SUMIFS(tblDaily[Deaths],tblDaily[EntryDate],DATE(2026,6,1),tblDaily[WardCode],"BH")),"")</f>
        <v/>
      </c>
      <c r="E202" s="5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5" t="str">
        <f>IFERROR(IF(SUMIFS(tblDaily[TransfersIn],tblDaily[EntryDate],DATE(2026,6,1),tblDaily[WardCode],"BH")=0,"",SUMIFS(tblDaily[TransfersIn],tblDaily[EntryDate],DATE(2026,6,1),tblDaily[WardCode],"BH")),"")</f>
        <v/>
      </c>
      <c r="G202" s="5" t="str">
        <f>IFERROR(IF(SUMIFS(tblDaily[TransfersOut],tblDaily[EntryDate],DATE(2026,6,1),tblDaily[WardCode],"BH")=0,"",SUMIFS(tblDaily[TransfersOut],tblDaily[EntryDate],DATE(2026,6,1),tblDaily[WardCode],"BH")),"")</f>
        <v/>
      </c>
      <c r="H202" s="5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IFERROR(IF(SUMIFS(tblDaily[Admissions],tblDaily[EntryDate],DATE(2026,6,2),tblDaily[WardCode],"BH")=0,"",SUMIFS(tblDaily[Admissions],tblDaily[EntryDate],DATE(2026,6,2),tblDaily[WardCode],"BH")),"")</f>
        <v/>
      </c>
      <c r="C203" s="5" t="str">
        <f>IFERROR(IF(SUMIFS(tblDaily[Discharges],tblDaily[EntryDate],DATE(2026,6,2),tblDaily[WardCode],"BH")=0,"",SUMIFS(tblDaily[Discharges],tblDaily[EntryDate],DATE(2026,6,2),tblDaily[WardCode],"BH")),"")</f>
        <v/>
      </c>
      <c r="D203" s="5" t="str">
        <f>IFERROR(IF(SUMIFS(tblDaily[Deaths],tblDaily[EntryDate],DATE(2026,6,2),tblDaily[WardCode],"BH")=0,"",SUMIFS(tblDaily[Deaths],tblDaily[EntryDate],DATE(2026,6,2),tblDaily[WardCode],"BH")),"")</f>
        <v/>
      </c>
      <c r="E203" s="5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5" t="str">
        <f>IFERROR(IF(SUMIFS(tblDaily[TransfersIn],tblDaily[EntryDate],DATE(2026,6,2),tblDaily[WardCode],"BH")=0,"",SUMIFS(tblDaily[TransfersIn],tblDaily[EntryDate],DATE(2026,6,2),tblDaily[WardCode],"BH")),"")</f>
        <v/>
      </c>
      <c r="G203" s="5" t="str">
        <f>IFERROR(IF(SUMIFS(tblDaily[TransfersOut],tblDaily[EntryDate],DATE(2026,6,2),tblDaily[WardCode],"BH")=0,"",SUMIFS(tblDaily[TransfersOut],tblDaily[EntryDate],DATE(2026,6,2),tblDaily[WardCode],"BH")),"")</f>
        <v/>
      </c>
      <c r="H203" s="5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IFERROR(IF(SUMIFS(tblDaily[Admissions],tblDaily[EntryDate],DATE(2026,6,3),tblDaily[WardCode],"BH")=0,"",SUMIFS(tblDaily[Admissions],tblDaily[EntryDate],DATE(2026,6,3),tblDaily[WardCode],"BH")),"")</f>
        <v/>
      </c>
      <c r="C204" s="5" t="str">
        <f>IFERROR(IF(SUMIFS(tblDaily[Discharges],tblDaily[EntryDate],DATE(2026,6,3),tblDaily[WardCode],"BH")=0,"",SUMIFS(tblDaily[Discharges],tblDaily[EntryDate],DATE(2026,6,3),tblDaily[WardCode],"BH")),"")</f>
        <v/>
      </c>
      <c r="D204" s="5" t="str">
        <f>IFERROR(IF(SUMIFS(tblDaily[Deaths],tblDaily[EntryDate],DATE(2026,6,3),tblDaily[WardCode],"BH")=0,"",SUMIFS(tblDaily[Deaths],tblDaily[EntryDate],DATE(2026,6,3),tblDaily[WardCode],"BH")),"")</f>
        <v/>
      </c>
      <c r="E204" s="5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5" t="str">
        <f>IFERROR(IF(SUMIFS(tblDaily[TransfersIn],tblDaily[EntryDate],DATE(2026,6,3),tblDaily[WardCode],"BH")=0,"",SUMIFS(tblDaily[TransfersIn],tblDaily[EntryDate],DATE(2026,6,3),tblDaily[WardCode],"BH")),"")</f>
        <v/>
      </c>
      <c r="G204" s="5" t="str">
        <f>IFERROR(IF(SUMIFS(tblDaily[TransfersOut],tblDaily[EntryDate],DATE(2026,6,3),tblDaily[WardCode],"BH")=0,"",SUMIFS(tblDaily[TransfersOut],tblDaily[EntryDate],DATE(2026,6,3),tblDaily[WardCode],"BH")),"")</f>
        <v/>
      </c>
      <c r="H204" s="5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IFERROR(IF(SUMIFS(tblDaily[Admissions],tblDaily[EntryDate],DATE(2026,6,4),tblDaily[WardCode],"BH")=0,"",SUMIFS(tblDaily[Admissions],tblDaily[EntryDate],DATE(2026,6,4),tblDaily[WardCode],"BH")),"")</f>
        <v/>
      </c>
      <c r="C205" s="5" t="str">
        <f>IFERROR(IF(SUMIFS(tblDaily[Discharges],tblDaily[EntryDate],DATE(2026,6,4),tblDaily[WardCode],"BH")=0,"",SUMIFS(tblDaily[Discharges],tblDaily[EntryDate],DATE(2026,6,4),tblDaily[WardCode],"BH")),"")</f>
        <v/>
      </c>
      <c r="D205" s="5" t="str">
        <f>IFERROR(IF(SUMIFS(tblDaily[Deaths],tblDaily[EntryDate],DATE(2026,6,4),tblDaily[WardCode],"BH")=0,"",SUMIFS(tblDaily[Deaths],tblDaily[EntryDate],DATE(2026,6,4),tblDaily[WardCode],"BH")),"")</f>
        <v/>
      </c>
      <c r="E205" s="5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5" t="str">
        <f>IFERROR(IF(SUMIFS(tblDaily[TransfersIn],tblDaily[EntryDate],DATE(2026,6,4),tblDaily[WardCode],"BH")=0,"",SUMIFS(tblDaily[TransfersIn],tblDaily[EntryDate],DATE(2026,6,4),tblDaily[WardCode],"BH")),"")</f>
        <v/>
      </c>
      <c r="G205" s="5" t="str">
        <f>IFERROR(IF(SUMIFS(tblDaily[TransfersOut],tblDaily[EntryDate],DATE(2026,6,4),tblDaily[WardCode],"BH")=0,"",SUMIFS(tblDaily[TransfersOut],tblDaily[EntryDate],DATE(2026,6,4),tblDaily[WardCode],"BH")),"")</f>
        <v/>
      </c>
      <c r="H205" s="5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IFERROR(IF(SUMIFS(tblDaily[Admissions],tblDaily[EntryDate],DATE(2026,6,5),tblDaily[WardCode],"BH")=0,"",SUMIFS(tblDaily[Admissions],tblDaily[EntryDate],DATE(2026,6,5),tblDaily[WardCode],"BH")),"")</f>
        <v/>
      </c>
      <c r="C206" s="5" t="str">
        <f>IFERROR(IF(SUMIFS(tblDaily[Discharges],tblDaily[EntryDate],DATE(2026,6,5),tblDaily[WardCode],"BH")=0,"",SUMIFS(tblDaily[Discharges],tblDaily[EntryDate],DATE(2026,6,5),tblDaily[WardCode],"BH")),"")</f>
        <v/>
      </c>
      <c r="D206" s="5" t="str">
        <f>IFERROR(IF(SUMIFS(tblDaily[Deaths],tblDaily[EntryDate],DATE(2026,6,5),tblDaily[WardCode],"BH")=0,"",SUMIFS(tblDaily[Deaths],tblDaily[EntryDate],DATE(2026,6,5),tblDaily[WardCode],"BH")),"")</f>
        <v/>
      </c>
      <c r="E206" s="5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5" t="str">
        <f>IFERROR(IF(SUMIFS(tblDaily[TransfersIn],tblDaily[EntryDate],DATE(2026,6,5),tblDaily[WardCode],"BH")=0,"",SUMIFS(tblDaily[TransfersIn],tblDaily[EntryDate],DATE(2026,6,5),tblDaily[WardCode],"BH")),"")</f>
        <v/>
      </c>
      <c r="G206" s="5" t="str">
        <f>IFERROR(IF(SUMIFS(tblDaily[TransfersOut],tblDaily[EntryDate],DATE(2026,6,5),tblDaily[WardCode],"BH")=0,"",SUMIFS(tblDaily[TransfersOut],tblDaily[EntryDate],DATE(2026,6,5),tblDaily[WardCode],"BH")),"")</f>
        <v/>
      </c>
      <c r="H206" s="5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IFERROR(IF(SUMIFS(tblDaily[Admissions],tblDaily[EntryDate],DATE(2026,6,6),tblDaily[WardCode],"BH")=0,"",SUMIFS(tblDaily[Admissions],tblDaily[EntryDate],DATE(2026,6,6),tblDaily[WardCode],"BH")),"")</f>
        <v/>
      </c>
      <c r="C207" s="5" t="str">
        <f>IFERROR(IF(SUMIFS(tblDaily[Discharges],tblDaily[EntryDate],DATE(2026,6,6),tblDaily[WardCode],"BH")=0,"",SUMIFS(tblDaily[Discharges],tblDaily[EntryDate],DATE(2026,6,6),tblDaily[WardCode],"BH")),"")</f>
        <v/>
      </c>
      <c r="D207" s="5" t="str">
        <f>IFERROR(IF(SUMIFS(tblDaily[Deaths],tblDaily[EntryDate],DATE(2026,6,6),tblDaily[WardCode],"BH")=0,"",SUMIFS(tblDaily[Deaths],tblDaily[EntryDate],DATE(2026,6,6),tblDaily[WardCode],"BH")),"")</f>
        <v/>
      </c>
      <c r="E207" s="5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5" t="str">
        <f>IFERROR(IF(SUMIFS(tblDaily[TransfersIn],tblDaily[EntryDate],DATE(2026,6,6),tblDaily[WardCode],"BH")=0,"",SUMIFS(tblDaily[TransfersIn],tblDaily[EntryDate],DATE(2026,6,6),tblDaily[WardCode],"BH")),"")</f>
        <v/>
      </c>
      <c r="G207" s="5" t="str">
        <f>IFERROR(IF(SUMIFS(tblDaily[TransfersOut],tblDaily[EntryDate],DATE(2026,6,6),tblDaily[WardCode],"BH")=0,"",SUMIFS(tblDaily[TransfersOut],tblDaily[EntryDate],DATE(2026,6,6),tblDaily[WardCode],"BH")),"")</f>
        <v/>
      </c>
      <c r="H207" s="5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IFERROR(IF(SUMIFS(tblDaily[Admissions],tblDaily[EntryDate],DATE(2026,6,7),tblDaily[WardCode],"BH")=0,"",SUMIFS(tblDaily[Admissions],tblDaily[EntryDate],DATE(2026,6,7),tblDaily[WardCode],"BH")),"")</f>
        <v/>
      </c>
      <c r="C208" s="5" t="str">
        <f>IFERROR(IF(SUMIFS(tblDaily[Discharges],tblDaily[EntryDate],DATE(2026,6,7),tblDaily[WardCode],"BH")=0,"",SUMIFS(tblDaily[Discharges],tblDaily[EntryDate],DATE(2026,6,7),tblDaily[WardCode],"BH")),"")</f>
        <v/>
      </c>
      <c r="D208" s="5" t="str">
        <f>IFERROR(IF(SUMIFS(tblDaily[Deaths],tblDaily[EntryDate],DATE(2026,6,7),tblDaily[WardCode],"BH")=0,"",SUMIFS(tblDaily[Deaths],tblDaily[EntryDate],DATE(2026,6,7),tblDaily[WardCode],"BH")),"")</f>
        <v/>
      </c>
      <c r="E208" s="5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5" t="str">
        <f>IFERROR(IF(SUMIFS(tblDaily[TransfersIn],tblDaily[EntryDate],DATE(2026,6,7),tblDaily[WardCode],"BH")=0,"",SUMIFS(tblDaily[TransfersIn],tblDaily[EntryDate],DATE(2026,6,7),tblDaily[WardCode],"BH")),"")</f>
        <v/>
      </c>
      <c r="G208" s="5" t="str">
        <f>IFERROR(IF(SUMIFS(tblDaily[TransfersOut],tblDaily[EntryDate],DATE(2026,6,7),tblDaily[WardCode],"BH")=0,"",SUMIFS(tblDaily[TransfersOut],tblDaily[EntryDate],DATE(2026,6,7),tblDaily[WardCode],"BH")),"")</f>
        <v/>
      </c>
      <c r="H208" s="5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IFERROR(IF(SUMIFS(tblDaily[Admissions],tblDaily[EntryDate],DATE(2026,6,8),tblDaily[WardCode],"BH")=0,"",SUMIFS(tblDaily[Admissions],tblDaily[EntryDate],DATE(2026,6,8),tblDaily[WardCode],"BH")),"")</f>
        <v/>
      </c>
      <c r="C209" s="5" t="str">
        <f>IFERROR(IF(SUMIFS(tblDaily[Discharges],tblDaily[EntryDate],DATE(2026,6,8),tblDaily[WardCode],"BH")=0,"",SUMIFS(tblDaily[Discharges],tblDaily[EntryDate],DATE(2026,6,8),tblDaily[WardCode],"BH")),"")</f>
        <v/>
      </c>
      <c r="D209" s="5" t="str">
        <f>IFERROR(IF(SUMIFS(tblDaily[Deaths],tblDaily[EntryDate],DATE(2026,6,8),tblDaily[WardCode],"BH")=0,"",SUMIFS(tblDaily[Deaths],tblDaily[EntryDate],DATE(2026,6,8),tblDaily[WardCode],"BH")),"")</f>
        <v/>
      </c>
      <c r="E209" s="5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5" t="str">
        <f>IFERROR(IF(SUMIFS(tblDaily[TransfersIn],tblDaily[EntryDate],DATE(2026,6,8),tblDaily[WardCode],"BH")=0,"",SUMIFS(tblDaily[TransfersIn],tblDaily[EntryDate],DATE(2026,6,8),tblDaily[WardCode],"BH")),"")</f>
        <v/>
      </c>
      <c r="G209" s="5" t="str">
        <f>IFERROR(IF(SUMIFS(tblDaily[TransfersOut],tblDaily[EntryDate],DATE(2026,6,8),tblDaily[WardCode],"BH")=0,"",SUMIFS(tblDaily[TransfersOut],tblDaily[EntryDate],DATE(2026,6,8),tblDaily[WardCode],"BH")),"")</f>
        <v/>
      </c>
      <c r="H209" s="5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IFERROR(IF(SUMIFS(tblDaily[Admissions],tblDaily[EntryDate],DATE(2026,6,9),tblDaily[WardCode],"BH")=0,"",SUMIFS(tblDaily[Admissions],tblDaily[EntryDate],DATE(2026,6,9),tblDaily[WardCode],"BH")),"")</f>
        <v/>
      </c>
      <c r="C210" s="5" t="str">
        <f>IFERROR(IF(SUMIFS(tblDaily[Discharges],tblDaily[EntryDate],DATE(2026,6,9),tblDaily[WardCode],"BH")=0,"",SUMIFS(tblDaily[Discharges],tblDaily[EntryDate],DATE(2026,6,9),tblDaily[WardCode],"BH")),"")</f>
        <v/>
      </c>
      <c r="D210" s="5" t="str">
        <f>IFERROR(IF(SUMIFS(tblDaily[Deaths],tblDaily[EntryDate],DATE(2026,6,9),tblDaily[WardCode],"BH")=0,"",SUMIFS(tblDaily[Deaths],tblDaily[EntryDate],DATE(2026,6,9),tblDaily[WardCode],"BH")),"")</f>
        <v/>
      </c>
      <c r="E210" s="5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5" t="str">
        <f>IFERROR(IF(SUMIFS(tblDaily[TransfersIn],tblDaily[EntryDate],DATE(2026,6,9),tblDaily[WardCode],"BH")=0,"",SUMIFS(tblDaily[TransfersIn],tblDaily[EntryDate],DATE(2026,6,9),tblDaily[WardCode],"BH")),"")</f>
        <v/>
      </c>
      <c r="G210" s="5" t="str">
        <f>IFERROR(IF(SUMIFS(tblDaily[TransfersOut],tblDaily[EntryDate],DATE(2026,6,9),tblDaily[WardCode],"BH")=0,"",SUMIFS(tblDaily[TransfersOut],tblDaily[EntryDate],DATE(2026,6,9),tblDaily[WardCode],"BH")),"")</f>
        <v/>
      </c>
      <c r="H210" s="5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IFERROR(IF(SUMIFS(tblDaily[Admissions],tblDaily[EntryDate],DATE(2026,6,10),tblDaily[WardCode],"BH")=0,"",SUMIFS(tblDaily[Admissions],tblDaily[EntryDate],DATE(2026,6,10),tblDaily[WardCode],"BH")),"")</f>
        <v/>
      </c>
      <c r="C211" s="5" t="str">
        <f>IFERROR(IF(SUMIFS(tblDaily[Discharges],tblDaily[EntryDate],DATE(2026,6,10),tblDaily[WardCode],"BH")=0,"",SUMIFS(tblDaily[Discharges],tblDaily[EntryDate],DATE(2026,6,10),tblDaily[WardCode],"BH")),"")</f>
        <v/>
      </c>
      <c r="D211" s="5" t="str">
        <f>IFERROR(IF(SUMIFS(tblDaily[Deaths],tblDaily[EntryDate],DATE(2026,6,10),tblDaily[WardCode],"BH")=0,"",SUMIFS(tblDaily[Deaths],tblDaily[EntryDate],DATE(2026,6,10),tblDaily[WardCode],"BH")),"")</f>
        <v/>
      </c>
      <c r="E211" s="5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5" t="str">
        <f>IFERROR(IF(SUMIFS(tblDaily[TransfersIn],tblDaily[EntryDate],DATE(2026,6,10),tblDaily[WardCode],"BH")=0,"",SUMIFS(tblDaily[TransfersIn],tblDaily[EntryDate],DATE(2026,6,10),tblDaily[WardCode],"BH")),"")</f>
        <v/>
      </c>
      <c r="G211" s="5" t="str">
        <f>IFERROR(IF(SUMIFS(tblDaily[TransfersOut],tblDaily[EntryDate],DATE(2026,6,10),tblDaily[WardCode],"BH")=0,"",SUMIFS(tblDaily[TransfersOut],tblDaily[EntryDate],DATE(2026,6,10),tblDaily[WardCode],"BH")),"")</f>
        <v/>
      </c>
      <c r="H211" s="5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IFERROR(IF(SUMIFS(tblDaily[Admissions],tblDaily[EntryDate],DATE(2026,6,11),tblDaily[WardCode],"BH")=0,"",SUMIFS(tblDaily[Admissions],tblDaily[EntryDate],DATE(2026,6,11),tblDaily[WardCode],"BH")),"")</f>
        <v/>
      </c>
      <c r="C212" s="5" t="str">
        <f>IFERROR(IF(SUMIFS(tblDaily[Discharges],tblDaily[EntryDate],DATE(2026,6,11),tblDaily[WardCode],"BH")=0,"",SUMIFS(tblDaily[Discharges],tblDaily[EntryDate],DATE(2026,6,11),tblDaily[WardCode],"BH")),"")</f>
        <v/>
      </c>
      <c r="D212" s="5" t="str">
        <f>IFERROR(IF(SUMIFS(tblDaily[Deaths],tblDaily[EntryDate],DATE(2026,6,11),tblDaily[WardCode],"BH")=0,"",SUMIFS(tblDaily[Deaths],tblDaily[EntryDate],DATE(2026,6,11),tblDaily[WardCode],"BH")),"")</f>
        <v/>
      </c>
      <c r="E212" s="5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5" t="str">
        <f>IFERROR(IF(SUMIFS(tblDaily[TransfersIn],tblDaily[EntryDate],DATE(2026,6,11),tblDaily[WardCode],"BH")=0,"",SUMIFS(tblDaily[TransfersIn],tblDaily[EntryDate],DATE(2026,6,11),tblDaily[WardCode],"BH")),"")</f>
        <v/>
      </c>
      <c r="G212" s="5" t="str">
        <f>IFERROR(IF(SUMIFS(tblDaily[TransfersOut],tblDaily[EntryDate],DATE(2026,6,11),tblDaily[WardCode],"BH")=0,"",SUMIFS(tblDaily[TransfersOut],tblDaily[EntryDate],DATE(2026,6,11),tblDaily[WardCode],"BH")),"")</f>
        <v/>
      </c>
      <c r="H212" s="5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IFERROR(IF(SUMIFS(tblDaily[Admissions],tblDaily[EntryDate],DATE(2026,6,12),tblDaily[WardCode],"BH")=0,"",SUMIFS(tblDaily[Admissions],tblDaily[EntryDate],DATE(2026,6,12),tblDaily[WardCode],"BH")),"")</f>
        <v/>
      </c>
      <c r="C213" s="5" t="str">
        <f>IFERROR(IF(SUMIFS(tblDaily[Discharges],tblDaily[EntryDate],DATE(2026,6,12),tblDaily[WardCode],"BH")=0,"",SUMIFS(tblDaily[Discharges],tblDaily[EntryDate],DATE(2026,6,12),tblDaily[WardCode],"BH")),"")</f>
        <v/>
      </c>
      <c r="D213" s="5" t="str">
        <f>IFERROR(IF(SUMIFS(tblDaily[Deaths],tblDaily[EntryDate],DATE(2026,6,12),tblDaily[WardCode],"BH")=0,"",SUMIFS(tblDaily[Deaths],tblDaily[EntryDate],DATE(2026,6,12),tblDaily[WardCode],"BH")),"")</f>
        <v/>
      </c>
      <c r="E213" s="5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5" t="str">
        <f>IFERROR(IF(SUMIFS(tblDaily[TransfersIn],tblDaily[EntryDate],DATE(2026,6,12),tblDaily[WardCode],"BH")=0,"",SUMIFS(tblDaily[TransfersIn],tblDaily[EntryDate],DATE(2026,6,12),tblDaily[WardCode],"BH")),"")</f>
        <v/>
      </c>
      <c r="G213" s="5" t="str">
        <f>IFERROR(IF(SUMIFS(tblDaily[TransfersOut],tblDaily[EntryDate],DATE(2026,6,12),tblDaily[WardCode],"BH")=0,"",SUMIFS(tblDaily[TransfersOut],tblDaily[EntryDate],DATE(2026,6,12),tblDaily[WardCode],"BH")),"")</f>
        <v/>
      </c>
      <c r="H213" s="5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IFERROR(IF(SUMIFS(tblDaily[Admissions],tblDaily[EntryDate],DATE(2026,6,13),tblDaily[WardCode],"BH")=0,"",SUMIFS(tblDaily[Admissions],tblDaily[EntryDate],DATE(2026,6,13),tblDaily[WardCode],"BH")),"")</f>
        <v/>
      </c>
      <c r="C214" s="5" t="str">
        <f>IFERROR(IF(SUMIFS(tblDaily[Discharges],tblDaily[EntryDate],DATE(2026,6,13),tblDaily[WardCode],"BH")=0,"",SUMIFS(tblDaily[Discharges],tblDaily[EntryDate],DATE(2026,6,13),tblDaily[WardCode],"BH")),"")</f>
        <v/>
      </c>
      <c r="D214" s="5" t="str">
        <f>IFERROR(IF(SUMIFS(tblDaily[Deaths],tblDaily[EntryDate],DATE(2026,6,13),tblDaily[WardCode],"BH")=0,"",SUMIFS(tblDaily[Deaths],tblDaily[EntryDate],DATE(2026,6,13),tblDaily[WardCode],"BH")),"")</f>
        <v/>
      </c>
      <c r="E214" s="5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5" t="str">
        <f>IFERROR(IF(SUMIFS(tblDaily[TransfersIn],tblDaily[EntryDate],DATE(2026,6,13),tblDaily[WardCode],"BH")=0,"",SUMIFS(tblDaily[TransfersIn],tblDaily[EntryDate],DATE(2026,6,13),tblDaily[WardCode],"BH")),"")</f>
        <v/>
      </c>
      <c r="G214" s="5" t="str">
        <f>IFERROR(IF(SUMIFS(tblDaily[TransfersOut],tblDaily[EntryDate],DATE(2026,6,13),tblDaily[WardCode],"BH")=0,"",SUMIFS(tblDaily[TransfersOut],tblDaily[EntryDate],DATE(2026,6,13),tblDaily[WardCode],"BH")),"")</f>
        <v/>
      </c>
      <c r="H214" s="5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IFERROR(IF(SUMIFS(tblDaily[Admissions],tblDaily[EntryDate],DATE(2026,6,14),tblDaily[WardCode],"BH")=0,"",SUMIFS(tblDaily[Admissions],tblDaily[EntryDate],DATE(2026,6,14),tblDaily[WardCode],"BH")),"")</f>
        <v/>
      </c>
      <c r="C215" s="5" t="str">
        <f>IFERROR(IF(SUMIFS(tblDaily[Discharges],tblDaily[EntryDate],DATE(2026,6,14),tblDaily[WardCode],"BH")=0,"",SUMIFS(tblDaily[Discharges],tblDaily[EntryDate],DATE(2026,6,14),tblDaily[WardCode],"BH")),"")</f>
        <v/>
      </c>
      <c r="D215" s="5" t="str">
        <f>IFERROR(IF(SUMIFS(tblDaily[Deaths],tblDaily[EntryDate],DATE(2026,6,14),tblDaily[WardCode],"BH")=0,"",SUMIFS(tblDaily[Deaths],tblDaily[EntryDate],DATE(2026,6,14),tblDaily[WardCode],"BH")),"")</f>
        <v/>
      </c>
      <c r="E215" s="5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5" t="str">
        <f>IFERROR(IF(SUMIFS(tblDaily[TransfersIn],tblDaily[EntryDate],DATE(2026,6,14),tblDaily[WardCode],"BH")=0,"",SUMIFS(tblDaily[TransfersIn],tblDaily[EntryDate],DATE(2026,6,14),tblDaily[WardCode],"BH")),"")</f>
        <v/>
      </c>
      <c r="G215" s="5" t="str">
        <f>IFERROR(IF(SUMIFS(tblDaily[TransfersOut],tblDaily[EntryDate],DATE(2026,6,14),tblDaily[WardCode],"BH")=0,"",SUMIFS(tblDaily[TransfersOut],tblDaily[EntryDate],DATE(2026,6,14),tblDaily[WardCode],"BH")),"")</f>
        <v/>
      </c>
      <c r="H215" s="5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IFERROR(IF(SUMIFS(tblDaily[Admissions],tblDaily[EntryDate],DATE(2026,6,15),tblDaily[WardCode],"BH")=0,"",SUMIFS(tblDaily[Admissions],tblDaily[EntryDate],DATE(2026,6,15),tblDaily[WardCode],"BH")),"")</f>
        <v/>
      </c>
      <c r="C216" s="5" t="str">
        <f>IFERROR(IF(SUMIFS(tblDaily[Discharges],tblDaily[EntryDate],DATE(2026,6,15),tblDaily[WardCode],"BH")=0,"",SUMIFS(tblDaily[Discharges],tblDaily[EntryDate],DATE(2026,6,15),tblDaily[WardCode],"BH")),"")</f>
        <v/>
      </c>
      <c r="D216" s="5" t="str">
        <f>IFERROR(IF(SUMIFS(tblDaily[Deaths],tblDaily[EntryDate],DATE(2026,6,15),tblDaily[WardCode],"BH")=0,"",SUMIFS(tblDaily[Deaths],tblDaily[EntryDate],DATE(2026,6,15),tblDaily[WardCode],"BH")),"")</f>
        <v/>
      </c>
      <c r="E216" s="5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5" t="str">
        <f>IFERROR(IF(SUMIFS(tblDaily[TransfersIn],tblDaily[EntryDate],DATE(2026,6,15),tblDaily[WardCode],"BH")=0,"",SUMIFS(tblDaily[TransfersIn],tblDaily[EntryDate],DATE(2026,6,15),tblDaily[WardCode],"BH")),"")</f>
        <v/>
      </c>
      <c r="G216" s="5" t="str">
        <f>IFERROR(IF(SUMIFS(tblDaily[TransfersOut],tblDaily[EntryDate],DATE(2026,6,15),tblDaily[WardCode],"BH")=0,"",SUMIFS(tblDaily[TransfersOut],tblDaily[EntryDate],DATE(2026,6,15),tblDaily[WardCode],"BH")),"")</f>
        <v/>
      </c>
      <c r="H216" s="5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IFERROR(IF(SUMIFS(tblDaily[Admissions],tblDaily[EntryDate],DATE(2026,6,16),tblDaily[WardCode],"BH")=0,"",SUMIFS(tblDaily[Admissions],tblDaily[EntryDate],DATE(2026,6,16),tblDaily[WardCode],"BH")),"")</f>
        <v/>
      </c>
      <c r="C217" s="5" t="str">
        <f>IFERROR(IF(SUMIFS(tblDaily[Discharges],tblDaily[EntryDate],DATE(2026,6,16),tblDaily[WardCode],"BH")=0,"",SUMIFS(tblDaily[Discharges],tblDaily[EntryDate],DATE(2026,6,16),tblDaily[WardCode],"BH")),"")</f>
        <v/>
      </c>
      <c r="D217" s="5" t="str">
        <f>IFERROR(IF(SUMIFS(tblDaily[Deaths],tblDaily[EntryDate],DATE(2026,6,16),tblDaily[WardCode],"BH")=0,"",SUMIFS(tblDaily[Deaths],tblDaily[EntryDate],DATE(2026,6,16),tblDaily[WardCode],"BH")),"")</f>
        <v/>
      </c>
      <c r="E217" s="5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5" t="str">
        <f>IFERROR(IF(SUMIFS(tblDaily[TransfersIn],tblDaily[EntryDate],DATE(2026,6,16),tblDaily[WardCode],"BH")=0,"",SUMIFS(tblDaily[TransfersIn],tblDaily[EntryDate],DATE(2026,6,16),tblDaily[WardCode],"BH")),"")</f>
        <v/>
      </c>
      <c r="G217" s="5" t="str">
        <f>IFERROR(IF(SUMIFS(tblDaily[TransfersOut],tblDaily[EntryDate],DATE(2026,6,16),tblDaily[WardCode],"BH")=0,"",SUMIFS(tblDaily[TransfersOut],tblDaily[EntryDate],DATE(2026,6,16),tblDaily[WardCode],"BH")),"")</f>
        <v/>
      </c>
      <c r="H217" s="5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IFERROR(IF(SUMIFS(tblDaily[Admissions],tblDaily[EntryDate],DATE(2026,6,17),tblDaily[WardCode],"BH")=0,"",SUMIFS(tblDaily[Admissions],tblDaily[EntryDate],DATE(2026,6,17),tblDaily[WardCode],"BH")),"")</f>
        <v/>
      </c>
      <c r="C218" s="5" t="str">
        <f>IFERROR(IF(SUMIFS(tblDaily[Discharges],tblDaily[EntryDate],DATE(2026,6,17),tblDaily[WardCode],"BH")=0,"",SUMIFS(tblDaily[Discharges],tblDaily[EntryDate],DATE(2026,6,17),tblDaily[WardCode],"BH")),"")</f>
        <v/>
      </c>
      <c r="D218" s="5" t="str">
        <f>IFERROR(IF(SUMIFS(tblDaily[Deaths],tblDaily[EntryDate],DATE(2026,6,17),tblDaily[WardCode],"BH")=0,"",SUMIFS(tblDaily[Deaths],tblDaily[EntryDate],DATE(2026,6,17),tblDaily[WardCode],"BH")),"")</f>
        <v/>
      </c>
      <c r="E218" s="5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5" t="str">
        <f>IFERROR(IF(SUMIFS(tblDaily[TransfersIn],tblDaily[EntryDate],DATE(2026,6,17),tblDaily[WardCode],"BH")=0,"",SUMIFS(tblDaily[TransfersIn],tblDaily[EntryDate],DATE(2026,6,17),tblDaily[WardCode],"BH")),"")</f>
        <v/>
      </c>
      <c r="G218" s="5" t="str">
        <f>IFERROR(IF(SUMIFS(tblDaily[TransfersOut],tblDaily[EntryDate],DATE(2026,6,17),tblDaily[WardCode],"BH")=0,"",SUMIFS(tblDaily[TransfersOut],tblDaily[EntryDate],DATE(2026,6,17),tblDaily[WardCode],"BH")),"")</f>
        <v/>
      </c>
      <c r="H218" s="5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IFERROR(IF(SUMIFS(tblDaily[Admissions],tblDaily[EntryDate],DATE(2026,6,18),tblDaily[WardCode],"BH")=0,"",SUMIFS(tblDaily[Admissions],tblDaily[EntryDate],DATE(2026,6,18),tblDaily[WardCode],"BH")),"")</f>
        <v/>
      </c>
      <c r="C219" s="5" t="str">
        <f>IFERROR(IF(SUMIFS(tblDaily[Discharges],tblDaily[EntryDate],DATE(2026,6,18),tblDaily[WardCode],"BH")=0,"",SUMIFS(tblDaily[Discharges],tblDaily[EntryDate],DATE(2026,6,18),tblDaily[WardCode],"BH")),"")</f>
        <v/>
      </c>
      <c r="D219" s="5" t="str">
        <f>IFERROR(IF(SUMIFS(tblDaily[Deaths],tblDaily[EntryDate],DATE(2026,6,18),tblDaily[WardCode],"BH")=0,"",SUMIFS(tblDaily[Deaths],tblDaily[EntryDate],DATE(2026,6,18),tblDaily[WardCode],"BH")),"")</f>
        <v/>
      </c>
      <c r="E219" s="5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5" t="str">
        <f>IFERROR(IF(SUMIFS(tblDaily[TransfersIn],tblDaily[EntryDate],DATE(2026,6,18),tblDaily[WardCode],"BH")=0,"",SUMIFS(tblDaily[TransfersIn],tblDaily[EntryDate],DATE(2026,6,18),tblDaily[WardCode],"BH")),"")</f>
        <v/>
      </c>
      <c r="G219" s="5" t="str">
        <f>IFERROR(IF(SUMIFS(tblDaily[TransfersOut],tblDaily[EntryDate],DATE(2026,6,18),tblDaily[WardCode],"BH")=0,"",SUMIFS(tblDaily[TransfersOut],tblDaily[EntryDate],DATE(2026,6,18),tblDaily[WardCode],"BH")),"")</f>
        <v/>
      </c>
      <c r="H219" s="5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IFERROR(IF(SUMIFS(tblDaily[Admissions],tblDaily[EntryDate],DATE(2026,6,19),tblDaily[WardCode],"BH")=0,"",SUMIFS(tblDaily[Admissions],tblDaily[EntryDate],DATE(2026,6,19),tblDaily[WardCode],"BH")),"")</f>
        <v/>
      </c>
      <c r="C220" s="5" t="str">
        <f>IFERROR(IF(SUMIFS(tblDaily[Discharges],tblDaily[EntryDate],DATE(2026,6,19),tblDaily[WardCode],"BH")=0,"",SUMIFS(tblDaily[Discharges],tblDaily[EntryDate],DATE(2026,6,19),tblDaily[WardCode],"BH")),"")</f>
        <v/>
      </c>
      <c r="D220" s="5" t="str">
        <f>IFERROR(IF(SUMIFS(tblDaily[Deaths],tblDaily[EntryDate],DATE(2026,6,19),tblDaily[WardCode],"BH")=0,"",SUMIFS(tblDaily[Deaths],tblDaily[EntryDate],DATE(2026,6,19),tblDaily[WardCode],"BH")),"")</f>
        <v/>
      </c>
      <c r="E220" s="5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5" t="str">
        <f>IFERROR(IF(SUMIFS(tblDaily[TransfersIn],tblDaily[EntryDate],DATE(2026,6,19),tblDaily[WardCode],"BH")=0,"",SUMIFS(tblDaily[TransfersIn],tblDaily[EntryDate],DATE(2026,6,19),tblDaily[WardCode],"BH")),"")</f>
        <v/>
      </c>
      <c r="G220" s="5" t="str">
        <f>IFERROR(IF(SUMIFS(tblDaily[TransfersOut],tblDaily[EntryDate],DATE(2026,6,19),tblDaily[WardCode],"BH")=0,"",SUMIFS(tblDaily[TransfersOut],tblDaily[EntryDate],DATE(2026,6,19),tblDaily[WardCode],"BH")),"")</f>
        <v/>
      </c>
      <c r="H220" s="5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IFERROR(IF(SUMIFS(tblDaily[Admissions],tblDaily[EntryDate],DATE(2026,6,20),tblDaily[WardCode],"BH")=0,"",SUMIFS(tblDaily[Admissions],tblDaily[EntryDate],DATE(2026,6,20),tblDaily[WardCode],"BH")),"")</f>
        <v/>
      </c>
      <c r="C221" s="5" t="str">
        <f>IFERROR(IF(SUMIFS(tblDaily[Discharges],tblDaily[EntryDate],DATE(2026,6,20),tblDaily[WardCode],"BH")=0,"",SUMIFS(tblDaily[Discharges],tblDaily[EntryDate],DATE(2026,6,20),tblDaily[WardCode],"BH")),"")</f>
        <v/>
      </c>
      <c r="D221" s="5" t="str">
        <f>IFERROR(IF(SUMIFS(tblDaily[Deaths],tblDaily[EntryDate],DATE(2026,6,20),tblDaily[WardCode],"BH")=0,"",SUMIFS(tblDaily[Deaths],tblDaily[EntryDate],DATE(2026,6,20),tblDaily[WardCode],"BH")),"")</f>
        <v/>
      </c>
      <c r="E221" s="5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5" t="str">
        <f>IFERROR(IF(SUMIFS(tblDaily[TransfersIn],tblDaily[EntryDate],DATE(2026,6,20),tblDaily[WardCode],"BH")=0,"",SUMIFS(tblDaily[TransfersIn],tblDaily[EntryDate],DATE(2026,6,20),tblDaily[WardCode],"BH")),"")</f>
        <v/>
      </c>
      <c r="G221" s="5" t="str">
        <f>IFERROR(IF(SUMIFS(tblDaily[TransfersOut],tblDaily[EntryDate],DATE(2026,6,20),tblDaily[WardCode],"BH")=0,"",SUMIFS(tblDaily[TransfersOut],tblDaily[EntryDate],DATE(2026,6,20),tblDaily[WardCode],"BH")),"")</f>
        <v/>
      </c>
      <c r="H221" s="5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IFERROR(IF(SUMIFS(tblDaily[Admissions],tblDaily[EntryDate],DATE(2026,6,21),tblDaily[WardCode],"BH")=0,"",SUMIFS(tblDaily[Admissions],tblDaily[EntryDate],DATE(2026,6,21),tblDaily[WardCode],"BH")),"")</f>
        <v/>
      </c>
      <c r="C222" s="5" t="str">
        <f>IFERROR(IF(SUMIFS(tblDaily[Discharges],tblDaily[EntryDate],DATE(2026,6,21),tblDaily[WardCode],"BH")=0,"",SUMIFS(tblDaily[Discharges],tblDaily[EntryDate],DATE(2026,6,21),tblDaily[WardCode],"BH")),"")</f>
        <v/>
      </c>
      <c r="D222" s="5" t="str">
        <f>IFERROR(IF(SUMIFS(tblDaily[Deaths],tblDaily[EntryDate],DATE(2026,6,21),tblDaily[WardCode],"BH")=0,"",SUMIFS(tblDaily[Deaths],tblDaily[EntryDate],DATE(2026,6,21),tblDaily[WardCode],"BH")),"")</f>
        <v/>
      </c>
      <c r="E222" s="5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5" t="str">
        <f>IFERROR(IF(SUMIFS(tblDaily[TransfersIn],tblDaily[EntryDate],DATE(2026,6,21),tblDaily[WardCode],"BH")=0,"",SUMIFS(tblDaily[TransfersIn],tblDaily[EntryDate],DATE(2026,6,21),tblDaily[WardCode],"BH")),"")</f>
        <v/>
      </c>
      <c r="G222" s="5" t="str">
        <f>IFERROR(IF(SUMIFS(tblDaily[TransfersOut],tblDaily[EntryDate],DATE(2026,6,21),tblDaily[WardCode],"BH")=0,"",SUMIFS(tblDaily[TransfersOut],tblDaily[EntryDate],DATE(2026,6,21),tblDaily[WardCode],"BH")),"")</f>
        <v/>
      </c>
      <c r="H222" s="5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IFERROR(IF(SUMIFS(tblDaily[Admissions],tblDaily[EntryDate],DATE(2026,6,22),tblDaily[WardCode],"BH")=0,"",SUMIFS(tblDaily[Admissions],tblDaily[EntryDate],DATE(2026,6,22),tblDaily[WardCode],"BH")),"")</f>
        <v/>
      </c>
      <c r="C223" s="5" t="str">
        <f>IFERROR(IF(SUMIFS(tblDaily[Discharges],tblDaily[EntryDate],DATE(2026,6,22),tblDaily[WardCode],"BH")=0,"",SUMIFS(tblDaily[Discharges],tblDaily[EntryDate],DATE(2026,6,22),tblDaily[WardCode],"BH")),"")</f>
        <v/>
      </c>
      <c r="D223" s="5" t="str">
        <f>IFERROR(IF(SUMIFS(tblDaily[Deaths],tblDaily[EntryDate],DATE(2026,6,22),tblDaily[WardCode],"BH")=0,"",SUMIFS(tblDaily[Deaths],tblDaily[EntryDate],DATE(2026,6,22),tblDaily[WardCode],"BH")),"")</f>
        <v/>
      </c>
      <c r="E223" s="5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5" t="str">
        <f>IFERROR(IF(SUMIFS(tblDaily[TransfersIn],tblDaily[EntryDate],DATE(2026,6,22),tblDaily[WardCode],"BH")=0,"",SUMIFS(tblDaily[TransfersIn],tblDaily[EntryDate],DATE(2026,6,22),tblDaily[WardCode],"BH")),"")</f>
        <v/>
      </c>
      <c r="G223" s="5" t="str">
        <f>IFERROR(IF(SUMIFS(tblDaily[TransfersOut],tblDaily[EntryDate],DATE(2026,6,22),tblDaily[WardCode],"BH")=0,"",SUMIFS(tblDaily[TransfersOut],tblDaily[EntryDate],DATE(2026,6,22),tblDaily[WardCode],"BH")),"")</f>
        <v/>
      </c>
      <c r="H223" s="5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IFERROR(IF(SUMIFS(tblDaily[Admissions],tblDaily[EntryDate],DATE(2026,6,23),tblDaily[WardCode],"BH")=0,"",SUMIFS(tblDaily[Admissions],tblDaily[EntryDate],DATE(2026,6,23),tblDaily[WardCode],"BH")),"")</f>
        <v/>
      </c>
      <c r="C224" s="5" t="str">
        <f>IFERROR(IF(SUMIFS(tblDaily[Discharges],tblDaily[EntryDate],DATE(2026,6,23),tblDaily[WardCode],"BH")=0,"",SUMIFS(tblDaily[Discharges],tblDaily[EntryDate],DATE(2026,6,23),tblDaily[WardCode],"BH")),"")</f>
        <v/>
      </c>
      <c r="D224" s="5" t="str">
        <f>IFERROR(IF(SUMIFS(tblDaily[Deaths],tblDaily[EntryDate],DATE(2026,6,23),tblDaily[WardCode],"BH")=0,"",SUMIFS(tblDaily[Deaths],tblDaily[EntryDate],DATE(2026,6,23),tblDaily[WardCode],"BH")),"")</f>
        <v/>
      </c>
      <c r="E224" s="5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5" t="str">
        <f>IFERROR(IF(SUMIFS(tblDaily[TransfersIn],tblDaily[EntryDate],DATE(2026,6,23),tblDaily[WardCode],"BH")=0,"",SUMIFS(tblDaily[TransfersIn],tblDaily[EntryDate],DATE(2026,6,23),tblDaily[WardCode],"BH")),"")</f>
        <v/>
      </c>
      <c r="G224" s="5" t="str">
        <f>IFERROR(IF(SUMIFS(tblDaily[TransfersOut],tblDaily[EntryDate],DATE(2026,6,23),tblDaily[WardCode],"BH")=0,"",SUMIFS(tblDaily[TransfersOut],tblDaily[EntryDate],DATE(2026,6,23),tblDaily[WardCode],"BH")),"")</f>
        <v/>
      </c>
      <c r="H224" s="5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IFERROR(IF(SUMIFS(tblDaily[Admissions],tblDaily[EntryDate],DATE(2026,6,24),tblDaily[WardCode],"BH")=0,"",SUMIFS(tblDaily[Admissions],tblDaily[EntryDate],DATE(2026,6,24),tblDaily[WardCode],"BH")),"")</f>
        <v/>
      </c>
      <c r="C225" s="5" t="str">
        <f>IFERROR(IF(SUMIFS(tblDaily[Discharges],tblDaily[EntryDate],DATE(2026,6,24),tblDaily[WardCode],"BH")=0,"",SUMIFS(tblDaily[Discharges],tblDaily[EntryDate],DATE(2026,6,24),tblDaily[WardCode],"BH")),"")</f>
        <v/>
      </c>
      <c r="D225" s="5" t="str">
        <f>IFERROR(IF(SUMIFS(tblDaily[Deaths],tblDaily[EntryDate],DATE(2026,6,24),tblDaily[WardCode],"BH")=0,"",SUMIFS(tblDaily[Deaths],tblDaily[EntryDate],DATE(2026,6,24),tblDaily[WardCode],"BH")),"")</f>
        <v/>
      </c>
      <c r="E225" s="5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5" t="str">
        <f>IFERROR(IF(SUMIFS(tblDaily[TransfersIn],tblDaily[EntryDate],DATE(2026,6,24),tblDaily[WardCode],"BH")=0,"",SUMIFS(tblDaily[TransfersIn],tblDaily[EntryDate],DATE(2026,6,24),tblDaily[WardCode],"BH")),"")</f>
        <v/>
      </c>
      <c r="G225" s="5" t="str">
        <f>IFERROR(IF(SUMIFS(tblDaily[TransfersOut],tblDaily[EntryDate],DATE(2026,6,24),tblDaily[WardCode],"BH")=0,"",SUMIFS(tblDaily[TransfersOut],tblDaily[EntryDate],DATE(2026,6,24),tblDaily[WardCode],"BH")),"")</f>
        <v/>
      </c>
      <c r="H225" s="5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IFERROR(IF(SUMIFS(tblDaily[Admissions],tblDaily[EntryDate],DATE(2026,6,25),tblDaily[WardCode],"BH")=0,"",SUMIFS(tblDaily[Admissions],tblDaily[EntryDate],DATE(2026,6,25),tblDaily[WardCode],"BH")),"")</f>
        <v/>
      </c>
      <c r="C226" s="5" t="str">
        <f>IFERROR(IF(SUMIFS(tblDaily[Discharges],tblDaily[EntryDate],DATE(2026,6,25),tblDaily[WardCode],"BH")=0,"",SUMIFS(tblDaily[Discharges],tblDaily[EntryDate],DATE(2026,6,25),tblDaily[WardCode],"BH")),"")</f>
        <v/>
      </c>
      <c r="D226" s="5" t="str">
        <f>IFERROR(IF(SUMIFS(tblDaily[Deaths],tblDaily[EntryDate],DATE(2026,6,25),tblDaily[WardCode],"BH")=0,"",SUMIFS(tblDaily[Deaths],tblDaily[EntryDate],DATE(2026,6,25),tblDaily[WardCode],"BH")),"")</f>
        <v/>
      </c>
      <c r="E226" s="5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5" t="str">
        <f>IFERROR(IF(SUMIFS(tblDaily[TransfersIn],tblDaily[EntryDate],DATE(2026,6,25),tblDaily[WardCode],"BH")=0,"",SUMIFS(tblDaily[TransfersIn],tblDaily[EntryDate],DATE(2026,6,25),tblDaily[WardCode],"BH")),"")</f>
        <v/>
      </c>
      <c r="G226" s="5" t="str">
        <f>IFERROR(IF(SUMIFS(tblDaily[TransfersOut],tblDaily[EntryDate],DATE(2026,6,25),tblDaily[WardCode],"BH")=0,"",SUMIFS(tblDaily[TransfersOut],tblDaily[EntryDate],DATE(2026,6,25),tblDaily[WardCode],"BH")),"")</f>
        <v/>
      </c>
      <c r="H226" s="5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IFERROR(IF(SUMIFS(tblDaily[Admissions],tblDaily[EntryDate],DATE(2026,6,26),tblDaily[WardCode],"BH")=0,"",SUMIFS(tblDaily[Admissions],tblDaily[EntryDate],DATE(2026,6,26),tblDaily[WardCode],"BH")),"")</f>
        <v/>
      </c>
      <c r="C227" s="5" t="str">
        <f>IFERROR(IF(SUMIFS(tblDaily[Discharges],tblDaily[EntryDate],DATE(2026,6,26),tblDaily[WardCode],"BH")=0,"",SUMIFS(tblDaily[Discharges],tblDaily[EntryDate],DATE(2026,6,26),tblDaily[WardCode],"BH")),"")</f>
        <v/>
      </c>
      <c r="D227" s="5" t="str">
        <f>IFERROR(IF(SUMIFS(tblDaily[Deaths],tblDaily[EntryDate],DATE(2026,6,26),tblDaily[WardCode],"BH")=0,"",SUMIFS(tblDaily[Deaths],tblDaily[EntryDate],DATE(2026,6,26),tblDaily[WardCode],"BH")),"")</f>
        <v/>
      </c>
      <c r="E227" s="5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5" t="str">
        <f>IFERROR(IF(SUMIFS(tblDaily[TransfersIn],tblDaily[EntryDate],DATE(2026,6,26),tblDaily[WardCode],"BH")=0,"",SUMIFS(tblDaily[TransfersIn],tblDaily[EntryDate],DATE(2026,6,26),tblDaily[WardCode],"BH")),"")</f>
        <v/>
      </c>
      <c r="G227" s="5" t="str">
        <f>IFERROR(IF(SUMIFS(tblDaily[TransfersOut],tblDaily[EntryDate],DATE(2026,6,26),tblDaily[WardCode],"BH")=0,"",SUMIFS(tblDaily[TransfersOut],tblDaily[EntryDate],DATE(2026,6,26),tblDaily[WardCode],"BH")),"")</f>
        <v/>
      </c>
      <c r="H227" s="5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IFERROR(IF(SUMIFS(tblDaily[Admissions],tblDaily[EntryDate],DATE(2026,6,27),tblDaily[WardCode],"BH")=0,"",SUMIFS(tblDaily[Admissions],tblDaily[EntryDate],DATE(2026,6,27),tblDaily[WardCode],"BH")),"")</f>
        <v/>
      </c>
      <c r="C228" s="5" t="str">
        <f>IFERROR(IF(SUMIFS(tblDaily[Discharges],tblDaily[EntryDate],DATE(2026,6,27),tblDaily[WardCode],"BH")=0,"",SUMIFS(tblDaily[Discharges],tblDaily[EntryDate],DATE(2026,6,27),tblDaily[WardCode],"BH")),"")</f>
        <v/>
      </c>
      <c r="D228" s="5" t="str">
        <f>IFERROR(IF(SUMIFS(tblDaily[Deaths],tblDaily[EntryDate],DATE(2026,6,27),tblDaily[WardCode],"BH")=0,"",SUMIFS(tblDaily[Deaths],tblDaily[EntryDate],DATE(2026,6,27),tblDaily[WardCode],"BH")),"")</f>
        <v/>
      </c>
      <c r="E228" s="5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5" t="str">
        <f>IFERROR(IF(SUMIFS(tblDaily[TransfersIn],tblDaily[EntryDate],DATE(2026,6,27),tblDaily[WardCode],"BH")=0,"",SUMIFS(tblDaily[TransfersIn],tblDaily[EntryDate],DATE(2026,6,27),tblDaily[WardCode],"BH")),"")</f>
        <v/>
      </c>
      <c r="G228" s="5" t="str">
        <f>IFERROR(IF(SUMIFS(tblDaily[TransfersOut],tblDaily[EntryDate],DATE(2026,6,27),tblDaily[WardCode],"BH")=0,"",SUMIFS(tblDaily[TransfersOut],tblDaily[EntryDate],DATE(2026,6,27),tblDaily[WardCode],"BH")),"")</f>
        <v/>
      </c>
      <c r="H228" s="5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IFERROR(IF(SUMIFS(tblDaily[Admissions],tblDaily[EntryDate],DATE(2026,6,28),tblDaily[WardCode],"BH")=0,"",SUMIFS(tblDaily[Admissions],tblDaily[EntryDate],DATE(2026,6,28),tblDaily[WardCode],"BH")),"")</f>
        <v/>
      </c>
      <c r="C229" s="5" t="str">
        <f>IFERROR(IF(SUMIFS(tblDaily[Discharges],tblDaily[EntryDate],DATE(2026,6,28),tblDaily[WardCode],"BH")=0,"",SUMIFS(tblDaily[Discharges],tblDaily[EntryDate],DATE(2026,6,28),tblDaily[WardCode],"BH")),"")</f>
        <v/>
      </c>
      <c r="D229" s="5" t="str">
        <f>IFERROR(IF(SUMIFS(tblDaily[Deaths],tblDaily[EntryDate],DATE(2026,6,28),tblDaily[WardCode],"BH")=0,"",SUMIFS(tblDaily[Deaths],tblDaily[EntryDate],DATE(2026,6,28),tblDaily[WardCode],"BH")),"")</f>
        <v/>
      </c>
      <c r="E229" s="5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5" t="str">
        <f>IFERROR(IF(SUMIFS(tblDaily[TransfersIn],tblDaily[EntryDate],DATE(2026,6,28),tblDaily[WardCode],"BH")=0,"",SUMIFS(tblDaily[TransfersIn],tblDaily[EntryDate],DATE(2026,6,28),tblDaily[WardCode],"BH")),"")</f>
        <v/>
      </c>
      <c r="G229" s="5" t="str">
        <f>IFERROR(IF(SUMIFS(tblDaily[TransfersOut],tblDaily[EntryDate],DATE(2026,6,28),tblDaily[WardCode],"BH")=0,"",SUMIFS(tblDaily[TransfersOut],tblDaily[EntryDate],DATE(2026,6,28),tblDaily[WardCode],"BH")),"")</f>
        <v/>
      </c>
      <c r="H229" s="5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IFERROR(IF(SUMIFS(tblDaily[Admissions],tblDaily[EntryDate],DATE(2026,6,29),tblDaily[WardCode],"BH")=0,"",SUMIFS(tblDaily[Admissions],tblDaily[EntryDate],DATE(2026,6,29),tblDaily[WardCode],"BH")),"")</f>
        <v/>
      </c>
      <c r="C230" s="5" t="str">
        <f>IFERROR(IF(SUMIFS(tblDaily[Discharges],tblDaily[EntryDate],DATE(2026,6,29),tblDaily[WardCode],"BH")=0,"",SUMIFS(tblDaily[Discharges],tblDaily[EntryDate],DATE(2026,6,29),tblDaily[WardCode],"BH")),"")</f>
        <v/>
      </c>
      <c r="D230" s="5" t="str">
        <f>IFERROR(IF(SUMIFS(tblDaily[Deaths],tblDaily[EntryDate],DATE(2026,6,29),tblDaily[WardCode],"BH")=0,"",SUMIFS(tblDaily[Deaths],tblDaily[EntryDate],DATE(2026,6,29),tblDaily[WardCode],"BH")),"")</f>
        <v/>
      </c>
      <c r="E230" s="5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5" t="str">
        <f>IFERROR(IF(SUMIFS(tblDaily[TransfersIn],tblDaily[EntryDate],DATE(2026,6,29),tblDaily[WardCode],"BH")=0,"",SUMIFS(tblDaily[TransfersIn],tblDaily[EntryDate],DATE(2026,6,29),tblDaily[WardCode],"BH")),"")</f>
        <v/>
      </c>
      <c r="G230" s="5" t="str">
        <f>IFERROR(IF(SUMIFS(tblDaily[TransfersOut],tblDaily[EntryDate],DATE(2026,6,29),tblDaily[WardCode],"BH")=0,"",SUMIFS(tblDaily[TransfersOut],tblDaily[EntryDate],DATE(2026,6,29),tblDaily[WardCode],"BH")),"")</f>
        <v/>
      </c>
      <c r="H230" s="5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IFERROR(IF(SUMIFS(tblDaily[Admissions],tblDaily[EntryDate],DATE(2026,6,30),tblDaily[WardCode],"BH")=0,"",SUMIFS(tblDaily[Admissions],tblDaily[EntryDate],DATE(2026,6,30),tblDaily[WardCode],"BH")),"")</f>
        <v/>
      </c>
      <c r="C231" s="5" t="str">
        <f>IFERROR(IF(SUMIFS(tblDaily[Discharges],tblDaily[EntryDate],DATE(2026,6,30),tblDaily[WardCode],"BH")=0,"",SUMIFS(tblDaily[Discharges],tblDaily[EntryDate],DATE(2026,6,30),tblDaily[WardCode],"BH")),"")</f>
        <v/>
      </c>
      <c r="D231" s="5" t="str">
        <f>IFERROR(IF(SUMIFS(tblDaily[Deaths],tblDaily[EntryDate],DATE(2026,6,30),tblDaily[WardCode],"BH")=0,"",SUMIFS(tblDaily[Deaths],tblDaily[EntryDate],DATE(2026,6,30),tblDaily[WardCode],"BH")),"")</f>
        <v/>
      </c>
      <c r="E231" s="5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5" t="str">
        <f>IFERROR(IF(SUMIFS(tblDaily[TransfersIn],tblDaily[EntryDate],DATE(2026,6,30),tblDaily[WardCode],"BH")=0,"",SUMIFS(tblDaily[TransfersIn],tblDaily[EntryDate],DATE(2026,6,30),tblDaily[WardCode],"BH")),"")</f>
        <v/>
      </c>
      <c r="G231" s="5" t="str">
        <f>IFERROR(IF(SUMIFS(tblDaily[TransfersOut],tblDaily[EntryDate],DATE(2026,6,30),tblDaily[WardCode],"BH")=0,"",SUMIFS(tblDaily[TransfersOut],tblDaily[EntryDate],DATE(2026,6,30),tblDaily[WardCode],"BH")),"")</f>
        <v/>
      </c>
      <c r="H231" s="5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100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89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IFERROR(IF(SUMIFS(tblDaily[Admissions],tblDaily[EntryDate],DATE(2026,7,1),tblDaily[WardCode],"BH")=0,"",SUMIFS(tblDaily[Admissions],tblDaily[EntryDate],DATE(2026,7,1),tblDaily[WardCode],"BH")),"")</f>
        <v/>
      </c>
      <c r="C241" s="5" t="str">
        <f>IFERROR(IF(SUMIFS(tblDaily[Discharges],tblDaily[EntryDate],DATE(2026,7,1),tblDaily[WardCode],"BH")=0,"",SUMIFS(tblDaily[Discharges],tblDaily[EntryDate],DATE(2026,7,1),tblDaily[WardCode],"BH")),"")</f>
        <v/>
      </c>
      <c r="D241" s="5" t="str">
        <f>IFERROR(IF(SUMIFS(tblDaily[Deaths],tblDaily[EntryDate],DATE(2026,7,1),tblDaily[WardCode],"BH")=0,"",SUMIFS(tblDaily[Deaths],tblDaily[EntryDate],DATE(2026,7,1),tblDaily[WardCode],"BH")),"")</f>
        <v/>
      </c>
      <c r="E241" s="5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5" t="str">
        <f>IFERROR(IF(SUMIFS(tblDaily[TransfersIn],tblDaily[EntryDate],DATE(2026,7,1),tblDaily[WardCode],"BH")=0,"",SUMIFS(tblDaily[TransfersIn],tblDaily[EntryDate],DATE(2026,7,1),tblDaily[WardCode],"BH")),"")</f>
        <v/>
      </c>
      <c r="G241" s="5" t="str">
        <f>IFERROR(IF(SUMIFS(tblDaily[TransfersOut],tblDaily[EntryDate],DATE(2026,7,1),tblDaily[WardCode],"BH")=0,"",SUMIFS(tblDaily[TransfersOut],tblDaily[EntryDate],DATE(2026,7,1),tblDaily[WardCode],"BH")),"")</f>
        <v/>
      </c>
      <c r="H241" s="5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IFERROR(IF(SUMIFS(tblDaily[Admissions],tblDaily[EntryDate],DATE(2026,7,2),tblDaily[WardCode],"BH")=0,"",SUMIFS(tblDaily[Admissions],tblDaily[EntryDate],DATE(2026,7,2),tblDaily[WardCode],"BH")),"")</f>
        <v/>
      </c>
      <c r="C242" s="5" t="str">
        <f>IFERROR(IF(SUMIFS(tblDaily[Discharges],tblDaily[EntryDate],DATE(2026,7,2),tblDaily[WardCode],"BH")=0,"",SUMIFS(tblDaily[Discharges],tblDaily[EntryDate],DATE(2026,7,2),tblDaily[WardCode],"BH")),"")</f>
        <v/>
      </c>
      <c r="D242" s="5" t="str">
        <f>IFERROR(IF(SUMIFS(tblDaily[Deaths],tblDaily[EntryDate],DATE(2026,7,2),tblDaily[WardCode],"BH")=0,"",SUMIFS(tblDaily[Deaths],tblDaily[EntryDate],DATE(2026,7,2),tblDaily[WardCode],"BH")),"")</f>
        <v/>
      </c>
      <c r="E242" s="5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5" t="str">
        <f>IFERROR(IF(SUMIFS(tblDaily[TransfersIn],tblDaily[EntryDate],DATE(2026,7,2),tblDaily[WardCode],"BH")=0,"",SUMIFS(tblDaily[TransfersIn],tblDaily[EntryDate],DATE(2026,7,2),tblDaily[WardCode],"BH")),"")</f>
        <v/>
      </c>
      <c r="G242" s="5" t="str">
        <f>IFERROR(IF(SUMIFS(tblDaily[TransfersOut],tblDaily[EntryDate],DATE(2026,7,2),tblDaily[WardCode],"BH")=0,"",SUMIFS(tblDaily[TransfersOut],tblDaily[EntryDate],DATE(2026,7,2),tblDaily[WardCode],"BH")),"")</f>
        <v/>
      </c>
      <c r="H242" s="5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IFERROR(IF(SUMIFS(tblDaily[Admissions],tblDaily[EntryDate],DATE(2026,7,3),tblDaily[WardCode],"BH")=0,"",SUMIFS(tblDaily[Admissions],tblDaily[EntryDate],DATE(2026,7,3),tblDaily[WardCode],"BH")),"")</f>
        <v/>
      </c>
      <c r="C243" s="5" t="str">
        <f>IFERROR(IF(SUMIFS(tblDaily[Discharges],tblDaily[EntryDate],DATE(2026,7,3),tblDaily[WardCode],"BH")=0,"",SUMIFS(tblDaily[Discharges],tblDaily[EntryDate],DATE(2026,7,3),tblDaily[WardCode],"BH")),"")</f>
        <v/>
      </c>
      <c r="D243" s="5" t="str">
        <f>IFERROR(IF(SUMIFS(tblDaily[Deaths],tblDaily[EntryDate],DATE(2026,7,3),tblDaily[WardCode],"BH")=0,"",SUMIFS(tblDaily[Deaths],tblDaily[EntryDate],DATE(2026,7,3),tblDaily[WardCode],"BH")),"")</f>
        <v/>
      </c>
      <c r="E243" s="5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5" t="str">
        <f>IFERROR(IF(SUMIFS(tblDaily[TransfersIn],tblDaily[EntryDate],DATE(2026,7,3),tblDaily[WardCode],"BH")=0,"",SUMIFS(tblDaily[TransfersIn],tblDaily[EntryDate],DATE(2026,7,3),tblDaily[WardCode],"BH")),"")</f>
        <v/>
      </c>
      <c r="G243" s="5" t="str">
        <f>IFERROR(IF(SUMIFS(tblDaily[TransfersOut],tblDaily[EntryDate],DATE(2026,7,3),tblDaily[WardCode],"BH")=0,"",SUMIFS(tblDaily[TransfersOut],tblDaily[EntryDate],DATE(2026,7,3),tblDaily[WardCode],"BH")),"")</f>
        <v/>
      </c>
      <c r="H243" s="5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IFERROR(IF(SUMIFS(tblDaily[Admissions],tblDaily[EntryDate],DATE(2026,7,4),tblDaily[WardCode],"BH")=0,"",SUMIFS(tblDaily[Admissions],tblDaily[EntryDate],DATE(2026,7,4),tblDaily[WardCode],"BH")),"")</f>
        <v/>
      </c>
      <c r="C244" s="5" t="str">
        <f>IFERROR(IF(SUMIFS(tblDaily[Discharges],tblDaily[EntryDate],DATE(2026,7,4),tblDaily[WardCode],"BH")=0,"",SUMIFS(tblDaily[Discharges],tblDaily[EntryDate],DATE(2026,7,4),tblDaily[WardCode],"BH")),"")</f>
        <v/>
      </c>
      <c r="D244" s="5" t="str">
        <f>IFERROR(IF(SUMIFS(tblDaily[Deaths],tblDaily[EntryDate],DATE(2026,7,4),tblDaily[WardCode],"BH")=0,"",SUMIFS(tblDaily[Deaths],tblDaily[EntryDate],DATE(2026,7,4),tblDaily[WardCode],"BH")),"")</f>
        <v/>
      </c>
      <c r="E244" s="5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5" t="str">
        <f>IFERROR(IF(SUMIFS(tblDaily[TransfersIn],tblDaily[EntryDate],DATE(2026,7,4),tblDaily[WardCode],"BH")=0,"",SUMIFS(tblDaily[TransfersIn],tblDaily[EntryDate],DATE(2026,7,4),tblDaily[WardCode],"BH")),"")</f>
        <v/>
      </c>
      <c r="G244" s="5" t="str">
        <f>IFERROR(IF(SUMIFS(tblDaily[TransfersOut],tblDaily[EntryDate],DATE(2026,7,4),tblDaily[WardCode],"BH")=0,"",SUMIFS(tblDaily[TransfersOut],tblDaily[EntryDate],DATE(2026,7,4),tblDaily[WardCode],"BH")),"")</f>
        <v/>
      </c>
      <c r="H244" s="5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IFERROR(IF(SUMIFS(tblDaily[Admissions],tblDaily[EntryDate],DATE(2026,7,5),tblDaily[WardCode],"BH")=0,"",SUMIFS(tblDaily[Admissions],tblDaily[EntryDate],DATE(2026,7,5),tblDaily[WardCode],"BH")),"")</f>
        <v/>
      </c>
      <c r="C245" s="5" t="str">
        <f>IFERROR(IF(SUMIFS(tblDaily[Discharges],tblDaily[EntryDate],DATE(2026,7,5),tblDaily[WardCode],"BH")=0,"",SUMIFS(tblDaily[Discharges],tblDaily[EntryDate],DATE(2026,7,5),tblDaily[WardCode],"BH")),"")</f>
        <v/>
      </c>
      <c r="D245" s="5" t="str">
        <f>IFERROR(IF(SUMIFS(tblDaily[Deaths],tblDaily[EntryDate],DATE(2026,7,5),tblDaily[WardCode],"BH")=0,"",SUMIFS(tblDaily[Deaths],tblDaily[EntryDate],DATE(2026,7,5),tblDaily[WardCode],"BH")),"")</f>
        <v/>
      </c>
      <c r="E245" s="5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5" t="str">
        <f>IFERROR(IF(SUMIFS(tblDaily[TransfersIn],tblDaily[EntryDate],DATE(2026,7,5),tblDaily[WardCode],"BH")=0,"",SUMIFS(tblDaily[TransfersIn],tblDaily[EntryDate],DATE(2026,7,5),tblDaily[WardCode],"BH")),"")</f>
        <v/>
      </c>
      <c r="G245" s="5" t="str">
        <f>IFERROR(IF(SUMIFS(tblDaily[TransfersOut],tblDaily[EntryDate],DATE(2026,7,5),tblDaily[WardCode],"BH")=0,"",SUMIFS(tblDaily[TransfersOut],tblDaily[EntryDate],DATE(2026,7,5),tblDaily[WardCode],"BH")),"")</f>
        <v/>
      </c>
      <c r="H245" s="5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IFERROR(IF(SUMIFS(tblDaily[Admissions],tblDaily[EntryDate],DATE(2026,7,6),tblDaily[WardCode],"BH")=0,"",SUMIFS(tblDaily[Admissions],tblDaily[EntryDate],DATE(2026,7,6),tblDaily[WardCode],"BH")),"")</f>
        <v/>
      </c>
      <c r="C246" s="5" t="str">
        <f>IFERROR(IF(SUMIFS(tblDaily[Discharges],tblDaily[EntryDate],DATE(2026,7,6),tblDaily[WardCode],"BH")=0,"",SUMIFS(tblDaily[Discharges],tblDaily[EntryDate],DATE(2026,7,6),tblDaily[WardCode],"BH")),"")</f>
        <v/>
      </c>
      <c r="D246" s="5" t="str">
        <f>IFERROR(IF(SUMIFS(tblDaily[Deaths],tblDaily[EntryDate],DATE(2026,7,6),tblDaily[WardCode],"BH")=0,"",SUMIFS(tblDaily[Deaths],tblDaily[EntryDate],DATE(2026,7,6),tblDaily[WardCode],"BH")),"")</f>
        <v/>
      </c>
      <c r="E246" s="5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5" t="str">
        <f>IFERROR(IF(SUMIFS(tblDaily[TransfersIn],tblDaily[EntryDate],DATE(2026,7,6),tblDaily[WardCode],"BH")=0,"",SUMIFS(tblDaily[TransfersIn],tblDaily[EntryDate],DATE(2026,7,6),tblDaily[WardCode],"BH")),"")</f>
        <v/>
      </c>
      <c r="G246" s="5" t="str">
        <f>IFERROR(IF(SUMIFS(tblDaily[TransfersOut],tblDaily[EntryDate],DATE(2026,7,6),tblDaily[WardCode],"BH")=0,"",SUMIFS(tblDaily[TransfersOut],tblDaily[EntryDate],DATE(2026,7,6),tblDaily[WardCode],"BH")),"")</f>
        <v/>
      </c>
      <c r="H246" s="5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IFERROR(IF(SUMIFS(tblDaily[Admissions],tblDaily[EntryDate],DATE(2026,7,7),tblDaily[WardCode],"BH")=0,"",SUMIFS(tblDaily[Admissions],tblDaily[EntryDate],DATE(2026,7,7),tblDaily[WardCode],"BH")),"")</f>
        <v/>
      </c>
      <c r="C247" s="5" t="str">
        <f>IFERROR(IF(SUMIFS(tblDaily[Discharges],tblDaily[EntryDate],DATE(2026,7,7),tblDaily[WardCode],"BH")=0,"",SUMIFS(tblDaily[Discharges],tblDaily[EntryDate],DATE(2026,7,7),tblDaily[WardCode],"BH")),"")</f>
        <v/>
      </c>
      <c r="D247" s="5" t="str">
        <f>IFERROR(IF(SUMIFS(tblDaily[Deaths],tblDaily[EntryDate],DATE(2026,7,7),tblDaily[WardCode],"BH")=0,"",SUMIFS(tblDaily[Deaths],tblDaily[EntryDate],DATE(2026,7,7),tblDaily[WardCode],"BH")),"")</f>
        <v/>
      </c>
      <c r="E247" s="5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5" t="str">
        <f>IFERROR(IF(SUMIFS(tblDaily[TransfersIn],tblDaily[EntryDate],DATE(2026,7,7),tblDaily[WardCode],"BH")=0,"",SUMIFS(tblDaily[TransfersIn],tblDaily[EntryDate],DATE(2026,7,7),tblDaily[WardCode],"BH")),"")</f>
        <v/>
      </c>
      <c r="G247" s="5" t="str">
        <f>IFERROR(IF(SUMIFS(tblDaily[TransfersOut],tblDaily[EntryDate],DATE(2026,7,7),tblDaily[WardCode],"BH")=0,"",SUMIFS(tblDaily[TransfersOut],tblDaily[EntryDate],DATE(2026,7,7),tblDaily[WardCode],"BH")),"")</f>
        <v/>
      </c>
      <c r="H247" s="5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IFERROR(IF(SUMIFS(tblDaily[Admissions],tblDaily[EntryDate],DATE(2026,7,8),tblDaily[WardCode],"BH")=0,"",SUMIFS(tblDaily[Admissions],tblDaily[EntryDate],DATE(2026,7,8),tblDaily[WardCode],"BH")),"")</f>
        <v/>
      </c>
      <c r="C248" s="5" t="str">
        <f>IFERROR(IF(SUMIFS(tblDaily[Discharges],tblDaily[EntryDate],DATE(2026,7,8),tblDaily[WardCode],"BH")=0,"",SUMIFS(tblDaily[Discharges],tblDaily[EntryDate],DATE(2026,7,8),tblDaily[WardCode],"BH")),"")</f>
        <v/>
      </c>
      <c r="D248" s="5" t="str">
        <f>IFERROR(IF(SUMIFS(tblDaily[Deaths],tblDaily[EntryDate],DATE(2026,7,8),tblDaily[WardCode],"BH")=0,"",SUMIFS(tblDaily[Deaths],tblDaily[EntryDate],DATE(2026,7,8),tblDaily[WardCode],"BH")),"")</f>
        <v/>
      </c>
      <c r="E248" s="5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5" t="str">
        <f>IFERROR(IF(SUMIFS(tblDaily[TransfersIn],tblDaily[EntryDate],DATE(2026,7,8),tblDaily[WardCode],"BH")=0,"",SUMIFS(tblDaily[TransfersIn],tblDaily[EntryDate],DATE(2026,7,8),tblDaily[WardCode],"BH")),"")</f>
        <v/>
      </c>
      <c r="G248" s="5" t="str">
        <f>IFERROR(IF(SUMIFS(tblDaily[TransfersOut],tblDaily[EntryDate],DATE(2026,7,8),tblDaily[WardCode],"BH")=0,"",SUMIFS(tblDaily[TransfersOut],tblDaily[EntryDate],DATE(2026,7,8),tblDaily[WardCode],"BH")),"")</f>
        <v/>
      </c>
      <c r="H248" s="5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IFERROR(IF(SUMIFS(tblDaily[Admissions],tblDaily[EntryDate],DATE(2026,7,9),tblDaily[WardCode],"BH")=0,"",SUMIFS(tblDaily[Admissions],tblDaily[EntryDate],DATE(2026,7,9),tblDaily[WardCode],"BH")),"")</f>
        <v/>
      </c>
      <c r="C249" s="5" t="str">
        <f>IFERROR(IF(SUMIFS(tblDaily[Discharges],tblDaily[EntryDate],DATE(2026,7,9),tblDaily[WardCode],"BH")=0,"",SUMIFS(tblDaily[Discharges],tblDaily[EntryDate],DATE(2026,7,9),tblDaily[WardCode],"BH")),"")</f>
        <v/>
      </c>
      <c r="D249" s="5" t="str">
        <f>IFERROR(IF(SUMIFS(tblDaily[Deaths],tblDaily[EntryDate],DATE(2026,7,9),tblDaily[WardCode],"BH")=0,"",SUMIFS(tblDaily[Deaths],tblDaily[EntryDate],DATE(2026,7,9),tblDaily[WardCode],"BH")),"")</f>
        <v/>
      </c>
      <c r="E249" s="5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5" t="str">
        <f>IFERROR(IF(SUMIFS(tblDaily[TransfersIn],tblDaily[EntryDate],DATE(2026,7,9),tblDaily[WardCode],"BH")=0,"",SUMIFS(tblDaily[TransfersIn],tblDaily[EntryDate],DATE(2026,7,9),tblDaily[WardCode],"BH")),"")</f>
        <v/>
      </c>
      <c r="G249" s="5" t="str">
        <f>IFERROR(IF(SUMIFS(tblDaily[TransfersOut],tblDaily[EntryDate],DATE(2026,7,9),tblDaily[WardCode],"BH")=0,"",SUMIFS(tblDaily[TransfersOut],tblDaily[EntryDate],DATE(2026,7,9),tblDaily[WardCode],"BH")),"")</f>
        <v/>
      </c>
      <c r="H249" s="5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IFERROR(IF(SUMIFS(tblDaily[Admissions],tblDaily[EntryDate],DATE(2026,7,10),tblDaily[WardCode],"BH")=0,"",SUMIFS(tblDaily[Admissions],tblDaily[EntryDate],DATE(2026,7,10),tblDaily[WardCode],"BH")),"")</f>
        <v/>
      </c>
      <c r="C250" s="5" t="str">
        <f>IFERROR(IF(SUMIFS(tblDaily[Discharges],tblDaily[EntryDate],DATE(2026,7,10),tblDaily[WardCode],"BH")=0,"",SUMIFS(tblDaily[Discharges],tblDaily[EntryDate],DATE(2026,7,10),tblDaily[WardCode],"BH")),"")</f>
        <v/>
      </c>
      <c r="D250" s="5" t="str">
        <f>IFERROR(IF(SUMIFS(tblDaily[Deaths],tblDaily[EntryDate],DATE(2026,7,10),tblDaily[WardCode],"BH")=0,"",SUMIFS(tblDaily[Deaths],tblDaily[EntryDate],DATE(2026,7,10),tblDaily[WardCode],"BH")),"")</f>
        <v/>
      </c>
      <c r="E250" s="5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5" t="str">
        <f>IFERROR(IF(SUMIFS(tblDaily[TransfersIn],tblDaily[EntryDate],DATE(2026,7,10),tblDaily[WardCode],"BH")=0,"",SUMIFS(tblDaily[TransfersIn],tblDaily[EntryDate],DATE(2026,7,10),tblDaily[WardCode],"BH")),"")</f>
        <v/>
      </c>
      <c r="G250" s="5" t="str">
        <f>IFERROR(IF(SUMIFS(tblDaily[TransfersOut],tblDaily[EntryDate],DATE(2026,7,10),tblDaily[WardCode],"BH")=0,"",SUMIFS(tblDaily[TransfersOut],tblDaily[EntryDate],DATE(2026,7,10),tblDaily[WardCode],"BH")),"")</f>
        <v/>
      </c>
      <c r="H250" s="5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IFERROR(IF(SUMIFS(tblDaily[Admissions],tblDaily[EntryDate],DATE(2026,7,11),tblDaily[WardCode],"BH")=0,"",SUMIFS(tblDaily[Admissions],tblDaily[EntryDate],DATE(2026,7,11),tblDaily[WardCode],"BH")),"")</f>
        <v/>
      </c>
      <c r="C251" s="5" t="str">
        <f>IFERROR(IF(SUMIFS(tblDaily[Discharges],tblDaily[EntryDate],DATE(2026,7,11),tblDaily[WardCode],"BH")=0,"",SUMIFS(tblDaily[Discharges],tblDaily[EntryDate],DATE(2026,7,11),tblDaily[WardCode],"BH")),"")</f>
        <v/>
      </c>
      <c r="D251" s="5" t="str">
        <f>IFERROR(IF(SUMIFS(tblDaily[Deaths],tblDaily[EntryDate],DATE(2026,7,11),tblDaily[WardCode],"BH")=0,"",SUMIFS(tblDaily[Deaths],tblDaily[EntryDate],DATE(2026,7,11),tblDaily[WardCode],"BH")),"")</f>
        <v/>
      </c>
      <c r="E251" s="5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5" t="str">
        <f>IFERROR(IF(SUMIFS(tblDaily[TransfersIn],tblDaily[EntryDate],DATE(2026,7,11),tblDaily[WardCode],"BH")=0,"",SUMIFS(tblDaily[TransfersIn],tblDaily[EntryDate],DATE(2026,7,11),tblDaily[WardCode],"BH")),"")</f>
        <v/>
      </c>
      <c r="G251" s="5" t="str">
        <f>IFERROR(IF(SUMIFS(tblDaily[TransfersOut],tblDaily[EntryDate],DATE(2026,7,11),tblDaily[WardCode],"BH")=0,"",SUMIFS(tblDaily[TransfersOut],tblDaily[EntryDate],DATE(2026,7,11),tblDaily[WardCode],"BH")),"")</f>
        <v/>
      </c>
      <c r="H251" s="5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IFERROR(IF(SUMIFS(tblDaily[Admissions],tblDaily[EntryDate],DATE(2026,7,12),tblDaily[WardCode],"BH")=0,"",SUMIFS(tblDaily[Admissions],tblDaily[EntryDate],DATE(2026,7,12),tblDaily[WardCode],"BH")),"")</f>
        <v/>
      </c>
      <c r="C252" s="5" t="str">
        <f>IFERROR(IF(SUMIFS(tblDaily[Discharges],tblDaily[EntryDate],DATE(2026,7,12),tblDaily[WardCode],"BH")=0,"",SUMIFS(tblDaily[Discharges],tblDaily[EntryDate],DATE(2026,7,12),tblDaily[WardCode],"BH")),"")</f>
        <v/>
      </c>
      <c r="D252" s="5" t="str">
        <f>IFERROR(IF(SUMIFS(tblDaily[Deaths],tblDaily[EntryDate],DATE(2026,7,12),tblDaily[WardCode],"BH")=0,"",SUMIFS(tblDaily[Deaths],tblDaily[EntryDate],DATE(2026,7,12),tblDaily[WardCode],"BH")),"")</f>
        <v/>
      </c>
      <c r="E252" s="5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5" t="str">
        <f>IFERROR(IF(SUMIFS(tblDaily[TransfersIn],tblDaily[EntryDate],DATE(2026,7,12),tblDaily[WardCode],"BH")=0,"",SUMIFS(tblDaily[TransfersIn],tblDaily[EntryDate],DATE(2026,7,12),tblDaily[WardCode],"BH")),"")</f>
        <v/>
      </c>
      <c r="G252" s="5" t="str">
        <f>IFERROR(IF(SUMIFS(tblDaily[TransfersOut],tblDaily[EntryDate],DATE(2026,7,12),tblDaily[WardCode],"BH")=0,"",SUMIFS(tblDaily[TransfersOut],tblDaily[EntryDate],DATE(2026,7,12),tblDaily[WardCode],"BH")),"")</f>
        <v/>
      </c>
      <c r="H252" s="5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IFERROR(IF(SUMIFS(tblDaily[Admissions],tblDaily[EntryDate],DATE(2026,7,13),tblDaily[WardCode],"BH")=0,"",SUMIFS(tblDaily[Admissions],tblDaily[EntryDate],DATE(2026,7,13),tblDaily[WardCode],"BH")),"")</f>
        <v/>
      </c>
      <c r="C253" s="5" t="str">
        <f>IFERROR(IF(SUMIFS(tblDaily[Discharges],tblDaily[EntryDate],DATE(2026,7,13),tblDaily[WardCode],"BH")=0,"",SUMIFS(tblDaily[Discharges],tblDaily[EntryDate],DATE(2026,7,13),tblDaily[WardCode],"BH")),"")</f>
        <v/>
      </c>
      <c r="D253" s="5" t="str">
        <f>IFERROR(IF(SUMIFS(tblDaily[Deaths],tblDaily[EntryDate],DATE(2026,7,13),tblDaily[WardCode],"BH")=0,"",SUMIFS(tblDaily[Deaths],tblDaily[EntryDate],DATE(2026,7,13),tblDaily[WardCode],"BH")),"")</f>
        <v/>
      </c>
      <c r="E253" s="5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5" t="str">
        <f>IFERROR(IF(SUMIFS(tblDaily[TransfersIn],tblDaily[EntryDate],DATE(2026,7,13),tblDaily[WardCode],"BH")=0,"",SUMIFS(tblDaily[TransfersIn],tblDaily[EntryDate],DATE(2026,7,13),tblDaily[WardCode],"BH")),"")</f>
        <v/>
      </c>
      <c r="G253" s="5" t="str">
        <f>IFERROR(IF(SUMIFS(tblDaily[TransfersOut],tblDaily[EntryDate],DATE(2026,7,13),tblDaily[WardCode],"BH")=0,"",SUMIFS(tblDaily[TransfersOut],tblDaily[EntryDate],DATE(2026,7,13),tblDaily[WardCode],"BH")),"")</f>
        <v/>
      </c>
      <c r="H253" s="5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IFERROR(IF(SUMIFS(tblDaily[Admissions],tblDaily[EntryDate],DATE(2026,7,14),tblDaily[WardCode],"BH")=0,"",SUMIFS(tblDaily[Admissions],tblDaily[EntryDate],DATE(2026,7,14),tblDaily[WardCode],"BH")),"")</f>
        <v/>
      </c>
      <c r="C254" s="5" t="str">
        <f>IFERROR(IF(SUMIFS(tblDaily[Discharges],tblDaily[EntryDate],DATE(2026,7,14),tblDaily[WardCode],"BH")=0,"",SUMIFS(tblDaily[Discharges],tblDaily[EntryDate],DATE(2026,7,14),tblDaily[WardCode],"BH")),"")</f>
        <v/>
      </c>
      <c r="D254" s="5" t="str">
        <f>IFERROR(IF(SUMIFS(tblDaily[Deaths],tblDaily[EntryDate],DATE(2026,7,14),tblDaily[WardCode],"BH")=0,"",SUMIFS(tblDaily[Deaths],tblDaily[EntryDate],DATE(2026,7,14),tblDaily[WardCode],"BH")),"")</f>
        <v/>
      </c>
      <c r="E254" s="5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5" t="str">
        <f>IFERROR(IF(SUMIFS(tblDaily[TransfersIn],tblDaily[EntryDate],DATE(2026,7,14),tblDaily[WardCode],"BH")=0,"",SUMIFS(tblDaily[TransfersIn],tblDaily[EntryDate],DATE(2026,7,14),tblDaily[WardCode],"BH")),"")</f>
        <v/>
      </c>
      <c r="G254" s="5" t="str">
        <f>IFERROR(IF(SUMIFS(tblDaily[TransfersOut],tblDaily[EntryDate],DATE(2026,7,14),tblDaily[WardCode],"BH")=0,"",SUMIFS(tblDaily[TransfersOut],tblDaily[EntryDate],DATE(2026,7,14),tblDaily[WardCode],"BH")),"")</f>
        <v/>
      </c>
      <c r="H254" s="5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IFERROR(IF(SUMIFS(tblDaily[Admissions],tblDaily[EntryDate],DATE(2026,7,15),tblDaily[WardCode],"BH")=0,"",SUMIFS(tblDaily[Admissions],tblDaily[EntryDate],DATE(2026,7,15),tblDaily[WardCode],"BH")),"")</f>
        <v/>
      </c>
      <c r="C255" s="5" t="str">
        <f>IFERROR(IF(SUMIFS(tblDaily[Discharges],tblDaily[EntryDate],DATE(2026,7,15),tblDaily[WardCode],"BH")=0,"",SUMIFS(tblDaily[Discharges],tblDaily[EntryDate],DATE(2026,7,15),tblDaily[WardCode],"BH")),"")</f>
        <v/>
      </c>
      <c r="D255" s="5" t="str">
        <f>IFERROR(IF(SUMIFS(tblDaily[Deaths],tblDaily[EntryDate],DATE(2026,7,15),tblDaily[WardCode],"BH")=0,"",SUMIFS(tblDaily[Deaths],tblDaily[EntryDate],DATE(2026,7,15),tblDaily[WardCode],"BH")),"")</f>
        <v/>
      </c>
      <c r="E255" s="5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5" t="str">
        <f>IFERROR(IF(SUMIFS(tblDaily[TransfersIn],tblDaily[EntryDate],DATE(2026,7,15),tblDaily[WardCode],"BH")=0,"",SUMIFS(tblDaily[TransfersIn],tblDaily[EntryDate],DATE(2026,7,15),tblDaily[WardCode],"BH")),"")</f>
        <v/>
      </c>
      <c r="G255" s="5" t="str">
        <f>IFERROR(IF(SUMIFS(tblDaily[TransfersOut],tblDaily[EntryDate],DATE(2026,7,15),tblDaily[WardCode],"BH")=0,"",SUMIFS(tblDaily[TransfersOut],tblDaily[EntryDate],DATE(2026,7,15),tblDaily[WardCode],"BH")),"")</f>
        <v/>
      </c>
      <c r="H255" s="5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IFERROR(IF(SUMIFS(tblDaily[Admissions],tblDaily[EntryDate],DATE(2026,7,16),tblDaily[WardCode],"BH")=0,"",SUMIFS(tblDaily[Admissions],tblDaily[EntryDate],DATE(2026,7,16),tblDaily[WardCode],"BH")),"")</f>
        <v/>
      </c>
      <c r="C256" s="5" t="str">
        <f>IFERROR(IF(SUMIFS(tblDaily[Discharges],tblDaily[EntryDate],DATE(2026,7,16),tblDaily[WardCode],"BH")=0,"",SUMIFS(tblDaily[Discharges],tblDaily[EntryDate],DATE(2026,7,16),tblDaily[WardCode],"BH")),"")</f>
        <v/>
      </c>
      <c r="D256" s="5" t="str">
        <f>IFERROR(IF(SUMIFS(tblDaily[Deaths],tblDaily[EntryDate],DATE(2026,7,16),tblDaily[WardCode],"BH")=0,"",SUMIFS(tblDaily[Deaths],tblDaily[EntryDate],DATE(2026,7,16),tblDaily[WardCode],"BH")),"")</f>
        <v/>
      </c>
      <c r="E256" s="5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5" t="str">
        <f>IFERROR(IF(SUMIFS(tblDaily[TransfersIn],tblDaily[EntryDate],DATE(2026,7,16),tblDaily[WardCode],"BH")=0,"",SUMIFS(tblDaily[TransfersIn],tblDaily[EntryDate],DATE(2026,7,16),tblDaily[WardCode],"BH")),"")</f>
        <v/>
      </c>
      <c r="G256" s="5" t="str">
        <f>IFERROR(IF(SUMIFS(tblDaily[TransfersOut],tblDaily[EntryDate],DATE(2026,7,16),tblDaily[WardCode],"BH")=0,"",SUMIFS(tblDaily[TransfersOut],tblDaily[EntryDate],DATE(2026,7,16),tblDaily[WardCode],"BH")),"")</f>
        <v/>
      </c>
      <c r="H256" s="5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IFERROR(IF(SUMIFS(tblDaily[Admissions],tblDaily[EntryDate],DATE(2026,7,17),tblDaily[WardCode],"BH")=0,"",SUMIFS(tblDaily[Admissions],tblDaily[EntryDate],DATE(2026,7,17),tblDaily[WardCode],"BH")),"")</f>
        <v/>
      </c>
      <c r="C257" s="5" t="str">
        <f>IFERROR(IF(SUMIFS(tblDaily[Discharges],tblDaily[EntryDate],DATE(2026,7,17),tblDaily[WardCode],"BH")=0,"",SUMIFS(tblDaily[Discharges],tblDaily[EntryDate],DATE(2026,7,17),tblDaily[WardCode],"BH")),"")</f>
        <v/>
      </c>
      <c r="D257" s="5" t="str">
        <f>IFERROR(IF(SUMIFS(tblDaily[Deaths],tblDaily[EntryDate],DATE(2026,7,17),tblDaily[WardCode],"BH")=0,"",SUMIFS(tblDaily[Deaths],tblDaily[EntryDate],DATE(2026,7,17),tblDaily[WardCode],"BH")),"")</f>
        <v/>
      </c>
      <c r="E257" s="5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5" t="str">
        <f>IFERROR(IF(SUMIFS(tblDaily[TransfersIn],tblDaily[EntryDate],DATE(2026,7,17),tblDaily[WardCode],"BH")=0,"",SUMIFS(tblDaily[TransfersIn],tblDaily[EntryDate],DATE(2026,7,17),tblDaily[WardCode],"BH")),"")</f>
        <v/>
      </c>
      <c r="G257" s="5" t="str">
        <f>IFERROR(IF(SUMIFS(tblDaily[TransfersOut],tblDaily[EntryDate],DATE(2026,7,17),tblDaily[WardCode],"BH")=0,"",SUMIFS(tblDaily[TransfersOut],tblDaily[EntryDate],DATE(2026,7,17),tblDaily[WardCode],"BH")),"")</f>
        <v/>
      </c>
      <c r="H257" s="5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IFERROR(IF(SUMIFS(tblDaily[Admissions],tblDaily[EntryDate],DATE(2026,7,18),tblDaily[WardCode],"BH")=0,"",SUMIFS(tblDaily[Admissions],tblDaily[EntryDate],DATE(2026,7,18),tblDaily[WardCode],"BH")),"")</f>
        <v/>
      </c>
      <c r="C258" s="5" t="str">
        <f>IFERROR(IF(SUMIFS(tblDaily[Discharges],tblDaily[EntryDate],DATE(2026,7,18),tblDaily[WardCode],"BH")=0,"",SUMIFS(tblDaily[Discharges],tblDaily[EntryDate],DATE(2026,7,18),tblDaily[WardCode],"BH")),"")</f>
        <v/>
      </c>
      <c r="D258" s="5" t="str">
        <f>IFERROR(IF(SUMIFS(tblDaily[Deaths],tblDaily[EntryDate],DATE(2026,7,18),tblDaily[WardCode],"BH")=0,"",SUMIFS(tblDaily[Deaths],tblDaily[EntryDate],DATE(2026,7,18),tblDaily[WardCode],"BH")),"")</f>
        <v/>
      </c>
      <c r="E258" s="5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5" t="str">
        <f>IFERROR(IF(SUMIFS(tblDaily[TransfersIn],tblDaily[EntryDate],DATE(2026,7,18),tblDaily[WardCode],"BH")=0,"",SUMIFS(tblDaily[TransfersIn],tblDaily[EntryDate],DATE(2026,7,18),tblDaily[WardCode],"BH")),"")</f>
        <v/>
      </c>
      <c r="G258" s="5" t="str">
        <f>IFERROR(IF(SUMIFS(tblDaily[TransfersOut],tblDaily[EntryDate],DATE(2026,7,18),tblDaily[WardCode],"BH")=0,"",SUMIFS(tblDaily[TransfersOut],tblDaily[EntryDate],DATE(2026,7,18),tblDaily[WardCode],"BH")),"")</f>
        <v/>
      </c>
      <c r="H258" s="5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IFERROR(IF(SUMIFS(tblDaily[Admissions],tblDaily[EntryDate],DATE(2026,7,19),tblDaily[WardCode],"BH")=0,"",SUMIFS(tblDaily[Admissions],tblDaily[EntryDate],DATE(2026,7,19),tblDaily[WardCode],"BH")),"")</f>
        <v/>
      </c>
      <c r="C259" s="5" t="str">
        <f>IFERROR(IF(SUMIFS(tblDaily[Discharges],tblDaily[EntryDate],DATE(2026,7,19),tblDaily[WardCode],"BH")=0,"",SUMIFS(tblDaily[Discharges],tblDaily[EntryDate],DATE(2026,7,19),tblDaily[WardCode],"BH")),"")</f>
        <v/>
      </c>
      <c r="D259" s="5" t="str">
        <f>IFERROR(IF(SUMIFS(tblDaily[Deaths],tblDaily[EntryDate],DATE(2026,7,19),tblDaily[WardCode],"BH")=0,"",SUMIFS(tblDaily[Deaths],tblDaily[EntryDate],DATE(2026,7,19),tblDaily[WardCode],"BH")),"")</f>
        <v/>
      </c>
      <c r="E259" s="5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5" t="str">
        <f>IFERROR(IF(SUMIFS(tblDaily[TransfersIn],tblDaily[EntryDate],DATE(2026,7,19),tblDaily[WardCode],"BH")=0,"",SUMIFS(tblDaily[TransfersIn],tblDaily[EntryDate],DATE(2026,7,19),tblDaily[WardCode],"BH")),"")</f>
        <v/>
      </c>
      <c r="G259" s="5" t="str">
        <f>IFERROR(IF(SUMIFS(tblDaily[TransfersOut],tblDaily[EntryDate],DATE(2026,7,19),tblDaily[WardCode],"BH")=0,"",SUMIFS(tblDaily[TransfersOut],tblDaily[EntryDate],DATE(2026,7,19),tblDaily[WardCode],"BH")),"")</f>
        <v/>
      </c>
      <c r="H259" s="5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IFERROR(IF(SUMIFS(tblDaily[Admissions],tblDaily[EntryDate],DATE(2026,7,20),tblDaily[WardCode],"BH")=0,"",SUMIFS(tblDaily[Admissions],tblDaily[EntryDate],DATE(2026,7,20),tblDaily[WardCode],"BH")),"")</f>
        <v/>
      </c>
      <c r="C260" s="5" t="str">
        <f>IFERROR(IF(SUMIFS(tblDaily[Discharges],tblDaily[EntryDate],DATE(2026,7,20),tblDaily[WardCode],"BH")=0,"",SUMIFS(tblDaily[Discharges],tblDaily[EntryDate],DATE(2026,7,20),tblDaily[WardCode],"BH")),"")</f>
        <v/>
      </c>
      <c r="D260" s="5" t="str">
        <f>IFERROR(IF(SUMIFS(tblDaily[Deaths],tblDaily[EntryDate],DATE(2026,7,20),tblDaily[WardCode],"BH")=0,"",SUMIFS(tblDaily[Deaths],tblDaily[EntryDate],DATE(2026,7,20),tblDaily[WardCode],"BH")),"")</f>
        <v/>
      </c>
      <c r="E260" s="5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5" t="str">
        <f>IFERROR(IF(SUMIFS(tblDaily[TransfersIn],tblDaily[EntryDate],DATE(2026,7,20),tblDaily[WardCode],"BH")=0,"",SUMIFS(tblDaily[TransfersIn],tblDaily[EntryDate],DATE(2026,7,20),tblDaily[WardCode],"BH")),"")</f>
        <v/>
      </c>
      <c r="G260" s="5" t="str">
        <f>IFERROR(IF(SUMIFS(tblDaily[TransfersOut],tblDaily[EntryDate],DATE(2026,7,20),tblDaily[WardCode],"BH")=0,"",SUMIFS(tblDaily[TransfersOut],tblDaily[EntryDate],DATE(2026,7,20),tblDaily[WardCode],"BH")),"")</f>
        <v/>
      </c>
      <c r="H260" s="5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IFERROR(IF(SUMIFS(tblDaily[Admissions],tblDaily[EntryDate],DATE(2026,7,21),tblDaily[WardCode],"BH")=0,"",SUMIFS(tblDaily[Admissions],tblDaily[EntryDate],DATE(2026,7,21),tblDaily[WardCode],"BH")),"")</f>
        <v/>
      </c>
      <c r="C261" s="5" t="str">
        <f>IFERROR(IF(SUMIFS(tblDaily[Discharges],tblDaily[EntryDate],DATE(2026,7,21),tblDaily[WardCode],"BH")=0,"",SUMIFS(tblDaily[Discharges],tblDaily[EntryDate],DATE(2026,7,21),tblDaily[WardCode],"BH")),"")</f>
        <v/>
      </c>
      <c r="D261" s="5" t="str">
        <f>IFERROR(IF(SUMIFS(tblDaily[Deaths],tblDaily[EntryDate],DATE(2026,7,21),tblDaily[WardCode],"BH")=0,"",SUMIFS(tblDaily[Deaths],tblDaily[EntryDate],DATE(2026,7,21),tblDaily[WardCode],"BH")),"")</f>
        <v/>
      </c>
      <c r="E261" s="5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5" t="str">
        <f>IFERROR(IF(SUMIFS(tblDaily[TransfersIn],tblDaily[EntryDate],DATE(2026,7,21),tblDaily[WardCode],"BH")=0,"",SUMIFS(tblDaily[TransfersIn],tblDaily[EntryDate],DATE(2026,7,21),tblDaily[WardCode],"BH")),"")</f>
        <v/>
      </c>
      <c r="G261" s="5" t="str">
        <f>IFERROR(IF(SUMIFS(tblDaily[TransfersOut],tblDaily[EntryDate],DATE(2026,7,21),tblDaily[WardCode],"BH")=0,"",SUMIFS(tblDaily[TransfersOut],tblDaily[EntryDate],DATE(2026,7,21),tblDaily[WardCode],"BH")),"")</f>
        <v/>
      </c>
      <c r="H261" s="5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IFERROR(IF(SUMIFS(tblDaily[Admissions],tblDaily[EntryDate],DATE(2026,7,22),tblDaily[WardCode],"BH")=0,"",SUMIFS(tblDaily[Admissions],tblDaily[EntryDate],DATE(2026,7,22),tblDaily[WardCode],"BH")),"")</f>
        <v/>
      </c>
      <c r="C262" s="5" t="str">
        <f>IFERROR(IF(SUMIFS(tblDaily[Discharges],tblDaily[EntryDate],DATE(2026,7,22),tblDaily[WardCode],"BH")=0,"",SUMIFS(tblDaily[Discharges],tblDaily[EntryDate],DATE(2026,7,22),tblDaily[WardCode],"BH")),"")</f>
        <v/>
      </c>
      <c r="D262" s="5" t="str">
        <f>IFERROR(IF(SUMIFS(tblDaily[Deaths],tblDaily[EntryDate],DATE(2026,7,22),tblDaily[WardCode],"BH")=0,"",SUMIFS(tblDaily[Deaths],tblDaily[EntryDate],DATE(2026,7,22),tblDaily[WardCode],"BH")),"")</f>
        <v/>
      </c>
      <c r="E262" s="5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5" t="str">
        <f>IFERROR(IF(SUMIFS(tblDaily[TransfersIn],tblDaily[EntryDate],DATE(2026,7,22),tblDaily[WardCode],"BH")=0,"",SUMIFS(tblDaily[TransfersIn],tblDaily[EntryDate],DATE(2026,7,22),tblDaily[WardCode],"BH")),"")</f>
        <v/>
      </c>
      <c r="G262" s="5" t="str">
        <f>IFERROR(IF(SUMIFS(tblDaily[TransfersOut],tblDaily[EntryDate],DATE(2026,7,22),tblDaily[WardCode],"BH")=0,"",SUMIFS(tblDaily[TransfersOut],tblDaily[EntryDate],DATE(2026,7,22),tblDaily[WardCode],"BH")),"")</f>
        <v/>
      </c>
      <c r="H262" s="5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IFERROR(IF(SUMIFS(tblDaily[Admissions],tblDaily[EntryDate],DATE(2026,7,23),tblDaily[WardCode],"BH")=0,"",SUMIFS(tblDaily[Admissions],tblDaily[EntryDate],DATE(2026,7,23),tblDaily[WardCode],"BH")),"")</f>
        <v/>
      </c>
      <c r="C263" s="5" t="str">
        <f>IFERROR(IF(SUMIFS(tblDaily[Discharges],tblDaily[EntryDate],DATE(2026,7,23),tblDaily[WardCode],"BH")=0,"",SUMIFS(tblDaily[Discharges],tblDaily[EntryDate],DATE(2026,7,23),tblDaily[WardCode],"BH")),"")</f>
        <v/>
      </c>
      <c r="D263" s="5" t="str">
        <f>IFERROR(IF(SUMIFS(tblDaily[Deaths],tblDaily[EntryDate],DATE(2026,7,23),tblDaily[WardCode],"BH")=0,"",SUMIFS(tblDaily[Deaths],tblDaily[EntryDate],DATE(2026,7,23),tblDaily[WardCode],"BH")),"")</f>
        <v/>
      </c>
      <c r="E263" s="5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5" t="str">
        <f>IFERROR(IF(SUMIFS(tblDaily[TransfersIn],tblDaily[EntryDate],DATE(2026,7,23),tblDaily[WardCode],"BH")=0,"",SUMIFS(tblDaily[TransfersIn],tblDaily[EntryDate],DATE(2026,7,23),tblDaily[WardCode],"BH")),"")</f>
        <v/>
      </c>
      <c r="G263" s="5" t="str">
        <f>IFERROR(IF(SUMIFS(tblDaily[TransfersOut],tblDaily[EntryDate],DATE(2026,7,23),tblDaily[WardCode],"BH")=0,"",SUMIFS(tblDaily[TransfersOut],tblDaily[EntryDate],DATE(2026,7,23),tblDaily[WardCode],"BH")),"")</f>
        <v/>
      </c>
      <c r="H263" s="5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IFERROR(IF(SUMIFS(tblDaily[Admissions],tblDaily[EntryDate],DATE(2026,7,24),tblDaily[WardCode],"BH")=0,"",SUMIFS(tblDaily[Admissions],tblDaily[EntryDate],DATE(2026,7,24),tblDaily[WardCode],"BH")),"")</f>
        <v/>
      </c>
      <c r="C264" s="5" t="str">
        <f>IFERROR(IF(SUMIFS(tblDaily[Discharges],tblDaily[EntryDate],DATE(2026,7,24),tblDaily[WardCode],"BH")=0,"",SUMIFS(tblDaily[Discharges],tblDaily[EntryDate],DATE(2026,7,24),tblDaily[WardCode],"BH")),"")</f>
        <v/>
      </c>
      <c r="D264" s="5" t="str">
        <f>IFERROR(IF(SUMIFS(tblDaily[Deaths],tblDaily[EntryDate],DATE(2026,7,24),tblDaily[WardCode],"BH")=0,"",SUMIFS(tblDaily[Deaths],tblDaily[EntryDate],DATE(2026,7,24),tblDaily[WardCode],"BH")),"")</f>
        <v/>
      </c>
      <c r="E264" s="5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5" t="str">
        <f>IFERROR(IF(SUMIFS(tblDaily[TransfersIn],tblDaily[EntryDate],DATE(2026,7,24),tblDaily[WardCode],"BH")=0,"",SUMIFS(tblDaily[TransfersIn],tblDaily[EntryDate],DATE(2026,7,24),tblDaily[WardCode],"BH")),"")</f>
        <v/>
      </c>
      <c r="G264" s="5" t="str">
        <f>IFERROR(IF(SUMIFS(tblDaily[TransfersOut],tblDaily[EntryDate],DATE(2026,7,24),tblDaily[WardCode],"BH")=0,"",SUMIFS(tblDaily[TransfersOut],tblDaily[EntryDate],DATE(2026,7,24),tblDaily[WardCode],"BH")),"")</f>
        <v/>
      </c>
      <c r="H264" s="5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IFERROR(IF(SUMIFS(tblDaily[Admissions],tblDaily[EntryDate],DATE(2026,7,25),tblDaily[WardCode],"BH")=0,"",SUMIFS(tblDaily[Admissions],tblDaily[EntryDate],DATE(2026,7,25),tblDaily[WardCode],"BH")),"")</f>
        <v/>
      </c>
      <c r="C265" s="5" t="str">
        <f>IFERROR(IF(SUMIFS(tblDaily[Discharges],tblDaily[EntryDate],DATE(2026,7,25),tblDaily[WardCode],"BH")=0,"",SUMIFS(tblDaily[Discharges],tblDaily[EntryDate],DATE(2026,7,25),tblDaily[WardCode],"BH")),"")</f>
        <v/>
      </c>
      <c r="D265" s="5" t="str">
        <f>IFERROR(IF(SUMIFS(tblDaily[Deaths],tblDaily[EntryDate],DATE(2026,7,25),tblDaily[WardCode],"BH")=0,"",SUMIFS(tblDaily[Deaths],tblDaily[EntryDate],DATE(2026,7,25),tblDaily[WardCode],"BH")),"")</f>
        <v/>
      </c>
      <c r="E265" s="5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5" t="str">
        <f>IFERROR(IF(SUMIFS(tblDaily[TransfersIn],tblDaily[EntryDate],DATE(2026,7,25),tblDaily[WardCode],"BH")=0,"",SUMIFS(tblDaily[TransfersIn],tblDaily[EntryDate],DATE(2026,7,25),tblDaily[WardCode],"BH")),"")</f>
        <v/>
      </c>
      <c r="G265" s="5" t="str">
        <f>IFERROR(IF(SUMIFS(tblDaily[TransfersOut],tblDaily[EntryDate],DATE(2026,7,25),tblDaily[WardCode],"BH")=0,"",SUMIFS(tblDaily[TransfersOut],tblDaily[EntryDate],DATE(2026,7,25),tblDaily[WardCode],"BH")),"")</f>
        <v/>
      </c>
      <c r="H265" s="5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IFERROR(IF(SUMIFS(tblDaily[Admissions],tblDaily[EntryDate],DATE(2026,7,26),tblDaily[WardCode],"BH")=0,"",SUMIFS(tblDaily[Admissions],tblDaily[EntryDate],DATE(2026,7,26),tblDaily[WardCode],"BH")),"")</f>
        <v/>
      </c>
      <c r="C266" s="5" t="str">
        <f>IFERROR(IF(SUMIFS(tblDaily[Discharges],tblDaily[EntryDate],DATE(2026,7,26),tblDaily[WardCode],"BH")=0,"",SUMIFS(tblDaily[Discharges],tblDaily[EntryDate],DATE(2026,7,26),tblDaily[WardCode],"BH")),"")</f>
        <v/>
      </c>
      <c r="D266" s="5" t="str">
        <f>IFERROR(IF(SUMIFS(tblDaily[Deaths],tblDaily[EntryDate],DATE(2026,7,26),tblDaily[WardCode],"BH")=0,"",SUMIFS(tblDaily[Deaths],tblDaily[EntryDate],DATE(2026,7,26),tblDaily[WardCode],"BH")),"")</f>
        <v/>
      </c>
      <c r="E266" s="5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5" t="str">
        <f>IFERROR(IF(SUMIFS(tblDaily[TransfersIn],tblDaily[EntryDate],DATE(2026,7,26),tblDaily[WardCode],"BH")=0,"",SUMIFS(tblDaily[TransfersIn],tblDaily[EntryDate],DATE(2026,7,26),tblDaily[WardCode],"BH")),"")</f>
        <v/>
      </c>
      <c r="G266" s="5" t="str">
        <f>IFERROR(IF(SUMIFS(tblDaily[TransfersOut],tblDaily[EntryDate],DATE(2026,7,26),tblDaily[WardCode],"BH")=0,"",SUMIFS(tblDaily[TransfersOut],tblDaily[EntryDate],DATE(2026,7,26),tblDaily[WardCode],"BH")),"")</f>
        <v/>
      </c>
      <c r="H266" s="5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IFERROR(IF(SUMIFS(tblDaily[Admissions],tblDaily[EntryDate],DATE(2026,7,27),tblDaily[WardCode],"BH")=0,"",SUMIFS(tblDaily[Admissions],tblDaily[EntryDate],DATE(2026,7,27),tblDaily[WardCode],"BH")),"")</f>
        <v/>
      </c>
      <c r="C267" s="5" t="str">
        <f>IFERROR(IF(SUMIFS(tblDaily[Discharges],tblDaily[EntryDate],DATE(2026,7,27),tblDaily[WardCode],"BH")=0,"",SUMIFS(tblDaily[Discharges],tblDaily[EntryDate],DATE(2026,7,27),tblDaily[WardCode],"BH")),"")</f>
        <v/>
      </c>
      <c r="D267" s="5" t="str">
        <f>IFERROR(IF(SUMIFS(tblDaily[Deaths],tblDaily[EntryDate],DATE(2026,7,27),tblDaily[WardCode],"BH")=0,"",SUMIFS(tblDaily[Deaths],tblDaily[EntryDate],DATE(2026,7,27),tblDaily[WardCode],"BH")),"")</f>
        <v/>
      </c>
      <c r="E267" s="5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5" t="str">
        <f>IFERROR(IF(SUMIFS(tblDaily[TransfersIn],tblDaily[EntryDate],DATE(2026,7,27),tblDaily[WardCode],"BH")=0,"",SUMIFS(tblDaily[TransfersIn],tblDaily[EntryDate],DATE(2026,7,27),tblDaily[WardCode],"BH")),"")</f>
        <v/>
      </c>
      <c r="G267" s="5" t="str">
        <f>IFERROR(IF(SUMIFS(tblDaily[TransfersOut],tblDaily[EntryDate],DATE(2026,7,27),tblDaily[WardCode],"BH")=0,"",SUMIFS(tblDaily[TransfersOut],tblDaily[EntryDate],DATE(2026,7,27),tblDaily[WardCode],"BH")),"")</f>
        <v/>
      </c>
      <c r="H267" s="5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IFERROR(IF(SUMIFS(tblDaily[Admissions],tblDaily[EntryDate],DATE(2026,7,28),tblDaily[WardCode],"BH")=0,"",SUMIFS(tblDaily[Admissions],tblDaily[EntryDate],DATE(2026,7,28),tblDaily[WardCode],"BH")),"")</f>
        <v/>
      </c>
      <c r="C268" s="5" t="str">
        <f>IFERROR(IF(SUMIFS(tblDaily[Discharges],tblDaily[EntryDate],DATE(2026,7,28),tblDaily[WardCode],"BH")=0,"",SUMIFS(tblDaily[Discharges],tblDaily[EntryDate],DATE(2026,7,28),tblDaily[WardCode],"BH")),"")</f>
        <v/>
      </c>
      <c r="D268" s="5" t="str">
        <f>IFERROR(IF(SUMIFS(tblDaily[Deaths],tblDaily[EntryDate],DATE(2026,7,28),tblDaily[WardCode],"BH")=0,"",SUMIFS(tblDaily[Deaths],tblDaily[EntryDate],DATE(2026,7,28),tblDaily[WardCode],"BH")),"")</f>
        <v/>
      </c>
      <c r="E268" s="5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5" t="str">
        <f>IFERROR(IF(SUMIFS(tblDaily[TransfersIn],tblDaily[EntryDate],DATE(2026,7,28),tblDaily[WardCode],"BH")=0,"",SUMIFS(tblDaily[TransfersIn],tblDaily[EntryDate],DATE(2026,7,28),tblDaily[WardCode],"BH")),"")</f>
        <v/>
      </c>
      <c r="G268" s="5" t="str">
        <f>IFERROR(IF(SUMIFS(tblDaily[TransfersOut],tblDaily[EntryDate],DATE(2026,7,28),tblDaily[WardCode],"BH")=0,"",SUMIFS(tblDaily[TransfersOut],tblDaily[EntryDate],DATE(2026,7,28),tblDaily[WardCode],"BH")),"")</f>
        <v/>
      </c>
      <c r="H268" s="5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IFERROR(IF(SUMIFS(tblDaily[Admissions],tblDaily[EntryDate],DATE(2026,7,29),tblDaily[WardCode],"BH")=0,"",SUMIFS(tblDaily[Admissions],tblDaily[EntryDate],DATE(2026,7,29),tblDaily[WardCode],"BH")),"")</f>
        <v/>
      </c>
      <c r="C269" s="5" t="str">
        <f>IFERROR(IF(SUMIFS(tblDaily[Discharges],tblDaily[EntryDate],DATE(2026,7,29),tblDaily[WardCode],"BH")=0,"",SUMIFS(tblDaily[Discharges],tblDaily[EntryDate],DATE(2026,7,29),tblDaily[WardCode],"BH")),"")</f>
        <v/>
      </c>
      <c r="D269" s="5" t="str">
        <f>IFERROR(IF(SUMIFS(tblDaily[Deaths],tblDaily[EntryDate],DATE(2026,7,29),tblDaily[WardCode],"BH")=0,"",SUMIFS(tblDaily[Deaths],tblDaily[EntryDate],DATE(2026,7,29),tblDaily[WardCode],"BH")),"")</f>
        <v/>
      </c>
      <c r="E269" s="5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5" t="str">
        <f>IFERROR(IF(SUMIFS(tblDaily[TransfersIn],tblDaily[EntryDate],DATE(2026,7,29),tblDaily[WardCode],"BH")=0,"",SUMIFS(tblDaily[TransfersIn],tblDaily[EntryDate],DATE(2026,7,29),tblDaily[WardCode],"BH")),"")</f>
        <v/>
      </c>
      <c r="G269" s="5" t="str">
        <f>IFERROR(IF(SUMIFS(tblDaily[TransfersOut],tblDaily[EntryDate],DATE(2026,7,29),tblDaily[WardCode],"BH")=0,"",SUMIFS(tblDaily[TransfersOut],tblDaily[EntryDate],DATE(2026,7,29),tblDaily[WardCode],"BH")),"")</f>
        <v/>
      </c>
      <c r="H269" s="5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IFERROR(IF(SUMIFS(tblDaily[Admissions],tblDaily[EntryDate],DATE(2026,7,30),tblDaily[WardCode],"BH")=0,"",SUMIFS(tblDaily[Admissions],tblDaily[EntryDate],DATE(2026,7,30),tblDaily[WardCode],"BH")),"")</f>
        <v/>
      </c>
      <c r="C270" s="5" t="str">
        <f>IFERROR(IF(SUMIFS(tblDaily[Discharges],tblDaily[EntryDate],DATE(2026,7,30),tblDaily[WardCode],"BH")=0,"",SUMIFS(tblDaily[Discharges],tblDaily[EntryDate],DATE(2026,7,30),tblDaily[WardCode],"BH")),"")</f>
        <v/>
      </c>
      <c r="D270" s="5" t="str">
        <f>IFERROR(IF(SUMIFS(tblDaily[Deaths],tblDaily[EntryDate],DATE(2026,7,30),tblDaily[WardCode],"BH")=0,"",SUMIFS(tblDaily[Deaths],tblDaily[EntryDate],DATE(2026,7,30),tblDaily[WardCode],"BH")),"")</f>
        <v/>
      </c>
      <c r="E270" s="5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5" t="str">
        <f>IFERROR(IF(SUMIFS(tblDaily[TransfersIn],tblDaily[EntryDate],DATE(2026,7,30),tblDaily[WardCode],"BH")=0,"",SUMIFS(tblDaily[TransfersIn],tblDaily[EntryDate],DATE(2026,7,30),tblDaily[WardCode],"BH")),"")</f>
        <v/>
      </c>
      <c r="G270" s="5" t="str">
        <f>IFERROR(IF(SUMIFS(tblDaily[TransfersOut],tblDaily[EntryDate],DATE(2026,7,30),tblDaily[WardCode],"BH")=0,"",SUMIFS(tblDaily[TransfersOut],tblDaily[EntryDate],DATE(2026,7,30),tblDaily[WardCode],"BH")),"")</f>
        <v/>
      </c>
      <c r="H270" s="5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IFERROR(IF(SUMIFS(tblDaily[Admissions],tblDaily[EntryDate],DATE(2026,7,31),tblDaily[WardCode],"BH")=0,"",SUMIFS(tblDaily[Admissions],tblDaily[EntryDate],DATE(2026,7,31),tblDaily[WardCode],"BH")),"")</f>
        <v/>
      </c>
      <c r="C271" s="5" t="str">
        <f>IFERROR(IF(SUMIFS(tblDaily[Discharges],tblDaily[EntryDate],DATE(2026,7,31),tblDaily[WardCode],"BH")=0,"",SUMIFS(tblDaily[Discharges],tblDaily[EntryDate],DATE(2026,7,31),tblDaily[WardCode],"BH")),"")</f>
        <v/>
      </c>
      <c r="D271" s="5" t="str">
        <f>IFERROR(IF(SUMIFS(tblDaily[Deaths],tblDaily[EntryDate],DATE(2026,7,31),tblDaily[WardCode],"BH")=0,"",SUMIFS(tblDaily[Deaths],tblDaily[EntryDate],DATE(2026,7,31),tblDaily[WardCode],"BH")),"")</f>
        <v/>
      </c>
      <c r="E271" s="5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5" t="str">
        <f>IFERROR(IF(SUMIFS(tblDaily[TransfersIn],tblDaily[EntryDate],DATE(2026,7,31),tblDaily[WardCode],"BH")=0,"",SUMIFS(tblDaily[TransfersIn],tblDaily[EntryDate],DATE(2026,7,31),tblDaily[WardCode],"BH")),"")</f>
        <v/>
      </c>
      <c r="G271" s="5" t="str">
        <f>IFERROR(IF(SUMIFS(tblDaily[TransfersOut],tblDaily[EntryDate],DATE(2026,7,31),tblDaily[WardCode],"BH")=0,"",SUMIFS(tblDaily[TransfersOut],tblDaily[EntryDate],DATE(2026,7,31),tblDaily[WardCode],"BH")),"")</f>
        <v/>
      </c>
      <c r="H271" s="5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95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100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89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IFERROR(IF(SUMIFS(tblDaily[Admissions],tblDaily[EntryDate],DATE(2026,8,1),tblDaily[WardCode],"BH")=0,"",SUMIFS(tblDaily[Admissions],tblDaily[EntryDate],DATE(2026,8,1),tblDaily[WardCode],"BH")),"")</f>
        <v/>
      </c>
      <c r="C280" s="5" t="str">
        <f>IFERROR(IF(SUMIFS(tblDaily[Discharges],tblDaily[EntryDate],DATE(2026,8,1),tblDaily[WardCode],"BH")=0,"",SUMIFS(tblDaily[Discharges],tblDaily[EntryDate],DATE(2026,8,1),tblDaily[WardCode],"BH")),"")</f>
        <v/>
      </c>
      <c r="D280" s="5" t="str">
        <f>IFERROR(IF(SUMIFS(tblDaily[Deaths],tblDaily[EntryDate],DATE(2026,8,1),tblDaily[WardCode],"BH")=0,"",SUMIFS(tblDaily[Deaths],tblDaily[EntryDate],DATE(2026,8,1),tblDaily[WardCode],"BH")),"")</f>
        <v/>
      </c>
      <c r="E280" s="5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5" t="str">
        <f>IFERROR(IF(SUMIFS(tblDaily[TransfersIn],tblDaily[EntryDate],DATE(2026,8,1),tblDaily[WardCode],"BH")=0,"",SUMIFS(tblDaily[TransfersIn],tblDaily[EntryDate],DATE(2026,8,1),tblDaily[WardCode],"BH")),"")</f>
        <v/>
      </c>
      <c r="G280" s="5" t="str">
        <f>IFERROR(IF(SUMIFS(tblDaily[TransfersOut],tblDaily[EntryDate],DATE(2026,8,1),tblDaily[WardCode],"BH")=0,"",SUMIFS(tblDaily[TransfersOut],tblDaily[EntryDate],DATE(2026,8,1),tblDaily[WardCode],"BH")),"")</f>
        <v/>
      </c>
      <c r="H280" s="5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IFERROR(IF(SUMIFS(tblDaily[Admissions],tblDaily[EntryDate],DATE(2026,8,2),tblDaily[WardCode],"BH")=0,"",SUMIFS(tblDaily[Admissions],tblDaily[EntryDate],DATE(2026,8,2),tblDaily[WardCode],"BH")),"")</f>
        <v/>
      </c>
      <c r="C281" s="5" t="str">
        <f>IFERROR(IF(SUMIFS(tblDaily[Discharges],tblDaily[EntryDate],DATE(2026,8,2),tblDaily[WardCode],"BH")=0,"",SUMIFS(tblDaily[Discharges],tblDaily[EntryDate],DATE(2026,8,2),tblDaily[WardCode],"BH")),"")</f>
        <v/>
      </c>
      <c r="D281" s="5" t="str">
        <f>IFERROR(IF(SUMIFS(tblDaily[Deaths],tblDaily[EntryDate],DATE(2026,8,2),tblDaily[WardCode],"BH")=0,"",SUMIFS(tblDaily[Deaths],tblDaily[EntryDate],DATE(2026,8,2),tblDaily[WardCode],"BH")),"")</f>
        <v/>
      </c>
      <c r="E281" s="5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5" t="str">
        <f>IFERROR(IF(SUMIFS(tblDaily[TransfersIn],tblDaily[EntryDate],DATE(2026,8,2),tblDaily[WardCode],"BH")=0,"",SUMIFS(tblDaily[TransfersIn],tblDaily[EntryDate],DATE(2026,8,2),tblDaily[WardCode],"BH")),"")</f>
        <v/>
      </c>
      <c r="G281" s="5" t="str">
        <f>IFERROR(IF(SUMIFS(tblDaily[TransfersOut],tblDaily[EntryDate],DATE(2026,8,2),tblDaily[WardCode],"BH")=0,"",SUMIFS(tblDaily[TransfersOut],tblDaily[EntryDate],DATE(2026,8,2),tblDaily[WardCode],"BH")),"")</f>
        <v/>
      </c>
      <c r="H281" s="5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IFERROR(IF(SUMIFS(tblDaily[Admissions],tblDaily[EntryDate],DATE(2026,8,3),tblDaily[WardCode],"BH")=0,"",SUMIFS(tblDaily[Admissions],tblDaily[EntryDate],DATE(2026,8,3),tblDaily[WardCode],"BH")),"")</f>
        <v/>
      </c>
      <c r="C282" s="5" t="str">
        <f>IFERROR(IF(SUMIFS(tblDaily[Discharges],tblDaily[EntryDate],DATE(2026,8,3),tblDaily[WardCode],"BH")=0,"",SUMIFS(tblDaily[Discharges],tblDaily[EntryDate],DATE(2026,8,3),tblDaily[WardCode],"BH")),"")</f>
        <v/>
      </c>
      <c r="D282" s="5" t="str">
        <f>IFERROR(IF(SUMIFS(tblDaily[Deaths],tblDaily[EntryDate],DATE(2026,8,3),tblDaily[WardCode],"BH")=0,"",SUMIFS(tblDaily[Deaths],tblDaily[EntryDate],DATE(2026,8,3),tblDaily[WardCode],"BH")),"")</f>
        <v/>
      </c>
      <c r="E282" s="5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5" t="str">
        <f>IFERROR(IF(SUMIFS(tblDaily[TransfersIn],tblDaily[EntryDate],DATE(2026,8,3),tblDaily[WardCode],"BH")=0,"",SUMIFS(tblDaily[TransfersIn],tblDaily[EntryDate],DATE(2026,8,3),tblDaily[WardCode],"BH")),"")</f>
        <v/>
      </c>
      <c r="G282" s="5" t="str">
        <f>IFERROR(IF(SUMIFS(tblDaily[TransfersOut],tblDaily[EntryDate],DATE(2026,8,3),tblDaily[WardCode],"BH")=0,"",SUMIFS(tblDaily[TransfersOut],tblDaily[EntryDate],DATE(2026,8,3),tblDaily[WardCode],"BH")),"")</f>
        <v/>
      </c>
      <c r="H282" s="5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IFERROR(IF(SUMIFS(tblDaily[Admissions],tblDaily[EntryDate],DATE(2026,8,4),tblDaily[WardCode],"BH")=0,"",SUMIFS(tblDaily[Admissions],tblDaily[EntryDate],DATE(2026,8,4),tblDaily[WardCode],"BH")),"")</f>
        <v/>
      </c>
      <c r="C283" s="5" t="str">
        <f>IFERROR(IF(SUMIFS(tblDaily[Discharges],tblDaily[EntryDate],DATE(2026,8,4),tblDaily[WardCode],"BH")=0,"",SUMIFS(tblDaily[Discharges],tblDaily[EntryDate],DATE(2026,8,4),tblDaily[WardCode],"BH")),"")</f>
        <v/>
      </c>
      <c r="D283" s="5" t="str">
        <f>IFERROR(IF(SUMIFS(tblDaily[Deaths],tblDaily[EntryDate],DATE(2026,8,4),tblDaily[WardCode],"BH")=0,"",SUMIFS(tblDaily[Deaths],tblDaily[EntryDate],DATE(2026,8,4),tblDaily[WardCode],"BH")),"")</f>
        <v/>
      </c>
      <c r="E283" s="5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5" t="str">
        <f>IFERROR(IF(SUMIFS(tblDaily[TransfersIn],tblDaily[EntryDate],DATE(2026,8,4),tblDaily[WardCode],"BH")=0,"",SUMIFS(tblDaily[TransfersIn],tblDaily[EntryDate],DATE(2026,8,4),tblDaily[WardCode],"BH")),"")</f>
        <v/>
      </c>
      <c r="G283" s="5" t="str">
        <f>IFERROR(IF(SUMIFS(tblDaily[TransfersOut],tblDaily[EntryDate],DATE(2026,8,4),tblDaily[WardCode],"BH")=0,"",SUMIFS(tblDaily[TransfersOut],tblDaily[EntryDate],DATE(2026,8,4),tblDaily[WardCode],"BH")),"")</f>
        <v/>
      </c>
      <c r="H283" s="5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IFERROR(IF(SUMIFS(tblDaily[Admissions],tblDaily[EntryDate],DATE(2026,8,5),tblDaily[WardCode],"BH")=0,"",SUMIFS(tblDaily[Admissions],tblDaily[EntryDate],DATE(2026,8,5),tblDaily[WardCode],"BH")),"")</f>
        <v/>
      </c>
      <c r="C284" s="5" t="str">
        <f>IFERROR(IF(SUMIFS(tblDaily[Discharges],tblDaily[EntryDate],DATE(2026,8,5),tblDaily[WardCode],"BH")=0,"",SUMIFS(tblDaily[Discharges],tblDaily[EntryDate],DATE(2026,8,5),tblDaily[WardCode],"BH")),"")</f>
        <v/>
      </c>
      <c r="D284" s="5" t="str">
        <f>IFERROR(IF(SUMIFS(tblDaily[Deaths],tblDaily[EntryDate],DATE(2026,8,5),tblDaily[WardCode],"BH")=0,"",SUMIFS(tblDaily[Deaths],tblDaily[EntryDate],DATE(2026,8,5),tblDaily[WardCode],"BH")),"")</f>
        <v/>
      </c>
      <c r="E284" s="5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5" t="str">
        <f>IFERROR(IF(SUMIFS(tblDaily[TransfersIn],tblDaily[EntryDate],DATE(2026,8,5),tblDaily[WardCode],"BH")=0,"",SUMIFS(tblDaily[TransfersIn],tblDaily[EntryDate],DATE(2026,8,5),tblDaily[WardCode],"BH")),"")</f>
        <v/>
      </c>
      <c r="G284" s="5" t="str">
        <f>IFERROR(IF(SUMIFS(tblDaily[TransfersOut],tblDaily[EntryDate],DATE(2026,8,5),tblDaily[WardCode],"BH")=0,"",SUMIFS(tblDaily[TransfersOut],tblDaily[EntryDate],DATE(2026,8,5),tblDaily[WardCode],"BH")),"")</f>
        <v/>
      </c>
      <c r="H284" s="5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IFERROR(IF(SUMIFS(tblDaily[Admissions],tblDaily[EntryDate],DATE(2026,8,6),tblDaily[WardCode],"BH")=0,"",SUMIFS(tblDaily[Admissions],tblDaily[EntryDate],DATE(2026,8,6),tblDaily[WardCode],"BH")),"")</f>
        <v/>
      </c>
      <c r="C285" s="5" t="str">
        <f>IFERROR(IF(SUMIFS(tblDaily[Discharges],tblDaily[EntryDate],DATE(2026,8,6),tblDaily[WardCode],"BH")=0,"",SUMIFS(tblDaily[Discharges],tblDaily[EntryDate],DATE(2026,8,6),tblDaily[WardCode],"BH")),"")</f>
        <v/>
      </c>
      <c r="D285" s="5" t="str">
        <f>IFERROR(IF(SUMIFS(tblDaily[Deaths],tblDaily[EntryDate],DATE(2026,8,6),tblDaily[WardCode],"BH")=0,"",SUMIFS(tblDaily[Deaths],tblDaily[EntryDate],DATE(2026,8,6),tblDaily[WardCode],"BH")),"")</f>
        <v/>
      </c>
      <c r="E285" s="5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5" t="str">
        <f>IFERROR(IF(SUMIFS(tblDaily[TransfersIn],tblDaily[EntryDate],DATE(2026,8,6),tblDaily[WardCode],"BH")=0,"",SUMIFS(tblDaily[TransfersIn],tblDaily[EntryDate],DATE(2026,8,6),tblDaily[WardCode],"BH")),"")</f>
        <v/>
      </c>
      <c r="G285" s="5" t="str">
        <f>IFERROR(IF(SUMIFS(tblDaily[TransfersOut],tblDaily[EntryDate],DATE(2026,8,6),tblDaily[WardCode],"BH")=0,"",SUMIFS(tblDaily[TransfersOut],tblDaily[EntryDate],DATE(2026,8,6),tblDaily[WardCode],"BH")),"")</f>
        <v/>
      </c>
      <c r="H285" s="5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IFERROR(IF(SUMIFS(tblDaily[Admissions],tblDaily[EntryDate],DATE(2026,8,7),tblDaily[WardCode],"BH")=0,"",SUMIFS(tblDaily[Admissions],tblDaily[EntryDate],DATE(2026,8,7),tblDaily[WardCode],"BH")),"")</f>
        <v/>
      </c>
      <c r="C286" s="5" t="str">
        <f>IFERROR(IF(SUMIFS(tblDaily[Discharges],tblDaily[EntryDate],DATE(2026,8,7),tblDaily[WardCode],"BH")=0,"",SUMIFS(tblDaily[Discharges],tblDaily[EntryDate],DATE(2026,8,7),tblDaily[WardCode],"BH")),"")</f>
        <v/>
      </c>
      <c r="D286" s="5" t="str">
        <f>IFERROR(IF(SUMIFS(tblDaily[Deaths],tblDaily[EntryDate],DATE(2026,8,7),tblDaily[WardCode],"BH")=0,"",SUMIFS(tblDaily[Deaths],tblDaily[EntryDate],DATE(2026,8,7),tblDaily[WardCode],"BH")),"")</f>
        <v/>
      </c>
      <c r="E286" s="5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5" t="str">
        <f>IFERROR(IF(SUMIFS(tblDaily[TransfersIn],tblDaily[EntryDate],DATE(2026,8,7),tblDaily[WardCode],"BH")=0,"",SUMIFS(tblDaily[TransfersIn],tblDaily[EntryDate],DATE(2026,8,7),tblDaily[WardCode],"BH")),"")</f>
        <v/>
      </c>
      <c r="G286" s="5" t="str">
        <f>IFERROR(IF(SUMIFS(tblDaily[TransfersOut],tblDaily[EntryDate],DATE(2026,8,7),tblDaily[WardCode],"BH")=0,"",SUMIFS(tblDaily[TransfersOut],tblDaily[EntryDate],DATE(2026,8,7),tblDaily[WardCode],"BH")),"")</f>
        <v/>
      </c>
      <c r="H286" s="5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IFERROR(IF(SUMIFS(tblDaily[Admissions],tblDaily[EntryDate],DATE(2026,8,8),tblDaily[WardCode],"BH")=0,"",SUMIFS(tblDaily[Admissions],tblDaily[EntryDate],DATE(2026,8,8),tblDaily[WardCode],"BH")),"")</f>
        <v/>
      </c>
      <c r="C287" s="5" t="str">
        <f>IFERROR(IF(SUMIFS(tblDaily[Discharges],tblDaily[EntryDate],DATE(2026,8,8),tblDaily[WardCode],"BH")=0,"",SUMIFS(tblDaily[Discharges],tblDaily[EntryDate],DATE(2026,8,8),tblDaily[WardCode],"BH")),"")</f>
        <v/>
      </c>
      <c r="D287" s="5" t="str">
        <f>IFERROR(IF(SUMIFS(tblDaily[Deaths],tblDaily[EntryDate],DATE(2026,8,8),tblDaily[WardCode],"BH")=0,"",SUMIFS(tblDaily[Deaths],tblDaily[EntryDate],DATE(2026,8,8),tblDaily[WardCode],"BH")),"")</f>
        <v/>
      </c>
      <c r="E287" s="5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5" t="str">
        <f>IFERROR(IF(SUMIFS(tblDaily[TransfersIn],tblDaily[EntryDate],DATE(2026,8,8),tblDaily[WardCode],"BH")=0,"",SUMIFS(tblDaily[TransfersIn],tblDaily[EntryDate],DATE(2026,8,8),tblDaily[WardCode],"BH")),"")</f>
        <v/>
      </c>
      <c r="G287" s="5" t="str">
        <f>IFERROR(IF(SUMIFS(tblDaily[TransfersOut],tblDaily[EntryDate],DATE(2026,8,8),tblDaily[WardCode],"BH")=0,"",SUMIFS(tblDaily[TransfersOut],tblDaily[EntryDate],DATE(2026,8,8),tblDaily[WardCode],"BH")),"")</f>
        <v/>
      </c>
      <c r="H287" s="5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IFERROR(IF(SUMIFS(tblDaily[Admissions],tblDaily[EntryDate],DATE(2026,8,9),tblDaily[WardCode],"BH")=0,"",SUMIFS(tblDaily[Admissions],tblDaily[EntryDate],DATE(2026,8,9),tblDaily[WardCode],"BH")),"")</f>
        <v/>
      </c>
      <c r="C288" s="5" t="str">
        <f>IFERROR(IF(SUMIFS(tblDaily[Discharges],tblDaily[EntryDate],DATE(2026,8,9),tblDaily[WardCode],"BH")=0,"",SUMIFS(tblDaily[Discharges],tblDaily[EntryDate],DATE(2026,8,9),tblDaily[WardCode],"BH")),"")</f>
        <v/>
      </c>
      <c r="D288" s="5" t="str">
        <f>IFERROR(IF(SUMIFS(tblDaily[Deaths],tblDaily[EntryDate],DATE(2026,8,9),tblDaily[WardCode],"BH")=0,"",SUMIFS(tblDaily[Deaths],tblDaily[EntryDate],DATE(2026,8,9),tblDaily[WardCode],"BH")),"")</f>
        <v/>
      </c>
      <c r="E288" s="5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5" t="str">
        <f>IFERROR(IF(SUMIFS(tblDaily[TransfersIn],tblDaily[EntryDate],DATE(2026,8,9),tblDaily[WardCode],"BH")=0,"",SUMIFS(tblDaily[TransfersIn],tblDaily[EntryDate],DATE(2026,8,9),tblDaily[WardCode],"BH")),"")</f>
        <v/>
      </c>
      <c r="G288" s="5" t="str">
        <f>IFERROR(IF(SUMIFS(tblDaily[TransfersOut],tblDaily[EntryDate],DATE(2026,8,9),tblDaily[WardCode],"BH")=0,"",SUMIFS(tblDaily[TransfersOut],tblDaily[EntryDate],DATE(2026,8,9),tblDaily[WardCode],"BH")),"")</f>
        <v/>
      </c>
      <c r="H288" s="5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IFERROR(IF(SUMIFS(tblDaily[Admissions],tblDaily[EntryDate],DATE(2026,8,10),tblDaily[WardCode],"BH")=0,"",SUMIFS(tblDaily[Admissions],tblDaily[EntryDate],DATE(2026,8,10),tblDaily[WardCode],"BH")),"")</f>
        <v/>
      </c>
      <c r="C289" s="5" t="str">
        <f>IFERROR(IF(SUMIFS(tblDaily[Discharges],tblDaily[EntryDate],DATE(2026,8,10),tblDaily[WardCode],"BH")=0,"",SUMIFS(tblDaily[Discharges],tblDaily[EntryDate],DATE(2026,8,10),tblDaily[WardCode],"BH")),"")</f>
        <v/>
      </c>
      <c r="D289" s="5" t="str">
        <f>IFERROR(IF(SUMIFS(tblDaily[Deaths],tblDaily[EntryDate],DATE(2026,8,10),tblDaily[WardCode],"BH")=0,"",SUMIFS(tblDaily[Deaths],tblDaily[EntryDate],DATE(2026,8,10),tblDaily[WardCode],"BH")),"")</f>
        <v/>
      </c>
      <c r="E289" s="5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5" t="str">
        <f>IFERROR(IF(SUMIFS(tblDaily[TransfersIn],tblDaily[EntryDate],DATE(2026,8,10),tblDaily[WardCode],"BH")=0,"",SUMIFS(tblDaily[TransfersIn],tblDaily[EntryDate],DATE(2026,8,10),tblDaily[WardCode],"BH")),"")</f>
        <v/>
      </c>
      <c r="G289" s="5" t="str">
        <f>IFERROR(IF(SUMIFS(tblDaily[TransfersOut],tblDaily[EntryDate],DATE(2026,8,10),tblDaily[WardCode],"BH")=0,"",SUMIFS(tblDaily[TransfersOut],tblDaily[EntryDate],DATE(2026,8,10),tblDaily[WardCode],"BH")),"")</f>
        <v/>
      </c>
      <c r="H289" s="5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IFERROR(IF(SUMIFS(tblDaily[Admissions],tblDaily[EntryDate],DATE(2026,8,11),tblDaily[WardCode],"BH")=0,"",SUMIFS(tblDaily[Admissions],tblDaily[EntryDate],DATE(2026,8,11),tblDaily[WardCode],"BH")),"")</f>
        <v/>
      </c>
      <c r="C290" s="5" t="str">
        <f>IFERROR(IF(SUMIFS(tblDaily[Discharges],tblDaily[EntryDate],DATE(2026,8,11),tblDaily[WardCode],"BH")=0,"",SUMIFS(tblDaily[Discharges],tblDaily[EntryDate],DATE(2026,8,11),tblDaily[WardCode],"BH")),"")</f>
        <v/>
      </c>
      <c r="D290" s="5" t="str">
        <f>IFERROR(IF(SUMIFS(tblDaily[Deaths],tblDaily[EntryDate],DATE(2026,8,11),tblDaily[WardCode],"BH")=0,"",SUMIFS(tblDaily[Deaths],tblDaily[EntryDate],DATE(2026,8,11),tblDaily[WardCode],"BH")),"")</f>
        <v/>
      </c>
      <c r="E290" s="5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5" t="str">
        <f>IFERROR(IF(SUMIFS(tblDaily[TransfersIn],tblDaily[EntryDate],DATE(2026,8,11),tblDaily[WardCode],"BH")=0,"",SUMIFS(tblDaily[TransfersIn],tblDaily[EntryDate],DATE(2026,8,11),tblDaily[WardCode],"BH")),"")</f>
        <v/>
      </c>
      <c r="G290" s="5" t="str">
        <f>IFERROR(IF(SUMIFS(tblDaily[TransfersOut],tblDaily[EntryDate],DATE(2026,8,11),tblDaily[WardCode],"BH")=0,"",SUMIFS(tblDaily[TransfersOut],tblDaily[EntryDate],DATE(2026,8,11),tblDaily[WardCode],"BH")),"")</f>
        <v/>
      </c>
      <c r="H290" s="5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IFERROR(IF(SUMIFS(tblDaily[Admissions],tblDaily[EntryDate],DATE(2026,8,12),tblDaily[WardCode],"BH")=0,"",SUMIFS(tblDaily[Admissions],tblDaily[EntryDate],DATE(2026,8,12),tblDaily[WardCode],"BH")),"")</f>
        <v/>
      </c>
      <c r="C291" s="5" t="str">
        <f>IFERROR(IF(SUMIFS(tblDaily[Discharges],tblDaily[EntryDate],DATE(2026,8,12),tblDaily[WardCode],"BH")=0,"",SUMIFS(tblDaily[Discharges],tblDaily[EntryDate],DATE(2026,8,12),tblDaily[WardCode],"BH")),"")</f>
        <v/>
      </c>
      <c r="D291" s="5" t="str">
        <f>IFERROR(IF(SUMIFS(tblDaily[Deaths],tblDaily[EntryDate],DATE(2026,8,12),tblDaily[WardCode],"BH")=0,"",SUMIFS(tblDaily[Deaths],tblDaily[EntryDate],DATE(2026,8,12),tblDaily[WardCode],"BH")),"")</f>
        <v/>
      </c>
      <c r="E291" s="5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5" t="str">
        <f>IFERROR(IF(SUMIFS(tblDaily[TransfersIn],tblDaily[EntryDate],DATE(2026,8,12),tblDaily[WardCode],"BH")=0,"",SUMIFS(tblDaily[TransfersIn],tblDaily[EntryDate],DATE(2026,8,12),tblDaily[WardCode],"BH")),"")</f>
        <v/>
      </c>
      <c r="G291" s="5" t="str">
        <f>IFERROR(IF(SUMIFS(tblDaily[TransfersOut],tblDaily[EntryDate],DATE(2026,8,12),tblDaily[WardCode],"BH")=0,"",SUMIFS(tblDaily[TransfersOut],tblDaily[EntryDate],DATE(2026,8,12),tblDaily[WardCode],"BH")),"")</f>
        <v/>
      </c>
      <c r="H291" s="5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IFERROR(IF(SUMIFS(tblDaily[Admissions],tblDaily[EntryDate],DATE(2026,8,13),tblDaily[WardCode],"BH")=0,"",SUMIFS(tblDaily[Admissions],tblDaily[EntryDate],DATE(2026,8,13),tblDaily[WardCode],"BH")),"")</f>
        <v/>
      </c>
      <c r="C292" s="5" t="str">
        <f>IFERROR(IF(SUMIFS(tblDaily[Discharges],tblDaily[EntryDate],DATE(2026,8,13),tblDaily[WardCode],"BH")=0,"",SUMIFS(tblDaily[Discharges],tblDaily[EntryDate],DATE(2026,8,13),tblDaily[WardCode],"BH")),"")</f>
        <v/>
      </c>
      <c r="D292" s="5" t="str">
        <f>IFERROR(IF(SUMIFS(tblDaily[Deaths],tblDaily[EntryDate],DATE(2026,8,13),tblDaily[WardCode],"BH")=0,"",SUMIFS(tblDaily[Deaths],tblDaily[EntryDate],DATE(2026,8,13),tblDaily[WardCode],"BH")),"")</f>
        <v/>
      </c>
      <c r="E292" s="5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5" t="str">
        <f>IFERROR(IF(SUMIFS(tblDaily[TransfersIn],tblDaily[EntryDate],DATE(2026,8,13),tblDaily[WardCode],"BH")=0,"",SUMIFS(tblDaily[TransfersIn],tblDaily[EntryDate],DATE(2026,8,13),tblDaily[WardCode],"BH")),"")</f>
        <v/>
      </c>
      <c r="G292" s="5" t="str">
        <f>IFERROR(IF(SUMIFS(tblDaily[TransfersOut],tblDaily[EntryDate],DATE(2026,8,13),tblDaily[WardCode],"BH")=0,"",SUMIFS(tblDaily[TransfersOut],tblDaily[EntryDate],DATE(2026,8,13),tblDaily[WardCode],"BH")),"")</f>
        <v/>
      </c>
      <c r="H292" s="5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IFERROR(IF(SUMIFS(tblDaily[Admissions],tblDaily[EntryDate],DATE(2026,8,14),tblDaily[WardCode],"BH")=0,"",SUMIFS(tblDaily[Admissions],tblDaily[EntryDate],DATE(2026,8,14),tblDaily[WardCode],"BH")),"")</f>
        <v/>
      </c>
      <c r="C293" s="5" t="str">
        <f>IFERROR(IF(SUMIFS(tblDaily[Discharges],tblDaily[EntryDate],DATE(2026,8,14),tblDaily[WardCode],"BH")=0,"",SUMIFS(tblDaily[Discharges],tblDaily[EntryDate],DATE(2026,8,14),tblDaily[WardCode],"BH")),"")</f>
        <v/>
      </c>
      <c r="D293" s="5" t="str">
        <f>IFERROR(IF(SUMIFS(tblDaily[Deaths],tblDaily[EntryDate],DATE(2026,8,14),tblDaily[WardCode],"BH")=0,"",SUMIFS(tblDaily[Deaths],tblDaily[EntryDate],DATE(2026,8,14),tblDaily[WardCode],"BH")),"")</f>
        <v/>
      </c>
      <c r="E293" s="5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5" t="str">
        <f>IFERROR(IF(SUMIFS(tblDaily[TransfersIn],tblDaily[EntryDate],DATE(2026,8,14),tblDaily[WardCode],"BH")=0,"",SUMIFS(tblDaily[TransfersIn],tblDaily[EntryDate],DATE(2026,8,14),tblDaily[WardCode],"BH")),"")</f>
        <v/>
      </c>
      <c r="G293" s="5" t="str">
        <f>IFERROR(IF(SUMIFS(tblDaily[TransfersOut],tblDaily[EntryDate],DATE(2026,8,14),tblDaily[WardCode],"BH")=0,"",SUMIFS(tblDaily[TransfersOut],tblDaily[EntryDate],DATE(2026,8,14),tblDaily[WardCode],"BH")),"")</f>
        <v/>
      </c>
      <c r="H293" s="5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IFERROR(IF(SUMIFS(tblDaily[Admissions],tblDaily[EntryDate],DATE(2026,8,15),tblDaily[WardCode],"BH")=0,"",SUMIFS(tblDaily[Admissions],tblDaily[EntryDate],DATE(2026,8,15),tblDaily[WardCode],"BH")),"")</f>
        <v/>
      </c>
      <c r="C294" s="5" t="str">
        <f>IFERROR(IF(SUMIFS(tblDaily[Discharges],tblDaily[EntryDate],DATE(2026,8,15),tblDaily[WardCode],"BH")=0,"",SUMIFS(tblDaily[Discharges],tblDaily[EntryDate],DATE(2026,8,15),tblDaily[WardCode],"BH")),"")</f>
        <v/>
      </c>
      <c r="D294" s="5" t="str">
        <f>IFERROR(IF(SUMIFS(tblDaily[Deaths],tblDaily[EntryDate],DATE(2026,8,15),tblDaily[WardCode],"BH")=0,"",SUMIFS(tblDaily[Deaths],tblDaily[EntryDate],DATE(2026,8,15),tblDaily[WardCode],"BH")),"")</f>
        <v/>
      </c>
      <c r="E294" s="5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5" t="str">
        <f>IFERROR(IF(SUMIFS(tblDaily[TransfersIn],tblDaily[EntryDate],DATE(2026,8,15),tblDaily[WardCode],"BH")=0,"",SUMIFS(tblDaily[TransfersIn],tblDaily[EntryDate],DATE(2026,8,15),tblDaily[WardCode],"BH")),"")</f>
        <v/>
      </c>
      <c r="G294" s="5" t="str">
        <f>IFERROR(IF(SUMIFS(tblDaily[TransfersOut],tblDaily[EntryDate],DATE(2026,8,15),tblDaily[WardCode],"BH")=0,"",SUMIFS(tblDaily[TransfersOut],tblDaily[EntryDate],DATE(2026,8,15),tblDaily[WardCode],"BH")),"")</f>
        <v/>
      </c>
      <c r="H294" s="5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IFERROR(IF(SUMIFS(tblDaily[Admissions],tblDaily[EntryDate],DATE(2026,8,16),tblDaily[WardCode],"BH")=0,"",SUMIFS(tblDaily[Admissions],tblDaily[EntryDate],DATE(2026,8,16),tblDaily[WardCode],"BH")),"")</f>
        <v/>
      </c>
      <c r="C295" s="5" t="str">
        <f>IFERROR(IF(SUMIFS(tblDaily[Discharges],tblDaily[EntryDate],DATE(2026,8,16),tblDaily[WardCode],"BH")=0,"",SUMIFS(tblDaily[Discharges],tblDaily[EntryDate],DATE(2026,8,16),tblDaily[WardCode],"BH")),"")</f>
        <v/>
      </c>
      <c r="D295" s="5" t="str">
        <f>IFERROR(IF(SUMIFS(tblDaily[Deaths],tblDaily[EntryDate],DATE(2026,8,16),tblDaily[WardCode],"BH")=0,"",SUMIFS(tblDaily[Deaths],tblDaily[EntryDate],DATE(2026,8,16),tblDaily[WardCode],"BH")),"")</f>
        <v/>
      </c>
      <c r="E295" s="5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5" t="str">
        <f>IFERROR(IF(SUMIFS(tblDaily[TransfersIn],tblDaily[EntryDate],DATE(2026,8,16),tblDaily[WardCode],"BH")=0,"",SUMIFS(tblDaily[TransfersIn],tblDaily[EntryDate],DATE(2026,8,16),tblDaily[WardCode],"BH")),"")</f>
        <v/>
      </c>
      <c r="G295" s="5" t="str">
        <f>IFERROR(IF(SUMIFS(tblDaily[TransfersOut],tblDaily[EntryDate],DATE(2026,8,16),tblDaily[WardCode],"BH")=0,"",SUMIFS(tblDaily[TransfersOut],tblDaily[EntryDate],DATE(2026,8,16),tblDaily[WardCode],"BH")),"")</f>
        <v/>
      </c>
      <c r="H295" s="5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IFERROR(IF(SUMIFS(tblDaily[Admissions],tblDaily[EntryDate],DATE(2026,8,17),tblDaily[WardCode],"BH")=0,"",SUMIFS(tblDaily[Admissions],tblDaily[EntryDate],DATE(2026,8,17),tblDaily[WardCode],"BH")),"")</f>
        <v/>
      </c>
      <c r="C296" s="5" t="str">
        <f>IFERROR(IF(SUMIFS(tblDaily[Discharges],tblDaily[EntryDate],DATE(2026,8,17),tblDaily[WardCode],"BH")=0,"",SUMIFS(tblDaily[Discharges],tblDaily[EntryDate],DATE(2026,8,17),tblDaily[WardCode],"BH")),"")</f>
        <v/>
      </c>
      <c r="D296" s="5" t="str">
        <f>IFERROR(IF(SUMIFS(tblDaily[Deaths],tblDaily[EntryDate],DATE(2026,8,17),tblDaily[WardCode],"BH")=0,"",SUMIFS(tblDaily[Deaths],tblDaily[EntryDate],DATE(2026,8,17),tblDaily[WardCode],"BH")),"")</f>
        <v/>
      </c>
      <c r="E296" s="5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5" t="str">
        <f>IFERROR(IF(SUMIFS(tblDaily[TransfersIn],tblDaily[EntryDate],DATE(2026,8,17),tblDaily[WardCode],"BH")=0,"",SUMIFS(tblDaily[TransfersIn],tblDaily[EntryDate],DATE(2026,8,17),tblDaily[WardCode],"BH")),"")</f>
        <v/>
      </c>
      <c r="G296" s="5" t="str">
        <f>IFERROR(IF(SUMIFS(tblDaily[TransfersOut],tblDaily[EntryDate],DATE(2026,8,17),tblDaily[WardCode],"BH")=0,"",SUMIFS(tblDaily[TransfersOut],tblDaily[EntryDate],DATE(2026,8,17),tblDaily[WardCode],"BH")),"")</f>
        <v/>
      </c>
      <c r="H296" s="5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IFERROR(IF(SUMIFS(tblDaily[Admissions],tblDaily[EntryDate],DATE(2026,8,18),tblDaily[WardCode],"BH")=0,"",SUMIFS(tblDaily[Admissions],tblDaily[EntryDate],DATE(2026,8,18),tblDaily[WardCode],"BH")),"")</f>
        <v/>
      </c>
      <c r="C297" s="5" t="str">
        <f>IFERROR(IF(SUMIFS(tblDaily[Discharges],tblDaily[EntryDate],DATE(2026,8,18),tblDaily[WardCode],"BH")=0,"",SUMIFS(tblDaily[Discharges],tblDaily[EntryDate],DATE(2026,8,18),tblDaily[WardCode],"BH")),"")</f>
        <v/>
      </c>
      <c r="D297" s="5" t="str">
        <f>IFERROR(IF(SUMIFS(tblDaily[Deaths],tblDaily[EntryDate],DATE(2026,8,18),tblDaily[WardCode],"BH")=0,"",SUMIFS(tblDaily[Deaths],tblDaily[EntryDate],DATE(2026,8,18),tblDaily[WardCode],"BH")),"")</f>
        <v/>
      </c>
      <c r="E297" s="5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5" t="str">
        <f>IFERROR(IF(SUMIFS(tblDaily[TransfersIn],tblDaily[EntryDate],DATE(2026,8,18),tblDaily[WardCode],"BH")=0,"",SUMIFS(tblDaily[TransfersIn],tblDaily[EntryDate],DATE(2026,8,18),tblDaily[WardCode],"BH")),"")</f>
        <v/>
      </c>
      <c r="G297" s="5" t="str">
        <f>IFERROR(IF(SUMIFS(tblDaily[TransfersOut],tblDaily[EntryDate],DATE(2026,8,18),tblDaily[WardCode],"BH")=0,"",SUMIFS(tblDaily[TransfersOut],tblDaily[EntryDate],DATE(2026,8,18),tblDaily[WardCode],"BH")),"")</f>
        <v/>
      </c>
      <c r="H297" s="5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IFERROR(IF(SUMIFS(tblDaily[Admissions],tblDaily[EntryDate],DATE(2026,8,19),tblDaily[WardCode],"BH")=0,"",SUMIFS(tblDaily[Admissions],tblDaily[EntryDate],DATE(2026,8,19),tblDaily[WardCode],"BH")),"")</f>
        <v/>
      </c>
      <c r="C298" s="5" t="str">
        <f>IFERROR(IF(SUMIFS(tblDaily[Discharges],tblDaily[EntryDate],DATE(2026,8,19),tblDaily[WardCode],"BH")=0,"",SUMIFS(tblDaily[Discharges],tblDaily[EntryDate],DATE(2026,8,19),tblDaily[WardCode],"BH")),"")</f>
        <v/>
      </c>
      <c r="D298" s="5" t="str">
        <f>IFERROR(IF(SUMIFS(tblDaily[Deaths],tblDaily[EntryDate],DATE(2026,8,19),tblDaily[WardCode],"BH")=0,"",SUMIFS(tblDaily[Deaths],tblDaily[EntryDate],DATE(2026,8,19),tblDaily[WardCode],"BH")),"")</f>
        <v/>
      </c>
      <c r="E298" s="5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5" t="str">
        <f>IFERROR(IF(SUMIFS(tblDaily[TransfersIn],tblDaily[EntryDate],DATE(2026,8,19),tblDaily[WardCode],"BH")=0,"",SUMIFS(tblDaily[TransfersIn],tblDaily[EntryDate],DATE(2026,8,19),tblDaily[WardCode],"BH")),"")</f>
        <v/>
      </c>
      <c r="G298" s="5" t="str">
        <f>IFERROR(IF(SUMIFS(tblDaily[TransfersOut],tblDaily[EntryDate],DATE(2026,8,19),tblDaily[WardCode],"BH")=0,"",SUMIFS(tblDaily[TransfersOut],tblDaily[EntryDate],DATE(2026,8,19),tblDaily[WardCode],"BH")),"")</f>
        <v/>
      </c>
      <c r="H298" s="5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IFERROR(IF(SUMIFS(tblDaily[Admissions],tblDaily[EntryDate],DATE(2026,8,20),tblDaily[WardCode],"BH")=0,"",SUMIFS(tblDaily[Admissions],tblDaily[EntryDate],DATE(2026,8,20),tblDaily[WardCode],"BH")),"")</f>
        <v/>
      </c>
      <c r="C299" s="5" t="str">
        <f>IFERROR(IF(SUMIFS(tblDaily[Discharges],tblDaily[EntryDate],DATE(2026,8,20),tblDaily[WardCode],"BH")=0,"",SUMIFS(tblDaily[Discharges],tblDaily[EntryDate],DATE(2026,8,20),tblDaily[WardCode],"BH")),"")</f>
        <v/>
      </c>
      <c r="D299" s="5" t="str">
        <f>IFERROR(IF(SUMIFS(tblDaily[Deaths],tblDaily[EntryDate],DATE(2026,8,20),tblDaily[WardCode],"BH")=0,"",SUMIFS(tblDaily[Deaths],tblDaily[EntryDate],DATE(2026,8,20),tblDaily[WardCode],"BH")),"")</f>
        <v/>
      </c>
      <c r="E299" s="5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5" t="str">
        <f>IFERROR(IF(SUMIFS(tblDaily[TransfersIn],tblDaily[EntryDate],DATE(2026,8,20),tblDaily[WardCode],"BH")=0,"",SUMIFS(tblDaily[TransfersIn],tblDaily[EntryDate],DATE(2026,8,20),tblDaily[WardCode],"BH")),"")</f>
        <v/>
      </c>
      <c r="G299" s="5" t="str">
        <f>IFERROR(IF(SUMIFS(tblDaily[TransfersOut],tblDaily[EntryDate],DATE(2026,8,20),tblDaily[WardCode],"BH")=0,"",SUMIFS(tblDaily[TransfersOut],tblDaily[EntryDate],DATE(2026,8,20),tblDaily[WardCode],"BH")),"")</f>
        <v/>
      </c>
      <c r="H299" s="5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IFERROR(IF(SUMIFS(tblDaily[Admissions],tblDaily[EntryDate],DATE(2026,8,21),tblDaily[WardCode],"BH")=0,"",SUMIFS(tblDaily[Admissions],tblDaily[EntryDate],DATE(2026,8,21),tblDaily[WardCode],"BH")),"")</f>
        <v/>
      </c>
      <c r="C300" s="5" t="str">
        <f>IFERROR(IF(SUMIFS(tblDaily[Discharges],tblDaily[EntryDate],DATE(2026,8,21),tblDaily[WardCode],"BH")=0,"",SUMIFS(tblDaily[Discharges],tblDaily[EntryDate],DATE(2026,8,21),tblDaily[WardCode],"BH")),"")</f>
        <v/>
      </c>
      <c r="D300" s="5" t="str">
        <f>IFERROR(IF(SUMIFS(tblDaily[Deaths],tblDaily[EntryDate],DATE(2026,8,21),tblDaily[WardCode],"BH")=0,"",SUMIFS(tblDaily[Deaths],tblDaily[EntryDate],DATE(2026,8,21),tblDaily[WardCode],"BH")),"")</f>
        <v/>
      </c>
      <c r="E300" s="5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5" t="str">
        <f>IFERROR(IF(SUMIFS(tblDaily[TransfersIn],tblDaily[EntryDate],DATE(2026,8,21),tblDaily[WardCode],"BH")=0,"",SUMIFS(tblDaily[TransfersIn],tblDaily[EntryDate],DATE(2026,8,21),tblDaily[WardCode],"BH")),"")</f>
        <v/>
      </c>
      <c r="G300" s="5" t="str">
        <f>IFERROR(IF(SUMIFS(tblDaily[TransfersOut],tblDaily[EntryDate],DATE(2026,8,21),tblDaily[WardCode],"BH")=0,"",SUMIFS(tblDaily[TransfersOut],tblDaily[EntryDate],DATE(2026,8,21),tblDaily[WardCode],"BH")),"")</f>
        <v/>
      </c>
      <c r="H300" s="5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IFERROR(IF(SUMIFS(tblDaily[Admissions],tblDaily[EntryDate],DATE(2026,8,22),tblDaily[WardCode],"BH")=0,"",SUMIFS(tblDaily[Admissions],tblDaily[EntryDate],DATE(2026,8,22),tblDaily[WardCode],"BH")),"")</f>
        <v/>
      </c>
      <c r="C301" s="5" t="str">
        <f>IFERROR(IF(SUMIFS(tblDaily[Discharges],tblDaily[EntryDate],DATE(2026,8,22),tblDaily[WardCode],"BH")=0,"",SUMIFS(tblDaily[Discharges],tblDaily[EntryDate],DATE(2026,8,22),tblDaily[WardCode],"BH")),"")</f>
        <v/>
      </c>
      <c r="D301" s="5" t="str">
        <f>IFERROR(IF(SUMIFS(tblDaily[Deaths],tblDaily[EntryDate],DATE(2026,8,22),tblDaily[WardCode],"BH")=0,"",SUMIFS(tblDaily[Deaths],tblDaily[EntryDate],DATE(2026,8,22),tblDaily[WardCode],"BH")),"")</f>
        <v/>
      </c>
      <c r="E301" s="5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5" t="str">
        <f>IFERROR(IF(SUMIFS(tblDaily[TransfersIn],tblDaily[EntryDate],DATE(2026,8,22),tblDaily[WardCode],"BH")=0,"",SUMIFS(tblDaily[TransfersIn],tblDaily[EntryDate],DATE(2026,8,22),tblDaily[WardCode],"BH")),"")</f>
        <v/>
      </c>
      <c r="G301" s="5" t="str">
        <f>IFERROR(IF(SUMIFS(tblDaily[TransfersOut],tblDaily[EntryDate],DATE(2026,8,22),tblDaily[WardCode],"BH")=0,"",SUMIFS(tblDaily[TransfersOut],tblDaily[EntryDate],DATE(2026,8,22),tblDaily[WardCode],"BH")),"")</f>
        <v/>
      </c>
      <c r="H301" s="5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IFERROR(IF(SUMIFS(tblDaily[Admissions],tblDaily[EntryDate],DATE(2026,8,23),tblDaily[WardCode],"BH")=0,"",SUMIFS(tblDaily[Admissions],tblDaily[EntryDate],DATE(2026,8,23),tblDaily[WardCode],"BH")),"")</f>
        <v/>
      </c>
      <c r="C302" s="5" t="str">
        <f>IFERROR(IF(SUMIFS(tblDaily[Discharges],tblDaily[EntryDate],DATE(2026,8,23),tblDaily[WardCode],"BH")=0,"",SUMIFS(tblDaily[Discharges],tblDaily[EntryDate],DATE(2026,8,23),tblDaily[WardCode],"BH")),"")</f>
        <v/>
      </c>
      <c r="D302" s="5" t="str">
        <f>IFERROR(IF(SUMIFS(tblDaily[Deaths],tblDaily[EntryDate],DATE(2026,8,23),tblDaily[WardCode],"BH")=0,"",SUMIFS(tblDaily[Deaths],tblDaily[EntryDate],DATE(2026,8,23),tblDaily[WardCode],"BH")),"")</f>
        <v/>
      </c>
      <c r="E302" s="5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5" t="str">
        <f>IFERROR(IF(SUMIFS(tblDaily[TransfersIn],tblDaily[EntryDate],DATE(2026,8,23),tblDaily[WardCode],"BH")=0,"",SUMIFS(tblDaily[TransfersIn],tblDaily[EntryDate],DATE(2026,8,23),tblDaily[WardCode],"BH")),"")</f>
        <v/>
      </c>
      <c r="G302" s="5" t="str">
        <f>IFERROR(IF(SUMIFS(tblDaily[TransfersOut],tblDaily[EntryDate],DATE(2026,8,23),tblDaily[WardCode],"BH")=0,"",SUMIFS(tblDaily[TransfersOut],tblDaily[EntryDate],DATE(2026,8,23),tblDaily[WardCode],"BH")),"")</f>
        <v/>
      </c>
      <c r="H302" s="5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IFERROR(IF(SUMIFS(tblDaily[Admissions],tblDaily[EntryDate],DATE(2026,8,24),tblDaily[WardCode],"BH")=0,"",SUMIFS(tblDaily[Admissions],tblDaily[EntryDate],DATE(2026,8,24),tblDaily[WardCode],"BH")),"")</f>
        <v/>
      </c>
      <c r="C303" s="5" t="str">
        <f>IFERROR(IF(SUMIFS(tblDaily[Discharges],tblDaily[EntryDate],DATE(2026,8,24),tblDaily[WardCode],"BH")=0,"",SUMIFS(tblDaily[Discharges],tblDaily[EntryDate],DATE(2026,8,24),tblDaily[WardCode],"BH")),"")</f>
        <v/>
      </c>
      <c r="D303" s="5" t="str">
        <f>IFERROR(IF(SUMIFS(tblDaily[Deaths],tblDaily[EntryDate],DATE(2026,8,24),tblDaily[WardCode],"BH")=0,"",SUMIFS(tblDaily[Deaths],tblDaily[EntryDate],DATE(2026,8,24),tblDaily[WardCode],"BH")),"")</f>
        <v/>
      </c>
      <c r="E303" s="5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5" t="str">
        <f>IFERROR(IF(SUMIFS(tblDaily[TransfersIn],tblDaily[EntryDate],DATE(2026,8,24),tblDaily[WardCode],"BH")=0,"",SUMIFS(tblDaily[TransfersIn],tblDaily[EntryDate],DATE(2026,8,24),tblDaily[WardCode],"BH")),"")</f>
        <v/>
      </c>
      <c r="G303" s="5" t="str">
        <f>IFERROR(IF(SUMIFS(tblDaily[TransfersOut],tblDaily[EntryDate],DATE(2026,8,24),tblDaily[WardCode],"BH")=0,"",SUMIFS(tblDaily[TransfersOut],tblDaily[EntryDate],DATE(2026,8,24),tblDaily[WardCode],"BH")),"")</f>
        <v/>
      </c>
      <c r="H303" s="5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IFERROR(IF(SUMIFS(tblDaily[Admissions],tblDaily[EntryDate],DATE(2026,8,25),tblDaily[WardCode],"BH")=0,"",SUMIFS(tblDaily[Admissions],tblDaily[EntryDate],DATE(2026,8,25),tblDaily[WardCode],"BH")),"")</f>
        <v/>
      </c>
      <c r="C304" s="5" t="str">
        <f>IFERROR(IF(SUMIFS(tblDaily[Discharges],tblDaily[EntryDate],DATE(2026,8,25),tblDaily[WardCode],"BH")=0,"",SUMIFS(tblDaily[Discharges],tblDaily[EntryDate],DATE(2026,8,25),tblDaily[WardCode],"BH")),"")</f>
        <v/>
      </c>
      <c r="D304" s="5" t="str">
        <f>IFERROR(IF(SUMIFS(tblDaily[Deaths],tblDaily[EntryDate],DATE(2026,8,25),tblDaily[WardCode],"BH")=0,"",SUMIFS(tblDaily[Deaths],tblDaily[EntryDate],DATE(2026,8,25),tblDaily[WardCode],"BH")),"")</f>
        <v/>
      </c>
      <c r="E304" s="5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5" t="str">
        <f>IFERROR(IF(SUMIFS(tblDaily[TransfersIn],tblDaily[EntryDate],DATE(2026,8,25),tblDaily[WardCode],"BH")=0,"",SUMIFS(tblDaily[TransfersIn],tblDaily[EntryDate],DATE(2026,8,25),tblDaily[WardCode],"BH")),"")</f>
        <v/>
      </c>
      <c r="G304" s="5" t="str">
        <f>IFERROR(IF(SUMIFS(tblDaily[TransfersOut],tblDaily[EntryDate],DATE(2026,8,25),tblDaily[WardCode],"BH")=0,"",SUMIFS(tblDaily[TransfersOut],tblDaily[EntryDate],DATE(2026,8,25),tblDaily[WardCode],"BH")),"")</f>
        <v/>
      </c>
      <c r="H304" s="5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IFERROR(IF(SUMIFS(tblDaily[Admissions],tblDaily[EntryDate],DATE(2026,8,26),tblDaily[WardCode],"BH")=0,"",SUMIFS(tblDaily[Admissions],tblDaily[EntryDate],DATE(2026,8,26),tblDaily[WardCode],"BH")),"")</f>
        <v/>
      </c>
      <c r="C305" s="5" t="str">
        <f>IFERROR(IF(SUMIFS(tblDaily[Discharges],tblDaily[EntryDate],DATE(2026,8,26),tblDaily[WardCode],"BH")=0,"",SUMIFS(tblDaily[Discharges],tblDaily[EntryDate],DATE(2026,8,26),tblDaily[WardCode],"BH")),"")</f>
        <v/>
      </c>
      <c r="D305" s="5" t="str">
        <f>IFERROR(IF(SUMIFS(tblDaily[Deaths],tblDaily[EntryDate],DATE(2026,8,26),tblDaily[WardCode],"BH")=0,"",SUMIFS(tblDaily[Deaths],tblDaily[EntryDate],DATE(2026,8,26),tblDaily[WardCode],"BH")),"")</f>
        <v/>
      </c>
      <c r="E305" s="5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5" t="str">
        <f>IFERROR(IF(SUMIFS(tblDaily[TransfersIn],tblDaily[EntryDate],DATE(2026,8,26),tblDaily[WardCode],"BH")=0,"",SUMIFS(tblDaily[TransfersIn],tblDaily[EntryDate],DATE(2026,8,26),tblDaily[WardCode],"BH")),"")</f>
        <v/>
      </c>
      <c r="G305" s="5" t="str">
        <f>IFERROR(IF(SUMIFS(tblDaily[TransfersOut],tblDaily[EntryDate],DATE(2026,8,26),tblDaily[WardCode],"BH")=0,"",SUMIFS(tblDaily[TransfersOut],tblDaily[EntryDate],DATE(2026,8,26),tblDaily[WardCode],"BH")),"")</f>
        <v/>
      </c>
      <c r="H305" s="5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IFERROR(IF(SUMIFS(tblDaily[Admissions],tblDaily[EntryDate],DATE(2026,8,27),tblDaily[WardCode],"BH")=0,"",SUMIFS(tblDaily[Admissions],tblDaily[EntryDate],DATE(2026,8,27),tblDaily[WardCode],"BH")),"")</f>
        <v/>
      </c>
      <c r="C306" s="5" t="str">
        <f>IFERROR(IF(SUMIFS(tblDaily[Discharges],tblDaily[EntryDate],DATE(2026,8,27),tblDaily[WardCode],"BH")=0,"",SUMIFS(tblDaily[Discharges],tblDaily[EntryDate],DATE(2026,8,27),tblDaily[WardCode],"BH")),"")</f>
        <v/>
      </c>
      <c r="D306" s="5" t="str">
        <f>IFERROR(IF(SUMIFS(tblDaily[Deaths],tblDaily[EntryDate],DATE(2026,8,27),tblDaily[WardCode],"BH")=0,"",SUMIFS(tblDaily[Deaths],tblDaily[EntryDate],DATE(2026,8,27),tblDaily[WardCode],"BH")),"")</f>
        <v/>
      </c>
      <c r="E306" s="5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5" t="str">
        <f>IFERROR(IF(SUMIFS(tblDaily[TransfersIn],tblDaily[EntryDate],DATE(2026,8,27),tblDaily[WardCode],"BH")=0,"",SUMIFS(tblDaily[TransfersIn],tblDaily[EntryDate],DATE(2026,8,27),tblDaily[WardCode],"BH")),"")</f>
        <v/>
      </c>
      <c r="G306" s="5" t="str">
        <f>IFERROR(IF(SUMIFS(tblDaily[TransfersOut],tblDaily[EntryDate],DATE(2026,8,27),tblDaily[WardCode],"BH")=0,"",SUMIFS(tblDaily[TransfersOut],tblDaily[EntryDate],DATE(2026,8,27),tblDaily[WardCode],"BH")),"")</f>
        <v/>
      </c>
      <c r="H306" s="5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IFERROR(IF(SUMIFS(tblDaily[Admissions],tblDaily[EntryDate],DATE(2026,8,28),tblDaily[WardCode],"BH")=0,"",SUMIFS(tblDaily[Admissions],tblDaily[EntryDate],DATE(2026,8,28),tblDaily[WardCode],"BH")),"")</f>
        <v/>
      </c>
      <c r="C307" s="5" t="str">
        <f>IFERROR(IF(SUMIFS(tblDaily[Discharges],tblDaily[EntryDate],DATE(2026,8,28),tblDaily[WardCode],"BH")=0,"",SUMIFS(tblDaily[Discharges],tblDaily[EntryDate],DATE(2026,8,28),tblDaily[WardCode],"BH")),"")</f>
        <v/>
      </c>
      <c r="D307" s="5" t="str">
        <f>IFERROR(IF(SUMIFS(tblDaily[Deaths],tblDaily[EntryDate],DATE(2026,8,28),tblDaily[WardCode],"BH")=0,"",SUMIFS(tblDaily[Deaths],tblDaily[EntryDate],DATE(2026,8,28),tblDaily[WardCode],"BH")),"")</f>
        <v/>
      </c>
      <c r="E307" s="5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5" t="str">
        <f>IFERROR(IF(SUMIFS(tblDaily[TransfersIn],tblDaily[EntryDate],DATE(2026,8,28),tblDaily[WardCode],"BH")=0,"",SUMIFS(tblDaily[TransfersIn],tblDaily[EntryDate],DATE(2026,8,28),tblDaily[WardCode],"BH")),"")</f>
        <v/>
      </c>
      <c r="G307" s="5" t="str">
        <f>IFERROR(IF(SUMIFS(tblDaily[TransfersOut],tblDaily[EntryDate],DATE(2026,8,28),tblDaily[WardCode],"BH")=0,"",SUMIFS(tblDaily[TransfersOut],tblDaily[EntryDate],DATE(2026,8,28),tblDaily[WardCode],"BH")),"")</f>
        <v/>
      </c>
      <c r="H307" s="5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IFERROR(IF(SUMIFS(tblDaily[Admissions],tblDaily[EntryDate],DATE(2026,8,29),tblDaily[WardCode],"BH")=0,"",SUMIFS(tblDaily[Admissions],tblDaily[EntryDate],DATE(2026,8,29),tblDaily[WardCode],"BH")),"")</f>
        <v/>
      </c>
      <c r="C308" s="5" t="str">
        <f>IFERROR(IF(SUMIFS(tblDaily[Discharges],tblDaily[EntryDate],DATE(2026,8,29),tblDaily[WardCode],"BH")=0,"",SUMIFS(tblDaily[Discharges],tblDaily[EntryDate],DATE(2026,8,29),tblDaily[WardCode],"BH")),"")</f>
        <v/>
      </c>
      <c r="D308" s="5" t="str">
        <f>IFERROR(IF(SUMIFS(tblDaily[Deaths],tblDaily[EntryDate],DATE(2026,8,29),tblDaily[WardCode],"BH")=0,"",SUMIFS(tblDaily[Deaths],tblDaily[EntryDate],DATE(2026,8,29),tblDaily[WardCode],"BH")),"")</f>
        <v/>
      </c>
      <c r="E308" s="5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5" t="str">
        <f>IFERROR(IF(SUMIFS(tblDaily[TransfersIn],tblDaily[EntryDate],DATE(2026,8,29),tblDaily[WardCode],"BH")=0,"",SUMIFS(tblDaily[TransfersIn],tblDaily[EntryDate],DATE(2026,8,29),tblDaily[WardCode],"BH")),"")</f>
        <v/>
      </c>
      <c r="G308" s="5" t="str">
        <f>IFERROR(IF(SUMIFS(tblDaily[TransfersOut],tblDaily[EntryDate],DATE(2026,8,29),tblDaily[WardCode],"BH")=0,"",SUMIFS(tblDaily[TransfersOut],tblDaily[EntryDate],DATE(2026,8,29),tblDaily[WardCode],"BH")),"")</f>
        <v/>
      </c>
      <c r="H308" s="5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IFERROR(IF(SUMIFS(tblDaily[Admissions],tblDaily[EntryDate],DATE(2026,8,30),tblDaily[WardCode],"BH")=0,"",SUMIFS(tblDaily[Admissions],tblDaily[EntryDate],DATE(2026,8,30),tblDaily[WardCode],"BH")),"")</f>
        <v/>
      </c>
      <c r="C309" s="5" t="str">
        <f>IFERROR(IF(SUMIFS(tblDaily[Discharges],tblDaily[EntryDate],DATE(2026,8,30),tblDaily[WardCode],"BH")=0,"",SUMIFS(tblDaily[Discharges],tblDaily[EntryDate],DATE(2026,8,30),tblDaily[WardCode],"BH")),"")</f>
        <v/>
      </c>
      <c r="D309" s="5" t="str">
        <f>IFERROR(IF(SUMIFS(tblDaily[Deaths],tblDaily[EntryDate],DATE(2026,8,30),tblDaily[WardCode],"BH")=0,"",SUMIFS(tblDaily[Deaths],tblDaily[EntryDate],DATE(2026,8,30),tblDaily[WardCode],"BH")),"")</f>
        <v/>
      </c>
      <c r="E309" s="5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5" t="str">
        <f>IFERROR(IF(SUMIFS(tblDaily[TransfersIn],tblDaily[EntryDate],DATE(2026,8,30),tblDaily[WardCode],"BH")=0,"",SUMIFS(tblDaily[TransfersIn],tblDaily[EntryDate],DATE(2026,8,30),tblDaily[WardCode],"BH")),"")</f>
        <v/>
      </c>
      <c r="G309" s="5" t="str">
        <f>IFERROR(IF(SUMIFS(tblDaily[TransfersOut],tblDaily[EntryDate],DATE(2026,8,30),tblDaily[WardCode],"BH")=0,"",SUMIFS(tblDaily[TransfersOut],tblDaily[EntryDate],DATE(2026,8,30),tblDaily[WardCode],"BH")),"")</f>
        <v/>
      </c>
      <c r="H309" s="5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IFERROR(IF(SUMIFS(tblDaily[Admissions],tblDaily[EntryDate],DATE(2026,8,31),tblDaily[WardCode],"BH")=0,"",SUMIFS(tblDaily[Admissions],tblDaily[EntryDate],DATE(2026,8,31),tblDaily[WardCode],"BH")),"")</f>
        <v/>
      </c>
      <c r="C310" s="5" t="str">
        <f>IFERROR(IF(SUMIFS(tblDaily[Discharges],tblDaily[EntryDate],DATE(2026,8,31),tblDaily[WardCode],"BH")=0,"",SUMIFS(tblDaily[Discharges],tblDaily[EntryDate],DATE(2026,8,31),tblDaily[WardCode],"BH")),"")</f>
        <v/>
      </c>
      <c r="D310" s="5" t="str">
        <f>IFERROR(IF(SUMIFS(tblDaily[Deaths],tblDaily[EntryDate],DATE(2026,8,31),tblDaily[WardCode],"BH")=0,"",SUMIFS(tblDaily[Deaths],tblDaily[EntryDate],DATE(2026,8,31),tblDaily[WardCode],"BH")),"")</f>
        <v/>
      </c>
      <c r="E310" s="5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5" t="str">
        <f>IFERROR(IF(SUMIFS(tblDaily[TransfersIn],tblDaily[EntryDate],DATE(2026,8,31),tblDaily[WardCode],"BH")=0,"",SUMIFS(tblDaily[TransfersIn],tblDaily[EntryDate],DATE(2026,8,31),tblDaily[WardCode],"BH")),"")</f>
        <v/>
      </c>
      <c r="G310" s="5" t="str">
        <f>IFERROR(IF(SUMIFS(tblDaily[TransfersOut],tblDaily[EntryDate],DATE(2026,8,31),tblDaily[WardCode],"BH")=0,"",SUMIFS(tblDaily[TransfersOut],tblDaily[EntryDate],DATE(2026,8,31),tblDaily[WardCode],"BH")),"")</f>
        <v/>
      </c>
      <c r="H310" s="5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95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100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89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IFERROR(IF(SUMIFS(tblDaily[Admissions],tblDaily[EntryDate],DATE(2026,9,1),tblDaily[WardCode],"BH")=0,"",SUMIFS(tblDaily[Admissions],tblDaily[EntryDate],DATE(2026,9,1),tblDaily[WardCode],"BH")),"")</f>
        <v/>
      </c>
      <c r="C319" s="5" t="str">
        <f>IFERROR(IF(SUMIFS(tblDaily[Discharges],tblDaily[EntryDate],DATE(2026,9,1),tblDaily[WardCode],"BH")=0,"",SUMIFS(tblDaily[Discharges],tblDaily[EntryDate],DATE(2026,9,1),tblDaily[WardCode],"BH")),"")</f>
        <v/>
      </c>
      <c r="D319" s="5" t="str">
        <f>IFERROR(IF(SUMIFS(tblDaily[Deaths],tblDaily[EntryDate],DATE(2026,9,1),tblDaily[WardCode],"BH")=0,"",SUMIFS(tblDaily[Deaths],tblDaily[EntryDate],DATE(2026,9,1),tblDaily[WardCode],"BH")),"")</f>
        <v/>
      </c>
      <c r="E319" s="5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5" t="str">
        <f>IFERROR(IF(SUMIFS(tblDaily[TransfersIn],tblDaily[EntryDate],DATE(2026,9,1),tblDaily[WardCode],"BH")=0,"",SUMIFS(tblDaily[TransfersIn],tblDaily[EntryDate],DATE(2026,9,1),tblDaily[WardCode],"BH")),"")</f>
        <v/>
      </c>
      <c r="G319" s="5" t="str">
        <f>IFERROR(IF(SUMIFS(tblDaily[TransfersOut],tblDaily[EntryDate],DATE(2026,9,1),tblDaily[WardCode],"BH")=0,"",SUMIFS(tblDaily[TransfersOut],tblDaily[EntryDate],DATE(2026,9,1),tblDaily[WardCode],"BH")),"")</f>
        <v/>
      </c>
      <c r="H319" s="5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IFERROR(IF(SUMIFS(tblDaily[Admissions],tblDaily[EntryDate],DATE(2026,9,2),tblDaily[WardCode],"BH")=0,"",SUMIFS(tblDaily[Admissions],tblDaily[EntryDate],DATE(2026,9,2),tblDaily[WardCode],"BH")),"")</f>
        <v/>
      </c>
      <c r="C320" s="5" t="str">
        <f>IFERROR(IF(SUMIFS(tblDaily[Discharges],tblDaily[EntryDate],DATE(2026,9,2),tblDaily[WardCode],"BH")=0,"",SUMIFS(tblDaily[Discharges],tblDaily[EntryDate],DATE(2026,9,2),tblDaily[WardCode],"BH")),"")</f>
        <v/>
      </c>
      <c r="D320" s="5" t="str">
        <f>IFERROR(IF(SUMIFS(tblDaily[Deaths],tblDaily[EntryDate],DATE(2026,9,2),tblDaily[WardCode],"BH")=0,"",SUMIFS(tblDaily[Deaths],tblDaily[EntryDate],DATE(2026,9,2),tblDaily[WardCode],"BH")),"")</f>
        <v/>
      </c>
      <c r="E320" s="5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5" t="str">
        <f>IFERROR(IF(SUMIFS(tblDaily[TransfersIn],tblDaily[EntryDate],DATE(2026,9,2),tblDaily[WardCode],"BH")=0,"",SUMIFS(tblDaily[TransfersIn],tblDaily[EntryDate],DATE(2026,9,2),tblDaily[WardCode],"BH")),"")</f>
        <v/>
      </c>
      <c r="G320" s="5" t="str">
        <f>IFERROR(IF(SUMIFS(tblDaily[TransfersOut],tblDaily[EntryDate],DATE(2026,9,2),tblDaily[WardCode],"BH")=0,"",SUMIFS(tblDaily[TransfersOut],tblDaily[EntryDate],DATE(2026,9,2),tblDaily[WardCode],"BH")),"")</f>
        <v/>
      </c>
      <c r="H320" s="5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IFERROR(IF(SUMIFS(tblDaily[Admissions],tblDaily[EntryDate],DATE(2026,9,3),tblDaily[WardCode],"BH")=0,"",SUMIFS(tblDaily[Admissions],tblDaily[EntryDate],DATE(2026,9,3),tblDaily[WardCode],"BH")),"")</f>
        <v/>
      </c>
      <c r="C321" s="5" t="str">
        <f>IFERROR(IF(SUMIFS(tblDaily[Discharges],tblDaily[EntryDate],DATE(2026,9,3),tblDaily[WardCode],"BH")=0,"",SUMIFS(tblDaily[Discharges],tblDaily[EntryDate],DATE(2026,9,3),tblDaily[WardCode],"BH")),"")</f>
        <v/>
      </c>
      <c r="D321" s="5" t="str">
        <f>IFERROR(IF(SUMIFS(tblDaily[Deaths],tblDaily[EntryDate],DATE(2026,9,3),tblDaily[WardCode],"BH")=0,"",SUMIFS(tblDaily[Deaths],tblDaily[EntryDate],DATE(2026,9,3),tblDaily[WardCode],"BH")),"")</f>
        <v/>
      </c>
      <c r="E321" s="5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5" t="str">
        <f>IFERROR(IF(SUMIFS(tblDaily[TransfersIn],tblDaily[EntryDate],DATE(2026,9,3),tblDaily[WardCode],"BH")=0,"",SUMIFS(tblDaily[TransfersIn],tblDaily[EntryDate],DATE(2026,9,3),tblDaily[WardCode],"BH")),"")</f>
        <v/>
      </c>
      <c r="G321" s="5" t="str">
        <f>IFERROR(IF(SUMIFS(tblDaily[TransfersOut],tblDaily[EntryDate],DATE(2026,9,3),tblDaily[WardCode],"BH")=0,"",SUMIFS(tblDaily[TransfersOut],tblDaily[EntryDate],DATE(2026,9,3),tblDaily[WardCode],"BH")),"")</f>
        <v/>
      </c>
      <c r="H321" s="5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IFERROR(IF(SUMIFS(tblDaily[Admissions],tblDaily[EntryDate],DATE(2026,9,4),tblDaily[WardCode],"BH")=0,"",SUMIFS(tblDaily[Admissions],tblDaily[EntryDate],DATE(2026,9,4),tblDaily[WardCode],"BH")),"")</f>
        <v/>
      </c>
      <c r="C322" s="5" t="str">
        <f>IFERROR(IF(SUMIFS(tblDaily[Discharges],tblDaily[EntryDate],DATE(2026,9,4),tblDaily[WardCode],"BH")=0,"",SUMIFS(tblDaily[Discharges],tblDaily[EntryDate],DATE(2026,9,4),tblDaily[WardCode],"BH")),"")</f>
        <v/>
      </c>
      <c r="D322" s="5" t="str">
        <f>IFERROR(IF(SUMIFS(tblDaily[Deaths],tblDaily[EntryDate],DATE(2026,9,4),tblDaily[WardCode],"BH")=0,"",SUMIFS(tblDaily[Deaths],tblDaily[EntryDate],DATE(2026,9,4),tblDaily[WardCode],"BH")),"")</f>
        <v/>
      </c>
      <c r="E322" s="5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5" t="str">
        <f>IFERROR(IF(SUMIFS(tblDaily[TransfersIn],tblDaily[EntryDate],DATE(2026,9,4),tblDaily[WardCode],"BH")=0,"",SUMIFS(tblDaily[TransfersIn],tblDaily[EntryDate],DATE(2026,9,4),tblDaily[WardCode],"BH")),"")</f>
        <v/>
      </c>
      <c r="G322" s="5" t="str">
        <f>IFERROR(IF(SUMIFS(tblDaily[TransfersOut],tblDaily[EntryDate],DATE(2026,9,4),tblDaily[WardCode],"BH")=0,"",SUMIFS(tblDaily[TransfersOut],tblDaily[EntryDate],DATE(2026,9,4),tblDaily[WardCode],"BH")),"")</f>
        <v/>
      </c>
      <c r="H322" s="5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IFERROR(IF(SUMIFS(tblDaily[Admissions],tblDaily[EntryDate],DATE(2026,9,5),tblDaily[WardCode],"BH")=0,"",SUMIFS(tblDaily[Admissions],tblDaily[EntryDate],DATE(2026,9,5),tblDaily[WardCode],"BH")),"")</f>
        <v/>
      </c>
      <c r="C323" s="5" t="str">
        <f>IFERROR(IF(SUMIFS(tblDaily[Discharges],tblDaily[EntryDate],DATE(2026,9,5),tblDaily[WardCode],"BH")=0,"",SUMIFS(tblDaily[Discharges],tblDaily[EntryDate],DATE(2026,9,5),tblDaily[WardCode],"BH")),"")</f>
        <v/>
      </c>
      <c r="D323" s="5" t="str">
        <f>IFERROR(IF(SUMIFS(tblDaily[Deaths],tblDaily[EntryDate],DATE(2026,9,5),tblDaily[WardCode],"BH")=0,"",SUMIFS(tblDaily[Deaths],tblDaily[EntryDate],DATE(2026,9,5),tblDaily[WardCode],"BH")),"")</f>
        <v/>
      </c>
      <c r="E323" s="5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5" t="str">
        <f>IFERROR(IF(SUMIFS(tblDaily[TransfersIn],tblDaily[EntryDate],DATE(2026,9,5),tblDaily[WardCode],"BH")=0,"",SUMIFS(tblDaily[TransfersIn],tblDaily[EntryDate],DATE(2026,9,5),tblDaily[WardCode],"BH")),"")</f>
        <v/>
      </c>
      <c r="G323" s="5" t="str">
        <f>IFERROR(IF(SUMIFS(tblDaily[TransfersOut],tblDaily[EntryDate],DATE(2026,9,5),tblDaily[WardCode],"BH")=0,"",SUMIFS(tblDaily[TransfersOut],tblDaily[EntryDate],DATE(2026,9,5),tblDaily[WardCode],"BH")),"")</f>
        <v/>
      </c>
      <c r="H323" s="5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IFERROR(IF(SUMIFS(tblDaily[Admissions],tblDaily[EntryDate],DATE(2026,9,6),tblDaily[WardCode],"BH")=0,"",SUMIFS(tblDaily[Admissions],tblDaily[EntryDate],DATE(2026,9,6),tblDaily[WardCode],"BH")),"")</f>
        <v/>
      </c>
      <c r="C324" s="5" t="str">
        <f>IFERROR(IF(SUMIFS(tblDaily[Discharges],tblDaily[EntryDate],DATE(2026,9,6),tblDaily[WardCode],"BH")=0,"",SUMIFS(tblDaily[Discharges],tblDaily[EntryDate],DATE(2026,9,6),tblDaily[WardCode],"BH")),"")</f>
        <v/>
      </c>
      <c r="D324" s="5" t="str">
        <f>IFERROR(IF(SUMIFS(tblDaily[Deaths],tblDaily[EntryDate],DATE(2026,9,6),tblDaily[WardCode],"BH")=0,"",SUMIFS(tblDaily[Deaths],tblDaily[EntryDate],DATE(2026,9,6),tblDaily[WardCode],"BH")),"")</f>
        <v/>
      </c>
      <c r="E324" s="5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5" t="str">
        <f>IFERROR(IF(SUMIFS(tblDaily[TransfersIn],tblDaily[EntryDate],DATE(2026,9,6),tblDaily[WardCode],"BH")=0,"",SUMIFS(tblDaily[TransfersIn],tblDaily[EntryDate],DATE(2026,9,6),tblDaily[WardCode],"BH")),"")</f>
        <v/>
      </c>
      <c r="G324" s="5" t="str">
        <f>IFERROR(IF(SUMIFS(tblDaily[TransfersOut],tblDaily[EntryDate],DATE(2026,9,6),tblDaily[WardCode],"BH")=0,"",SUMIFS(tblDaily[TransfersOut],tblDaily[EntryDate],DATE(2026,9,6),tblDaily[WardCode],"BH")),"")</f>
        <v/>
      </c>
      <c r="H324" s="5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IFERROR(IF(SUMIFS(tblDaily[Admissions],tblDaily[EntryDate],DATE(2026,9,7),tblDaily[WardCode],"BH")=0,"",SUMIFS(tblDaily[Admissions],tblDaily[EntryDate],DATE(2026,9,7),tblDaily[WardCode],"BH")),"")</f>
        <v/>
      </c>
      <c r="C325" s="5" t="str">
        <f>IFERROR(IF(SUMIFS(tblDaily[Discharges],tblDaily[EntryDate],DATE(2026,9,7),tblDaily[WardCode],"BH")=0,"",SUMIFS(tblDaily[Discharges],tblDaily[EntryDate],DATE(2026,9,7),tblDaily[WardCode],"BH")),"")</f>
        <v/>
      </c>
      <c r="D325" s="5" t="str">
        <f>IFERROR(IF(SUMIFS(tblDaily[Deaths],tblDaily[EntryDate],DATE(2026,9,7),tblDaily[WardCode],"BH")=0,"",SUMIFS(tblDaily[Deaths],tblDaily[EntryDate],DATE(2026,9,7),tblDaily[WardCode],"BH")),"")</f>
        <v/>
      </c>
      <c r="E325" s="5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5" t="str">
        <f>IFERROR(IF(SUMIFS(tblDaily[TransfersIn],tblDaily[EntryDate],DATE(2026,9,7),tblDaily[WardCode],"BH")=0,"",SUMIFS(tblDaily[TransfersIn],tblDaily[EntryDate],DATE(2026,9,7),tblDaily[WardCode],"BH")),"")</f>
        <v/>
      </c>
      <c r="G325" s="5" t="str">
        <f>IFERROR(IF(SUMIFS(tblDaily[TransfersOut],tblDaily[EntryDate],DATE(2026,9,7),tblDaily[WardCode],"BH")=0,"",SUMIFS(tblDaily[TransfersOut],tblDaily[EntryDate],DATE(2026,9,7),tblDaily[WardCode],"BH")),"")</f>
        <v/>
      </c>
      <c r="H325" s="5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IFERROR(IF(SUMIFS(tblDaily[Admissions],tblDaily[EntryDate],DATE(2026,9,8),tblDaily[WardCode],"BH")=0,"",SUMIFS(tblDaily[Admissions],tblDaily[EntryDate],DATE(2026,9,8),tblDaily[WardCode],"BH")),"")</f>
        <v/>
      </c>
      <c r="C326" s="5" t="str">
        <f>IFERROR(IF(SUMIFS(tblDaily[Discharges],tblDaily[EntryDate],DATE(2026,9,8),tblDaily[WardCode],"BH")=0,"",SUMIFS(tblDaily[Discharges],tblDaily[EntryDate],DATE(2026,9,8),tblDaily[WardCode],"BH")),"")</f>
        <v/>
      </c>
      <c r="D326" s="5" t="str">
        <f>IFERROR(IF(SUMIFS(tblDaily[Deaths],tblDaily[EntryDate],DATE(2026,9,8),tblDaily[WardCode],"BH")=0,"",SUMIFS(tblDaily[Deaths],tblDaily[EntryDate],DATE(2026,9,8),tblDaily[WardCode],"BH")),"")</f>
        <v/>
      </c>
      <c r="E326" s="5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5" t="str">
        <f>IFERROR(IF(SUMIFS(tblDaily[TransfersIn],tblDaily[EntryDate],DATE(2026,9,8),tblDaily[WardCode],"BH")=0,"",SUMIFS(tblDaily[TransfersIn],tblDaily[EntryDate],DATE(2026,9,8),tblDaily[WardCode],"BH")),"")</f>
        <v/>
      </c>
      <c r="G326" s="5" t="str">
        <f>IFERROR(IF(SUMIFS(tblDaily[TransfersOut],tblDaily[EntryDate],DATE(2026,9,8),tblDaily[WardCode],"BH")=0,"",SUMIFS(tblDaily[TransfersOut],tblDaily[EntryDate],DATE(2026,9,8),tblDaily[WardCode],"BH")),"")</f>
        <v/>
      </c>
      <c r="H326" s="5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IFERROR(IF(SUMIFS(tblDaily[Admissions],tblDaily[EntryDate],DATE(2026,9,9),tblDaily[WardCode],"BH")=0,"",SUMIFS(tblDaily[Admissions],tblDaily[EntryDate],DATE(2026,9,9),tblDaily[WardCode],"BH")),"")</f>
        <v/>
      </c>
      <c r="C327" s="5" t="str">
        <f>IFERROR(IF(SUMIFS(tblDaily[Discharges],tblDaily[EntryDate],DATE(2026,9,9),tblDaily[WardCode],"BH")=0,"",SUMIFS(tblDaily[Discharges],tblDaily[EntryDate],DATE(2026,9,9),tblDaily[WardCode],"BH")),"")</f>
        <v/>
      </c>
      <c r="D327" s="5" t="str">
        <f>IFERROR(IF(SUMIFS(tblDaily[Deaths],tblDaily[EntryDate],DATE(2026,9,9),tblDaily[WardCode],"BH")=0,"",SUMIFS(tblDaily[Deaths],tblDaily[EntryDate],DATE(2026,9,9),tblDaily[WardCode],"BH")),"")</f>
        <v/>
      </c>
      <c r="E327" s="5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5" t="str">
        <f>IFERROR(IF(SUMIFS(tblDaily[TransfersIn],tblDaily[EntryDate],DATE(2026,9,9),tblDaily[WardCode],"BH")=0,"",SUMIFS(tblDaily[TransfersIn],tblDaily[EntryDate],DATE(2026,9,9),tblDaily[WardCode],"BH")),"")</f>
        <v/>
      </c>
      <c r="G327" s="5" t="str">
        <f>IFERROR(IF(SUMIFS(tblDaily[TransfersOut],tblDaily[EntryDate],DATE(2026,9,9),tblDaily[WardCode],"BH")=0,"",SUMIFS(tblDaily[TransfersOut],tblDaily[EntryDate],DATE(2026,9,9),tblDaily[WardCode],"BH")),"")</f>
        <v/>
      </c>
      <c r="H327" s="5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IFERROR(IF(SUMIFS(tblDaily[Admissions],tblDaily[EntryDate],DATE(2026,9,10),tblDaily[WardCode],"BH")=0,"",SUMIFS(tblDaily[Admissions],tblDaily[EntryDate],DATE(2026,9,10),tblDaily[WardCode],"BH")),"")</f>
        <v/>
      </c>
      <c r="C328" s="5" t="str">
        <f>IFERROR(IF(SUMIFS(tblDaily[Discharges],tblDaily[EntryDate],DATE(2026,9,10),tblDaily[WardCode],"BH")=0,"",SUMIFS(tblDaily[Discharges],tblDaily[EntryDate],DATE(2026,9,10),tblDaily[WardCode],"BH")),"")</f>
        <v/>
      </c>
      <c r="D328" s="5" t="str">
        <f>IFERROR(IF(SUMIFS(tblDaily[Deaths],tblDaily[EntryDate],DATE(2026,9,10),tblDaily[WardCode],"BH")=0,"",SUMIFS(tblDaily[Deaths],tblDaily[EntryDate],DATE(2026,9,10),tblDaily[WardCode],"BH")),"")</f>
        <v/>
      </c>
      <c r="E328" s="5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5" t="str">
        <f>IFERROR(IF(SUMIFS(tblDaily[TransfersIn],tblDaily[EntryDate],DATE(2026,9,10),tblDaily[WardCode],"BH")=0,"",SUMIFS(tblDaily[TransfersIn],tblDaily[EntryDate],DATE(2026,9,10),tblDaily[WardCode],"BH")),"")</f>
        <v/>
      </c>
      <c r="G328" s="5" t="str">
        <f>IFERROR(IF(SUMIFS(tblDaily[TransfersOut],tblDaily[EntryDate],DATE(2026,9,10),tblDaily[WardCode],"BH")=0,"",SUMIFS(tblDaily[TransfersOut],tblDaily[EntryDate],DATE(2026,9,10),tblDaily[WardCode],"BH")),"")</f>
        <v/>
      </c>
      <c r="H328" s="5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IFERROR(IF(SUMIFS(tblDaily[Admissions],tblDaily[EntryDate],DATE(2026,9,11),tblDaily[WardCode],"BH")=0,"",SUMIFS(tblDaily[Admissions],tblDaily[EntryDate],DATE(2026,9,11),tblDaily[WardCode],"BH")),"")</f>
        <v/>
      </c>
      <c r="C329" s="5" t="str">
        <f>IFERROR(IF(SUMIFS(tblDaily[Discharges],tblDaily[EntryDate],DATE(2026,9,11),tblDaily[WardCode],"BH")=0,"",SUMIFS(tblDaily[Discharges],tblDaily[EntryDate],DATE(2026,9,11),tblDaily[WardCode],"BH")),"")</f>
        <v/>
      </c>
      <c r="D329" s="5" t="str">
        <f>IFERROR(IF(SUMIFS(tblDaily[Deaths],tblDaily[EntryDate],DATE(2026,9,11),tblDaily[WardCode],"BH")=0,"",SUMIFS(tblDaily[Deaths],tblDaily[EntryDate],DATE(2026,9,11),tblDaily[WardCode],"BH")),"")</f>
        <v/>
      </c>
      <c r="E329" s="5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5" t="str">
        <f>IFERROR(IF(SUMIFS(tblDaily[TransfersIn],tblDaily[EntryDate],DATE(2026,9,11),tblDaily[WardCode],"BH")=0,"",SUMIFS(tblDaily[TransfersIn],tblDaily[EntryDate],DATE(2026,9,11),tblDaily[WardCode],"BH")),"")</f>
        <v/>
      </c>
      <c r="G329" s="5" t="str">
        <f>IFERROR(IF(SUMIFS(tblDaily[TransfersOut],tblDaily[EntryDate],DATE(2026,9,11),tblDaily[WardCode],"BH")=0,"",SUMIFS(tblDaily[TransfersOut],tblDaily[EntryDate],DATE(2026,9,11),tblDaily[WardCode],"BH")),"")</f>
        <v/>
      </c>
      <c r="H329" s="5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IFERROR(IF(SUMIFS(tblDaily[Admissions],tblDaily[EntryDate],DATE(2026,9,12),tblDaily[WardCode],"BH")=0,"",SUMIFS(tblDaily[Admissions],tblDaily[EntryDate],DATE(2026,9,12),tblDaily[WardCode],"BH")),"")</f>
        <v/>
      </c>
      <c r="C330" s="5" t="str">
        <f>IFERROR(IF(SUMIFS(tblDaily[Discharges],tblDaily[EntryDate],DATE(2026,9,12),tblDaily[WardCode],"BH")=0,"",SUMIFS(tblDaily[Discharges],tblDaily[EntryDate],DATE(2026,9,12),tblDaily[WardCode],"BH")),"")</f>
        <v/>
      </c>
      <c r="D330" s="5" t="str">
        <f>IFERROR(IF(SUMIFS(tblDaily[Deaths],tblDaily[EntryDate],DATE(2026,9,12),tblDaily[WardCode],"BH")=0,"",SUMIFS(tblDaily[Deaths],tblDaily[EntryDate],DATE(2026,9,12),tblDaily[WardCode],"BH")),"")</f>
        <v/>
      </c>
      <c r="E330" s="5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5" t="str">
        <f>IFERROR(IF(SUMIFS(tblDaily[TransfersIn],tblDaily[EntryDate],DATE(2026,9,12),tblDaily[WardCode],"BH")=0,"",SUMIFS(tblDaily[TransfersIn],tblDaily[EntryDate],DATE(2026,9,12),tblDaily[WardCode],"BH")),"")</f>
        <v/>
      </c>
      <c r="G330" s="5" t="str">
        <f>IFERROR(IF(SUMIFS(tblDaily[TransfersOut],tblDaily[EntryDate],DATE(2026,9,12),tblDaily[WardCode],"BH")=0,"",SUMIFS(tblDaily[TransfersOut],tblDaily[EntryDate],DATE(2026,9,12),tblDaily[WardCode],"BH")),"")</f>
        <v/>
      </c>
      <c r="H330" s="5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IFERROR(IF(SUMIFS(tblDaily[Admissions],tblDaily[EntryDate],DATE(2026,9,13),tblDaily[WardCode],"BH")=0,"",SUMIFS(tblDaily[Admissions],tblDaily[EntryDate],DATE(2026,9,13),tblDaily[WardCode],"BH")),"")</f>
        <v/>
      </c>
      <c r="C331" s="5" t="str">
        <f>IFERROR(IF(SUMIFS(tblDaily[Discharges],tblDaily[EntryDate],DATE(2026,9,13),tblDaily[WardCode],"BH")=0,"",SUMIFS(tblDaily[Discharges],tblDaily[EntryDate],DATE(2026,9,13),tblDaily[WardCode],"BH")),"")</f>
        <v/>
      </c>
      <c r="D331" s="5" t="str">
        <f>IFERROR(IF(SUMIFS(tblDaily[Deaths],tblDaily[EntryDate],DATE(2026,9,13),tblDaily[WardCode],"BH")=0,"",SUMIFS(tblDaily[Deaths],tblDaily[EntryDate],DATE(2026,9,13),tblDaily[WardCode],"BH")),"")</f>
        <v/>
      </c>
      <c r="E331" s="5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5" t="str">
        <f>IFERROR(IF(SUMIFS(tblDaily[TransfersIn],tblDaily[EntryDate],DATE(2026,9,13),tblDaily[WardCode],"BH")=0,"",SUMIFS(tblDaily[TransfersIn],tblDaily[EntryDate],DATE(2026,9,13),tblDaily[WardCode],"BH")),"")</f>
        <v/>
      </c>
      <c r="G331" s="5" t="str">
        <f>IFERROR(IF(SUMIFS(tblDaily[TransfersOut],tblDaily[EntryDate],DATE(2026,9,13),tblDaily[WardCode],"BH")=0,"",SUMIFS(tblDaily[TransfersOut],tblDaily[EntryDate],DATE(2026,9,13),tblDaily[WardCode],"BH")),"")</f>
        <v/>
      </c>
      <c r="H331" s="5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IFERROR(IF(SUMIFS(tblDaily[Admissions],tblDaily[EntryDate],DATE(2026,9,14),tblDaily[WardCode],"BH")=0,"",SUMIFS(tblDaily[Admissions],tblDaily[EntryDate],DATE(2026,9,14),tblDaily[WardCode],"BH")),"")</f>
        <v/>
      </c>
      <c r="C332" s="5" t="str">
        <f>IFERROR(IF(SUMIFS(tblDaily[Discharges],tblDaily[EntryDate],DATE(2026,9,14),tblDaily[WardCode],"BH")=0,"",SUMIFS(tblDaily[Discharges],tblDaily[EntryDate],DATE(2026,9,14),tblDaily[WardCode],"BH")),"")</f>
        <v/>
      </c>
      <c r="D332" s="5" t="str">
        <f>IFERROR(IF(SUMIFS(tblDaily[Deaths],tblDaily[EntryDate],DATE(2026,9,14),tblDaily[WardCode],"BH")=0,"",SUMIFS(tblDaily[Deaths],tblDaily[EntryDate],DATE(2026,9,14),tblDaily[WardCode],"BH")),"")</f>
        <v/>
      </c>
      <c r="E332" s="5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5" t="str">
        <f>IFERROR(IF(SUMIFS(tblDaily[TransfersIn],tblDaily[EntryDate],DATE(2026,9,14),tblDaily[WardCode],"BH")=0,"",SUMIFS(tblDaily[TransfersIn],tblDaily[EntryDate],DATE(2026,9,14),tblDaily[WardCode],"BH")),"")</f>
        <v/>
      </c>
      <c r="G332" s="5" t="str">
        <f>IFERROR(IF(SUMIFS(tblDaily[TransfersOut],tblDaily[EntryDate],DATE(2026,9,14),tblDaily[WardCode],"BH")=0,"",SUMIFS(tblDaily[TransfersOut],tblDaily[EntryDate],DATE(2026,9,14),tblDaily[WardCode],"BH")),"")</f>
        <v/>
      </c>
      <c r="H332" s="5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IFERROR(IF(SUMIFS(tblDaily[Admissions],tblDaily[EntryDate],DATE(2026,9,15),tblDaily[WardCode],"BH")=0,"",SUMIFS(tblDaily[Admissions],tblDaily[EntryDate],DATE(2026,9,15),tblDaily[WardCode],"BH")),"")</f>
        <v/>
      </c>
      <c r="C333" s="5" t="str">
        <f>IFERROR(IF(SUMIFS(tblDaily[Discharges],tblDaily[EntryDate],DATE(2026,9,15),tblDaily[WardCode],"BH")=0,"",SUMIFS(tblDaily[Discharges],tblDaily[EntryDate],DATE(2026,9,15),tblDaily[WardCode],"BH")),"")</f>
        <v/>
      </c>
      <c r="D333" s="5" t="str">
        <f>IFERROR(IF(SUMIFS(tblDaily[Deaths],tblDaily[EntryDate],DATE(2026,9,15),tblDaily[WardCode],"BH")=0,"",SUMIFS(tblDaily[Deaths],tblDaily[EntryDate],DATE(2026,9,15),tblDaily[WardCode],"BH")),"")</f>
        <v/>
      </c>
      <c r="E333" s="5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5" t="str">
        <f>IFERROR(IF(SUMIFS(tblDaily[TransfersIn],tblDaily[EntryDate],DATE(2026,9,15),tblDaily[WardCode],"BH")=0,"",SUMIFS(tblDaily[TransfersIn],tblDaily[EntryDate],DATE(2026,9,15),tblDaily[WardCode],"BH")),"")</f>
        <v/>
      </c>
      <c r="G333" s="5" t="str">
        <f>IFERROR(IF(SUMIFS(tblDaily[TransfersOut],tblDaily[EntryDate],DATE(2026,9,15),tblDaily[WardCode],"BH")=0,"",SUMIFS(tblDaily[TransfersOut],tblDaily[EntryDate],DATE(2026,9,15),tblDaily[WardCode],"BH")),"")</f>
        <v/>
      </c>
      <c r="H333" s="5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IFERROR(IF(SUMIFS(tblDaily[Admissions],tblDaily[EntryDate],DATE(2026,9,16),tblDaily[WardCode],"BH")=0,"",SUMIFS(tblDaily[Admissions],tblDaily[EntryDate],DATE(2026,9,16),tblDaily[WardCode],"BH")),"")</f>
        <v/>
      </c>
      <c r="C334" s="5" t="str">
        <f>IFERROR(IF(SUMIFS(tblDaily[Discharges],tblDaily[EntryDate],DATE(2026,9,16),tblDaily[WardCode],"BH")=0,"",SUMIFS(tblDaily[Discharges],tblDaily[EntryDate],DATE(2026,9,16),tblDaily[WardCode],"BH")),"")</f>
        <v/>
      </c>
      <c r="D334" s="5" t="str">
        <f>IFERROR(IF(SUMIFS(tblDaily[Deaths],tblDaily[EntryDate],DATE(2026,9,16),tblDaily[WardCode],"BH")=0,"",SUMIFS(tblDaily[Deaths],tblDaily[EntryDate],DATE(2026,9,16),tblDaily[WardCode],"BH")),"")</f>
        <v/>
      </c>
      <c r="E334" s="5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5" t="str">
        <f>IFERROR(IF(SUMIFS(tblDaily[TransfersIn],tblDaily[EntryDate],DATE(2026,9,16),tblDaily[WardCode],"BH")=0,"",SUMIFS(tblDaily[TransfersIn],tblDaily[EntryDate],DATE(2026,9,16),tblDaily[WardCode],"BH")),"")</f>
        <v/>
      </c>
      <c r="G334" s="5" t="str">
        <f>IFERROR(IF(SUMIFS(tblDaily[TransfersOut],tblDaily[EntryDate],DATE(2026,9,16),tblDaily[WardCode],"BH")=0,"",SUMIFS(tblDaily[TransfersOut],tblDaily[EntryDate],DATE(2026,9,16),tblDaily[WardCode],"BH")),"")</f>
        <v/>
      </c>
      <c r="H334" s="5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IFERROR(IF(SUMIFS(tblDaily[Admissions],tblDaily[EntryDate],DATE(2026,9,17),tblDaily[WardCode],"BH")=0,"",SUMIFS(tblDaily[Admissions],tblDaily[EntryDate],DATE(2026,9,17),tblDaily[WardCode],"BH")),"")</f>
        <v/>
      </c>
      <c r="C335" s="5" t="str">
        <f>IFERROR(IF(SUMIFS(tblDaily[Discharges],tblDaily[EntryDate],DATE(2026,9,17),tblDaily[WardCode],"BH")=0,"",SUMIFS(tblDaily[Discharges],tblDaily[EntryDate],DATE(2026,9,17),tblDaily[WardCode],"BH")),"")</f>
        <v/>
      </c>
      <c r="D335" s="5" t="str">
        <f>IFERROR(IF(SUMIFS(tblDaily[Deaths],tblDaily[EntryDate],DATE(2026,9,17),tblDaily[WardCode],"BH")=0,"",SUMIFS(tblDaily[Deaths],tblDaily[EntryDate],DATE(2026,9,17),tblDaily[WardCode],"BH")),"")</f>
        <v/>
      </c>
      <c r="E335" s="5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5" t="str">
        <f>IFERROR(IF(SUMIFS(tblDaily[TransfersIn],tblDaily[EntryDate],DATE(2026,9,17),tblDaily[WardCode],"BH")=0,"",SUMIFS(tblDaily[TransfersIn],tblDaily[EntryDate],DATE(2026,9,17),tblDaily[WardCode],"BH")),"")</f>
        <v/>
      </c>
      <c r="G335" s="5" t="str">
        <f>IFERROR(IF(SUMIFS(tblDaily[TransfersOut],tblDaily[EntryDate],DATE(2026,9,17),tblDaily[WardCode],"BH")=0,"",SUMIFS(tblDaily[TransfersOut],tblDaily[EntryDate],DATE(2026,9,17),tblDaily[WardCode],"BH")),"")</f>
        <v/>
      </c>
      <c r="H335" s="5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IFERROR(IF(SUMIFS(tblDaily[Admissions],tblDaily[EntryDate],DATE(2026,9,18),tblDaily[WardCode],"BH")=0,"",SUMIFS(tblDaily[Admissions],tblDaily[EntryDate],DATE(2026,9,18),tblDaily[WardCode],"BH")),"")</f>
        <v/>
      </c>
      <c r="C336" s="5" t="str">
        <f>IFERROR(IF(SUMIFS(tblDaily[Discharges],tblDaily[EntryDate],DATE(2026,9,18),tblDaily[WardCode],"BH")=0,"",SUMIFS(tblDaily[Discharges],tblDaily[EntryDate],DATE(2026,9,18),tblDaily[WardCode],"BH")),"")</f>
        <v/>
      </c>
      <c r="D336" s="5" t="str">
        <f>IFERROR(IF(SUMIFS(tblDaily[Deaths],tblDaily[EntryDate],DATE(2026,9,18),tblDaily[WardCode],"BH")=0,"",SUMIFS(tblDaily[Deaths],tblDaily[EntryDate],DATE(2026,9,18),tblDaily[WardCode],"BH")),"")</f>
        <v/>
      </c>
      <c r="E336" s="5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5" t="str">
        <f>IFERROR(IF(SUMIFS(tblDaily[TransfersIn],tblDaily[EntryDate],DATE(2026,9,18),tblDaily[WardCode],"BH")=0,"",SUMIFS(tblDaily[TransfersIn],tblDaily[EntryDate],DATE(2026,9,18),tblDaily[WardCode],"BH")),"")</f>
        <v/>
      </c>
      <c r="G336" s="5" t="str">
        <f>IFERROR(IF(SUMIFS(tblDaily[TransfersOut],tblDaily[EntryDate],DATE(2026,9,18),tblDaily[WardCode],"BH")=0,"",SUMIFS(tblDaily[TransfersOut],tblDaily[EntryDate],DATE(2026,9,18),tblDaily[WardCode],"BH")),"")</f>
        <v/>
      </c>
      <c r="H336" s="5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IFERROR(IF(SUMIFS(tblDaily[Admissions],tblDaily[EntryDate],DATE(2026,9,19),tblDaily[WardCode],"BH")=0,"",SUMIFS(tblDaily[Admissions],tblDaily[EntryDate],DATE(2026,9,19),tblDaily[WardCode],"BH")),"")</f>
        <v/>
      </c>
      <c r="C337" s="5" t="str">
        <f>IFERROR(IF(SUMIFS(tblDaily[Discharges],tblDaily[EntryDate],DATE(2026,9,19),tblDaily[WardCode],"BH")=0,"",SUMIFS(tblDaily[Discharges],tblDaily[EntryDate],DATE(2026,9,19),tblDaily[WardCode],"BH")),"")</f>
        <v/>
      </c>
      <c r="D337" s="5" t="str">
        <f>IFERROR(IF(SUMIFS(tblDaily[Deaths],tblDaily[EntryDate],DATE(2026,9,19),tblDaily[WardCode],"BH")=0,"",SUMIFS(tblDaily[Deaths],tblDaily[EntryDate],DATE(2026,9,19),tblDaily[WardCode],"BH")),"")</f>
        <v/>
      </c>
      <c r="E337" s="5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5" t="str">
        <f>IFERROR(IF(SUMIFS(tblDaily[TransfersIn],tblDaily[EntryDate],DATE(2026,9,19),tblDaily[WardCode],"BH")=0,"",SUMIFS(tblDaily[TransfersIn],tblDaily[EntryDate],DATE(2026,9,19),tblDaily[WardCode],"BH")),"")</f>
        <v/>
      </c>
      <c r="G337" s="5" t="str">
        <f>IFERROR(IF(SUMIFS(tblDaily[TransfersOut],tblDaily[EntryDate],DATE(2026,9,19),tblDaily[WardCode],"BH")=0,"",SUMIFS(tblDaily[TransfersOut],tblDaily[EntryDate],DATE(2026,9,19),tblDaily[WardCode],"BH")),"")</f>
        <v/>
      </c>
      <c r="H337" s="5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IFERROR(IF(SUMIFS(tblDaily[Admissions],tblDaily[EntryDate],DATE(2026,9,20),tblDaily[WardCode],"BH")=0,"",SUMIFS(tblDaily[Admissions],tblDaily[EntryDate],DATE(2026,9,20),tblDaily[WardCode],"BH")),"")</f>
        <v/>
      </c>
      <c r="C338" s="5" t="str">
        <f>IFERROR(IF(SUMIFS(tblDaily[Discharges],tblDaily[EntryDate],DATE(2026,9,20),tblDaily[WardCode],"BH")=0,"",SUMIFS(tblDaily[Discharges],tblDaily[EntryDate],DATE(2026,9,20),tblDaily[WardCode],"BH")),"")</f>
        <v/>
      </c>
      <c r="D338" s="5" t="str">
        <f>IFERROR(IF(SUMIFS(tblDaily[Deaths],tblDaily[EntryDate],DATE(2026,9,20),tblDaily[WardCode],"BH")=0,"",SUMIFS(tblDaily[Deaths],tblDaily[EntryDate],DATE(2026,9,20),tblDaily[WardCode],"BH")),"")</f>
        <v/>
      </c>
      <c r="E338" s="5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5" t="str">
        <f>IFERROR(IF(SUMIFS(tblDaily[TransfersIn],tblDaily[EntryDate],DATE(2026,9,20),tblDaily[WardCode],"BH")=0,"",SUMIFS(tblDaily[TransfersIn],tblDaily[EntryDate],DATE(2026,9,20),tblDaily[WardCode],"BH")),"")</f>
        <v/>
      </c>
      <c r="G338" s="5" t="str">
        <f>IFERROR(IF(SUMIFS(tblDaily[TransfersOut],tblDaily[EntryDate],DATE(2026,9,20),tblDaily[WardCode],"BH")=0,"",SUMIFS(tblDaily[TransfersOut],tblDaily[EntryDate],DATE(2026,9,20),tblDaily[WardCode],"BH")),"")</f>
        <v/>
      </c>
      <c r="H338" s="5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IFERROR(IF(SUMIFS(tblDaily[Admissions],tblDaily[EntryDate],DATE(2026,9,21),tblDaily[WardCode],"BH")=0,"",SUMIFS(tblDaily[Admissions],tblDaily[EntryDate],DATE(2026,9,21),tblDaily[WardCode],"BH")),"")</f>
        <v/>
      </c>
      <c r="C339" s="5" t="str">
        <f>IFERROR(IF(SUMIFS(tblDaily[Discharges],tblDaily[EntryDate],DATE(2026,9,21),tblDaily[WardCode],"BH")=0,"",SUMIFS(tblDaily[Discharges],tblDaily[EntryDate],DATE(2026,9,21),tblDaily[WardCode],"BH")),"")</f>
        <v/>
      </c>
      <c r="D339" s="5" t="str">
        <f>IFERROR(IF(SUMIFS(tblDaily[Deaths],tblDaily[EntryDate],DATE(2026,9,21),tblDaily[WardCode],"BH")=0,"",SUMIFS(tblDaily[Deaths],tblDaily[EntryDate],DATE(2026,9,21),tblDaily[WardCode],"BH")),"")</f>
        <v/>
      </c>
      <c r="E339" s="5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5" t="str">
        <f>IFERROR(IF(SUMIFS(tblDaily[TransfersIn],tblDaily[EntryDate],DATE(2026,9,21),tblDaily[WardCode],"BH")=0,"",SUMIFS(tblDaily[TransfersIn],tblDaily[EntryDate],DATE(2026,9,21),tblDaily[WardCode],"BH")),"")</f>
        <v/>
      </c>
      <c r="G339" s="5" t="str">
        <f>IFERROR(IF(SUMIFS(tblDaily[TransfersOut],tblDaily[EntryDate],DATE(2026,9,21),tblDaily[WardCode],"BH")=0,"",SUMIFS(tblDaily[TransfersOut],tblDaily[EntryDate],DATE(2026,9,21),tblDaily[WardCode],"BH")),"")</f>
        <v/>
      </c>
      <c r="H339" s="5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IFERROR(IF(SUMIFS(tblDaily[Admissions],tblDaily[EntryDate],DATE(2026,9,22),tblDaily[WardCode],"BH")=0,"",SUMIFS(tblDaily[Admissions],tblDaily[EntryDate],DATE(2026,9,22),tblDaily[WardCode],"BH")),"")</f>
        <v/>
      </c>
      <c r="C340" s="5" t="str">
        <f>IFERROR(IF(SUMIFS(tblDaily[Discharges],tblDaily[EntryDate],DATE(2026,9,22),tblDaily[WardCode],"BH")=0,"",SUMIFS(tblDaily[Discharges],tblDaily[EntryDate],DATE(2026,9,22),tblDaily[WardCode],"BH")),"")</f>
        <v/>
      </c>
      <c r="D340" s="5" t="str">
        <f>IFERROR(IF(SUMIFS(tblDaily[Deaths],tblDaily[EntryDate],DATE(2026,9,22),tblDaily[WardCode],"BH")=0,"",SUMIFS(tblDaily[Deaths],tblDaily[EntryDate],DATE(2026,9,22),tblDaily[WardCode],"BH")),"")</f>
        <v/>
      </c>
      <c r="E340" s="5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5" t="str">
        <f>IFERROR(IF(SUMIFS(tblDaily[TransfersIn],tblDaily[EntryDate],DATE(2026,9,22),tblDaily[WardCode],"BH")=0,"",SUMIFS(tblDaily[TransfersIn],tblDaily[EntryDate],DATE(2026,9,22),tblDaily[WardCode],"BH")),"")</f>
        <v/>
      </c>
      <c r="G340" s="5" t="str">
        <f>IFERROR(IF(SUMIFS(tblDaily[TransfersOut],tblDaily[EntryDate],DATE(2026,9,22),tblDaily[WardCode],"BH")=0,"",SUMIFS(tblDaily[TransfersOut],tblDaily[EntryDate],DATE(2026,9,22),tblDaily[WardCode],"BH")),"")</f>
        <v/>
      </c>
      <c r="H340" s="5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IFERROR(IF(SUMIFS(tblDaily[Admissions],tblDaily[EntryDate],DATE(2026,9,23),tblDaily[WardCode],"BH")=0,"",SUMIFS(tblDaily[Admissions],tblDaily[EntryDate],DATE(2026,9,23),tblDaily[WardCode],"BH")),"")</f>
        <v/>
      </c>
      <c r="C341" s="5" t="str">
        <f>IFERROR(IF(SUMIFS(tblDaily[Discharges],tblDaily[EntryDate],DATE(2026,9,23),tblDaily[WardCode],"BH")=0,"",SUMIFS(tblDaily[Discharges],tblDaily[EntryDate],DATE(2026,9,23),tblDaily[WardCode],"BH")),"")</f>
        <v/>
      </c>
      <c r="D341" s="5" t="str">
        <f>IFERROR(IF(SUMIFS(tblDaily[Deaths],tblDaily[EntryDate],DATE(2026,9,23),tblDaily[WardCode],"BH")=0,"",SUMIFS(tblDaily[Deaths],tblDaily[EntryDate],DATE(2026,9,23),tblDaily[WardCode],"BH")),"")</f>
        <v/>
      </c>
      <c r="E341" s="5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5" t="str">
        <f>IFERROR(IF(SUMIFS(tblDaily[TransfersIn],tblDaily[EntryDate],DATE(2026,9,23),tblDaily[WardCode],"BH")=0,"",SUMIFS(tblDaily[TransfersIn],tblDaily[EntryDate],DATE(2026,9,23),tblDaily[WardCode],"BH")),"")</f>
        <v/>
      </c>
      <c r="G341" s="5" t="str">
        <f>IFERROR(IF(SUMIFS(tblDaily[TransfersOut],tblDaily[EntryDate],DATE(2026,9,23),tblDaily[WardCode],"BH")=0,"",SUMIFS(tblDaily[TransfersOut],tblDaily[EntryDate],DATE(2026,9,23),tblDaily[WardCode],"BH")),"")</f>
        <v/>
      </c>
      <c r="H341" s="5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IFERROR(IF(SUMIFS(tblDaily[Admissions],tblDaily[EntryDate],DATE(2026,9,24),tblDaily[WardCode],"BH")=0,"",SUMIFS(tblDaily[Admissions],tblDaily[EntryDate],DATE(2026,9,24),tblDaily[WardCode],"BH")),"")</f>
        <v/>
      </c>
      <c r="C342" s="5" t="str">
        <f>IFERROR(IF(SUMIFS(tblDaily[Discharges],tblDaily[EntryDate],DATE(2026,9,24),tblDaily[WardCode],"BH")=0,"",SUMIFS(tblDaily[Discharges],tblDaily[EntryDate],DATE(2026,9,24),tblDaily[WardCode],"BH")),"")</f>
        <v/>
      </c>
      <c r="D342" s="5" t="str">
        <f>IFERROR(IF(SUMIFS(tblDaily[Deaths],tblDaily[EntryDate],DATE(2026,9,24),tblDaily[WardCode],"BH")=0,"",SUMIFS(tblDaily[Deaths],tblDaily[EntryDate],DATE(2026,9,24),tblDaily[WardCode],"BH")),"")</f>
        <v/>
      </c>
      <c r="E342" s="5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5" t="str">
        <f>IFERROR(IF(SUMIFS(tblDaily[TransfersIn],tblDaily[EntryDate],DATE(2026,9,24),tblDaily[WardCode],"BH")=0,"",SUMIFS(tblDaily[TransfersIn],tblDaily[EntryDate],DATE(2026,9,24),tblDaily[WardCode],"BH")),"")</f>
        <v/>
      </c>
      <c r="G342" s="5" t="str">
        <f>IFERROR(IF(SUMIFS(tblDaily[TransfersOut],tblDaily[EntryDate],DATE(2026,9,24),tblDaily[WardCode],"BH")=0,"",SUMIFS(tblDaily[TransfersOut],tblDaily[EntryDate],DATE(2026,9,24),tblDaily[WardCode],"BH")),"")</f>
        <v/>
      </c>
      <c r="H342" s="5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IFERROR(IF(SUMIFS(tblDaily[Admissions],tblDaily[EntryDate],DATE(2026,9,25),tblDaily[WardCode],"BH")=0,"",SUMIFS(tblDaily[Admissions],tblDaily[EntryDate],DATE(2026,9,25),tblDaily[WardCode],"BH")),"")</f>
        <v/>
      </c>
      <c r="C343" s="5" t="str">
        <f>IFERROR(IF(SUMIFS(tblDaily[Discharges],tblDaily[EntryDate],DATE(2026,9,25),tblDaily[WardCode],"BH")=0,"",SUMIFS(tblDaily[Discharges],tblDaily[EntryDate],DATE(2026,9,25),tblDaily[WardCode],"BH")),"")</f>
        <v/>
      </c>
      <c r="D343" s="5" t="str">
        <f>IFERROR(IF(SUMIFS(tblDaily[Deaths],tblDaily[EntryDate],DATE(2026,9,25),tblDaily[WardCode],"BH")=0,"",SUMIFS(tblDaily[Deaths],tblDaily[EntryDate],DATE(2026,9,25),tblDaily[WardCode],"BH")),"")</f>
        <v/>
      </c>
      <c r="E343" s="5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5" t="str">
        <f>IFERROR(IF(SUMIFS(tblDaily[TransfersIn],tblDaily[EntryDate],DATE(2026,9,25),tblDaily[WardCode],"BH")=0,"",SUMIFS(tblDaily[TransfersIn],tblDaily[EntryDate],DATE(2026,9,25),tblDaily[WardCode],"BH")),"")</f>
        <v/>
      </c>
      <c r="G343" s="5" t="str">
        <f>IFERROR(IF(SUMIFS(tblDaily[TransfersOut],tblDaily[EntryDate],DATE(2026,9,25),tblDaily[WardCode],"BH")=0,"",SUMIFS(tblDaily[TransfersOut],tblDaily[EntryDate],DATE(2026,9,25),tblDaily[WardCode],"BH")),"")</f>
        <v/>
      </c>
      <c r="H343" s="5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IFERROR(IF(SUMIFS(tblDaily[Admissions],tblDaily[EntryDate],DATE(2026,9,26),tblDaily[WardCode],"BH")=0,"",SUMIFS(tblDaily[Admissions],tblDaily[EntryDate],DATE(2026,9,26),tblDaily[WardCode],"BH")),"")</f>
        <v/>
      </c>
      <c r="C344" s="5" t="str">
        <f>IFERROR(IF(SUMIFS(tblDaily[Discharges],tblDaily[EntryDate],DATE(2026,9,26),tblDaily[WardCode],"BH")=0,"",SUMIFS(tblDaily[Discharges],tblDaily[EntryDate],DATE(2026,9,26),tblDaily[WardCode],"BH")),"")</f>
        <v/>
      </c>
      <c r="D344" s="5" t="str">
        <f>IFERROR(IF(SUMIFS(tblDaily[Deaths],tblDaily[EntryDate],DATE(2026,9,26),tblDaily[WardCode],"BH")=0,"",SUMIFS(tblDaily[Deaths],tblDaily[EntryDate],DATE(2026,9,26),tblDaily[WardCode],"BH")),"")</f>
        <v/>
      </c>
      <c r="E344" s="5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5" t="str">
        <f>IFERROR(IF(SUMIFS(tblDaily[TransfersIn],tblDaily[EntryDate],DATE(2026,9,26),tblDaily[WardCode],"BH")=0,"",SUMIFS(tblDaily[TransfersIn],tblDaily[EntryDate],DATE(2026,9,26),tblDaily[WardCode],"BH")),"")</f>
        <v/>
      </c>
      <c r="G344" s="5" t="str">
        <f>IFERROR(IF(SUMIFS(tblDaily[TransfersOut],tblDaily[EntryDate],DATE(2026,9,26),tblDaily[WardCode],"BH")=0,"",SUMIFS(tblDaily[TransfersOut],tblDaily[EntryDate],DATE(2026,9,26),tblDaily[WardCode],"BH")),"")</f>
        <v/>
      </c>
      <c r="H344" s="5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IFERROR(IF(SUMIFS(tblDaily[Admissions],tblDaily[EntryDate],DATE(2026,9,27),tblDaily[WardCode],"BH")=0,"",SUMIFS(tblDaily[Admissions],tblDaily[EntryDate],DATE(2026,9,27),tblDaily[WardCode],"BH")),"")</f>
        <v/>
      </c>
      <c r="C345" s="5" t="str">
        <f>IFERROR(IF(SUMIFS(tblDaily[Discharges],tblDaily[EntryDate],DATE(2026,9,27),tblDaily[WardCode],"BH")=0,"",SUMIFS(tblDaily[Discharges],tblDaily[EntryDate],DATE(2026,9,27),tblDaily[WardCode],"BH")),"")</f>
        <v/>
      </c>
      <c r="D345" s="5" t="str">
        <f>IFERROR(IF(SUMIFS(tblDaily[Deaths],tblDaily[EntryDate],DATE(2026,9,27),tblDaily[WardCode],"BH")=0,"",SUMIFS(tblDaily[Deaths],tblDaily[EntryDate],DATE(2026,9,27),tblDaily[WardCode],"BH")),"")</f>
        <v/>
      </c>
      <c r="E345" s="5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5" t="str">
        <f>IFERROR(IF(SUMIFS(tblDaily[TransfersIn],tblDaily[EntryDate],DATE(2026,9,27),tblDaily[WardCode],"BH")=0,"",SUMIFS(tblDaily[TransfersIn],tblDaily[EntryDate],DATE(2026,9,27),tblDaily[WardCode],"BH")),"")</f>
        <v/>
      </c>
      <c r="G345" s="5" t="str">
        <f>IFERROR(IF(SUMIFS(tblDaily[TransfersOut],tblDaily[EntryDate],DATE(2026,9,27),tblDaily[WardCode],"BH")=0,"",SUMIFS(tblDaily[TransfersOut],tblDaily[EntryDate],DATE(2026,9,27),tblDaily[WardCode],"BH")),"")</f>
        <v/>
      </c>
      <c r="H345" s="5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IFERROR(IF(SUMIFS(tblDaily[Admissions],tblDaily[EntryDate],DATE(2026,9,28),tblDaily[WardCode],"BH")=0,"",SUMIFS(tblDaily[Admissions],tblDaily[EntryDate],DATE(2026,9,28),tblDaily[WardCode],"BH")),"")</f>
        <v/>
      </c>
      <c r="C346" s="5" t="str">
        <f>IFERROR(IF(SUMIFS(tblDaily[Discharges],tblDaily[EntryDate],DATE(2026,9,28),tblDaily[WardCode],"BH")=0,"",SUMIFS(tblDaily[Discharges],tblDaily[EntryDate],DATE(2026,9,28),tblDaily[WardCode],"BH")),"")</f>
        <v/>
      </c>
      <c r="D346" s="5" t="str">
        <f>IFERROR(IF(SUMIFS(tblDaily[Deaths],tblDaily[EntryDate],DATE(2026,9,28),tblDaily[WardCode],"BH")=0,"",SUMIFS(tblDaily[Deaths],tblDaily[EntryDate],DATE(2026,9,28),tblDaily[WardCode],"BH")),"")</f>
        <v/>
      </c>
      <c r="E346" s="5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5" t="str">
        <f>IFERROR(IF(SUMIFS(tblDaily[TransfersIn],tblDaily[EntryDate],DATE(2026,9,28),tblDaily[WardCode],"BH")=0,"",SUMIFS(tblDaily[TransfersIn],tblDaily[EntryDate],DATE(2026,9,28),tblDaily[WardCode],"BH")),"")</f>
        <v/>
      </c>
      <c r="G346" s="5" t="str">
        <f>IFERROR(IF(SUMIFS(tblDaily[TransfersOut],tblDaily[EntryDate],DATE(2026,9,28),tblDaily[WardCode],"BH")=0,"",SUMIFS(tblDaily[TransfersOut],tblDaily[EntryDate],DATE(2026,9,28),tblDaily[WardCode],"BH")),"")</f>
        <v/>
      </c>
      <c r="H346" s="5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IFERROR(IF(SUMIFS(tblDaily[Admissions],tblDaily[EntryDate],DATE(2026,9,29),tblDaily[WardCode],"BH")=0,"",SUMIFS(tblDaily[Admissions],tblDaily[EntryDate],DATE(2026,9,29),tblDaily[WardCode],"BH")),"")</f>
        <v/>
      </c>
      <c r="C347" s="5" t="str">
        <f>IFERROR(IF(SUMIFS(tblDaily[Discharges],tblDaily[EntryDate],DATE(2026,9,29),tblDaily[WardCode],"BH")=0,"",SUMIFS(tblDaily[Discharges],tblDaily[EntryDate],DATE(2026,9,29),tblDaily[WardCode],"BH")),"")</f>
        <v/>
      </c>
      <c r="D347" s="5" t="str">
        <f>IFERROR(IF(SUMIFS(tblDaily[Deaths],tblDaily[EntryDate],DATE(2026,9,29),tblDaily[WardCode],"BH")=0,"",SUMIFS(tblDaily[Deaths],tblDaily[EntryDate],DATE(2026,9,29),tblDaily[WardCode],"BH")),"")</f>
        <v/>
      </c>
      <c r="E347" s="5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5" t="str">
        <f>IFERROR(IF(SUMIFS(tblDaily[TransfersIn],tblDaily[EntryDate],DATE(2026,9,29),tblDaily[WardCode],"BH")=0,"",SUMIFS(tblDaily[TransfersIn],tblDaily[EntryDate],DATE(2026,9,29),tblDaily[WardCode],"BH")),"")</f>
        <v/>
      </c>
      <c r="G347" s="5" t="str">
        <f>IFERROR(IF(SUMIFS(tblDaily[TransfersOut],tblDaily[EntryDate],DATE(2026,9,29),tblDaily[WardCode],"BH")=0,"",SUMIFS(tblDaily[TransfersOut],tblDaily[EntryDate],DATE(2026,9,29),tblDaily[WardCode],"BH")),"")</f>
        <v/>
      </c>
      <c r="H347" s="5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IFERROR(IF(SUMIFS(tblDaily[Admissions],tblDaily[EntryDate],DATE(2026,9,30),tblDaily[WardCode],"BH")=0,"",SUMIFS(tblDaily[Admissions],tblDaily[EntryDate],DATE(2026,9,30),tblDaily[WardCode],"BH")),"")</f>
        <v/>
      </c>
      <c r="C348" s="5" t="str">
        <f>IFERROR(IF(SUMIFS(tblDaily[Discharges],tblDaily[EntryDate],DATE(2026,9,30),tblDaily[WardCode],"BH")=0,"",SUMIFS(tblDaily[Discharges],tblDaily[EntryDate],DATE(2026,9,30),tblDaily[WardCode],"BH")),"")</f>
        <v/>
      </c>
      <c r="D348" s="5" t="str">
        <f>IFERROR(IF(SUMIFS(tblDaily[Deaths],tblDaily[EntryDate],DATE(2026,9,30),tblDaily[WardCode],"BH")=0,"",SUMIFS(tblDaily[Deaths],tblDaily[EntryDate],DATE(2026,9,30),tblDaily[WardCode],"BH")),"")</f>
        <v/>
      </c>
      <c r="E348" s="5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5" t="str">
        <f>IFERROR(IF(SUMIFS(tblDaily[TransfersIn],tblDaily[EntryDate],DATE(2026,9,30),tblDaily[WardCode],"BH")=0,"",SUMIFS(tblDaily[TransfersIn],tblDaily[EntryDate],DATE(2026,9,30),tblDaily[WardCode],"BH")),"")</f>
        <v/>
      </c>
      <c r="G348" s="5" t="str">
        <f>IFERROR(IF(SUMIFS(tblDaily[TransfersOut],tblDaily[EntryDate],DATE(2026,9,30),tblDaily[WardCode],"BH")=0,"",SUMIFS(tblDaily[TransfersOut],tblDaily[EntryDate],DATE(2026,9,30),tblDaily[WardCode],"BH")),"")</f>
        <v/>
      </c>
      <c r="H348" s="5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100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89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IFERROR(IF(SUMIFS(tblDaily[Admissions],tblDaily[EntryDate],DATE(2026,10,1),tblDaily[WardCode],"BH")=0,"",SUMIFS(tblDaily[Admissions],tblDaily[EntryDate],DATE(2026,10,1),tblDaily[WardCode],"BH")),"")</f>
        <v/>
      </c>
      <c r="C358" s="5" t="str">
        <f>IFERROR(IF(SUMIFS(tblDaily[Discharges],tblDaily[EntryDate],DATE(2026,10,1),tblDaily[WardCode],"BH")=0,"",SUMIFS(tblDaily[Discharges],tblDaily[EntryDate],DATE(2026,10,1),tblDaily[WardCode],"BH")),"")</f>
        <v/>
      </c>
      <c r="D358" s="5" t="str">
        <f>IFERROR(IF(SUMIFS(tblDaily[Deaths],tblDaily[EntryDate],DATE(2026,10,1),tblDaily[WardCode],"BH")=0,"",SUMIFS(tblDaily[Deaths],tblDaily[EntryDate],DATE(2026,10,1),tblDaily[WardCode],"BH")),"")</f>
        <v/>
      </c>
      <c r="E358" s="5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5" t="str">
        <f>IFERROR(IF(SUMIFS(tblDaily[TransfersIn],tblDaily[EntryDate],DATE(2026,10,1),tblDaily[WardCode],"BH")=0,"",SUMIFS(tblDaily[TransfersIn],tblDaily[EntryDate],DATE(2026,10,1),tblDaily[WardCode],"BH")),"")</f>
        <v/>
      </c>
      <c r="G358" s="5" t="str">
        <f>IFERROR(IF(SUMIFS(tblDaily[TransfersOut],tblDaily[EntryDate],DATE(2026,10,1),tblDaily[WardCode],"BH")=0,"",SUMIFS(tblDaily[TransfersOut],tblDaily[EntryDate],DATE(2026,10,1),tblDaily[WardCode],"BH")),"")</f>
        <v/>
      </c>
      <c r="H358" s="5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IFERROR(IF(SUMIFS(tblDaily[Admissions],tblDaily[EntryDate],DATE(2026,10,2),tblDaily[WardCode],"BH")=0,"",SUMIFS(tblDaily[Admissions],tblDaily[EntryDate],DATE(2026,10,2),tblDaily[WardCode],"BH")),"")</f>
        <v/>
      </c>
      <c r="C359" s="5" t="str">
        <f>IFERROR(IF(SUMIFS(tblDaily[Discharges],tblDaily[EntryDate],DATE(2026,10,2),tblDaily[WardCode],"BH")=0,"",SUMIFS(tblDaily[Discharges],tblDaily[EntryDate],DATE(2026,10,2),tblDaily[WardCode],"BH")),"")</f>
        <v/>
      </c>
      <c r="D359" s="5" t="str">
        <f>IFERROR(IF(SUMIFS(tblDaily[Deaths],tblDaily[EntryDate],DATE(2026,10,2),tblDaily[WardCode],"BH")=0,"",SUMIFS(tblDaily[Deaths],tblDaily[EntryDate],DATE(2026,10,2),tblDaily[WardCode],"BH")),"")</f>
        <v/>
      </c>
      <c r="E359" s="5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5" t="str">
        <f>IFERROR(IF(SUMIFS(tblDaily[TransfersIn],tblDaily[EntryDate],DATE(2026,10,2),tblDaily[WardCode],"BH")=0,"",SUMIFS(tblDaily[TransfersIn],tblDaily[EntryDate],DATE(2026,10,2),tblDaily[WardCode],"BH")),"")</f>
        <v/>
      </c>
      <c r="G359" s="5" t="str">
        <f>IFERROR(IF(SUMIFS(tblDaily[TransfersOut],tblDaily[EntryDate],DATE(2026,10,2),tblDaily[WardCode],"BH")=0,"",SUMIFS(tblDaily[TransfersOut],tblDaily[EntryDate],DATE(2026,10,2),tblDaily[WardCode],"BH")),"")</f>
        <v/>
      </c>
      <c r="H359" s="5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IFERROR(IF(SUMIFS(tblDaily[Admissions],tblDaily[EntryDate],DATE(2026,10,3),tblDaily[WardCode],"BH")=0,"",SUMIFS(tblDaily[Admissions],tblDaily[EntryDate],DATE(2026,10,3),tblDaily[WardCode],"BH")),"")</f>
        <v/>
      </c>
      <c r="C360" s="5" t="str">
        <f>IFERROR(IF(SUMIFS(tblDaily[Discharges],tblDaily[EntryDate],DATE(2026,10,3),tblDaily[WardCode],"BH")=0,"",SUMIFS(tblDaily[Discharges],tblDaily[EntryDate],DATE(2026,10,3),tblDaily[WardCode],"BH")),"")</f>
        <v/>
      </c>
      <c r="D360" s="5" t="str">
        <f>IFERROR(IF(SUMIFS(tblDaily[Deaths],tblDaily[EntryDate],DATE(2026,10,3),tblDaily[WardCode],"BH")=0,"",SUMIFS(tblDaily[Deaths],tblDaily[EntryDate],DATE(2026,10,3),tblDaily[WardCode],"BH")),"")</f>
        <v/>
      </c>
      <c r="E360" s="5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5" t="str">
        <f>IFERROR(IF(SUMIFS(tblDaily[TransfersIn],tblDaily[EntryDate],DATE(2026,10,3),tblDaily[WardCode],"BH")=0,"",SUMIFS(tblDaily[TransfersIn],tblDaily[EntryDate],DATE(2026,10,3),tblDaily[WardCode],"BH")),"")</f>
        <v/>
      </c>
      <c r="G360" s="5" t="str">
        <f>IFERROR(IF(SUMIFS(tblDaily[TransfersOut],tblDaily[EntryDate],DATE(2026,10,3),tblDaily[WardCode],"BH")=0,"",SUMIFS(tblDaily[TransfersOut],tblDaily[EntryDate],DATE(2026,10,3),tblDaily[WardCode],"BH")),"")</f>
        <v/>
      </c>
      <c r="H360" s="5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IFERROR(IF(SUMIFS(tblDaily[Admissions],tblDaily[EntryDate],DATE(2026,10,4),tblDaily[WardCode],"BH")=0,"",SUMIFS(tblDaily[Admissions],tblDaily[EntryDate],DATE(2026,10,4),tblDaily[WardCode],"BH")),"")</f>
        <v/>
      </c>
      <c r="C361" s="5" t="str">
        <f>IFERROR(IF(SUMIFS(tblDaily[Discharges],tblDaily[EntryDate],DATE(2026,10,4),tblDaily[WardCode],"BH")=0,"",SUMIFS(tblDaily[Discharges],tblDaily[EntryDate],DATE(2026,10,4),tblDaily[WardCode],"BH")),"")</f>
        <v/>
      </c>
      <c r="D361" s="5" t="str">
        <f>IFERROR(IF(SUMIFS(tblDaily[Deaths],tblDaily[EntryDate],DATE(2026,10,4),tblDaily[WardCode],"BH")=0,"",SUMIFS(tblDaily[Deaths],tblDaily[EntryDate],DATE(2026,10,4),tblDaily[WardCode],"BH")),"")</f>
        <v/>
      </c>
      <c r="E361" s="5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5" t="str">
        <f>IFERROR(IF(SUMIFS(tblDaily[TransfersIn],tblDaily[EntryDate],DATE(2026,10,4),tblDaily[WardCode],"BH")=0,"",SUMIFS(tblDaily[TransfersIn],tblDaily[EntryDate],DATE(2026,10,4),tblDaily[WardCode],"BH")),"")</f>
        <v/>
      </c>
      <c r="G361" s="5" t="str">
        <f>IFERROR(IF(SUMIFS(tblDaily[TransfersOut],tblDaily[EntryDate],DATE(2026,10,4),tblDaily[WardCode],"BH")=0,"",SUMIFS(tblDaily[TransfersOut],tblDaily[EntryDate],DATE(2026,10,4),tblDaily[WardCode],"BH")),"")</f>
        <v/>
      </c>
      <c r="H361" s="5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IFERROR(IF(SUMIFS(tblDaily[Admissions],tblDaily[EntryDate],DATE(2026,10,5),tblDaily[WardCode],"BH")=0,"",SUMIFS(tblDaily[Admissions],tblDaily[EntryDate],DATE(2026,10,5),tblDaily[WardCode],"BH")),"")</f>
        <v/>
      </c>
      <c r="C362" s="5" t="str">
        <f>IFERROR(IF(SUMIFS(tblDaily[Discharges],tblDaily[EntryDate],DATE(2026,10,5),tblDaily[WardCode],"BH")=0,"",SUMIFS(tblDaily[Discharges],tblDaily[EntryDate],DATE(2026,10,5),tblDaily[WardCode],"BH")),"")</f>
        <v/>
      </c>
      <c r="D362" s="5" t="str">
        <f>IFERROR(IF(SUMIFS(tblDaily[Deaths],tblDaily[EntryDate],DATE(2026,10,5),tblDaily[WardCode],"BH")=0,"",SUMIFS(tblDaily[Deaths],tblDaily[EntryDate],DATE(2026,10,5),tblDaily[WardCode],"BH")),"")</f>
        <v/>
      </c>
      <c r="E362" s="5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5" t="str">
        <f>IFERROR(IF(SUMIFS(tblDaily[TransfersIn],tblDaily[EntryDate],DATE(2026,10,5),tblDaily[WardCode],"BH")=0,"",SUMIFS(tblDaily[TransfersIn],tblDaily[EntryDate],DATE(2026,10,5),tblDaily[WardCode],"BH")),"")</f>
        <v/>
      </c>
      <c r="G362" s="5" t="str">
        <f>IFERROR(IF(SUMIFS(tblDaily[TransfersOut],tblDaily[EntryDate],DATE(2026,10,5),tblDaily[WardCode],"BH")=0,"",SUMIFS(tblDaily[TransfersOut],tblDaily[EntryDate],DATE(2026,10,5),tblDaily[WardCode],"BH")),"")</f>
        <v/>
      </c>
      <c r="H362" s="5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IFERROR(IF(SUMIFS(tblDaily[Admissions],tblDaily[EntryDate],DATE(2026,10,6),tblDaily[WardCode],"BH")=0,"",SUMIFS(tblDaily[Admissions],tblDaily[EntryDate],DATE(2026,10,6),tblDaily[WardCode],"BH")),"")</f>
        <v/>
      </c>
      <c r="C363" s="5" t="str">
        <f>IFERROR(IF(SUMIFS(tblDaily[Discharges],tblDaily[EntryDate],DATE(2026,10,6),tblDaily[WardCode],"BH")=0,"",SUMIFS(tblDaily[Discharges],tblDaily[EntryDate],DATE(2026,10,6),tblDaily[WardCode],"BH")),"")</f>
        <v/>
      </c>
      <c r="D363" s="5" t="str">
        <f>IFERROR(IF(SUMIFS(tblDaily[Deaths],tblDaily[EntryDate],DATE(2026,10,6),tblDaily[WardCode],"BH")=0,"",SUMIFS(tblDaily[Deaths],tblDaily[EntryDate],DATE(2026,10,6),tblDaily[WardCode],"BH")),"")</f>
        <v/>
      </c>
      <c r="E363" s="5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5" t="str">
        <f>IFERROR(IF(SUMIFS(tblDaily[TransfersIn],tblDaily[EntryDate],DATE(2026,10,6),tblDaily[WardCode],"BH")=0,"",SUMIFS(tblDaily[TransfersIn],tblDaily[EntryDate],DATE(2026,10,6),tblDaily[WardCode],"BH")),"")</f>
        <v/>
      </c>
      <c r="G363" s="5" t="str">
        <f>IFERROR(IF(SUMIFS(tblDaily[TransfersOut],tblDaily[EntryDate],DATE(2026,10,6),tblDaily[WardCode],"BH")=0,"",SUMIFS(tblDaily[TransfersOut],tblDaily[EntryDate],DATE(2026,10,6),tblDaily[WardCode],"BH")),"")</f>
        <v/>
      </c>
      <c r="H363" s="5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IFERROR(IF(SUMIFS(tblDaily[Admissions],tblDaily[EntryDate],DATE(2026,10,7),tblDaily[WardCode],"BH")=0,"",SUMIFS(tblDaily[Admissions],tblDaily[EntryDate],DATE(2026,10,7),tblDaily[WardCode],"BH")),"")</f>
        <v/>
      </c>
      <c r="C364" s="5" t="str">
        <f>IFERROR(IF(SUMIFS(tblDaily[Discharges],tblDaily[EntryDate],DATE(2026,10,7),tblDaily[WardCode],"BH")=0,"",SUMIFS(tblDaily[Discharges],tblDaily[EntryDate],DATE(2026,10,7),tblDaily[WardCode],"BH")),"")</f>
        <v/>
      </c>
      <c r="D364" s="5" t="str">
        <f>IFERROR(IF(SUMIFS(tblDaily[Deaths],tblDaily[EntryDate],DATE(2026,10,7),tblDaily[WardCode],"BH")=0,"",SUMIFS(tblDaily[Deaths],tblDaily[EntryDate],DATE(2026,10,7),tblDaily[WardCode],"BH")),"")</f>
        <v/>
      </c>
      <c r="E364" s="5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5" t="str">
        <f>IFERROR(IF(SUMIFS(tblDaily[TransfersIn],tblDaily[EntryDate],DATE(2026,10,7),tblDaily[WardCode],"BH")=0,"",SUMIFS(tblDaily[TransfersIn],tblDaily[EntryDate],DATE(2026,10,7),tblDaily[WardCode],"BH")),"")</f>
        <v/>
      </c>
      <c r="G364" s="5" t="str">
        <f>IFERROR(IF(SUMIFS(tblDaily[TransfersOut],tblDaily[EntryDate],DATE(2026,10,7),tblDaily[WardCode],"BH")=0,"",SUMIFS(tblDaily[TransfersOut],tblDaily[EntryDate],DATE(2026,10,7),tblDaily[WardCode],"BH")),"")</f>
        <v/>
      </c>
      <c r="H364" s="5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IFERROR(IF(SUMIFS(tblDaily[Admissions],tblDaily[EntryDate],DATE(2026,10,8),tblDaily[WardCode],"BH")=0,"",SUMIFS(tblDaily[Admissions],tblDaily[EntryDate],DATE(2026,10,8),tblDaily[WardCode],"BH")),"")</f>
        <v/>
      </c>
      <c r="C365" s="5" t="str">
        <f>IFERROR(IF(SUMIFS(tblDaily[Discharges],tblDaily[EntryDate],DATE(2026,10,8),tblDaily[WardCode],"BH")=0,"",SUMIFS(tblDaily[Discharges],tblDaily[EntryDate],DATE(2026,10,8),tblDaily[WardCode],"BH")),"")</f>
        <v/>
      </c>
      <c r="D365" s="5" t="str">
        <f>IFERROR(IF(SUMIFS(tblDaily[Deaths],tblDaily[EntryDate],DATE(2026,10,8),tblDaily[WardCode],"BH")=0,"",SUMIFS(tblDaily[Deaths],tblDaily[EntryDate],DATE(2026,10,8),tblDaily[WardCode],"BH")),"")</f>
        <v/>
      </c>
      <c r="E365" s="5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5" t="str">
        <f>IFERROR(IF(SUMIFS(tblDaily[TransfersIn],tblDaily[EntryDate],DATE(2026,10,8),tblDaily[WardCode],"BH")=0,"",SUMIFS(tblDaily[TransfersIn],tblDaily[EntryDate],DATE(2026,10,8),tblDaily[WardCode],"BH")),"")</f>
        <v/>
      </c>
      <c r="G365" s="5" t="str">
        <f>IFERROR(IF(SUMIFS(tblDaily[TransfersOut],tblDaily[EntryDate],DATE(2026,10,8),tblDaily[WardCode],"BH")=0,"",SUMIFS(tblDaily[TransfersOut],tblDaily[EntryDate],DATE(2026,10,8),tblDaily[WardCode],"BH")),"")</f>
        <v/>
      </c>
      <c r="H365" s="5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IFERROR(IF(SUMIFS(tblDaily[Admissions],tblDaily[EntryDate],DATE(2026,10,9),tblDaily[WardCode],"BH")=0,"",SUMIFS(tblDaily[Admissions],tblDaily[EntryDate],DATE(2026,10,9),tblDaily[WardCode],"BH")),"")</f>
        <v/>
      </c>
      <c r="C366" s="5" t="str">
        <f>IFERROR(IF(SUMIFS(tblDaily[Discharges],tblDaily[EntryDate],DATE(2026,10,9),tblDaily[WardCode],"BH")=0,"",SUMIFS(tblDaily[Discharges],tblDaily[EntryDate],DATE(2026,10,9),tblDaily[WardCode],"BH")),"")</f>
        <v/>
      </c>
      <c r="D366" s="5" t="str">
        <f>IFERROR(IF(SUMIFS(tblDaily[Deaths],tblDaily[EntryDate],DATE(2026,10,9),tblDaily[WardCode],"BH")=0,"",SUMIFS(tblDaily[Deaths],tblDaily[EntryDate],DATE(2026,10,9),tblDaily[WardCode],"BH")),"")</f>
        <v/>
      </c>
      <c r="E366" s="5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5" t="str">
        <f>IFERROR(IF(SUMIFS(tblDaily[TransfersIn],tblDaily[EntryDate],DATE(2026,10,9),tblDaily[WardCode],"BH")=0,"",SUMIFS(tblDaily[TransfersIn],tblDaily[EntryDate],DATE(2026,10,9),tblDaily[WardCode],"BH")),"")</f>
        <v/>
      </c>
      <c r="G366" s="5" t="str">
        <f>IFERROR(IF(SUMIFS(tblDaily[TransfersOut],tblDaily[EntryDate],DATE(2026,10,9),tblDaily[WardCode],"BH")=0,"",SUMIFS(tblDaily[TransfersOut],tblDaily[EntryDate],DATE(2026,10,9),tblDaily[WardCode],"BH")),"")</f>
        <v/>
      </c>
      <c r="H366" s="5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IFERROR(IF(SUMIFS(tblDaily[Admissions],tblDaily[EntryDate],DATE(2026,10,10),tblDaily[WardCode],"BH")=0,"",SUMIFS(tblDaily[Admissions],tblDaily[EntryDate],DATE(2026,10,10),tblDaily[WardCode],"BH")),"")</f>
        <v/>
      </c>
      <c r="C367" s="5" t="str">
        <f>IFERROR(IF(SUMIFS(tblDaily[Discharges],tblDaily[EntryDate],DATE(2026,10,10),tblDaily[WardCode],"BH")=0,"",SUMIFS(tblDaily[Discharges],tblDaily[EntryDate],DATE(2026,10,10),tblDaily[WardCode],"BH")),"")</f>
        <v/>
      </c>
      <c r="D367" s="5" t="str">
        <f>IFERROR(IF(SUMIFS(tblDaily[Deaths],tblDaily[EntryDate],DATE(2026,10,10),tblDaily[WardCode],"BH")=0,"",SUMIFS(tblDaily[Deaths],tblDaily[EntryDate],DATE(2026,10,10),tblDaily[WardCode],"BH")),"")</f>
        <v/>
      </c>
      <c r="E367" s="5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5" t="str">
        <f>IFERROR(IF(SUMIFS(tblDaily[TransfersIn],tblDaily[EntryDate],DATE(2026,10,10),tblDaily[WardCode],"BH")=0,"",SUMIFS(tblDaily[TransfersIn],tblDaily[EntryDate],DATE(2026,10,10),tblDaily[WardCode],"BH")),"")</f>
        <v/>
      </c>
      <c r="G367" s="5" t="str">
        <f>IFERROR(IF(SUMIFS(tblDaily[TransfersOut],tblDaily[EntryDate],DATE(2026,10,10),tblDaily[WardCode],"BH")=0,"",SUMIFS(tblDaily[TransfersOut],tblDaily[EntryDate],DATE(2026,10,10),tblDaily[WardCode],"BH")),"")</f>
        <v/>
      </c>
      <c r="H367" s="5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IFERROR(IF(SUMIFS(tblDaily[Admissions],tblDaily[EntryDate],DATE(2026,10,11),tblDaily[WardCode],"BH")=0,"",SUMIFS(tblDaily[Admissions],tblDaily[EntryDate],DATE(2026,10,11),tblDaily[WardCode],"BH")),"")</f>
        <v/>
      </c>
      <c r="C368" s="5" t="str">
        <f>IFERROR(IF(SUMIFS(tblDaily[Discharges],tblDaily[EntryDate],DATE(2026,10,11),tblDaily[WardCode],"BH")=0,"",SUMIFS(tblDaily[Discharges],tblDaily[EntryDate],DATE(2026,10,11),tblDaily[WardCode],"BH")),"")</f>
        <v/>
      </c>
      <c r="D368" s="5" t="str">
        <f>IFERROR(IF(SUMIFS(tblDaily[Deaths],tblDaily[EntryDate],DATE(2026,10,11),tblDaily[WardCode],"BH")=0,"",SUMIFS(tblDaily[Deaths],tblDaily[EntryDate],DATE(2026,10,11),tblDaily[WardCode],"BH")),"")</f>
        <v/>
      </c>
      <c r="E368" s="5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5" t="str">
        <f>IFERROR(IF(SUMIFS(tblDaily[TransfersIn],tblDaily[EntryDate],DATE(2026,10,11),tblDaily[WardCode],"BH")=0,"",SUMIFS(tblDaily[TransfersIn],tblDaily[EntryDate],DATE(2026,10,11),tblDaily[WardCode],"BH")),"")</f>
        <v/>
      </c>
      <c r="G368" s="5" t="str">
        <f>IFERROR(IF(SUMIFS(tblDaily[TransfersOut],tblDaily[EntryDate],DATE(2026,10,11),tblDaily[WardCode],"BH")=0,"",SUMIFS(tblDaily[TransfersOut],tblDaily[EntryDate],DATE(2026,10,11),tblDaily[WardCode],"BH")),"")</f>
        <v/>
      </c>
      <c r="H368" s="5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IFERROR(IF(SUMIFS(tblDaily[Admissions],tblDaily[EntryDate],DATE(2026,10,12),tblDaily[WardCode],"BH")=0,"",SUMIFS(tblDaily[Admissions],tblDaily[EntryDate],DATE(2026,10,12),tblDaily[WardCode],"BH")),"")</f>
        <v/>
      </c>
      <c r="C369" s="5" t="str">
        <f>IFERROR(IF(SUMIFS(tblDaily[Discharges],tblDaily[EntryDate],DATE(2026,10,12),tblDaily[WardCode],"BH")=0,"",SUMIFS(tblDaily[Discharges],tblDaily[EntryDate],DATE(2026,10,12),tblDaily[WardCode],"BH")),"")</f>
        <v/>
      </c>
      <c r="D369" s="5" t="str">
        <f>IFERROR(IF(SUMIFS(tblDaily[Deaths],tblDaily[EntryDate],DATE(2026,10,12),tblDaily[WardCode],"BH")=0,"",SUMIFS(tblDaily[Deaths],tblDaily[EntryDate],DATE(2026,10,12),tblDaily[WardCode],"BH")),"")</f>
        <v/>
      </c>
      <c r="E369" s="5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5" t="str">
        <f>IFERROR(IF(SUMIFS(tblDaily[TransfersIn],tblDaily[EntryDate],DATE(2026,10,12),tblDaily[WardCode],"BH")=0,"",SUMIFS(tblDaily[TransfersIn],tblDaily[EntryDate],DATE(2026,10,12),tblDaily[WardCode],"BH")),"")</f>
        <v/>
      </c>
      <c r="G369" s="5" t="str">
        <f>IFERROR(IF(SUMIFS(tblDaily[TransfersOut],tblDaily[EntryDate],DATE(2026,10,12),tblDaily[WardCode],"BH")=0,"",SUMIFS(tblDaily[TransfersOut],tblDaily[EntryDate],DATE(2026,10,12),tblDaily[WardCode],"BH")),"")</f>
        <v/>
      </c>
      <c r="H369" s="5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IFERROR(IF(SUMIFS(tblDaily[Admissions],tblDaily[EntryDate],DATE(2026,10,13),tblDaily[WardCode],"BH")=0,"",SUMIFS(tblDaily[Admissions],tblDaily[EntryDate],DATE(2026,10,13),tblDaily[WardCode],"BH")),"")</f>
        <v/>
      </c>
      <c r="C370" s="5" t="str">
        <f>IFERROR(IF(SUMIFS(tblDaily[Discharges],tblDaily[EntryDate],DATE(2026,10,13),tblDaily[WardCode],"BH")=0,"",SUMIFS(tblDaily[Discharges],tblDaily[EntryDate],DATE(2026,10,13),tblDaily[WardCode],"BH")),"")</f>
        <v/>
      </c>
      <c r="D370" s="5" t="str">
        <f>IFERROR(IF(SUMIFS(tblDaily[Deaths],tblDaily[EntryDate],DATE(2026,10,13),tblDaily[WardCode],"BH")=0,"",SUMIFS(tblDaily[Deaths],tblDaily[EntryDate],DATE(2026,10,13),tblDaily[WardCode],"BH")),"")</f>
        <v/>
      </c>
      <c r="E370" s="5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5" t="str">
        <f>IFERROR(IF(SUMIFS(tblDaily[TransfersIn],tblDaily[EntryDate],DATE(2026,10,13),tblDaily[WardCode],"BH")=0,"",SUMIFS(tblDaily[TransfersIn],tblDaily[EntryDate],DATE(2026,10,13),tblDaily[WardCode],"BH")),"")</f>
        <v/>
      </c>
      <c r="G370" s="5" t="str">
        <f>IFERROR(IF(SUMIFS(tblDaily[TransfersOut],tblDaily[EntryDate],DATE(2026,10,13),tblDaily[WardCode],"BH")=0,"",SUMIFS(tblDaily[TransfersOut],tblDaily[EntryDate],DATE(2026,10,13),tblDaily[WardCode],"BH")),"")</f>
        <v/>
      </c>
      <c r="H370" s="5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IFERROR(IF(SUMIFS(tblDaily[Admissions],tblDaily[EntryDate],DATE(2026,10,14),tblDaily[WardCode],"BH")=0,"",SUMIFS(tblDaily[Admissions],tblDaily[EntryDate],DATE(2026,10,14),tblDaily[WardCode],"BH")),"")</f>
        <v/>
      </c>
      <c r="C371" s="5" t="str">
        <f>IFERROR(IF(SUMIFS(tblDaily[Discharges],tblDaily[EntryDate],DATE(2026,10,14),tblDaily[WardCode],"BH")=0,"",SUMIFS(tblDaily[Discharges],tblDaily[EntryDate],DATE(2026,10,14),tblDaily[WardCode],"BH")),"")</f>
        <v/>
      </c>
      <c r="D371" s="5" t="str">
        <f>IFERROR(IF(SUMIFS(tblDaily[Deaths],tblDaily[EntryDate],DATE(2026,10,14),tblDaily[WardCode],"BH")=0,"",SUMIFS(tblDaily[Deaths],tblDaily[EntryDate],DATE(2026,10,14),tblDaily[WardCode],"BH")),"")</f>
        <v/>
      </c>
      <c r="E371" s="5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5" t="str">
        <f>IFERROR(IF(SUMIFS(tblDaily[TransfersIn],tblDaily[EntryDate],DATE(2026,10,14),tblDaily[WardCode],"BH")=0,"",SUMIFS(tblDaily[TransfersIn],tblDaily[EntryDate],DATE(2026,10,14),tblDaily[WardCode],"BH")),"")</f>
        <v/>
      </c>
      <c r="G371" s="5" t="str">
        <f>IFERROR(IF(SUMIFS(tblDaily[TransfersOut],tblDaily[EntryDate],DATE(2026,10,14),tblDaily[WardCode],"BH")=0,"",SUMIFS(tblDaily[TransfersOut],tblDaily[EntryDate],DATE(2026,10,14),tblDaily[WardCode],"BH")),"")</f>
        <v/>
      </c>
      <c r="H371" s="5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IFERROR(IF(SUMIFS(tblDaily[Admissions],tblDaily[EntryDate],DATE(2026,10,15),tblDaily[WardCode],"BH")=0,"",SUMIFS(tblDaily[Admissions],tblDaily[EntryDate],DATE(2026,10,15),tblDaily[WardCode],"BH")),"")</f>
        <v/>
      </c>
      <c r="C372" s="5" t="str">
        <f>IFERROR(IF(SUMIFS(tblDaily[Discharges],tblDaily[EntryDate],DATE(2026,10,15),tblDaily[WardCode],"BH")=0,"",SUMIFS(tblDaily[Discharges],tblDaily[EntryDate],DATE(2026,10,15),tblDaily[WardCode],"BH")),"")</f>
        <v/>
      </c>
      <c r="D372" s="5" t="str">
        <f>IFERROR(IF(SUMIFS(tblDaily[Deaths],tblDaily[EntryDate],DATE(2026,10,15),tblDaily[WardCode],"BH")=0,"",SUMIFS(tblDaily[Deaths],tblDaily[EntryDate],DATE(2026,10,15),tblDaily[WardCode],"BH")),"")</f>
        <v/>
      </c>
      <c r="E372" s="5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5" t="str">
        <f>IFERROR(IF(SUMIFS(tblDaily[TransfersIn],tblDaily[EntryDate],DATE(2026,10,15),tblDaily[WardCode],"BH")=0,"",SUMIFS(tblDaily[TransfersIn],tblDaily[EntryDate],DATE(2026,10,15),tblDaily[WardCode],"BH")),"")</f>
        <v/>
      </c>
      <c r="G372" s="5" t="str">
        <f>IFERROR(IF(SUMIFS(tblDaily[TransfersOut],tblDaily[EntryDate],DATE(2026,10,15),tblDaily[WardCode],"BH")=0,"",SUMIFS(tblDaily[TransfersOut],tblDaily[EntryDate],DATE(2026,10,15),tblDaily[WardCode],"BH")),"")</f>
        <v/>
      </c>
      <c r="H372" s="5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IFERROR(IF(SUMIFS(tblDaily[Admissions],tblDaily[EntryDate],DATE(2026,10,16),tblDaily[WardCode],"BH")=0,"",SUMIFS(tblDaily[Admissions],tblDaily[EntryDate],DATE(2026,10,16),tblDaily[WardCode],"BH")),"")</f>
        <v/>
      </c>
      <c r="C373" s="5" t="str">
        <f>IFERROR(IF(SUMIFS(tblDaily[Discharges],tblDaily[EntryDate],DATE(2026,10,16),tblDaily[WardCode],"BH")=0,"",SUMIFS(tblDaily[Discharges],tblDaily[EntryDate],DATE(2026,10,16),tblDaily[WardCode],"BH")),"")</f>
        <v/>
      </c>
      <c r="D373" s="5" t="str">
        <f>IFERROR(IF(SUMIFS(tblDaily[Deaths],tblDaily[EntryDate],DATE(2026,10,16),tblDaily[WardCode],"BH")=0,"",SUMIFS(tblDaily[Deaths],tblDaily[EntryDate],DATE(2026,10,16),tblDaily[WardCode],"BH")),"")</f>
        <v/>
      </c>
      <c r="E373" s="5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5" t="str">
        <f>IFERROR(IF(SUMIFS(tblDaily[TransfersIn],tblDaily[EntryDate],DATE(2026,10,16),tblDaily[WardCode],"BH")=0,"",SUMIFS(tblDaily[TransfersIn],tblDaily[EntryDate],DATE(2026,10,16),tblDaily[WardCode],"BH")),"")</f>
        <v/>
      </c>
      <c r="G373" s="5" t="str">
        <f>IFERROR(IF(SUMIFS(tblDaily[TransfersOut],tblDaily[EntryDate],DATE(2026,10,16),tblDaily[WardCode],"BH")=0,"",SUMIFS(tblDaily[TransfersOut],tblDaily[EntryDate],DATE(2026,10,16),tblDaily[WardCode],"BH")),"")</f>
        <v/>
      </c>
      <c r="H373" s="5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IFERROR(IF(SUMIFS(tblDaily[Admissions],tblDaily[EntryDate],DATE(2026,10,17),tblDaily[WardCode],"BH")=0,"",SUMIFS(tblDaily[Admissions],tblDaily[EntryDate],DATE(2026,10,17),tblDaily[WardCode],"BH")),"")</f>
        <v/>
      </c>
      <c r="C374" s="5" t="str">
        <f>IFERROR(IF(SUMIFS(tblDaily[Discharges],tblDaily[EntryDate],DATE(2026,10,17),tblDaily[WardCode],"BH")=0,"",SUMIFS(tblDaily[Discharges],tblDaily[EntryDate],DATE(2026,10,17),tblDaily[WardCode],"BH")),"")</f>
        <v/>
      </c>
      <c r="D374" s="5" t="str">
        <f>IFERROR(IF(SUMIFS(tblDaily[Deaths],tblDaily[EntryDate],DATE(2026,10,17),tblDaily[WardCode],"BH")=0,"",SUMIFS(tblDaily[Deaths],tblDaily[EntryDate],DATE(2026,10,17),tblDaily[WardCode],"BH")),"")</f>
        <v/>
      </c>
      <c r="E374" s="5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5" t="str">
        <f>IFERROR(IF(SUMIFS(tblDaily[TransfersIn],tblDaily[EntryDate],DATE(2026,10,17),tblDaily[WardCode],"BH")=0,"",SUMIFS(tblDaily[TransfersIn],tblDaily[EntryDate],DATE(2026,10,17),tblDaily[WardCode],"BH")),"")</f>
        <v/>
      </c>
      <c r="G374" s="5" t="str">
        <f>IFERROR(IF(SUMIFS(tblDaily[TransfersOut],tblDaily[EntryDate],DATE(2026,10,17),tblDaily[WardCode],"BH")=0,"",SUMIFS(tblDaily[TransfersOut],tblDaily[EntryDate],DATE(2026,10,17),tblDaily[WardCode],"BH")),"")</f>
        <v/>
      </c>
      <c r="H374" s="5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IFERROR(IF(SUMIFS(tblDaily[Admissions],tblDaily[EntryDate],DATE(2026,10,18),tblDaily[WardCode],"BH")=0,"",SUMIFS(tblDaily[Admissions],tblDaily[EntryDate],DATE(2026,10,18),tblDaily[WardCode],"BH")),"")</f>
        <v/>
      </c>
      <c r="C375" s="5" t="str">
        <f>IFERROR(IF(SUMIFS(tblDaily[Discharges],tblDaily[EntryDate],DATE(2026,10,18),tblDaily[WardCode],"BH")=0,"",SUMIFS(tblDaily[Discharges],tblDaily[EntryDate],DATE(2026,10,18),tblDaily[WardCode],"BH")),"")</f>
        <v/>
      </c>
      <c r="D375" s="5" t="str">
        <f>IFERROR(IF(SUMIFS(tblDaily[Deaths],tblDaily[EntryDate],DATE(2026,10,18),tblDaily[WardCode],"BH")=0,"",SUMIFS(tblDaily[Deaths],tblDaily[EntryDate],DATE(2026,10,18),tblDaily[WardCode],"BH")),"")</f>
        <v/>
      </c>
      <c r="E375" s="5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5" t="str">
        <f>IFERROR(IF(SUMIFS(tblDaily[TransfersIn],tblDaily[EntryDate],DATE(2026,10,18),tblDaily[WardCode],"BH")=0,"",SUMIFS(tblDaily[TransfersIn],tblDaily[EntryDate],DATE(2026,10,18),tblDaily[WardCode],"BH")),"")</f>
        <v/>
      </c>
      <c r="G375" s="5" t="str">
        <f>IFERROR(IF(SUMIFS(tblDaily[TransfersOut],tblDaily[EntryDate],DATE(2026,10,18),tblDaily[WardCode],"BH")=0,"",SUMIFS(tblDaily[TransfersOut],tblDaily[EntryDate],DATE(2026,10,18),tblDaily[WardCode],"BH")),"")</f>
        <v/>
      </c>
      <c r="H375" s="5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IFERROR(IF(SUMIFS(tblDaily[Admissions],tblDaily[EntryDate],DATE(2026,10,19),tblDaily[WardCode],"BH")=0,"",SUMIFS(tblDaily[Admissions],tblDaily[EntryDate],DATE(2026,10,19),tblDaily[WardCode],"BH")),"")</f>
        <v/>
      </c>
      <c r="C376" s="5" t="str">
        <f>IFERROR(IF(SUMIFS(tblDaily[Discharges],tblDaily[EntryDate],DATE(2026,10,19),tblDaily[WardCode],"BH")=0,"",SUMIFS(tblDaily[Discharges],tblDaily[EntryDate],DATE(2026,10,19),tblDaily[WardCode],"BH")),"")</f>
        <v/>
      </c>
      <c r="D376" s="5" t="str">
        <f>IFERROR(IF(SUMIFS(tblDaily[Deaths],tblDaily[EntryDate],DATE(2026,10,19),tblDaily[WardCode],"BH")=0,"",SUMIFS(tblDaily[Deaths],tblDaily[EntryDate],DATE(2026,10,19),tblDaily[WardCode],"BH")),"")</f>
        <v/>
      </c>
      <c r="E376" s="5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5" t="str">
        <f>IFERROR(IF(SUMIFS(tblDaily[TransfersIn],tblDaily[EntryDate],DATE(2026,10,19),tblDaily[WardCode],"BH")=0,"",SUMIFS(tblDaily[TransfersIn],tblDaily[EntryDate],DATE(2026,10,19),tblDaily[WardCode],"BH")),"")</f>
        <v/>
      </c>
      <c r="G376" s="5" t="str">
        <f>IFERROR(IF(SUMIFS(tblDaily[TransfersOut],tblDaily[EntryDate],DATE(2026,10,19),tblDaily[WardCode],"BH")=0,"",SUMIFS(tblDaily[TransfersOut],tblDaily[EntryDate],DATE(2026,10,19),tblDaily[WardCode],"BH")),"")</f>
        <v/>
      </c>
      <c r="H376" s="5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IFERROR(IF(SUMIFS(tblDaily[Admissions],tblDaily[EntryDate],DATE(2026,10,20),tblDaily[WardCode],"BH")=0,"",SUMIFS(tblDaily[Admissions],tblDaily[EntryDate],DATE(2026,10,20),tblDaily[WardCode],"BH")),"")</f>
        <v/>
      </c>
      <c r="C377" s="5" t="str">
        <f>IFERROR(IF(SUMIFS(tblDaily[Discharges],tblDaily[EntryDate],DATE(2026,10,20),tblDaily[WardCode],"BH")=0,"",SUMIFS(tblDaily[Discharges],tblDaily[EntryDate],DATE(2026,10,20),tblDaily[WardCode],"BH")),"")</f>
        <v/>
      </c>
      <c r="D377" s="5" t="str">
        <f>IFERROR(IF(SUMIFS(tblDaily[Deaths],tblDaily[EntryDate],DATE(2026,10,20),tblDaily[WardCode],"BH")=0,"",SUMIFS(tblDaily[Deaths],tblDaily[EntryDate],DATE(2026,10,20),tblDaily[WardCode],"BH")),"")</f>
        <v/>
      </c>
      <c r="E377" s="5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5" t="str">
        <f>IFERROR(IF(SUMIFS(tblDaily[TransfersIn],tblDaily[EntryDate],DATE(2026,10,20),tblDaily[WardCode],"BH")=0,"",SUMIFS(tblDaily[TransfersIn],tblDaily[EntryDate],DATE(2026,10,20),tblDaily[WardCode],"BH")),"")</f>
        <v/>
      </c>
      <c r="G377" s="5" t="str">
        <f>IFERROR(IF(SUMIFS(tblDaily[TransfersOut],tblDaily[EntryDate],DATE(2026,10,20),tblDaily[WardCode],"BH")=0,"",SUMIFS(tblDaily[TransfersOut],tblDaily[EntryDate],DATE(2026,10,20),tblDaily[WardCode],"BH")),"")</f>
        <v/>
      </c>
      <c r="H377" s="5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IFERROR(IF(SUMIFS(tblDaily[Admissions],tblDaily[EntryDate],DATE(2026,10,21),tblDaily[WardCode],"BH")=0,"",SUMIFS(tblDaily[Admissions],tblDaily[EntryDate],DATE(2026,10,21),tblDaily[WardCode],"BH")),"")</f>
        <v/>
      </c>
      <c r="C378" s="5" t="str">
        <f>IFERROR(IF(SUMIFS(tblDaily[Discharges],tblDaily[EntryDate],DATE(2026,10,21),tblDaily[WardCode],"BH")=0,"",SUMIFS(tblDaily[Discharges],tblDaily[EntryDate],DATE(2026,10,21),tblDaily[WardCode],"BH")),"")</f>
        <v/>
      </c>
      <c r="D378" s="5" t="str">
        <f>IFERROR(IF(SUMIFS(tblDaily[Deaths],tblDaily[EntryDate],DATE(2026,10,21),tblDaily[WardCode],"BH")=0,"",SUMIFS(tblDaily[Deaths],tblDaily[EntryDate],DATE(2026,10,21),tblDaily[WardCode],"BH")),"")</f>
        <v/>
      </c>
      <c r="E378" s="5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5" t="str">
        <f>IFERROR(IF(SUMIFS(tblDaily[TransfersIn],tblDaily[EntryDate],DATE(2026,10,21),tblDaily[WardCode],"BH")=0,"",SUMIFS(tblDaily[TransfersIn],tblDaily[EntryDate],DATE(2026,10,21),tblDaily[WardCode],"BH")),"")</f>
        <v/>
      </c>
      <c r="G378" s="5" t="str">
        <f>IFERROR(IF(SUMIFS(tblDaily[TransfersOut],tblDaily[EntryDate],DATE(2026,10,21),tblDaily[WardCode],"BH")=0,"",SUMIFS(tblDaily[TransfersOut],tblDaily[EntryDate],DATE(2026,10,21),tblDaily[WardCode],"BH")),"")</f>
        <v/>
      </c>
      <c r="H378" s="5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IFERROR(IF(SUMIFS(tblDaily[Admissions],tblDaily[EntryDate],DATE(2026,10,22),tblDaily[WardCode],"BH")=0,"",SUMIFS(tblDaily[Admissions],tblDaily[EntryDate],DATE(2026,10,22),tblDaily[WardCode],"BH")),"")</f>
        <v/>
      </c>
      <c r="C379" s="5" t="str">
        <f>IFERROR(IF(SUMIFS(tblDaily[Discharges],tblDaily[EntryDate],DATE(2026,10,22),tblDaily[WardCode],"BH")=0,"",SUMIFS(tblDaily[Discharges],tblDaily[EntryDate],DATE(2026,10,22),tblDaily[WardCode],"BH")),"")</f>
        <v/>
      </c>
      <c r="D379" s="5" t="str">
        <f>IFERROR(IF(SUMIFS(tblDaily[Deaths],tblDaily[EntryDate],DATE(2026,10,22),tblDaily[WardCode],"BH")=0,"",SUMIFS(tblDaily[Deaths],tblDaily[EntryDate],DATE(2026,10,22),tblDaily[WardCode],"BH")),"")</f>
        <v/>
      </c>
      <c r="E379" s="5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5" t="str">
        <f>IFERROR(IF(SUMIFS(tblDaily[TransfersIn],tblDaily[EntryDate],DATE(2026,10,22),tblDaily[WardCode],"BH")=0,"",SUMIFS(tblDaily[TransfersIn],tblDaily[EntryDate],DATE(2026,10,22),tblDaily[WardCode],"BH")),"")</f>
        <v/>
      </c>
      <c r="G379" s="5" t="str">
        <f>IFERROR(IF(SUMIFS(tblDaily[TransfersOut],tblDaily[EntryDate],DATE(2026,10,22),tblDaily[WardCode],"BH")=0,"",SUMIFS(tblDaily[TransfersOut],tblDaily[EntryDate],DATE(2026,10,22),tblDaily[WardCode],"BH")),"")</f>
        <v/>
      </c>
      <c r="H379" s="5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IFERROR(IF(SUMIFS(tblDaily[Admissions],tblDaily[EntryDate],DATE(2026,10,23),tblDaily[WardCode],"BH")=0,"",SUMIFS(tblDaily[Admissions],tblDaily[EntryDate],DATE(2026,10,23),tblDaily[WardCode],"BH")),"")</f>
        <v/>
      </c>
      <c r="C380" s="5" t="str">
        <f>IFERROR(IF(SUMIFS(tblDaily[Discharges],tblDaily[EntryDate],DATE(2026,10,23),tblDaily[WardCode],"BH")=0,"",SUMIFS(tblDaily[Discharges],tblDaily[EntryDate],DATE(2026,10,23),tblDaily[WardCode],"BH")),"")</f>
        <v/>
      </c>
      <c r="D380" s="5" t="str">
        <f>IFERROR(IF(SUMIFS(tblDaily[Deaths],tblDaily[EntryDate],DATE(2026,10,23),tblDaily[WardCode],"BH")=0,"",SUMIFS(tblDaily[Deaths],tblDaily[EntryDate],DATE(2026,10,23),tblDaily[WardCode],"BH")),"")</f>
        <v/>
      </c>
      <c r="E380" s="5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5" t="str">
        <f>IFERROR(IF(SUMIFS(tblDaily[TransfersIn],tblDaily[EntryDate],DATE(2026,10,23),tblDaily[WardCode],"BH")=0,"",SUMIFS(tblDaily[TransfersIn],tblDaily[EntryDate],DATE(2026,10,23),tblDaily[WardCode],"BH")),"")</f>
        <v/>
      </c>
      <c r="G380" s="5" t="str">
        <f>IFERROR(IF(SUMIFS(tblDaily[TransfersOut],tblDaily[EntryDate],DATE(2026,10,23),tblDaily[WardCode],"BH")=0,"",SUMIFS(tblDaily[TransfersOut],tblDaily[EntryDate],DATE(2026,10,23),tblDaily[WardCode],"BH")),"")</f>
        <v/>
      </c>
      <c r="H380" s="5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IFERROR(IF(SUMIFS(tblDaily[Admissions],tblDaily[EntryDate],DATE(2026,10,24),tblDaily[WardCode],"BH")=0,"",SUMIFS(tblDaily[Admissions],tblDaily[EntryDate],DATE(2026,10,24),tblDaily[WardCode],"BH")),"")</f>
        <v/>
      </c>
      <c r="C381" s="5" t="str">
        <f>IFERROR(IF(SUMIFS(tblDaily[Discharges],tblDaily[EntryDate],DATE(2026,10,24),tblDaily[WardCode],"BH")=0,"",SUMIFS(tblDaily[Discharges],tblDaily[EntryDate],DATE(2026,10,24),tblDaily[WardCode],"BH")),"")</f>
        <v/>
      </c>
      <c r="D381" s="5" t="str">
        <f>IFERROR(IF(SUMIFS(tblDaily[Deaths],tblDaily[EntryDate],DATE(2026,10,24),tblDaily[WardCode],"BH")=0,"",SUMIFS(tblDaily[Deaths],tblDaily[EntryDate],DATE(2026,10,24),tblDaily[WardCode],"BH")),"")</f>
        <v/>
      </c>
      <c r="E381" s="5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5" t="str">
        <f>IFERROR(IF(SUMIFS(tblDaily[TransfersIn],tblDaily[EntryDate],DATE(2026,10,24),tblDaily[WardCode],"BH")=0,"",SUMIFS(tblDaily[TransfersIn],tblDaily[EntryDate],DATE(2026,10,24),tblDaily[WardCode],"BH")),"")</f>
        <v/>
      </c>
      <c r="G381" s="5" t="str">
        <f>IFERROR(IF(SUMIFS(tblDaily[TransfersOut],tblDaily[EntryDate],DATE(2026,10,24),tblDaily[WardCode],"BH")=0,"",SUMIFS(tblDaily[TransfersOut],tblDaily[EntryDate],DATE(2026,10,24),tblDaily[WardCode],"BH")),"")</f>
        <v/>
      </c>
      <c r="H381" s="5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IFERROR(IF(SUMIFS(tblDaily[Admissions],tblDaily[EntryDate],DATE(2026,10,25),tblDaily[WardCode],"BH")=0,"",SUMIFS(tblDaily[Admissions],tblDaily[EntryDate],DATE(2026,10,25),tblDaily[WardCode],"BH")),"")</f>
        <v/>
      </c>
      <c r="C382" s="5" t="str">
        <f>IFERROR(IF(SUMIFS(tblDaily[Discharges],tblDaily[EntryDate],DATE(2026,10,25),tblDaily[WardCode],"BH")=0,"",SUMIFS(tblDaily[Discharges],tblDaily[EntryDate],DATE(2026,10,25),tblDaily[WardCode],"BH")),"")</f>
        <v/>
      </c>
      <c r="D382" s="5" t="str">
        <f>IFERROR(IF(SUMIFS(tblDaily[Deaths],tblDaily[EntryDate],DATE(2026,10,25),tblDaily[WardCode],"BH")=0,"",SUMIFS(tblDaily[Deaths],tblDaily[EntryDate],DATE(2026,10,25),tblDaily[WardCode],"BH")),"")</f>
        <v/>
      </c>
      <c r="E382" s="5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5" t="str">
        <f>IFERROR(IF(SUMIFS(tblDaily[TransfersIn],tblDaily[EntryDate],DATE(2026,10,25),tblDaily[WardCode],"BH")=0,"",SUMIFS(tblDaily[TransfersIn],tblDaily[EntryDate],DATE(2026,10,25),tblDaily[WardCode],"BH")),"")</f>
        <v/>
      </c>
      <c r="G382" s="5" t="str">
        <f>IFERROR(IF(SUMIFS(tblDaily[TransfersOut],tblDaily[EntryDate],DATE(2026,10,25),tblDaily[WardCode],"BH")=0,"",SUMIFS(tblDaily[TransfersOut],tblDaily[EntryDate],DATE(2026,10,25),tblDaily[WardCode],"BH")),"")</f>
        <v/>
      </c>
      <c r="H382" s="5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IFERROR(IF(SUMIFS(tblDaily[Admissions],tblDaily[EntryDate],DATE(2026,10,26),tblDaily[WardCode],"BH")=0,"",SUMIFS(tblDaily[Admissions],tblDaily[EntryDate],DATE(2026,10,26),tblDaily[WardCode],"BH")),"")</f>
        <v/>
      </c>
      <c r="C383" s="5" t="str">
        <f>IFERROR(IF(SUMIFS(tblDaily[Discharges],tblDaily[EntryDate],DATE(2026,10,26),tblDaily[WardCode],"BH")=0,"",SUMIFS(tblDaily[Discharges],tblDaily[EntryDate],DATE(2026,10,26),tblDaily[WardCode],"BH")),"")</f>
        <v/>
      </c>
      <c r="D383" s="5" t="str">
        <f>IFERROR(IF(SUMIFS(tblDaily[Deaths],tblDaily[EntryDate],DATE(2026,10,26),tblDaily[WardCode],"BH")=0,"",SUMIFS(tblDaily[Deaths],tblDaily[EntryDate],DATE(2026,10,26),tblDaily[WardCode],"BH")),"")</f>
        <v/>
      </c>
      <c r="E383" s="5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5" t="str">
        <f>IFERROR(IF(SUMIFS(tblDaily[TransfersIn],tblDaily[EntryDate],DATE(2026,10,26),tblDaily[WardCode],"BH")=0,"",SUMIFS(tblDaily[TransfersIn],tblDaily[EntryDate],DATE(2026,10,26),tblDaily[WardCode],"BH")),"")</f>
        <v/>
      </c>
      <c r="G383" s="5" t="str">
        <f>IFERROR(IF(SUMIFS(tblDaily[TransfersOut],tblDaily[EntryDate],DATE(2026,10,26),tblDaily[WardCode],"BH")=0,"",SUMIFS(tblDaily[TransfersOut],tblDaily[EntryDate],DATE(2026,10,26),tblDaily[WardCode],"BH")),"")</f>
        <v/>
      </c>
      <c r="H383" s="5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IFERROR(IF(SUMIFS(tblDaily[Admissions],tblDaily[EntryDate],DATE(2026,10,27),tblDaily[WardCode],"BH")=0,"",SUMIFS(tblDaily[Admissions],tblDaily[EntryDate],DATE(2026,10,27),tblDaily[WardCode],"BH")),"")</f>
        <v/>
      </c>
      <c r="C384" s="5" t="str">
        <f>IFERROR(IF(SUMIFS(tblDaily[Discharges],tblDaily[EntryDate],DATE(2026,10,27),tblDaily[WardCode],"BH")=0,"",SUMIFS(tblDaily[Discharges],tblDaily[EntryDate],DATE(2026,10,27),tblDaily[WardCode],"BH")),"")</f>
        <v/>
      </c>
      <c r="D384" s="5" t="str">
        <f>IFERROR(IF(SUMIFS(tblDaily[Deaths],tblDaily[EntryDate],DATE(2026,10,27),tblDaily[WardCode],"BH")=0,"",SUMIFS(tblDaily[Deaths],tblDaily[EntryDate],DATE(2026,10,27),tblDaily[WardCode],"BH")),"")</f>
        <v/>
      </c>
      <c r="E384" s="5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5" t="str">
        <f>IFERROR(IF(SUMIFS(tblDaily[TransfersIn],tblDaily[EntryDate],DATE(2026,10,27),tblDaily[WardCode],"BH")=0,"",SUMIFS(tblDaily[TransfersIn],tblDaily[EntryDate],DATE(2026,10,27),tblDaily[WardCode],"BH")),"")</f>
        <v/>
      </c>
      <c r="G384" s="5" t="str">
        <f>IFERROR(IF(SUMIFS(tblDaily[TransfersOut],tblDaily[EntryDate],DATE(2026,10,27),tblDaily[WardCode],"BH")=0,"",SUMIFS(tblDaily[TransfersOut],tblDaily[EntryDate],DATE(2026,10,27),tblDaily[WardCode],"BH")),"")</f>
        <v/>
      </c>
      <c r="H384" s="5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IFERROR(IF(SUMIFS(tblDaily[Admissions],tblDaily[EntryDate],DATE(2026,10,28),tblDaily[WardCode],"BH")=0,"",SUMIFS(tblDaily[Admissions],tblDaily[EntryDate],DATE(2026,10,28),tblDaily[WardCode],"BH")),"")</f>
        <v/>
      </c>
      <c r="C385" s="5" t="str">
        <f>IFERROR(IF(SUMIFS(tblDaily[Discharges],tblDaily[EntryDate],DATE(2026,10,28),tblDaily[WardCode],"BH")=0,"",SUMIFS(tblDaily[Discharges],tblDaily[EntryDate],DATE(2026,10,28),tblDaily[WardCode],"BH")),"")</f>
        <v/>
      </c>
      <c r="D385" s="5" t="str">
        <f>IFERROR(IF(SUMIFS(tblDaily[Deaths],tblDaily[EntryDate],DATE(2026,10,28),tblDaily[WardCode],"BH")=0,"",SUMIFS(tblDaily[Deaths],tblDaily[EntryDate],DATE(2026,10,28),tblDaily[WardCode],"BH")),"")</f>
        <v/>
      </c>
      <c r="E385" s="5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5" t="str">
        <f>IFERROR(IF(SUMIFS(tblDaily[TransfersIn],tblDaily[EntryDate],DATE(2026,10,28),tblDaily[WardCode],"BH")=0,"",SUMIFS(tblDaily[TransfersIn],tblDaily[EntryDate],DATE(2026,10,28),tblDaily[WardCode],"BH")),"")</f>
        <v/>
      </c>
      <c r="G385" s="5" t="str">
        <f>IFERROR(IF(SUMIFS(tblDaily[TransfersOut],tblDaily[EntryDate],DATE(2026,10,28),tblDaily[WardCode],"BH")=0,"",SUMIFS(tblDaily[TransfersOut],tblDaily[EntryDate],DATE(2026,10,28),tblDaily[WardCode],"BH")),"")</f>
        <v/>
      </c>
      <c r="H385" s="5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IFERROR(IF(SUMIFS(tblDaily[Admissions],tblDaily[EntryDate],DATE(2026,10,29),tblDaily[WardCode],"BH")=0,"",SUMIFS(tblDaily[Admissions],tblDaily[EntryDate],DATE(2026,10,29),tblDaily[WardCode],"BH")),"")</f>
        <v/>
      </c>
      <c r="C386" s="5" t="str">
        <f>IFERROR(IF(SUMIFS(tblDaily[Discharges],tblDaily[EntryDate],DATE(2026,10,29),tblDaily[WardCode],"BH")=0,"",SUMIFS(tblDaily[Discharges],tblDaily[EntryDate],DATE(2026,10,29),tblDaily[WardCode],"BH")),"")</f>
        <v/>
      </c>
      <c r="D386" s="5" t="str">
        <f>IFERROR(IF(SUMIFS(tblDaily[Deaths],tblDaily[EntryDate],DATE(2026,10,29),tblDaily[WardCode],"BH")=0,"",SUMIFS(tblDaily[Deaths],tblDaily[EntryDate],DATE(2026,10,29),tblDaily[WardCode],"BH")),"")</f>
        <v/>
      </c>
      <c r="E386" s="5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5" t="str">
        <f>IFERROR(IF(SUMIFS(tblDaily[TransfersIn],tblDaily[EntryDate],DATE(2026,10,29),tblDaily[WardCode],"BH")=0,"",SUMIFS(tblDaily[TransfersIn],tblDaily[EntryDate],DATE(2026,10,29),tblDaily[WardCode],"BH")),"")</f>
        <v/>
      </c>
      <c r="G386" s="5" t="str">
        <f>IFERROR(IF(SUMIFS(tblDaily[TransfersOut],tblDaily[EntryDate],DATE(2026,10,29),tblDaily[WardCode],"BH")=0,"",SUMIFS(tblDaily[TransfersOut],tblDaily[EntryDate],DATE(2026,10,29),tblDaily[WardCode],"BH")),"")</f>
        <v/>
      </c>
      <c r="H386" s="5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IFERROR(IF(SUMIFS(tblDaily[Admissions],tblDaily[EntryDate],DATE(2026,10,30),tblDaily[WardCode],"BH")=0,"",SUMIFS(tblDaily[Admissions],tblDaily[EntryDate],DATE(2026,10,30),tblDaily[WardCode],"BH")),"")</f>
        <v/>
      </c>
      <c r="C387" s="5" t="str">
        <f>IFERROR(IF(SUMIFS(tblDaily[Discharges],tblDaily[EntryDate],DATE(2026,10,30),tblDaily[WardCode],"BH")=0,"",SUMIFS(tblDaily[Discharges],tblDaily[EntryDate],DATE(2026,10,30),tblDaily[WardCode],"BH")),"")</f>
        <v/>
      </c>
      <c r="D387" s="5" t="str">
        <f>IFERROR(IF(SUMIFS(tblDaily[Deaths],tblDaily[EntryDate],DATE(2026,10,30),tblDaily[WardCode],"BH")=0,"",SUMIFS(tblDaily[Deaths],tblDaily[EntryDate],DATE(2026,10,30),tblDaily[WardCode],"BH")),"")</f>
        <v/>
      </c>
      <c r="E387" s="5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5" t="str">
        <f>IFERROR(IF(SUMIFS(tblDaily[TransfersIn],tblDaily[EntryDate],DATE(2026,10,30),tblDaily[WardCode],"BH")=0,"",SUMIFS(tblDaily[TransfersIn],tblDaily[EntryDate],DATE(2026,10,30),tblDaily[WardCode],"BH")),"")</f>
        <v/>
      </c>
      <c r="G387" s="5" t="str">
        <f>IFERROR(IF(SUMIFS(tblDaily[TransfersOut],tblDaily[EntryDate],DATE(2026,10,30),tblDaily[WardCode],"BH")=0,"",SUMIFS(tblDaily[TransfersOut],tblDaily[EntryDate],DATE(2026,10,30),tblDaily[WardCode],"BH")),"")</f>
        <v/>
      </c>
      <c r="H387" s="5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IFERROR(IF(SUMIFS(tblDaily[Admissions],tblDaily[EntryDate],DATE(2026,10,31),tblDaily[WardCode],"BH")=0,"",SUMIFS(tblDaily[Admissions],tblDaily[EntryDate],DATE(2026,10,31),tblDaily[WardCode],"BH")),"")</f>
        <v/>
      </c>
      <c r="C388" s="5" t="str">
        <f>IFERROR(IF(SUMIFS(tblDaily[Discharges],tblDaily[EntryDate],DATE(2026,10,31),tblDaily[WardCode],"BH")=0,"",SUMIFS(tblDaily[Discharges],tblDaily[EntryDate],DATE(2026,10,31),tblDaily[WardCode],"BH")),"")</f>
        <v/>
      </c>
      <c r="D388" s="5" t="str">
        <f>IFERROR(IF(SUMIFS(tblDaily[Deaths],tblDaily[EntryDate],DATE(2026,10,31),tblDaily[WardCode],"BH")=0,"",SUMIFS(tblDaily[Deaths],tblDaily[EntryDate],DATE(2026,10,31),tblDaily[WardCode],"BH")),"")</f>
        <v/>
      </c>
      <c r="E388" s="5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5" t="str">
        <f>IFERROR(IF(SUMIFS(tblDaily[TransfersIn],tblDaily[EntryDate],DATE(2026,10,31),tblDaily[WardCode],"BH")=0,"",SUMIFS(tblDaily[TransfersIn],tblDaily[EntryDate],DATE(2026,10,31),tblDaily[WardCode],"BH")),"")</f>
        <v/>
      </c>
      <c r="G388" s="5" t="str">
        <f>IFERROR(IF(SUMIFS(tblDaily[TransfersOut],tblDaily[EntryDate],DATE(2026,10,31),tblDaily[WardCode],"BH")=0,"",SUMIFS(tblDaily[TransfersOut],tblDaily[EntryDate],DATE(2026,10,31),tblDaily[WardCode],"BH")),"")</f>
        <v/>
      </c>
      <c r="H388" s="5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95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100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89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IFERROR(IF(SUMIFS(tblDaily[Admissions],tblDaily[EntryDate],DATE(2026,11,1),tblDaily[WardCode],"BH")=0,"",SUMIFS(tblDaily[Admissions],tblDaily[EntryDate],DATE(2026,11,1),tblDaily[WardCode],"BH")),"")</f>
        <v/>
      </c>
      <c r="C397" s="5" t="str">
        <f>IFERROR(IF(SUMIFS(tblDaily[Discharges],tblDaily[EntryDate],DATE(2026,11,1),tblDaily[WardCode],"BH")=0,"",SUMIFS(tblDaily[Discharges],tblDaily[EntryDate],DATE(2026,11,1),tblDaily[WardCode],"BH")),"")</f>
        <v/>
      </c>
      <c r="D397" s="5" t="str">
        <f>IFERROR(IF(SUMIFS(tblDaily[Deaths],tblDaily[EntryDate],DATE(2026,11,1),tblDaily[WardCode],"BH")=0,"",SUMIFS(tblDaily[Deaths],tblDaily[EntryDate],DATE(2026,11,1),tblDaily[WardCode],"BH")),"")</f>
        <v/>
      </c>
      <c r="E397" s="5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5" t="str">
        <f>IFERROR(IF(SUMIFS(tblDaily[TransfersIn],tblDaily[EntryDate],DATE(2026,11,1),tblDaily[WardCode],"BH")=0,"",SUMIFS(tblDaily[TransfersIn],tblDaily[EntryDate],DATE(2026,11,1),tblDaily[WardCode],"BH")),"")</f>
        <v/>
      </c>
      <c r="G397" s="5" t="str">
        <f>IFERROR(IF(SUMIFS(tblDaily[TransfersOut],tblDaily[EntryDate],DATE(2026,11,1),tblDaily[WardCode],"BH")=0,"",SUMIFS(tblDaily[TransfersOut],tblDaily[EntryDate],DATE(2026,11,1),tblDaily[WardCode],"BH")),"")</f>
        <v/>
      </c>
      <c r="H397" s="5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IFERROR(IF(SUMIFS(tblDaily[Admissions],tblDaily[EntryDate],DATE(2026,11,2),tblDaily[WardCode],"BH")=0,"",SUMIFS(tblDaily[Admissions],tblDaily[EntryDate],DATE(2026,11,2),tblDaily[WardCode],"BH")),"")</f>
        <v/>
      </c>
      <c r="C398" s="5" t="str">
        <f>IFERROR(IF(SUMIFS(tblDaily[Discharges],tblDaily[EntryDate],DATE(2026,11,2),tblDaily[WardCode],"BH")=0,"",SUMIFS(tblDaily[Discharges],tblDaily[EntryDate],DATE(2026,11,2),tblDaily[WardCode],"BH")),"")</f>
        <v/>
      </c>
      <c r="D398" s="5" t="str">
        <f>IFERROR(IF(SUMIFS(tblDaily[Deaths],tblDaily[EntryDate],DATE(2026,11,2),tblDaily[WardCode],"BH")=0,"",SUMIFS(tblDaily[Deaths],tblDaily[EntryDate],DATE(2026,11,2),tblDaily[WardCode],"BH")),"")</f>
        <v/>
      </c>
      <c r="E398" s="5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5" t="str">
        <f>IFERROR(IF(SUMIFS(tblDaily[TransfersIn],tblDaily[EntryDate],DATE(2026,11,2),tblDaily[WardCode],"BH")=0,"",SUMIFS(tblDaily[TransfersIn],tblDaily[EntryDate],DATE(2026,11,2),tblDaily[WardCode],"BH")),"")</f>
        <v/>
      </c>
      <c r="G398" s="5" t="str">
        <f>IFERROR(IF(SUMIFS(tblDaily[TransfersOut],tblDaily[EntryDate],DATE(2026,11,2),tblDaily[WardCode],"BH")=0,"",SUMIFS(tblDaily[TransfersOut],tblDaily[EntryDate],DATE(2026,11,2),tblDaily[WardCode],"BH")),"")</f>
        <v/>
      </c>
      <c r="H398" s="5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IFERROR(IF(SUMIFS(tblDaily[Admissions],tblDaily[EntryDate],DATE(2026,11,3),tblDaily[WardCode],"BH")=0,"",SUMIFS(tblDaily[Admissions],tblDaily[EntryDate],DATE(2026,11,3),tblDaily[WardCode],"BH")),"")</f>
        <v/>
      </c>
      <c r="C399" s="5" t="str">
        <f>IFERROR(IF(SUMIFS(tblDaily[Discharges],tblDaily[EntryDate],DATE(2026,11,3),tblDaily[WardCode],"BH")=0,"",SUMIFS(tblDaily[Discharges],tblDaily[EntryDate],DATE(2026,11,3),tblDaily[WardCode],"BH")),"")</f>
        <v/>
      </c>
      <c r="D399" s="5" t="str">
        <f>IFERROR(IF(SUMIFS(tblDaily[Deaths],tblDaily[EntryDate],DATE(2026,11,3),tblDaily[WardCode],"BH")=0,"",SUMIFS(tblDaily[Deaths],tblDaily[EntryDate],DATE(2026,11,3),tblDaily[WardCode],"BH")),"")</f>
        <v/>
      </c>
      <c r="E399" s="5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5" t="str">
        <f>IFERROR(IF(SUMIFS(tblDaily[TransfersIn],tblDaily[EntryDate],DATE(2026,11,3),tblDaily[WardCode],"BH")=0,"",SUMIFS(tblDaily[TransfersIn],tblDaily[EntryDate],DATE(2026,11,3),tblDaily[WardCode],"BH")),"")</f>
        <v/>
      </c>
      <c r="G399" s="5" t="str">
        <f>IFERROR(IF(SUMIFS(tblDaily[TransfersOut],tblDaily[EntryDate],DATE(2026,11,3),tblDaily[WardCode],"BH")=0,"",SUMIFS(tblDaily[TransfersOut],tblDaily[EntryDate],DATE(2026,11,3),tblDaily[WardCode],"BH")),"")</f>
        <v/>
      </c>
      <c r="H399" s="5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IFERROR(IF(SUMIFS(tblDaily[Admissions],tblDaily[EntryDate],DATE(2026,11,4),tblDaily[WardCode],"BH")=0,"",SUMIFS(tblDaily[Admissions],tblDaily[EntryDate],DATE(2026,11,4),tblDaily[WardCode],"BH")),"")</f>
        <v/>
      </c>
      <c r="C400" s="5" t="str">
        <f>IFERROR(IF(SUMIFS(tblDaily[Discharges],tblDaily[EntryDate],DATE(2026,11,4),tblDaily[WardCode],"BH")=0,"",SUMIFS(tblDaily[Discharges],tblDaily[EntryDate],DATE(2026,11,4),tblDaily[WardCode],"BH")),"")</f>
        <v/>
      </c>
      <c r="D400" s="5" t="str">
        <f>IFERROR(IF(SUMIFS(tblDaily[Deaths],tblDaily[EntryDate],DATE(2026,11,4),tblDaily[WardCode],"BH")=0,"",SUMIFS(tblDaily[Deaths],tblDaily[EntryDate],DATE(2026,11,4),tblDaily[WardCode],"BH")),"")</f>
        <v/>
      </c>
      <c r="E400" s="5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5" t="str">
        <f>IFERROR(IF(SUMIFS(tblDaily[TransfersIn],tblDaily[EntryDate],DATE(2026,11,4),tblDaily[WardCode],"BH")=0,"",SUMIFS(tblDaily[TransfersIn],tblDaily[EntryDate],DATE(2026,11,4),tblDaily[WardCode],"BH")),"")</f>
        <v/>
      </c>
      <c r="G400" s="5" t="str">
        <f>IFERROR(IF(SUMIFS(tblDaily[TransfersOut],tblDaily[EntryDate],DATE(2026,11,4),tblDaily[WardCode],"BH")=0,"",SUMIFS(tblDaily[TransfersOut],tblDaily[EntryDate],DATE(2026,11,4),tblDaily[WardCode],"BH")),"")</f>
        <v/>
      </c>
      <c r="H400" s="5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IFERROR(IF(SUMIFS(tblDaily[Admissions],tblDaily[EntryDate],DATE(2026,11,5),tblDaily[WardCode],"BH")=0,"",SUMIFS(tblDaily[Admissions],tblDaily[EntryDate],DATE(2026,11,5),tblDaily[WardCode],"BH")),"")</f>
        <v/>
      </c>
      <c r="C401" s="5" t="str">
        <f>IFERROR(IF(SUMIFS(tblDaily[Discharges],tblDaily[EntryDate],DATE(2026,11,5),tblDaily[WardCode],"BH")=0,"",SUMIFS(tblDaily[Discharges],tblDaily[EntryDate],DATE(2026,11,5),tblDaily[WardCode],"BH")),"")</f>
        <v/>
      </c>
      <c r="D401" s="5" t="str">
        <f>IFERROR(IF(SUMIFS(tblDaily[Deaths],tblDaily[EntryDate],DATE(2026,11,5),tblDaily[WardCode],"BH")=0,"",SUMIFS(tblDaily[Deaths],tblDaily[EntryDate],DATE(2026,11,5),tblDaily[WardCode],"BH")),"")</f>
        <v/>
      </c>
      <c r="E401" s="5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5" t="str">
        <f>IFERROR(IF(SUMIFS(tblDaily[TransfersIn],tblDaily[EntryDate],DATE(2026,11,5),tblDaily[WardCode],"BH")=0,"",SUMIFS(tblDaily[TransfersIn],tblDaily[EntryDate],DATE(2026,11,5),tblDaily[WardCode],"BH")),"")</f>
        <v/>
      </c>
      <c r="G401" s="5" t="str">
        <f>IFERROR(IF(SUMIFS(tblDaily[TransfersOut],tblDaily[EntryDate],DATE(2026,11,5),tblDaily[WardCode],"BH")=0,"",SUMIFS(tblDaily[TransfersOut],tblDaily[EntryDate],DATE(2026,11,5),tblDaily[WardCode],"BH")),"")</f>
        <v/>
      </c>
      <c r="H401" s="5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IFERROR(IF(SUMIFS(tblDaily[Admissions],tblDaily[EntryDate],DATE(2026,11,6),tblDaily[WardCode],"BH")=0,"",SUMIFS(tblDaily[Admissions],tblDaily[EntryDate],DATE(2026,11,6),tblDaily[WardCode],"BH")),"")</f>
        <v/>
      </c>
      <c r="C402" s="5" t="str">
        <f>IFERROR(IF(SUMIFS(tblDaily[Discharges],tblDaily[EntryDate],DATE(2026,11,6),tblDaily[WardCode],"BH")=0,"",SUMIFS(tblDaily[Discharges],tblDaily[EntryDate],DATE(2026,11,6),tblDaily[WardCode],"BH")),"")</f>
        <v/>
      </c>
      <c r="D402" s="5" t="str">
        <f>IFERROR(IF(SUMIFS(tblDaily[Deaths],tblDaily[EntryDate],DATE(2026,11,6),tblDaily[WardCode],"BH")=0,"",SUMIFS(tblDaily[Deaths],tblDaily[EntryDate],DATE(2026,11,6),tblDaily[WardCode],"BH")),"")</f>
        <v/>
      </c>
      <c r="E402" s="5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5" t="str">
        <f>IFERROR(IF(SUMIFS(tblDaily[TransfersIn],tblDaily[EntryDate],DATE(2026,11,6),tblDaily[WardCode],"BH")=0,"",SUMIFS(tblDaily[TransfersIn],tblDaily[EntryDate],DATE(2026,11,6),tblDaily[WardCode],"BH")),"")</f>
        <v/>
      </c>
      <c r="G402" s="5" t="str">
        <f>IFERROR(IF(SUMIFS(tblDaily[TransfersOut],tblDaily[EntryDate],DATE(2026,11,6),tblDaily[WardCode],"BH")=0,"",SUMIFS(tblDaily[TransfersOut],tblDaily[EntryDate],DATE(2026,11,6),tblDaily[WardCode],"BH")),"")</f>
        <v/>
      </c>
      <c r="H402" s="5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IFERROR(IF(SUMIFS(tblDaily[Admissions],tblDaily[EntryDate],DATE(2026,11,7),tblDaily[WardCode],"BH")=0,"",SUMIFS(tblDaily[Admissions],tblDaily[EntryDate],DATE(2026,11,7),tblDaily[WardCode],"BH")),"")</f>
        <v/>
      </c>
      <c r="C403" s="5" t="str">
        <f>IFERROR(IF(SUMIFS(tblDaily[Discharges],tblDaily[EntryDate],DATE(2026,11,7),tblDaily[WardCode],"BH")=0,"",SUMIFS(tblDaily[Discharges],tblDaily[EntryDate],DATE(2026,11,7),tblDaily[WardCode],"BH")),"")</f>
        <v/>
      </c>
      <c r="D403" s="5" t="str">
        <f>IFERROR(IF(SUMIFS(tblDaily[Deaths],tblDaily[EntryDate],DATE(2026,11,7),tblDaily[WardCode],"BH")=0,"",SUMIFS(tblDaily[Deaths],tblDaily[EntryDate],DATE(2026,11,7),tblDaily[WardCode],"BH")),"")</f>
        <v/>
      </c>
      <c r="E403" s="5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5" t="str">
        <f>IFERROR(IF(SUMIFS(tblDaily[TransfersIn],tblDaily[EntryDate],DATE(2026,11,7),tblDaily[WardCode],"BH")=0,"",SUMIFS(tblDaily[TransfersIn],tblDaily[EntryDate],DATE(2026,11,7),tblDaily[WardCode],"BH")),"")</f>
        <v/>
      </c>
      <c r="G403" s="5" t="str">
        <f>IFERROR(IF(SUMIFS(tblDaily[TransfersOut],tblDaily[EntryDate],DATE(2026,11,7),tblDaily[WardCode],"BH")=0,"",SUMIFS(tblDaily[TransfersOut],tblDaily[EntryDate],DATE(2026,11,7),tblDaily[WardCode],"BH")),"")</f>
        <v/>
      </c>
      <c r="H403" s="5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IFERROR(IF(SUMIFS(tblDaily[Admissions],tblDaily[EntryDate],DATE(2026,11,8),tblDaily[WardCode],"BH")=0,"",SUMIFS(tblDaily[Admissions],tblDaily[EntryDate],DATE(2026,11,8),tblDaily[WardCode],"BH")),"")</f>
        <v/>
      </c>
      <c r="C404" s="5" t="str">
        <f>IFERROR(IF(SUMIFS(tblDaily[Discharges],tblDaily[EntryDate],DATE(2026,11,8),tblDaily[WardCode],"BH")=0,"",SUMIFS(tblDaily[Discharges],tblDaily[EntryDate],DATE(2026,11,8),tblDaily[WardCode],"BH")),"")</f>
        <v/>
      </c>
      <c r="D404" s="5" t="str">
        <f>IFERROR(IF(SUMIFS(tblDaily[Deaths],tblDaily[EntryDate],DATE(2026,11,8),tblDaily[WardCode],"BH")=0,"",SUMIFS(tblDaily[Deaths],tblDaily[EntryDate],DATE(2026,11,8),tblDaily[WardCode],"BH")),"")</f>
        <v/>
      </c>
      <c r="E404" s="5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5" t="str">
        <f>IFERROR(IF(SUMIFS(tblDaily[TransfersIn],tblDaily[EntryDate],DATE(2026,11,8),tblDaily[WardCode],"BH")=0,"",SUMIFS(tblDaily[TransfersIn],tblDaily[EntryDate],DATE(2026,11,8),tblDaily[WardCode],"BH")),"")</f>
        <v/>
      </c>
      <c r="G404" s="5" t="str">
        <f>IFERROR(IF(SUMIFS(tblDaily[TransfersOut],tblDaily[EntryDate],DATE(2026,11,8),tblDaily[WardCode],"BH")=0,"",SUMIFS(tblDaily[TransfersOut],tblDaily[EntryDate],DATE(2026,11,8),tblDaily[WardCode],"BH")),"")</f>
        <v/>
      </c>
      <c r="H404" s="5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IFERROR(IF(SUMIFS(tblDaily[Admissions],tblDaily[EntryDate],DATE(2026,11,9),tblDaily[WardCode],"BH")=0,"",SUMIFS(tblDaily[Admissions],tblDaily[EntryDate],DATE(2026,11,9),tblDaily[WardCode],"BH")),"")</f>
        <v/>
      </c>
      <c r="C405" s="5" t="str">
        <f>IFERROR(IF(SUMIFS(tblDaily[Discharges],tblDaily[EntryDate],DATE(2026,11,9),tblDaily[WardCode],"BH")=0,"",SUMIFS(tblDaily[Discharges],tblDaily[EntryDate],DATE(2026,11,9),tblDaily[WardCode],"BH")),"")</f>
        <v/>
      </c>
      <c r="D405" s="5" t="str">
        <f>IFERROR(IF(SUMIFS(tblDaily[Deaths],tblDaily[EntryDate],DATE(2026,11,9),tblDaily[WardCode],"BH")=0,"",SUMIFS(tblDaily[Deaths],tblDaily[EntryDate],DATE(2026,11,9),tblDaily[WardCode],"BH")),"")</f>
        <v/>
      </c>
      <c r="E405" s="5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5" t="str">
        <f>IFERROR(IF(SUMIFS(tblDaily[TransfersIn],tblDaily[EntryDate],DATE(2026,11,9),tblDaily[WardCode],"BH")=0,"",SUMIFS(tblDaily[TransfersIn],tblDaily[EntryDate],DATE(2026,11,9),tblDaily[WardCode],"BH")),"")</f>
        <v/>
      </c>
      <c r="G405" s="5" t="str">
        <f>IFERROR(IF(SUMIFS(tblDaily[TransfersOut],tblDaily[EntryDate],DATE(2026,11,9),tblDaily[WardCode],"BH")=0,"",SUMIFS(tblDaily[TransfersOut],tblDaily[EntryDate],DATE(2026,11,9),tblDaily[WardCode],"BH")),"")</f>
        <v/>
      </c>
      <c r="H405" s="5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IFERROR(IF(SUMIFS(tblDaily[Admissions],tblDaily[EntryDate],DATE(2026,11,10),tblDaily[WardCode],"BH")=0,"",SUMIFS(tblDaily[Admissions],tblDaily[EntryDate],DATE(2026,11,10),tblDaily[WardCode],"BH")),"")</f>
        <v/>
      </c>
      <c r="C406" s="5" t="str">
        <f>IFERROR(IF(SUMIFS(tblDaily[Discharges],tblDaily[EntryDate],DATE(2026,11,10),tblDaily[WardCode],"BH")=0,"",SUMIFS(tblDaily[Discharges],tblDaily[EntryDate],DATE(2026,11,10),tblDaily[WardCode],"BH")),"")</f>
        <v/>
      </c>
      <c r="D406" s="5" t="str">
        <f>IFERROR(IF(SUMIFS(tblDaily[Deaths],tblDaily[EntryDate],DATE(2026,11,10),tblDaily[WardCode],"BH")=0,"",SUMIFS(tblDaily[Deaths],tblDaily[EntryDate],DATE(2026,11,10),tblDaily[WardCode],"BH")),"")</f>
        <v/>
      </c>
      <c r="E406" s="5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5" t="str">
        <f>IFERROR(IF(SUMIFS(tblDaily[TransfersIn],tblDaily[EntryDate],DATE(2026,11,10),tblDaily[WardCode],"BH")=0,"",SUMIFS(tblDaily[TransfersIn],tblDaily[EntryDate],DATE(2026,11,10),tblDaily[WardCode],"BH")),"")</f>
        <v/>
      </c>
      <c r="G406" s="5" t="str">
        <f>IFERROR(IF(SUMIFS(tblDaily[TransfersOut],tblDaily[EntryDate],DATE(2026,11,10),tblDaily[WardCode],"BH")=0,"",SUMIFS(tblDaily[TransfersOut],tblDaily[EntryDate],DATE(2026,11,10),tblDaily[WardCode],"BH")),"")</f>
        <v/>
      </c>
      <c r="H406" s="5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IFERROR(IF(SUMIFS(tblDaily[Admissions],tblDaily[EntryDate],DATE(2026,11,11),tblDaily[WardCode],"BH")=0,"",SUMIFS(tblDaily[Admissions],tblDaily[EntryDate],DATE(2026,11,11),tblDaily[WardCode],"BH")),"")</f>
        <v/>
      </c>
      <c r="C407" s="5" t="str">
        <f>IFERROR(IF(SUMIFS(tblDaily[Discharges],tblDaily[EntryDate],DATE(2026,11,11),tblDaily[WardCode],"BH")=0,"",SUMIFS(tblDaily[Discharges],tblDaily[EntryDate],DATE(2026,11,11),tblDaily[WardCode],"BH")),"")</f>
        <v/>
      </c>
      <c r="D407" s="5" t="str">
        <f>IFERROR(IF(SUMIFS(tblDaily[Deaths],tblDaily[EntryDate],DATE(2026,11,11),tblDaily[WardCode],"BH")=0,"",SUMIFS(tblDaily[Deaths],tblDaily[EntryDate],DATE(2026,11,11),tblDaily[WardCode],"BH")),"")</f>
        <v/>
      </c>
      <c r="E407" s="5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5" t="str">
        <f>IFERROR(IF(SUMIFS(tblDaily[TransfersIn],tblDaily[EntryDate],DATE(2026,11,11),tblDaily[WardCode],"BH")=0,"",SUMIFS(tblDaily[TransfersIn],tblDaily[EntryDate],DATE(2026,11,11),tblDaily[WardCode],"BH")),"")</f>
        <v/>
      </c>
      <c r="G407" s="5" t="str">
        <f>IFERROR(IF(SUMIFS(tblDaily[TransfersOut],tblDaily[EntryDate],DATE(2026,11,11),tblDaily[WardCode],"BH")=0,"",SUMIFS(tblDaily[TransfersOut],tblDaily[EntryDate],DATE(2026,11,11),tblDaily[WardCode],"BH")),"")</f>
        <v/>
      </c>
      <c r="H407" s="5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IFERROR(IF(SUMIFS(tblDaily[Admissions],tblDaily[EntryDate],DATE(2026,11,12),tblDaily[WardCode],"BH")=0,"",SUMIFS(tblDaily[Admissions],tblDaily[EntryDate],DATE(2026,11,12),tblDaily[WardCode],"BH")),"")</f>
        <v/>
      </c>
      <c r="C408" s="5" t="str">
        <f>IFERROR(IF(SUMIFS(tblDaily[Discharges],tblDaily[EntryDate],DATE(2026,11,12),tblDaily[WardCode],"BH")=0,"",SUMIFS(tblDaily[Discharges],tblDaily[EntryDate],DATE(2026,11,12),tblDaily[WardCode],"BH")),"")</f>
        <v/>
      </c>
      <c r="D408" s="5" t="str">
        <f>IFERROR(IF(SUMIFS(tblDaily[Deaths],tblDaily[EntryDate],DATE(2026,11,12),tblDaily[WardCode],"BH")=0,"",SUMIFS(tblDaily[Deaths],tblDaily[EntryDate],DATE(2026,11,12),tblDaily[WardCode],"BH")),"")</f>
        <v/>
      </c>
      <c r="E408" s="5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5" t="str">
        <f>IFERROR(IF(SUMIFS(tblDaily[TransfersIn],tblDaily[EntryDate],DATE(2026,11,12),tblDaily[WardCode],"BH")=0,"",SUMIFS(tblDaily[TransfersIn],tblDaily[EntryDate],DATE(2026,11,12),tblDaily[WardCode],"BH")),"")</f>
        <v/>
      </c>
      <c r="G408" s="5" t="str">
        <f>IFERROR(IF(SUMIFS(tblDaily[TransfersOut],tblDaily[EntryDate],DATE(2026,11,12),tblDaily[WardCode],"BH")=0,"",SUMIFS(tblDaily[TransfersOut],tblDaily[EntryDate],DATE(2026,11,12),tblDaily[WardCode],"BH")),"")</f>
        <v/>
      </c>
      <c r="H408" s="5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IFERROR(IF(SUMIFS(tblDaily[Admissions],tblDaily[EntryDate],DATE(2026,11,13),tblDaily[WardCode],"BH")=0,"",SUMIFS(tblDaily[Admissions],tblDaily[EntryDate],DATE(2026,11,13),tblDaily[WardCode],"BH")),"")</f>
        <v/>
      </c>
      <c r="C409" s="5" t="str">
        <f>IFERROR(IF(SUMIFS(tblDaily[Discharges],tblDaily[EntryDate],DATE(2026,11,13),tblDaily[WardCode],"BH")=0,"",SUMIFS(tblDaily[Discharges],tblDaily[EntryDate],DATE(2026,11,13),tblDaily[WardCode],"BH")),"")</f>
        <v/>
      </c>
      <c r="D409" s="5" t="str">
        <f>IFERROR(IF(SUMIFS(tblDaily[Deaths],tblDaily[EntryDate],DATE(2026,11,13),tblDaily[WardCode],"BH")=0,"",SUMIFS(tblDaily[Deaths],tblDaily[EntryDate],DATE(2026,11,13),tblDaily[WardCode],"BH")),"")</f>
        <v/>
      </c>
      <c r="E409" s="5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5" t="str">
        <f>IFERROR(IF(SUMIFS(tblDaily[TransfersIn],tblDaily[EntryDate],DATE(2026,11,13),tblDaily[WardCode],"BH")=0,"",SUMIFS(tblDaily[TransfersIn],tblDaily[EntryDate],DATE(2026,11,13),tblDaily[WardCode],"BH")),"")</f>
        <v/>
      </c>
      <c r="G409" s="5" t="str">
        <f>IFERROR(IF(SUMIFS(tblDaily[TransfersOut],tblDaily[EntryDate],DATE(2026,11,13),tblDaily[WardCode],"BH")=0,"",SUMIFS(tblDaily[TransfersOut],tblDaily[EntryDate],DATE(2026,11,13),tblDaily[WardCode],"BH")),"")</f>
        <v/>
      </c>
      <c r="H409" s="5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IFERROR(IF(SUMIFS(tblDaily[Admissions],tblDaily[EntryDate],DATE(2026,11,14),tblDaily[WardCode],"BH")=0,"",SUMIFS(tblDaily[Admissions],tblDaily[EntryDate],DATE(2026,11,14),tblDaily[WardCode],"BH")),"")</f>
        <v/>
      </c>
      <c r="C410" s="5" t="str">
        <f>IFERROR(IF(SUMIFS(tblDaily[Discharges],tblDaily[EntryDate],DATE(2026,11,14),tblDaily[WardCode],"BH")=0,"",SUMIFS(tblDaily[Discharges],tblDaily[EntryDate],DATE(2026,11,14),tblDaily[WardCode],"BH")),"")</f>
        <v/>
      </c>
      <c r="D410" s="5" t="str">
        <f>IFERROR(IF(SUMIFS(tblDaily[Deaths],tblDaily[EntryDate],DATE(2026,11,14),tblDaily[WardCode],"BH")=0,"",SUMIFS(tblDaily[Deaths],tblDaily[EntryDate],DATE(2026,11,14),tblDaily[WardCode],"BH")),"")</f>
        <v/>
      </c>
      <c r="E410" s="5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5" t="str">
        <f>IFERROR(IF(SUMIFS(tblDaily[TransfersIn],tblDaily[EntryDate],DATE(2026,11,14),tblDaily[WardCode],"BH")=0,"",SUMIFS(tblDaily[TransfersIn],tblDaily[EntryDate],DATE(2026,11,14),tblDaily[WardCode],"BH")),"")</f>
        <v/>
      </c>
      <c r="G410" s="5" t="str">
        <f>IFERROR(IF(SUMIFS(tblDaily[TransfersOut],tblDaily[EntryDate],DATE(2026,11,14),tblDaily[WardCode],"BH")=0,"",SUMIFS(tblDaily[TransfersOut],tblDaily[EntryDate],DATE(2026,11,14),tblDaily[WardCode],"BH")),"")</f>
        <v/>
      </c>
      <c r="H410" s="5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IFERROR(IF(SUMIFS(tblDaily[Admissions],tblDaily[EntryDate],DATE(2026,11,15),tblDaily[WardCode],"BH")=0,"",SUMIFS(tblDaily[Admissions],tblDaily[EntryDate],DATE(2026,11,15),tblDaily[WardCode],"BH")),"")</f>
        <v/>
      </c>
      <c r="C411" s="5" t="str">
        <f>IFERROR(IF(SUMIFS(tblDaily[Discharges],tblDaily[EntryDate],DATE(2026,11,15),tblDaily[WardCode],"BH")=0,"",SUMIFS(tblDaily[Discharges],tblDaily[EntryDate],DATE(2026,11,15),tblDaily[WardCode],"BH")),"")</f>
        <v/>
      </c>
      <c r="D411" s="5" t="str">
        <f>IFERROR(IF(SUMIFS(tblDaily[Deaths],tblDaily[EntryDate],DATE(2026,11,15),tblDaily[WardCode],"BH")=0,"",SUMIFS(tblDaily[Deaths],tblDaily[EntryDate],DATE(2026,11,15),tblDaily[WardCode],"BH")),"")</f>
        <v/>
      </c>
      <c r="E411" s="5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5" t="str">
        <f>IFERROR(IF(SUMIFS(tblDaily[TransfersIn],tblDaily[EntryDate],DATE(2026,11,15),tblDaily[WardCode],"BH")=0,"",SUMIFS(tblDaily[TransfersIn],tblDaily[EntryDate],DATE(2026,11,15),tblDaily[WardCode],"BH")),"")</f>
        <v/>
      </c>
      <c r="G411" s="5" t="str">
        <f>IFERROR(IF(SUMIFS(tblDaily[TransfersOut],tblDaily[EntryDate],DATE(2026,11,15),tblDaily[WardCode],"BH")=0,"",SUMIFS(tblDaily[TransfersOut],tblDaily[EntryDate],DATE(2026,11,15),tblDaily[WardCode],"BH")),"")</f>
        <v/>
      </c>
      <c r="H411" s="5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IFERROR(IF(SUMIFS(tblDaily[Admissions],tblDaily[EntryDate],DATE(2026,11,16),tblDaily[WardCode],"BH")=0,"",SUMIFS(tblDaily[Admissions],tblDaily[EntryDate],DATE(2026,11,16),tblDaily[WardCode],"BH")),"")</f>
        <v/>
      </c>
      <c r="C412" s="5" t="str">
        <f>IFERROR(IF(SUMIFS(tblDaily[Discharges],tblDaily[EntryDate],DATE(2026,11,16),tblDaily[WardCode],"BH")=0,"",SUMIFS(tblDaily[Discharges],tblDaily[EntryDate],DATE(2026,11,16),tblDaily[WardCode],"BH")),"")</f>
        <v/>
      </c>
      <c r="D412" s="5" t="str">
        <f>IFERROR(IF(SUMIFS(tblDaily[Deaths],tblDaily[EntryDate],DATE(2026,11,16),tblDaily[WardCode],"BH")=0,"",SUMIFS(tblDaily[Deaths],tblDaily[EntryDate],DATE(2026,11,16),tblDaily[WardCode],"BH")),"")</f>
        <v/>
      </c>
      <c r="E412" s="5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5" t="str">
        <f>IFERROR(IF(SUMIFS(tblDaily[TransfersIn],tblDaily[EntryDate],DATE(2026,11,16),tblDaily[WardCode],"BH")=0,"",SUMIFS(tblDaily[TransfersIn],tblDaily[EntryDate],DATE(2026,11,16),tblDaily[WardCode],"BH")),"")</f>
        <v/>
      </c>
      <c r="G412" s="5" t="str">
        <f>IFERROR(IF(SUMIFS(tblDaily[TransfersOut],tblDaily[EntryDate],DATE(2026,11,16),tblDaily[WardCode],"BH")=0,"",SUMIFS(tblDaily[TransfersOut],tblDaily[EntryDate],DATE(2026,11,16),tblDaily[WardCode],"BH")),"")</f>
        <v/>
      </c>
      <c r="H412" s="5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IFERROR(IF(SUMIFS(tblDaily[Admissions],tblDaily[EntryDate],DATE(2026,11,17),tblDaily[WardCode],"BH")=0,"",SUMIFS(tblDaily[Admissions],tblDaily[EntryDate],DATE(2026,11,17),tblDaily[WardCode],"BH")),"")</f>
        <v/>
      </c>
      <c r="C413" s="5" t="str">
        <f>IFERROR(IF(SUMIFS(tblDaily[Discharges],tblDaily[EntryDate],DATE(2026,11,17),tblDaily[WardCode],"BH")=0,"",SUMIFS(tblDaily[Discharges],tblDaily[EntryDate],DATE(2026,11,17),tblDaily[WardCode],"BH")),"")</f>
        <v/>
      </c>
      <c r="D413" s="5" t="str">
        <f>IFERROR(IF(SUMIFS(tblDaily[Deaths],tblDaily[EntryDate],DATE(2026,11,17),tblDaily[WardCode],"BH")=0,"",SUMIFS(tblDaily[Deaths],tblDaily[EntryDate],DATE(2026,11,17),tblDaily[WardCode],"BH")),"")</f>
        <v/>
      </c>
      <c r="E413" s="5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5" t="str">
        <f>IFERROR(IF(SUMIFS(tblDaily[TransfersIn],tblDaily[EntryDate],DATE(2026,11,17),tblDaily[WardCode],"BH")=0,"",SUMIFS(tblDaily[TransfersIn],tblDaily[EntryDate],DATE(2026,11,17),tblDaily[WardCode],"BH")),"")</f>
        <v/>
      </c>
      <c r="G413" s="5" t="str">
        <f>IFERROR(IF(SUMIFS(tblDaily[TransfersOut],tblDaily[EntryDate],DATE(2026,11,17),tblDaily[WardCode],"BH")=0,"",SUMIFS(tblDaily[TransfersOut],tblDaily[EntryDate],DATE(2026,11,17),tblDaily[WardCode],"BH")),"")</f>
        <v/>
      </c>
      <c r="H413" s="5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IFERROR(IF(SUMIFS(tblDaily[Admissions],tblDaily[EntryDate],DATE(2026,11,18),tblDaily[WardCode],"BH")=0,"",SUMIFS(tblDaily[Admissions],tblDaily[EntryDate],DATE(2026,11,18),tblDaily[WardCode],"BH")),"")</f>
        <v/>
      </c>
      <c r="C414" s="5" t="str">
        <f>IFERROR(IF(SUMIFS(tblDaily[Discharges],tblDaily[EntryDate],DATE(2026,11,18),tblDaily[WardCode],"BH")=0,"",SUMIFS(tblDaily[Discharges],tblDaily[EntryDate],DATE(2026,11,18),tblDaily[WardCode],"BH")),"")</f>
        <v/>
      </c>
      <c r="D414" s="5" t="str">
        <f>IFERROR(IF(SUMIFS(tblDaily[Deaths],tblDaily[EntryDate],DATE(2026,11,18),tblDaily[WardCode],"BH")=0,"",SUMIFS(tblDaily[Deaths],tblDaily[EntryDate],DATE(2026,11,18),tblDaily[WardCode],"BH")),"")</f>
        <v/>
      </c>
      <c r="E414" s="5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5" t="str">
        <f>IFERROR(IF(SUMIFS(tblDaily[TransfersIn],tblDaily[EntryDate],DATE(2026,11,18),tblDaily[WardCode],"BH")=0,"",SUMIFS(tblDaily[TransfersIn],tblDaily[EntryDate],DATE(2026,11,18),tblDaily[WardCode],"BH")),"")</f>
        <v/>
      </c>
      <c r="G414" s="5" t="str">
        <f>IFERROR(IF(SUMIFS(tblDaily[TransfersOut],tblDaily[EntryDate],DATE(2026,11,18),tblDaily[WardCode],"BH")=0,"",SUMIFS(tblDaily[TransfersOut],tblDaily[EntryDate],DATE(2026,11,18),tblDaily[WardCode],"BH")),"")</f>
        <v/>
      </c>
      <c r="H414" s="5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IFERROR(IF(SUMIFS(tblDaily[Admissions],tblDaily[EntryDate],DATE(2026,11,19),tblDaily[WardCode],"BH")=0,"",SUMIFS(tblDaily[Admissions],tblDaily[EntryDate],DATE(2026,11,19),tblDaily[WardCode],"BH")),"")</f>
        <v/>
      </c>
      <c r="C415" s="5" t="str">
        <f>IFERROR(IF(SUMIFS(tblDaily[Discharges],tblDaily[EntryDate],DATE(2026,11,19),tblDaily[WardCode],"BH")=0,"",SUMIFS(tblDaily[Discharges],tblDaily[EntryDate],DATE(2026,11,19),tblDaily[WardCode],"BH")),"")</f>
        <v/>
      </c>
      <c r="D415" s="5" t="str">
        <f>IFERROR(IF(SUMIFS(tblDaily[Deaths],tblDaily[EntryDate],DATE(2026,11,19),tblDaily[WardCode],"BH")=0,"",SUMIFS(tblDaily[Deaths],tblDaily[EntryDate],DATE(2026,11,19),tblDaily[WardCode],"BH")),"")</f>
        <v/>
      </c>
      <c r="E415" s="5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5" t="str">
        <f>IFERROR(IF(SUMIFS(tblDaily[TransfersIn],tblDaily[EntryDate],DATE(2026,11,19),tblDaily[WardCode],"BH")=0,"",SUMIFS(tblDaily[TransfersIn],tblDaily[EntryDate],DATE(2026,11,19),tblDaily[WardCode],"BH")),"")</f>
        <v/>
      </c>
      <c r="G415" s="5" t="str">
        <f>IFERROR(IF(SUMIFS(tblDaily[TransfersOut],tblDaily[EntryDate],DATE(2026,11,19),tblDaily[WardCode],"BH")=0,"",SUMIFS(tblDaily[TransfersOut],tblDaily[EntryDate],DATE(2026,11,19),tblDaily[WardCode],"BH")),"")</f>
        <v/>
      </c>
      <c r="H415" s="5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IFERROR(IF(SUMIFS(tblDaily[Admissions],tblDaily[EntryDate],DATE(2026,11,20),tblDaily[WardCode],"BH")=0,"",SUMIFS(tblDaily[Admissions],tblDaily[EntryDate],DATE(2026,11,20),tblDaily[WardCode],"BH")),"")</f>
        <v/>
      </c>
      <c r="C416" s="5" t="str">
        <f>IFERROR(IF(SUMIFS(tblDaily[Discharges],tblDaily[EntryDate],DATE(2026,11,20),tblDaily[WardCode],"BH")=0,"",SUMIFS(tblDaily[Discharges],tblDaily[EntryDate],DATE(2026,11,20),tblDaily[WardCode],"BH")),"")</f>
        <v/>
      </c>
      <c r="D416" s="5" t="str">
        <f>IFERROR(IF(SUMIFS(tblDaily[Deaths],tblDaily[EntryDate],DATE(2026,11,20),tblDaily[WardCode],"BH")=0,"",SUMIFS(tblDaily[Deaths],tblDaily[EntryDate],DATE(2026,11,20),tblDaily[WardCode],"BH")),"")</f>
        <v/>
      </c>
      <c r="E416" s="5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5" t="str">
        <f>IFERROR(IF(SUMIFS(tblDaily[TransfersIn],tblDaily[EntryDate],DATE(2026,11,20),tblDaily[WardCode],"BH")=0,"",SUMIFS(tblDaily[TransfersIn],tblDaily[EntryDate],DATE(2026,11,20),tblDaily[WardCode],"BH")),"")</f>
        <v/>
      </c>
      <c r="G416" s="5" t="str">
        <f>IFERROR(IF(SUMIFS(tblDaily[TransfersOut],tblDaily[EntryDate],DATE(2026,11,20),tblDaily[WardCode],"BH")=0,"",SUMIFS(tblDaily[TransfersOut],tblDaily[EntryDate],DATE(2026,11,20),tblDaily[WardCode],"BH")),"")</f>
        <v/>
      </c>
      <c r="H416" s="5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IFERROR(IF(SUMIFS(tblDaily[Admissions],tblDaily[EntryDate],DATE(2026,11,21),tblDaily[WardCode],"BH")=0,"",SUMIFS(tblDaily[Admissions],tblDaily[EntryDate],DATE(2026,11,21),tblDaily[WardCode],"BH")),"")</f>
        <v/>
      </c>
      <c r="C417" s="5" t="str">
        <f>IFERROR(IF(SUMIFS(tblDaily[Discharges],tblDaily[EntryDate],DATE(2026,11,21),tblDaily[WardCode],"BH")=0,"",SUMIFS(tblDaily[Discharges],tblDaily[EntryDate],DATE(2026,11,21),tblDaily[WardCode],"BH")),"")</f>
        <v/>
      </c>
      <c r="D417" s="5" t="str">
        <f>IFERROR(IF(SUMIFS(tblDaily[Deaths],tblDaily[EntryDate],DATE(2026,11,21),tblDaily[WardCode],"BH")=0,"",SUMIFS(tblDaily[Deaths],tblDaily[EntryDate],DATE(2026,11,21),tblDaily[WardCode],"BH")),"")</f>
        <v/>
      </c>
      <c r="E417" s="5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5" t="str">
        <f>IFERROR(IF(SUMIFS(tblDaily[TransfersIn],tblDaily[EntryDate],DATE(2026,11,21),tblDaily[WardCode],"BH")=0,"",SUMIFS(tblDaily[TransfersIn],tblDaily[EntryDate],DATE(2026,11,21),tblDaily[WardCode],"BH")),"")</f>
        <v/>
      </c>
      <c r="G417" s="5" t="str">
        <f>IFERROR(IF(SUMIFS(tblDaily[TransfersOut],tblDaily[EntryDate],DATE(2026,11,21),tblDaily[WardCode],"BH")=0,"",SUMIFS(tblDaily[TransfersOut],tblDaily[EntryDate],DATE(2026,11,21),tblDaily[WardCode],"BH")),"")</f>
        <v/>
      </c>
      <c r="H417" s="5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IFERROR(IF(SUMIFS(tblDaily[Admissions],tblDaily[EntryDate],DATE(2026,11,22),tblDaily[WardCode],"BH")=0,"",SUMIFS(tblDaily[Admissions],tblDaily[EntryDate],DATE(2026,11,22),tblDaily[WardCode],"BH")),"")</f>
        <v/>
      </c>
      <c r="C418" s="5" t="str">
        <f>IFERROR(IF(SUMIFS(tblDaily[Discharges],tblDaily[EntryDate],DATE(2026,11,22),tblDaily[WardCode],"BH")=0,"",SUMIFS(tblDaily[Discharges],tblDaily[EntryDate],DATE(2026,11,22),tblDaily[WardCode],"BH")),"")</f>
        <v/>
      </c>
      <c r="D418" s="5" t="str">
        <f>IFERROR(IF(SUMIFS(tblDaily[Deaths],tblDaily[EntryDate],DATE(2026,11,22),tblDaily[WardCode],"BH")=0,"",SUMIFS(tblDaily[Deaths],tblDaily[EntryDate],DATE(2026,11,22),tblDaily[WardCode],"BH")),"")</f>
        <v/>
      </c>
      <c r="E418" s="5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5" t="str">
        <f>IFERROR(IF(SUMIFS(tblDaily[TransfersIn],tblDaily[EntryDate],DATE(2026,11,22),tblDaily[WardCode],"BH")=0,"",SUMIFS(tblDaily[TransfersIn],tblDaily[EntryDate],DATE(2026,11,22),tblDaily[WardCode],"BH")),"")</f>
        <v/>
      </c>
      <c r="G418" s="5" t="str">
        <f>IFERROR(IF(SUMIFS(tblDaily[TransfersOut],tblDaily[EntryDate],DATE(2026,11,22),tblDaily[WardCode],"BH")=0,"",SUMIFS(tblDaily[TransfersOut],tblDaily[EntryDate],DATE(2026,11,22),tblDaily[WardCode],"BH")),"")</f>
        <v/>
      </c>
      <c r="H418" s="5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IFERROR(IF(SUMIFS(tblDaily[Admissions],tblDaily[EntryDate],DATE(2026,11,23),tblDaily[WardCode],"BH")=0,"",SUMIFS(tblDaily[Admissions],tblDaily[EntryDate],DATE(2026,11,23),tblDaily[WardCode],"BH")),"")</f>
        <v/>
      </c>
      <c r="C419" s="5" t="str">
        <f>IFERROR(IF(SUMIFS(tblDaily[Discharges],tblDaily[EntryDate],DATE(2026,11,23),tblDaily[WardCode],"BH")=0,"",SUMIFS(tblDaily[Discharges],tblDaily[EntryDate],DATE(2026,11,23),tblDaily[WardCode],"BH")),"")</f>
        <v/>
      </c>
      <c r="D419" s="5" t="str">
        <f>IFERROR(IF(SUMIFS(tblDaily[Deaths],tblDaily[EntryDate],DATE(2026,11,23),tblDaily[WardCode],"BH")=0,"",SUMIFS(tblDaily[Deaths],tblDaily[EntryDate],DATE(2026,11,23),tblDaily[WardCode],"BH")),"")</f>
        <v/>
      </c>
      <c r="E419" s="5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5" t="str">
        <f>IFERROR(IF(SUMIFS(tblDaily[TransfersIn],tblDaily[EntryDate],DATE(2026,11,23),tblDaily[WardCode],"BH")=0,"",SUMIFS(tblDaily[TransfersIn],tblDaily[EntryDate],DATE(2026,11,23),tblDaily[WardCode],"BH")),"")</f>
        <v/>
      </c>
      <c r="G419" s="5" t="str">
        <f>IFERROR(IF(SUMIFS(tblDaily[TransfersOut],tblDaily[EntryDate],DATE(2026,11,23),tblDaily[WardCode],"BH")=0,"",SUMIFS(tblDaily[TransfersOut],tblDaily[EntryDate],DATE(2026,11,23),tblDaily[WardCode],"BH")),"")</f>
        <v/>
      </c>
      <c r="H419" s="5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IFERROR(IF(SUMIFS(tblDaily[Admissions],tblDaily[EntryDate],DATE(2026,11,24),tblDaily[WardCode],"BH")=0,"",SUMIFS(tblDaily[Admissions],tblDaily[EntryDate],DATE(2026,11,24),tblDaily[WardCode],"BH")),"")</f>
        <v/>
      </c>
      <c r="C420" s="5" t="str">
        <f>IFERROR(IF(SUMIFS(tblDaily[Discharges],tblDaily[EntryDate],DATE(2026,11,24),tblDaily[WardCode],"BH")=0,"",SUMIFS(tblDaily[Discharges],tblDaily[EntryDate],DATE(2026,11,24),tblDaily[WardCode],"BH")),"")</f>
        <v/>
      </c>
      <c r="D420" s="5" t="str">
        <f>IFERROR(IF(SUMIFS(tblDaily[Deaths],tblDaily[EntryDate],DATE(2026,11,24),tblDaily[WardCode],"BH")=0,"",SUMIFS(tblDaily[Deaths],tblDaily[EntryDate],DATE(2026,11,24),tblDaily[WardCode],"BH")),"")</f>
        <v/>
      </c>
      <c r="E420" s="5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5" t="str">
        <f>IFERROR(IF(SUMIFS(tblDaily[TransfersIn],tblDaily[EntryDate],DATE(2026,11,24),tblDaily[WardCode],"BH")=0,"",SUMIFS(tblDaily[TransfersIn],tblDaily[EntryDate],DATE(2026,11,24),tblDaily[WardCode],"BH")),"")</f>
        <v/>
      </c>
      <c r="G420" s="5" t="str">
        <f>IFERROR(IF(SUMIFS(tblDaily[TransfersOut],tblDaily[EntryDate],DATE(2026,11,24),tblDaily[WardCode],"BH")=0,"",SUMIFS(tblDaily[TransfersOut],tblDaily[EntryDate],DATE(2026,11,24),tblDaily[WardCode],"BH")),"")</f>
        <v/>
      </c>
      <c r="H420" s="5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IFERROR(IF(SUMIFS(tblDaily[Admissions],tblDaily[EntryDate],DATE(2026,11,25),tblDaily[WardCode],"BH")=0,"",SUMIFS(tblDaily[Admissions],tblDaily[EntryDate],DATE(2026,11,25),tblDaily[WardCode],"BH")),"")</f>
        <v/>
      </c>
      <c r="C421" s="5" t="str">
        <f>IFERROR(IF(SUMIFS(tblDaily[Discharges],tblDaily[EntryDate],DATE(2026,11,25),tblDaily[WardCode],"BH")=0,"",SUMIFS(tblDaily[Discharges],tblDaily[EntryDate],DATE(2026,11,25),tblDaily[WardCode],"BH")),"")</f>
        <v/>
      </c>
      <c r="D421" s="5" t="str">
        <f>IFERROR(IF(SUMIFS(tblDaily[Deaths],tblDaily[EntryDate],DATE(2026,11,25),tblDaily[WardCode],"BH")=0,"",SUMIFS(tblDaily[Deaths],tblDaily[EntryDate],DATE(2026,11,25),tblDaily[WardCode],"BH")),"")</f>
        <v/>
      </c>
      <c r="E421" s="5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5" t="str">
        <f>IFERROR(IF(SUMIFS(tblDaily[TransfersIn],tblDaily[EntryDate],DATE(2026,11,25),tblDaily[WardCode],"BH")=0,"",SUMIFS(tblDaily[TransfersIn],tblDaily[EntryDate],DATE(2026,11,25),tblDaily[WardCode],"BH")),"")</f>
        <v/>
      </c>
      <c r="G421" s="5" t="str">
        <f>IFERROR(IF(SUMIFS(tblDaily[TransfersOut],tblDaily[EntryDate],DATE(2026,11,25),tblDaily[WardCode],"BH")=0,"",SUMIFS(tblDaily[TransfersOut],tblDaily[EntryDate],DATE(2026,11,25),tblDaily[WardCode],"BH")),"")</f>
        <v/>
      </c>
      <c r="H421" s="5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IFERROR(IF(SUMIFS(tblDaily[Admissions],tblDaily[EntryDate],DATE(2026,11,26),tblDaily[WardCode],"BH")=0,"",SUMIFS(tblDaily[Admissions],tblDaily[EntryDate],DATE(2026,11,26),tblDaily[WardCode],"BH")),"")</f>
        <v/>
      </c>
      <c r="C422" s="5" t="str">
        <f>IFERROR(IF(SUMIFS(tblDaily[Discharges],tblDaily[EntryDate],DATE(2026,11,26),tblDaily[WardCode],"BH")=0,"",SUMIFS(tblDaily[Discharges],tblDaily[EntryDate],DATE(2026,11,26),tblDaily[WardCode],"BH")),"")</f>
        <v/>
      </c>
      <c r="D422" s="5" t="str">
        <f>IFERROR(IF(SUMIFS(tblDaily[Deaths],tblDaily[EntryDate],DATE(2026,11,26),tblDaily[WardCode],"BH")=0,"",SUMIFS(tblDaily[Deaths],tblDaily[EntryDate],DATE(2026,11,26),tblDaily[WardCode],"BH")),"")</f>
        <v/>
      </c>
      <c r="E422" s="5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5" t="str">
        <f>IFERROR(IF(SUMIFS(tblDaily[TransfersIn],tblDaily[EntryDate],DATE(2026,11,26),tblDaily[WardCode],"BH")=0,"",SUMIFS(tblDaily[TransfersIn],tblDaily[EntryDate],DATE(2026,11,26),tblDaily[WardCode],"BH")),"")</f>
        <v/>
      </c>
      <c r="G422" s="5" t="str">
        <f>IFERROR(IF(SUMIFS(tblDaily[TransfersOut],tblDaily[EntryDate],DATE(2026,11,26),tblDaily[WardCode],"BH")=0,"",SUMIFS(tblDaily[TransfersOut],tblDaily[EntryDate],DATE(2026,11,26),tblDaily[WardCode],"BH")),"")</f>
        <v/>
      </c>
      <c r="H422" s="5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IFERROR(IF(SUMIFS(tblDaily[Admissions],tblDaily[EntryDate],DATE(2026,11,27),tblDaily[WardCode],"BH")=0,"",SUMIFS(tblDaily[Admissions],tblDaily[EntryDate],DATE(2026,11,27),tblDaily[WardCode],"BH")),"")</f>
        <v/>
      </c>
      <c r="C423" s="5" t="str">
        <f>IFERROR(IF(SUMIFS(tblDaily[Discharges],tblDaily[EntryDate],DATE(2026,11,27),tblDaily[WardCode],"BH")=0,"",SUMIFS(tblDaily[Discharges],tblDaily[EntryDate],DATE(2026,11,27),tblDaily[WardCode],"BH")),"")</f>
        <v/>
      </c>
      <c r="D423" s="5" t="str">
        <f>IFERROR(IF(SUMIFS(tblDaily[Deaths],tblDaily[EntryDate],DATE(2026,11,27),tblDaily[WardCode],"BH")=0,"",SUMIFS(tblDaily[Deaths],tblDaily[EntryDate],DATE(2026,11,27),tblDaily[WardCode],"BH")),"")</f>
        <v/>
      </c>
      <c r="E423" s="5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5" t="str">
        <f>IFERROR(IF(SUMIFS(tblDaily[TransfersIn],tblDaily[EntryDate],DATE(2026,11,27),tblDaily[WardCode],"BH")=0,"",SUMIFS(tblDaily[TransfersIn],tblDaily[EntryDate],DATE(2026,11,27),tblDaily[WardCode],"BH")),"")</f>
        <v/>
      </c>
      <c r="G423" s="5" t="str">
        <f>IFERROR(IF(SUMIFS(tblDaily[TransfersOut],tblDaily[EntryDate],DATE(2026,11,27),tblDaily[WardCode],"BH")=0,"",SUMIFS(tblDaily[TransfersOut],tblDaily[EntryDate],DATE(2026,11,27),tblDaily[WardCode],"BH")),"")</f>
        <v/>
      </c>
      <c r="H423" s="5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IFERROR(IF(SUMIFS(tblDaily[Admissions],tblDaily[EntryDate],DATE(2026,11,28),tblDaily[WardCode],"BH")=0,"",SUMIFS(tblDaily[Admissions],tblDaily[EntryDate],DATE(2026,11,28),tblDaily[WardCode],"BH")),"")</f>
        <v/>
      </c>
      <c r="C424" s="5" t="str">
        <f>IFERROR(IF(SUMIFS(tblDaily[Discharges],tblDaily[EntryDate],DATE(2026,11,28),tblDaily[WardCode],"BH")=0,"",SUMIFS(tblDaily[Discharges],tblDaily[EntryDate],DATE(2026,11,28),tblDaily[WardCode],"BH")),"")</f>
        <v/>
      </c>
      <c r="D424" s="5" t="str">
        <f>IFERROR(IF(SUMIFS(tblDaily[Deaths],tblDaily[EntryDate],DATE(2026,11,28),tblDaily[WardCode],"BH")=0,"",SUMIFS(tblDaily[Deaths],tblDaily[EntryDate],DATE(2026,11,28),tblDaily[WardCode],"BH")),"")</f>
        <v/>
      </c>
      <c r="E424" s="5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5" t="str">
        <f>IFERROR(IF(SUMIFS(tblDaily[TransfersIn],tblDaily[EntryDate],DATE(2026,11,28),tblDaily[WardCode],"BH")=0,"",SUMIFS(tblDaily[TransfersIn],tblDaily[EntryDate],DATE(2026,11,28),tblDaily[WardCode],"BH")),"")</f>
        <v/>
      </c>
      <c r="G424" s="5" t="str">
        <f>IFERROR(IF(SUMIFS(tblDaily[TransfersOut],tblDaily[EntryDate],DATE(2026,11,28),tblDaily[WardCode],"BH")=0,"",SUMIFS(tblDaily[TransfersOut],tblDaily[EntryDate],DATE(2026,11,28),tblDaily[WardCode],"BH")),"")</f>
        <v/>
      </c>
      <c r="H424" s="5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IFERROR(IF(SUMIFS(tblDaily[Admissions],tblDaily[EntryDate],DATE(2026,11,29),tblDaily[WardCode],"BH")=0,"",SUMIFS(tblDaily[Admissions],tblDaily[EntryDate],DATE(2026,11,29),tblDaily[WardCode],"BH")),"")</f>
        <v/>
      </c>
      <c r="C425" s="5" t="str">
        <f>IFERROR(IF(SUMIFS(tblDaily[Discharges],tblDaily[EntryDate],DATE(2026,11,29),tblDaily[WardCode],"BH")=0,"",SUMIFS(tblDaily[Discharges],tblDaily[EntryDate],DATE(2026,11,29),tblDaily[WardCode],"BH")),"")</f>
        <v/>
      </c>
      <c r="D425" s="5" t="str">
        <f>IFERROR(IF(SUMIFS(tblDaily[Deaths],tblDaily[EntryDate],DATE(2026,11,29),tblDaily[WardCode],"BH")=0,"",SUMIFS(tblDaily[Deaths],tblDaily[EntryDate],DATE(2026,11,29),tblDaily[WardCode],"BH")),"")</f>
        <v/>
      </c>
      <c r="E425" s="5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5" t="str">
        <f>IFERROR(IF(SUMIFS(tblDaily[TransfersIn],tblDaily[EntryDate],DATE(2026,11,29),tblDaily[WardCode],"BH")=0,"",SUMIFS(tblDaily[TransfersIn],tblDaily[EntryDate],DATE(2026,11,29),tblDaily[WardCode],"BH")),"")</f>
        <v/>
      </c>
      <c r="G425" s="5" t="str">
        <f>IFERROR(IF(SUMIFS(tblDaily[TransfersOut],tblDaily[EntryDate],DATE(2026,11,29),tblDaily[WardCode],"BH")=0,"",SUMIFS(tblDaily[TransfersOut],tblDaily[EntryDate],DATE(2026,11,29),tblDaily[WardCode],"BH")),"")</f>
        <v/>
      </c>
      <c r="H425" s="5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IFERROR(IF(SUMIFS(tblDaily[Admissions],tblDaily[EntryDate],DATE(2026,11,30),tblDaily[WardCode],"BH")=0,"",SUMIFS(tblDaily[Admissions],tblDaily[EntryDate],DATE(2026,11,30),tblDaily[WardCode],"BH")),"")</f>
        <v/>
      </c>
      <c r="C426" s="5" t="str">
        <f>IFERROR(IF(SUMIFS(tblDaily[Discharges],tblDaily[EntryDate],DATE(2026,11,30),tblDaily[WardCode],"BH")=0,"",SUMIFS(tblDaily[Discharges],tblDaily[EntryDate],DATE(2026,11,30),tblDaily[WardCode],"BH")),"")</f>
        <v/>
      </c>
      <c r="D426" s="5" t="str">
        <f>IFERROR(IF(SUMIFS(tblDaily[Deaths],tblDaily[EntryDate],DATE(2026,11,30),tblDaily[WardCode],"BH")=0,"",SUMIFS(tblDaily[Deaths],tblDaily[EntryDate],DATE(2026,11,30),tblDaily[WardCode],"BH")),"")</f>
        <v/>
      </c>
      <c r="E426" s="5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5" t="str">
        <f>IFERROR(IF(SUMIFS(tblDaily[TransfersIn],tblDaily[EntryDate],DATE(2026,11,30),tblDaily[WardCode],"BH")=0,"",SUMIFS(tblDaily[TransfersIn],tblDaily[EntryDate],DATE(2026,11,30),tblDaily[WardCode],"BH")),"")</f>
        <v/>
      </c>
      <c r="G426" s="5" t="str">
        <f>IFERROR(IF(SUMIFS(tblDaily[TransfersOut],tblDaily[EntryDate],DATE(2026,11,30),tblDaily[WardCode],"BH")=0,"",SUMIFS(tblDaily[TransfersOut],tblDaily[EntryDate],DATE(2026,11,30),tblDaily[WardCode],"BH")),"")</f>
        <v/>
      </c>
      <c r="H426" s="5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100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89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IFERROR(IF(SUMIFS(tblDaily[Admissions],tblDaily[EntryDate],DATE(2026,12,1),tblDaily[WardCode],"BH")=0,"",SUMIFS(tblDaily[Admissions],tblDaily[EntryDate],DATE(2026,12,1),tblDaily[WardCode],"BH")),"")</f>
        <v/>
      </c>
      <c r="C436" s="5" t="str">
        <f>IFERROR(IF(SUMIFS(tblDaily[Discharges],tblDaily[EntryDate],DATE(2026,12,1),tblDaily[WardCode],"BH")=0,"",SUMIFS(tblDaily[Discharges],tblDaily[EntryDate],DATE(2026,12,1),tblDaily[WardCode],"BH")),"")</f>
        <v/>
      </c>
      <c r="D436" s="5" t="str">
        <f>IFERROR(IF(SUMIFS(tblDaily[Deaths],tblDaily[EntryDate],DATE(2026,12,1),tblDaily[WardCode],"BH")=0,"",SUMIFS(tblDaily[Deaths],tblDaily[EntryDate],DATE(2026,12,1),tblDaily[WardCode],"BH")),"")</f>
        <v/>
      </c>
      <c r="E436" s="5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5" t="str">
        <f>IFERROR(IF(SUMIFS(tblDaily[TransfersIn],tblDaily[EntryDate],DATE(2026,12,1),tblDaily[WardCode],"BH")=0,"",SUMIFS(tblDaily[TransfersIn],tblDaily[EntryDate],DATE(2026,12,1),tblDaily[WardCode],"BH")),"")</f>
        <v/>
      </c>
      <c r="G436" s="5" t="str">
        <f>IFERROR(IF(SUMIFS(tblDaily[TransfersOut],tblDaily[EntryDate],DATE(2026,12,1),tblDaily[WardCode],"BH")=0,"",SUMIFS(tblDaily[TransfersOut],tblDaily[EntryDate],DATE(2026,12,1),tblDaily[WardCode],"BH")),"")</f>
        <v/>
      </c>
      <c r="H436" s="5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IFERROR(IF(SUMIFS(tblDaily[Admissions],tblDaily[EntryDate],DATE(2026,12,2),tblDaily[WardCode],"BH")=0,"",SUMIFS(tblDaily[Admissions],tblDaily[EntryDate],DATE(2026,12,2),tblDaily[WardCode],"BH")),"")</f>
        <v/>
      </c>
      <c r="C437" s="5" t="str">
        <f>IFERROR(IF(SUMIFS(tblDaily[Discharges],tblDaily[EntryDate],DATE(2026,12,2),tblDaily[WardCode],"BH")=0,"",SUMIFS(tblDaily[Discharges],tblDaily[EntryDate],DATE(2026,12,2),tblDaily[WardCode],"BH")),"")</f>
        <v/>
      </c>
      <c r="D437" s="5" t="str">
        <f>IFERROR(IF(SUMIFS(tblDaily[Deaths],tblDaily[EntryDate],DATE(2026,12,2),tblDaily[WardCode],"BH")=0,"",SUMIFS(tblDaily[Deaths],tblDaily[EntryDate],DATE(2026,12,2),tblDaily[WardCode],"BH")),"")</f>
        <v/>
      </c>
      <c r="E437" s="5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5" t="str">
        <f>IFERROR(IF(SUMIFS(tblDaily[TransfersIn],tblDaily[EntryDate],DATE(2026,12,2),tblDaily[WardCode],"BH")=0,"",SUMIFS(tblDaily[TransfersIn],tblDaily[EntryDate],DATE(2026,12,2),tblDaily[WardCode],"BH")),"")</f>
        <v/>
      </c>
      <c r="G437" s="5" t="str">
        <f>IFERROR(IF(SUMIFS(tblDaily[TransfersOut],tblDaily[EntryDate],DATE(2026,12,2),tblDaily[WardCode],"BH")=0,"",SUMIFS(tblDaily[TransfersOut],tblDaily[EntryDate],DATE(2026,12,2),tblDaily[WardCode],"BH")),"")</f>
        <v/>
      </c>
      <c r="H437" s="5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IFERROR(IF(SUMIFS(tblDaily[Admissions],tblDaily[EntryDate],DATE(2026,12,3),tblDaily[WardCode],"BH")=0,"",SUMIFS(tblDaily[Admissions],tblDaily[EntryDate],DATE(2026,12,3),tblDaily[WardCode],"BH")),"")</f>
        <v/>
      </c>
      <c r="C438" s="5" t="str">
        <f>IFERROR(IF(SUMIFS(tblDaily[Discharges],tblDaily[EntryDate],DATE(2026,12,3),tblDaily[WardCode],"BH")=0,"",SUMIFS(tblDaily[Discharges],tblDaily[EntryDate],DATE(2026,12,3),tblDaily[WardCode],"BH")),"")</f>
        <v/>
      </c>
      <c r="D438" s="5" t="str">
        <f>IFERROR(IF(SUMIFS(tblDaily[Deaths],tblDaily[EntryDate],DATE(2026,12,3),tblDaily[WardCode],"BH")=0,"",SUMIFS(tblDaily[Deaths],tblDaily[EntryDate],DATE(2026,12,3),tblDaily[WardCode],"BH")),"")</f>
        <v/>
      </c>
      <c r="E438" s="5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5" t="str">
        <f>IFERROR(IF(SUMIFS(tblDaily[TransfersIn],tblDaily[EntryDate],DATE(2026,12,3),tblDaily[WardCode],"BH")=0,"",SUMIFS(tblDaily[TransfersIn],tblDaily[EntryDate],DATE(2026,12,3),tblDaily[WardCode],"BH")),"")</f>
        <v/>
      </c>
      <c r="G438" s="5" t="str">
        <f>IFERROR(IF(SUMIFS(tblDaily[TransfersOut],tblDaily[EntryDate],DATE(2026,12,3),tblDaily[WardCode],"BH")=0,"",SUMIFS(tblDaily[TransfersOut],tblDaily[EntryDate],DATE(2026,12,3),tblDaily[WardCode],"BH")),"")</f>
        <v/>
      </c>
      <c r="H438" s="5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IFERROR(IF(SUMIFS(tblDaily[Admissions],tblDaily[EntryDate],DATE(2026,12,4),tblDaily[WardCode],"BH")=0,"",SUMIFS(tblDaily[Admissions],tblDaily[EntryDate],DATE(2026,12,4),tblDaily[WardCode],"BH")),"")</f>
        <v/>
      </c>
      <c r="C439" s="5" t="str">
        <f>IFERROR(IF(SUMIFS(tblDaily[Discharges],tblDaily[EntryDate],DATE(2026,12,4),tblDaily[WardCode],"BH")=0,"",SUMIFS(tblDaily[Discharges],tblDaily[EntryDate],DATE(2026,12,4),tblDaily[WardCode],"BH")),"")</f>
        <v/>
      </c>
      <c r="D439" s="5" t="str">
        <f>IFERROR(IF(SUMIFS(tblDaily[Deaths],tblDaily[EntryDate],DATE(2026,12,4),tblDaily[WardCode],"BH")=0,"",SUMIFS(tblDaily[Deaths],tblDaily[EntryDate],DATE(2026,12,4),tblDaily[WardCode],"BH")),"")</f>
        <v/>
      </c>
      <c r="E439" s="5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5" t="str">
        <f>IFERROR(IF(SUMIFS(tblDaily[TransfersIn],tblDaily[EntryDate],DATE(2026,12,4),tblDaily[WardCode],"BH")=0,"",SUMIFS(tblDaily[TransfersIn],tblDaily[EntryDate],DATE(2026,12,4),tblDaily[WardCode],"BH")),"")</f>
        <v/>
      </c>
      <c r="G439" s="5" t="str">
        <f>IFERROR(IF(SUMIFS(tblDaily[TransfersOut],tblDaily[EntryDate],DATE(2026,12,4),tblDaily[WardCode],"BH")=0,"",SUMIFS(tblDaily[TransfersOut],tblDaily[EntryDate],DATE(2026,12,4),tblDaily[WardCode],"BH")),"")</f>
        <v/>
      </c>
      <c r="H439" s="5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IFERROR(IF(SUMIFS(tblDaily[Admissions],tblDaily[EntryDate],DATE(2026,12,5),tblDaily[WardCode],"BH")=0,"",SUMIFS(tblDaily[Admissions],tblDaily[EntryDate],DATE(2026,12,5),tblDaily[WardCode],"BH")),"")</f>
        <v/>
      </c>
      <c r="C440" s="5" t="str">
        <f>IFERROR(IF(SUMIFS(tblDaily[Discharges],tblDaily[EntryDate],DATE(2026,12,5),tblDaily[WardCode],"BH")=0,"",SUMIFS(tblDaily[Discharges],tblDaily[EntryDate],DATE(2026,12,5),tblDaily[WardCode],"BH")),"")</f>
        <v/>
      </c>
      <c r="D440" s="5" t="str">
        <f>IFERROR(IF(SUMIFS(tblDaily[Deaths],tblDaily[EntryDate],DATE(2026,12,5),tblDaily[WardCode],"BH")=0,"",SUMIFS(tblDaily[Deaths],tblDaily[EntryDate],DATE(2026,12,5),tblDaily[WardCode],"BH")),"")</f>
        <v/>
      </c>
      <c r="E440" s="5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5" t="str">
        <f>IFERROR(IF(SUMIFS(tblDaily[TransfersIn],tblDaily[EntryDate],DATE(2026,12,5),tblDaily[WardCode],"BH")=0,"",SUMIFS(tblDaily[TransfersIn],tblDaily[EntryDate],DATE(2026,12,5),tblDaily[WardCode],"BH")),"")</f>
        <v/>
      </c>
      <c r="G440" s="5" t="str">
        <f>IFERROR(IF(SUMIFS(tblDaily[TransfersOut],tblDaily[EntryDate],DATE(2026,12,5),tblDaily[WardCode],"BH")=0,"",SUMIFS(tblDaily[TransfersOut],tblDaily[EntryDate],DATE(2026,12,5),tblDaily[WardCode],"BH")),"")</f>
        <v/>
      </c>
      <c r="H440" s="5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IFERROR(IF(SUMIFS(tblDaily[Admissions],tblDaily[EntryDate],DATE(2026,12,6),tblDaily[WardCode],"BH")=0,"",SUMIFS(tblDaily[Admissions],tblDaily[EntryDate],DATE(2026,12,6),tblDaily[WardCode],"BH")),"")</f>
        <v/>
      </c>
      <c r="C441" s="5" t="str">
        <f>IFERROR(IF(SUMIFS(tblDaily[Discharges],tblDaily[EntryDate],DATE(2026,12,6),tblDaily[WardCode],"BH")=0,"",SUMIFS(tblDaily[Discharges],tblDaily[EntryDate],DATE(2026,12,6),tblDaily[WardCode],"BH")),"")</f>
        <v/>
      </c>
      <c r="D441" s="5" t="str">
        <f>IFERROR(IF(SUMIFS(tblDaily[Deaths],tblDaily[EntryDate],DATE(2026,12,6),tblDaily[WardCode],"BH")=0,"",SUMIFS(tblDaily[Deaths],tblDaily[EntryDate],DATE(2026,12,6),tblDaily[WardCode],"BH")),"")</f>
        <v/>
      </c>
      <c r="E441" s="5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5" t="str">
        <f>IFERROR(IF(SUMIFS(tblDaily[TransfersIn],tblDaily[EntryDate],DATE(2026,12,6),tblDaily[WardCode],"BH")=0,"",SUMIFS(tblDaily[TransfersIn],tblDaily[EntryDate],DATE(2026,12,6),tblDaily[WardCode],"BH")),"")</f>
        <v/>
      </c>
      <c r="G441" s="5" t="str">
        <f>IFERROR(IF(SUMIFS(tblDaily[TransfersOut],tblDaily[EntryDate],DATE(2026,12,6),tblDaily[WardCode],"BH")=0,"",SUMIFS(tblDaily[TransfersOut],tblDaily[EntryDate],DATE(2026,12,6),tblDaily[WardCode],"BH")),"")</f>
        <v/>
      </c>
      <c r="H441" s="5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IFERROR(IF(SUMIFS(tblDaily[Admissions],tblDaily[EntryDate],DATE(2026,12,7),tblDaily[WardCode],"BH")=0,"",SUMIFS(tblDaily[Admissions],tblDaily[EntryDate],DATE(2026,12,7),tblDaily[WardCode],"BH")),"")</f>
        <v/>
      </c>
      <c r="C442" s="5" t="str">
        <f>IFERROR(IF(SUMIFS(tblDaily[Discharges],tblDaily[EntryDate],DATE(2026,12,7),tblDaily[WardCode],"BH")=0,"",SUMIFS(tblDaily[Discharges],tblDaily[EntryDate],DATE(2026,12,7),tblDaily[WardCode],"BH")),"")</f>
        <v/>
      </c>
      <c r="D442" s="5" t="str">
        <f>IFERROR(IF(SUMIFS(tblDaily[Deaths],tblDaily[EntryDate],DATE(2026,12,7),tblDaily[WardCode],"BH")=0,"",SUMIFS(tblDaily[Deaths],tblDaily[EntryDate],DATE(2026,12,7),tblDaily[WardCode],"BH")),"")</f>
        <v/>
      </c>
      <c r="E442" s="5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5" t="str">
        <f>IFERROR(IF(SUMIFS(tblDaily[TransfersIn],tblDaily[EntryDate],DATE(2026,12,7),tblDaily[WardCode],"BH")=0,"",SUMIFS(tblDaily[TransfersIn],tblDaily[EntryDate],DATE(2026,12,7),tblDaily[WardCode],"BH")),"")</f>
        <v/>
      </c>
      <c r="G442" s="5" t="str">
        <f>IFERROR(IF(SUMIFS(tblDaily[TransfersOut],tblDaily[EntryDate],DATE(2026,12,7),tblDaily[WardCode],"BH")=0,"",SUMIFS(tblDaily[TransfersOut],tblDaily[EntryDate],DATE(2026,12,7),tblDaily[WardCode],"BH")),"")</f>
        <v/>
      </c>
      <c r="H442" s="5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IFERROR(IF(SUMIFS(tblDaily[Admissions],tblDaily[EntryDate],DATE(2026,12,8),tblDaily[WardCode],"BH")=0,"",SUMIFS(tblDaily[Admissions],tblDaily[EntryDate],DATE(2026,12,8),tblDaily[WardCode],"BH")),"")</f>
        <v/>
      </c>
      <c r="C443" s="5" t="str">
        <f>IFERROR(IF(SUMIFS(tblDaily[Discharges],tblDaily[EntryDate],DATE(2026,12,8),tblDaily[WardCode],"BH")=0,"",SUMIFS(tblDaily[Discharges],tblDaily[EntryDate],DATE(2026,12,8),tblDaily[WardCode],"BH")),"")</f>
        <v/>
      </c>
      <c r="D443" s="5" t="str">
        <f>IFERROR(IF(SUMIFS(tblDaily[Deaths],tblDaily[EntryDate],DATE(2026,12,8),tblDaily[WardCode],"BH")=0,"",SUMIFS(tblDaily[Deaths],tblDaily[EntryDate],DATE(2026,12,8),tblDaily[WardCode],"BH")),"")</f>
        <v/>
      </c>
      <c r="E443" s="5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5" t="str">
        <f>IFERROR(IF(SUMIFS(tblDaily[TransfersIn],tblDaily[EntryDate],DATE(2026,12,8),tblDaily[WardCode],"BH")=0,"",SUMIFS(tblDaily[TransfersIn],tblDaily[EntryDate],DATE(2026,12,8),tblDaily[WardCode],"BH")),"")</f>
        <v/>
      </c>
      <c r="G443" s="5" t="str">
        <f>IFERROR(IF(SUMIFS(tblDaily[TransfersOut],tblDaily[EntryDate],DATE(2026,12,8),tblDaily[WardCode],"BH")=0,"",SUMIFS(tblDaily[TransfersOut],tblDaily[EntryDate],DATE(2026,12,8),tblDaily[WardCode],"BH")),"")</f>
        <v/>
      </c>
      <c r="H443" s="5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IFERROR(IF(SUMIFS(tblDaily[Admissions],tblDaily[EntryDate],DATE(2026,12,9),tblDaily[WardCode],"BH")=0,"",SUMIFS(tblDaily[Admissions],tblDaily[EntryDate],DATE(2026,12,9),tblDaily[WardCode],"BH")),"")</f>
        <v/>
      </c>
      <c r="C444" s="5" t="str">
        <f>IFERROR(IF(SUMIFS(tblDaily[Discharges],tblDaily[EntryDate],DATE(2026,12,9),tblDaily[WardCode],"BH")=0,"",SUMIFS(tblDaily[Discharges],tblDaily[EntryDate],DATE(2026,12,9),tblDaily[WardCode],"BH")),"")</f>
        <v/>
      </c>
      <c r="D444" s="5" t="str">
        <f>IFERROR(IF(SUMIFS(tblDaily[Deaths],tblDaily[EntryDate],DATE(2026,12,9),tblDaily[WardCode],"BH")=0,"",SUMIFS(tblDaily[Deaths],tblDaily[EntryDate],DATE(2026,12,9),tblDaily[WardCode],"BH")),"")</f>
        <v/>
      </c>
      <c r="E444" s="5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5" t="str">
        <f>IFERROR(IF(SUMIFS(tblDaily[TransfersIn],tblDaily[EntryDate],DATE(2026,12,9),tblDaily[WardCode],"BH")=0,"",SUMIFS(tblDaily[TransfersIn],tblDaily[EntryDate],DATE(2026,12,9),tblDaily[WardCode],"BH")),"")</f>
        <v/>
      </c>
      <c r="G444" s="5" t="str">
        <f>IFERROR(IF(SUMIFS(tblDaily[TransfersOut],tblDaily[EntryDate],DATE(2026,12,9),tblDaily[WardCode],"BH")=0,"",SUMIFS(tblDaily[TransfersOut],tblDaily[EntryDate],DATE(2026,12,9),tblDaily[WardCode],"BH")),"")</f>
        <v/>
      </c>
      <c r="H444" s="5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IFERROR(IF(SUMIFS(tblDaily[Admissions],tblDaily[EntryDate],DATE(2026,12,10),tblDaily[WardCode],"BH")=0,"",SUMIFS(tblDaily[Admissions],tblDaily[EntryDate],DATE(2026,12,10),tblDaily[WardCode],"BH")),"")</f>
        <v/>
      </c>
      <c r="C445" s="5" t="str">
        <f>IFERROR(IF(SUMIFS(tblDaily[Discharges],tblDaily[EntryDate],DATE(2026,12,10),tblDaily[WardCode],"BH")=0,"",SUMIFS(tblDaily[Discharges],tblDaily[EntryDate],DATE(2026,12,10),tblDaily[WardCode],"BH")),"")</f>
        <v/>
      </c>
      <c r="D445" s="5" t="str">
        <f>IFERROR(IF(SUMIFS(tblDaily[Deaths],tblDaily[EntryDate],DATE(2026,12,10),tblDaily[WardCode],"BH")=0,"",SUMIFS(tblDaily[Deaths],tblDaily[EntryDate],DATE(2026,12,10),tblDaily[WardCode],"BH")),"")</f>
        <v/>
      </c>
      <c r="E445" s="5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5" t="str">
        <f>IFERROR(IF(SUMIFS(tblDaily[TransfersIn],tblDaily[EntryDate],DATE(2026,12,10),tblDaily[WardCode],"BH")=0,"",SUMIFS(tblDaily[TransfersIn],tblDaily[EntryDate],DATE(2026,12,10),tblDaily[WardCode],"BH")),"")</f>
        <v/>
      </c>
      <c r="G445" s="5" t="str">
        <f>IFERROR(IF(SUMIFS(tblDaily[TransfersOut],tblDaily[EntryDate],DATE(2026,12,10),tblDaily[WardCode],"BH")=0,"",SUMIFS(tblDaily[TransfersOut],tblDaily[EntryDate],DATE(2026,12,10),tblDaily[WardCode],"BH")),"")</f>
        <v/>
      </c>
      <c r="H445" s="5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IFERROR(IF(SUMIFS(tblDaily[Admissions],tblDaily[EntryDate],DATE(2026,12,11),tblDaily[WardCode],"BH")=0,"",SUMIFS(tblDaily[Admissions],tblDaily[EntryDate],DATE(2026,12,11),tblDaily[WardCode],"BH")),"")</f>
        <v/>
      </c>
      <c r="C446" s="5" t="str">
        <f>IFERROR(IF(SUMIFS(tblDaily[Discharges],tblDaily[EntryDate],DATE(2026,12,11),tblDaily[WardCode],"BH")=0,"",SUMIFS(tblDaily[Discharges],tblDaily[EntryDate],DATE(2026,12,11),tblDaily[WardCode],"BH")),"")</f>
        <v/>
      </c>
      <c r="D446" s="5" t="str">
        <f>IFERROR(IF(SUMIFS(tblDaily[Deaths],tblDaily[EntryDate],DATE(2026,12,11),tblDaily[WardCode],"BH")=0,"",SUMIFS(tblDaily[Deaths],tblDaily[EntryDate],DATE(2026,12,11),tblDaily[WardCode],"BH")),"")</f>
        <v/>
      </c>
      <c r="E446" s="5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5" t="str">
        <f>IFERROR(IF(SUMIFS(tblDaily[TransfersIn],tblDaily[EntryDate],DATE(2026,12,11),tblDaily[WardCode],"BH")=0,"",SUMIFS(tblDaily[TransfersIn],tblDaily[EntryDate],DATE(2026,12,11),tblDaily[WardCode],"BH")),"")</f>
        <v/>
      </c>
      <c r="G446" s="5" t="str">
        <f>IFERROR(IF(SUMIFS(tblDaily[TransfersOut],tblDaily[EntryDate],DATE(2026,12,11),tblDaily[WardCode],"BH")=0,"",SUMIFS(tblDaily[TransfersOut],tblDaily[EntryDate],DATE(2026,12,11),tblDaily[WardCode],"BH")),"")</f>
        <v/>
      </c>
      <c r="H446" s="5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IFERROR(IF(SUMIFS(tblDaily[Admissions],tblDaily[EntryDate],DATE(2026,12,12),tblDaily[WardCode],"BH")=0,"",SUMIFS(tblDaily[Admissions],tblDaily[EntryDate],DATE(2026,12,12),tblDaily[WardCode],"BH")),"")</f>
        <v/>
      </c>
      <c r="C447" s="5" t="str">
        <f>IFERROR(IF(SUMIFS(tblDaily[Discharges],tblDaily[EntryDate],DATE(2026,12,12),tblDaily[WardCode],"BH")=0,"",SUMIFS(tblDaily[Discharges],tblDaily[EntryDate],DATE(2026,12,12),tblDaily[WardCode],"BH")),"")</f>
        <v/>
      </c>
      <c r="D447" s="5" t="str">
        <f>IFERROR(IF(SUMIFS(tblDaily[Deaths],tblDaily[EntryDate],DATE(2026,12,12),tblDaily[WardCode],"BH")=0,"",SUMIFS(tblDaily[Deaths],tblDaily[EntryDate],DATE(2026,12,12),tblDaily[WardCode],"BH")),"")</f>
        <v/>
      </c>
      <c r="E447" s="5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5" t="str">
        <f>IFERROR(IF(SUMIFS(tblDaily[TransfersIn],tblDaily[EntryDate],DATE(2026,12,12),tblDaily[WardCode],"BH")=0,"",SUMIFS(tblDaily[TransfersIn],tblDaily[EntryDate],DATE(2026,12,12),tblDaily[WardCode],"BH")),"")</f>
        <v/>
      </c>
      <c r="G447" s="5" t="str">
        <f>IFERROR(IF(SUMIFS(tblDaily[TransfersOut],tblDaily[EntryDate],DATE(2026,12,12),tblDaily[WardCode],"BH")=0,"",SUMIFS(tblDaily[TransfersOut],tblDaily[EntryDate],DATE(2026,12,12),tblDaily[WardCode],"BH")),"")</f>
        <v/>
      </c>
      <c r="H447" s="5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IFERROR(IF(SUMIFS(tblDaily[Admissions],tblDaily[EntryDate],DATE(2026,12,13),tblDaily[WardCode],"BH")=0,"",SUMIFS(tblDaily[Admissions],tblDaily[EntryDate],DATE(2026,12,13),tblDaily[WardCode],"BH")),"")</f>
        <v/>
      </c>
      <c r="C448" s="5" t="str">
        <f>IFERROR(IF(SUMIFS(tblDaily[Discharges],tblDaily[EntryDate],DATE(2026,12,13),tblDaily[WardCode],"BH")=0,"",SUMIFS(tblDaily[Discharges],tblDaily[EntryDate],DATE(2026,12,13),tblDaily[WardCode],"BH")),"")</f>
        <v/>
      </c>
      <c r="D448" s="5" t="str">
        <f>IFERROR(IF(SUMIFS(tblDaily[Deaths],tblDaily[EntryDate],DATE(2026,12,13),tblDaily[WardCode],"BH")=0,"",SUMIFS(tblDaily[Deaths],tblDaily[EntryDate],DATE(2026,12,13),tblDaily[WardCode],"BH")),"")</f>
        <v/>
      </c>
      <c r="E448" s="5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5" t="str">
        <f>IFERROR(IF(SUMIFS(tblDaily[TransfersIn],tblDaily[EntryDate],DATE(2026,12,13),tblDaily[WardCode],"BH")=0,"",SUMIFS(tblDaily[TransfersIn],tblDaily[EntryDate],DATE(2026,12,13),tblDaily[WardCode],"BH")),"")</f>
        <v/>
      </c>
      <c r="G448" s="5" t="str">
        <f>IFERROR(IF(SUMIFS(tblDaily[TransfersOut],tblDaily[EntryDate],DATE(2026,12,13),tblDaily[WardCode],"BH")=0,"",SUMIFS(tblDaily[TransfersOut],tblDaily[EntryDate],DATE(2026,12,13),tblDaily[WardCode],"BH")),"")</f>
        <v/>
      </c>
      <c r="H448" s="5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IFERROR(IF(SUMIFS(tblDaily[Admissions],tblDaily[EntryDate],DATE(2026,12,14),tblDaily[WardCode],"BH")=0,"",SUMIFS(tblDaily[Admissions],tblDaily[EntryDate],DATE(2026,12,14),tblDaily[WardCode],"BH")),"")</f>
        <v/>
      </c>
      <c r="C449" s="5" t="str">
        <f>IFERROR(IF(SUMIFS(tblDaily[Discharges],tblDaily[EntryDate],DATE(2026,12,14),tblDaily[WardCode],"BH")=0,"",SUMIFS(tblDaily[Discharges],tblDaily[EntryDate],DATE(2026,12,14),tblDaily[WardCode],"BH")),"")</f>
        <v/>
      </c>
      <c r="D449" s="5" t="str">
        <f>IFERROR(IF(SUMIFS(tblDaily[Deaths],tblDaily[EntryDate],DATE(2026,12,14),tblDaily[WardCode],"BH")=0,"",SUMIFS(tblDaily[Deaths],tblDaily[EntryDate],DATE(2026,12,14),tblDaily[WardCode],"BH")),"")</f>
        <v/>
      </c>
      <c r="E449" s="5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5" t="str">
        <f>IFERROR(IF(SUMIFS(tblDaily[TransfersIn],tblDaily[EntryDate],DATE(2026,12,14),tblDaily[WardCode],"BH")=0,"",SUMIFS(tblDaily[TransfersIn],tblDaily[EntryDate],DATE(2026,12,14),tblDaily[WardCode],"BH")),"")</f>
        <v/>
      </c>
      <c r="G449" s="5" t="str">
        <f>IFERROR(IF(SUMIFS(tblDaily[TransfersOut],tblDaily[EntryDate],DATE(2026,12,14),tblDaily[WardCode],"BH")=0,"",SUMIFS(tblDaily[TransfersOut],tblDaily[EntryDate],DATE(2026,12,14),tblDaily[WardCode],"BH")),"")</f>
        <v/>
      </c>
      <c r="H449" s="5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IFERROR(IF(SUMIFS(tblDaily[Admissions],tblDaily[EntryDate],DATE(2026,12,15),tblDaily[WardCode],"BH")=0,"",SUMIFS(tblDaily[Admissions],tblDaily[EntryDate],DATE(2026,12,15),tblDaily[WardCode],"BH")),"")</f>
        <v/>
      </c>
      <c r="C450" s="5" t="str">
        <f>IFERROR(IF(SUMIFS(tblDaily[Discharges],tblDaily[EntryDate],DATE(2026,12,15),tblDaily[WardCode],"BH")=0,"",SUMIFS(tblDaily[Discharges],tblDaily[EntryDate],DATE(2026,12,15),tblDaily[WardCode],"BH")),"")</f>
        <v/>
      </c>
      <c r="D450" s="5" t="str">
        <f>IFERROR(IF(SUMIFS(tblDaily[Deaths],tblDaily[EntryDate],DATE(2026,12,15),tblDaily[WardCode],"BH")=0,"",SUMIFS(tblDaily[Deaths],tblDaily[EntryDate],DATE(2026,12,15),tblDaily[WardCode],"BH")),"")</f>
        <v/>
      </c>
      <c r="E450" s="5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5" t="str">
        <f>IFERROR(IF(SUMIFS(tblDaily[TransfersIn],tblDaily[EntryDate],DATE(2026,12,15),tblDaily[WardCode],"BH")=0,"",SUMIFS(tblDaily[TransfersIn],tblDaily[EntryDate],DATE(2026,12,15),tblDaily[WardCode],"BH")),"")</f>
        <v/>
      </c>
      <c r="G450" s="5" t="str">
        <f>IFERROR(IF(SUMIFS(tblDaily[TransfersOut],tblDaily[EntryDate],DATE(2026,12,15),tblDaily[WardCode],"BH")=0,"",SUMIFS(tblDaily[TransfersOut],tblDaily[EntryDate],DATE(2026,12,15),tblDaily[WardCode],"BH")),"")</f>
        <v/>
      </c>
      <c r="H450" s="5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IFERROR(IF(SUMIFS(tblDaily[Admissions],tblDaily[EntryDate],DATE(2026,12,16),tblDaily[WardCode],"BH")=0,"",SUMIFS(tblDaily[Admissions],tblDaily[EntryDate],DATE(2026,12,16),tblDaily[WardCode],"BH")),"")</f>
        <v/>
      </c>
      <c r="C451" s="5" t="str">
        <f>IFERROR(IF(SUMIFS(tblDaily[Discharges],tblDaily[EntryDate],DATE(2026,12,16),tblDaily[WardCode],"BH")=0,"",SUMIFS(tblDaily[Discharges],tblDaily[EntryDate],DATE(2026,12,16),tblDaily[WardCode],"BH")),"")</f>
        <v/>
      </c>
      <c r="D451" s="5" t="str">
        <f>IFERROR(IF(SUMIFS(tblDaily[Deaths],tblDaily[EntryDate],DATE(2026,12,16),tblDaily[WardCode],"BH")=0,"",SUMIFS(tblDaily[Deaths],tblDaily[EntryDate],DATE(2026,12,16),tblDaily[WardCode],"BH")),"")</f>
        <v/>
      </c>
      <c r="E451" s="5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5" t="str">
        <f>IFERROR(IF(SUMIFS(tblDaily[TransfersIn],tblDaily[EntryDate],DATE(2026,12,16),tblDaily[WardCode],"BH")=0,"",SUMIFS(tblDaily[TransfersIn],tblDaily[EntryDate],DATE(2026,12,16),tblDaily[WardCode],"BH")),"")</f>
        <v/>
      </c>
      <c r="G451" s="5" t="str">
        <f>IFERROR(IF(SUMIFS(tblDaily[TransfersOut],tblDaily[EntryDate],DATE(2026,12,16),tblDaily[WardCode],"BH")=0,"",SUMIFS(tblDaily[TransfersOut],tblDaily[EntryDate],DATE(2026,12,16),tblDaily[WardCode],"BH")),"")</f>
        <v/>
      </c>
      <c r="H451" s="5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IFERROR(IF(SUMIFS(tblDaily[Admissions],tblDaily[EntryDate],DATE(2026,12,17),tblDaily[WardCode],"BH")=0,"",SUMIFS(tblDaily[Admissions],tblDaily[EntryDate],DATE(2026,12,17),tblDaily[WardCode],"BH")),"")</f>
        <v/>
      </c>
      <c r="C452" s="5" t="str">
        <f>IFERROR(IF(SUMIFS(tblDaily[Discharges],tblDaily[EntryDate],DATE(2026,12,17),tblDaily[WardCode],"BH")=0,"",SUMIFS(tblDaily[Discharges],tblDaily[EntryDate],DATE(2026,12,17),tblDaily[WardCode],"BH")),"")</f>
        <v/>
      </c>
      <c r="D452" s="5" t="str">
        <f>IFERROR(IF(SUMIFS(tblDaily[Deaths],tblDaily[EntryDate],DATE(2026,12,17),tblDaily[WardCode],"BH")=0,"",SUMIFS(tblDaily[Deaths],tblDaily[EntryDate],DATE(2026,12,17),tblDaily[WardCode],"BH")),"")</f>
        <v/>
      </c>
      <c r="E452" s="5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5" t="str">
        <f>IFERROR(IF(SUMIFS(tblDaily[TransfersIn],tblDaily[EntryDate],DATE(2026,12,17),tblDaily[WardCode],"BH")=0,"",SUMIFS(tblDaily[TransfersIn],tblDaily[EntryDate],DATE(2026,12,17),tblDaily[WardCode],"BH")),"")</f>
        <v/>
      </c>
      <c r="G452" s="5" t="str">
        <f>IFERROR(IF(SUMIFS(tblDaily[TransfersOut],tblDaily[EntryDate],DATE(2026,12,17),tblDaily[WardCode],"BH")=0,"",SUMIFS(tblDaily[TransfersOut],tblDaily[EntryDate],DATE(2026,12,17),tblDaily[WardCode],"BH")),"")</f>
        <v/>
      </c>
      <c r="H452" s="5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IFERROR(IF(SUMIFS(tblDaily[Admissions],tblDaily[EntryDate],DATE(2026,12,18),tblDaily[WardCode],"BH")=0,"",SUMIFS(tblDaily[Admissions],tblDaily[EntryDate],DATE(2026,12,18),tblDaily[WardCode],"BH")),"")</f>
        <v/>
      </c>
      <c r="C453" s="5" t="str">
        <f>IFERROR(IF(SUMIFS(tblDaily[Discharges],tblDaily[EntryDate],DATE(2026,12,18),tblDaily[WardCode],"BH")=0,"",SUMIFS(tblDaily[Discharges],tblDaily[EntryDate],DATE(2026,12,18),tblDaily[WardCode],"BH")),"")</f>
        <v/>
      </c>
      <c r="D453" s="5" t="str">
        <f>IFERROR(IF(SUMIFS(tblDaily[Deaths],tblDaily[EntryDate],DATE(2026,12,18),tblDaily[WardCode],"BH")=0,"",SUMIFS(tblDaily[Deaths],tblDaily[EntryDate],DATE(2026,12,18),tblDaily[WardCode],"BH")),"")</f>
        <v/>
      </c>
      <c r="E453" s="5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5" t="str">
        <f>IFERROR(IF(SUMIFS(tblDaily[TransfersIn],tblDaily[EntryDate],DATE(2026,12,18),tblDaily[WardCode],"BH")=0,"",SUMIFS(tblDaily[TransfersIn],tblDaily[EntryDate],DATE(2026,12,18),tblDaily[WardCode],"BH")),"")</f>
        <v/>
      </c>
      <c r="G453" s="5" t="str">
        <f>IFERROR(IF(SUMIFS(tblDaily[TransfersOut],tblDaily[EntryDate],DATE(2026,12,18),tblDaily[WardCode],"BH")=0,"",SUMIFS(tblDaily[TransfersOut],tblDaily[EntryDate],DATE(2026,12,18),tblDaily[WardCode],"BH")),"")</f>
        <v/>
      </c>
      <c r="H453" s="5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IFERROR(IF(SUMIFS(tblDaily[Admissions],tblDaily[EntryDate],DATE(2026,12,19),tblDaily[WardCode],"BH")=0,"",SUMIFS(tblDaily[Admissions],tblDaily[EntryDate],DATE(2026,12,19),tblDaily[WardCode],"BH")),"")</f>
        <v/>
      </c>
      <c r="C454" s="5" t="str">
        <f>IFERROR(IF(SUMIFS(tblDaily[Discharges],tblDaily[EntryDate],DATE(2026,12,19),tblDaily[WardCode],"BH")=0,"",SUMIFS(tblDaily[Discharges],tblDaily[EntryDate],DATE(2026,12,19),tblDaily[WardCode],"BH")),"")</f>
        <v/>
      </c>
      <c r="D454" s="5" t="str">
        <f>IFERROR(IF(SUMIFS(tblDaily[Deaths],tblDaily[EntryDate],DATE(2026,12,19),tblDaily[WardCode],"BH")=0,"",SUMIFS(tblDaily[Deaths],tblDaily[EntryDate],DATE(2026,12,19),tblDaily[WardCode],"BH")),"")</f>
        <v/>
      </c>
      <c r="E454" s="5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5" t="str">
        <f>IFERROR(IF(SUMIFS(tblDaily[TransfersIn],tblDaily[EntryDate],DATE(2026,12,19),tblDaily[WardCode],"BH")=0,"",SUMIFS(tblDaily[TransfersIn],tblDaily[EntryDate],DATE(2026,12,19),tblDaily[WardCode],"BH")),"")</f>
        <v/>
      </c>
      <c r="G454" s="5" t="str">
        <f>IFERROR(IF(SUMIFS(tblDaily[TransfersOut],tblDaily[EntryDate],DATE(2026,12,19),tblDaily[WardCode],"BH")=0,"",SUMIFS(tblDaily[TransfersOut],tblDaily[EntryDate],DATE(2026,12,19),tblDaily[WardCode],"BH")),"")</f>
        <v/>
      </c>
      <c r="H454" s="5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IFERROR(IF(SUMIFS(tblDaily[Admissions],tblDaily[EntryDate],DATE(2026,12,20),tblDaily[WardCode],"BH")=0,"",SUMIFS(tblDaily[Admissions],tblDaily[EntryDate],DATE(2026,12,20),tblDaily[WardCode],"BH")),"")</f>
        <v/>
      </c>
      <c r="C455" s="5" t="str">
        <f>IFERROR(IF(SUMIFS(tblDaily[Discharges],tblDaily[EntryDate],DATE(2026,12,20),tblDaily[WardCode],"BH")=0,"",SUMIFS(tblDaily[Discharges],tblDaily[EntryDate],DATE(2026,12,20),tblDaily[WardCode],"BH")),"")</f>
        <v/>
      </c>
      <c r="D455" s="5" t="str">
        <f>IFERROR(IF(SUMIFS(tblDaily[Deaths],tblDaily[EntryDate],DATE(2026,12,20),tblDaily[WardCode],"BH")=0,"",SUMIFS(tblDaily[Deaths],tblDaily[EntryDate],DATE(2026,12,20),tblDaily[WardCode],"BH")),"")</f>
        <v/>
      </c>
      <c r="E455" s="5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5" t="str">
        <f>IFERROR(IF(SUMIFS(tblDaily[TransfersIn],tblDaily[EntryDate],DATE(2026,12,20),tblDaily[WardCode],"BH")=0,"",SUMIFS(tblDaily[TransfersIn],tblDaily[EntryDate],DATE(2026,12,20),tblDaily[WardCode],"BH")),"")</f>
        <v/>
      </c>
      <c r="G455" s="5" t="str">
        <f>IFERROR(IF(SUMIFS(tblDaily[TransfersOut],tblDaily[EntryDate],DATE(2026,12,20),tblDaily[WardCode],"BH")=0,"",SUMIFS(tblDaily[TransfersOut],tblDaily[EntryDate],DATE(2026,12,20),tblDaily[WardCode],"BH")),"")</f>
        <v/>
      </c>
      <c r="H455" s="5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IFERROR(IF(SUMIFS(tblDaily[Admissions],tblDaily[EntryDate],DATE(2026,12,21),tblDaily[WardCode],"BH")=0,"",SUMIFS(tblDaily[Admissions],tblDaily[EntryDate],DATE(2026,12,21),tblDaily[WardCode],"BH")),"")</f>
        <v/>
      </c>
      <c r="C456" s="5" t="str">
        <f>IFERROR(IF(SUMIFS(tblDaily[Discharges],tblDaily[EntryDate],DATE(2026,12,21),tblDaily[WardCode],"BH")=0,"",SUMIFS(tblDaily[Discharges],tblDaily[EntryDate],DATE(2026,12,21),tblDaily[WardCode],"BH")),"")</f>
        <v/>
      </c>
      <c r="D456" s="5" t="str">
        <f>IFERROR(IF(SUMIFS(tblDaily[Deaths],tblDaily[EntryDate],DATE(2026,12,21),tblDaily[WardCode],"BH")=0,"",SUMIFS(tblDaily[Deaths],tblDaily[EntryDate],DATE(2026,12,21),tblDaily[WardCode],"BH")),"")</f>
        <v/>
      </c>
      <c r="E456" s="5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5" t="str">
        <f>IFERROR(IF(SUMIFS(tblDaily[TransfersIn],tblDaily[EntryDate],DATE(2026,12,21),tblDaily[WardCode],"BH")=0,"",SUMIFS(tblDaily[TransfersIn],tblDaily[EntryDate],DATE(2026,12,21),tblDaily[WardCode],"BH")),"")</f>
        <v/>
      </c>
      <c r="G456" s="5" t="str">
        <f>IFERROR(IF(SUMIFS(tblDaily[TransfersOut],tblDaily[EntryDate],DATE(2026,12,21),tblDaily[WardCode],"BH")=0,"",SUMIFS(tblDaily[TransfersOut],tblDaily[EntryDate],DATE(2026,12,21),tblDaily[WardCode],"BH")),"")</f>
        <v/>
      </c>
      <c r="H456" s="5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IFERROR(IF(SUMIFS(tblDaily[Admissions],tblDaily[EntryDate],DATE(2026,12,22),tblDaily[WardCode],"BH")=0,"",SUMIFS(tblDaily[Admissions],tblDaily[EntryDate],DATE(2026,12,22),tblDaily[WardCode],"BH")),"")</f>
        <v/>
      </c>
      <c r="C457" s="5" t="str">
        <f>IFERROR(IF(SUMIFS(tblDaily[Discharges],tblDaily[EntryDate],DATE(2026,12,22),tblDaily[WardCode],"BH")=0,"",SUMIFS(tblDaily[Discharges],tblDaily[EntryDate],DATE(2026,12,22),tblDaily[WardCode],"BH")),"")</f>
        <v/>
      </c>
      <c r="D457" s="5" t="str">
        <f>IFERROR(IF(SUMIFS(tblDaily[Deaths],tblDaily[EntryDate],DATE(2026,12,22),tblDaily[WardCode],"BH")=0,"",SUMIFS(tblDaily[Deaths],tblDaily[EntryDate],DATE(2026,12,22),tblDaily[WardCode],"BH")),"")</f>
        <v/>
      </c>
      <c r="E457" s="5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5" t="str">
        <f>IFERROR(IF(SUMIFS(tblDaily[TransfersIn],tblDaily[EntryDate],DATE(2026,12,22),tblDaily[WardCode],"BH")=0,"",SUMIFS(tblDaily[TransfersIn],tblDaily[EntryDate],DATE(2026,12,22),tblDaily[WardCode],"BH")),"")</f>
        <v/>
      </c>
      <c r="G457" s="5" t="str">
        <f>IFERROR(IF(SUMIFS(tblDaily[TransfersOut],tblDaily[EntryDate],DATE(2026,12,22),tblDaily[WardCode],"BH")=0,"",SUMIFS(tblDaily[TransfersOut],tblDaily[EntryDate],DATE(2026,12,22),tblDaily[WardCode],"BH")),"")</f>
        <v/>
      </c>
      <c r="H457" s="5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IFERROR(IF(SUMIFS(tblDaily[Admissions],tblDaily[EntryDate],DATE(2026,12,23),tblDaily[WardCode],"BH")=0,"",SUMIFS(tblDaily[Admissions],tblDaily[EntryDate],DATE(2026,12,23),tblDaily[WardCode],"BH")),"")</f>
        <v/>
      </c>
      <c r="C458" s="5" t="str">
        <f>IFERROR(IF(SUMIFS(tblDaily[Discharges],tblDaily[EntryDate],DATE(2026,12,23),tblDaily[WardCode],"BH")=0,"",SUMIFS(tblDaily[Discharges],tblDaily[EntryDate],DATE(2026,12,23),tblDaily[WardCode],"BH")),"")</f>
        <v/>
      </c>
      <c r="D458" s="5" t="str">
        <f>IFERROR(IF(SUMIFS(tblDaily[Deaths],tblDaily[EntryDate],DATE(2026,12,23),tblDaily[WardCode],"BH")=0,"",SUMIFS(tblDaily[Deaths],tblDaily[EntryDate],DATE(2026,12,23),tblDaily[WardCode],"BH")),"")</f>
        <v/>
      </c>
      <c r="E458" s="5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5" t="str">
        <f>IFERROR(IF(SUMIFS(tblDaily[TransfersIn],tblDaily[EntryDate],DATE(2026,12,23),tblDaily[WardCode],"BH")=0,"",SUMIFS(tblDaily[TransfersIn],tblDaily[EntryDate],DATE(2026,12,23),tblDaily[WardCode],"BH")),"")</f>
        <v/>
      </c>
      <c r="G458" s="5" t="str">
        <f>IFERROR(IF(SUMIFS(tblDaily[TransfersOut],tblDaily[EntryDate],DATE(2026,12,23),tblDaily[WardCode],"BH")=0,"",SUMIFS(tblDaily[TransfersOut],tblDaily[EntryDate],DATE(2026,12,23),tblDaily[WardCode],"BH")),"")</f>
        <v/>
      </c>
      <c r="H458" s="5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IFERROR(IF(SUMIFS(tblDaily[Admissions],tblDaily[EntryDate],DATE(2026,12,24),tblDaily[WardCode],"BH")=0,"",SUMIFS(tblDaily[Admissions],tblDaily[EntryDate],DATE(2026,12,24),tblDaily[WardCode],"BH")),"")</f>
        <v/>
      </c>
      <c r="C459" s="5" t="str">
        <f>IFERROR(IF(SUMIFS(tblDaily[Discharges],tblDaily[EntryDate],DATE(2026,12,24),tblDaily[WardCode],"BH")=0,"",SUMIFS(tblDaily[Discharges],tblDaily[EntryDate],DATE(2026,12,24),tblDaily[WardCode],"BH")),"")</f>
        <v/>
      </c>
      <c r="D459" s="5" t="str">
        <f>IFERROR(IF(SUMIFS(tblDaily[Deaths],tblDaily[EntryDate],DATE(2026,12,24),tblDaily[WardCode],"BH")=0,"",SUMIFS(tblDaily[Deaths],tblDaily[EntryDate],DATE(2026,12,24),tblDaily[WardCode],"BH")),"")</f>
        <v/>
      </c>
      <c r="E459" s="5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5" t="str">
        <f>IFERROR(IF(SUMIFS(tblDaily[TransfersIn],tblDaily[EntryDate],DATE(2026,12,24),tblDaily[WardCode],"BH")=0,"",SUMIFS(tblDaily[TransfersIn],tblDaily[EntryDate],DATE(2026,12,24),tblDaily[WardCode],"BH")),"")</f>
        <v/>
      </c>
      <c r="G459" s="5" t="str">
        <f>IFERROR(IF(SUMIFS(tblDaily[TransfersOut],tblDaily[EntryDate],DATE(2026,12,24),tblDaily[WardCode],"BH")=0,"",SUMIFS(tblDaily[TransfersOut],tblDaily[EntryDate],DATE(2026,12,24),tblDaily[WardCode],"BH")),"")</f>
        <v/>
      </c>
      <c r="H459" s="5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IFERROR(IF(SUMIFS(tblDaily[Admissions],tblDaily[EntryDate],DATE(2026,12,25),tblDaily[WardCode],"BH")=0,"",SUMIFS(tblDaily[Admissions],tblDaily[EntryDate],DATE(2026,12,25),tblDaily[WardCode],"BH")),"")</f>
        <v/>
      </c>
      <c r="C460" s="5" t="str">
        <f>IFERROR(IF(SUMIFS(tblDaily[Discharges],tblDaily[EntryDate],DATE(2026,12,25),tblDaily[WardCode],"BH")=0,"",SUMIFS(tblDaily[Discharges],tblDaily[EntryDate],DATE(2026,12,25),tblDaily[WardCode],"BH")),"")</f>
        <v/>
      </c>
      <c r="D460" s="5" t="str">
        <f>IFERROR(IF(SUMIFS(tblDaily[Deaths],tblDaily[EntryDate],DATE(2026,12,25),tblDaily[WardCode],"BH")=0,"",SUMIFS(tblDaily[Deaths],tblDaily[EntryDate],DATE(2026,12,25),tblDaily[WardCode],"BH")),"")</f>
        <v/>
      </c>
      <c r="E460" s="5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5" t="str">
        <f>IFERROR(IF(SUMIFS(tblDaily[TransfersIn],tblDaily[EntryDate],DATE(2026,12,25),tblDaily[WardCode],"BH")=0,"",SUMIFS(tblDaily[TransfersIn],tblDaily[EntryDate],DATE(2026,12,25),tblDaily[WardCode],"BH")),"")</f>
        <v/>
      </c>
      <c r="G460" s="5" t="str">
        <f>IFERROR(IF(SUMIFS(tblDaily[TransfersOut],tblDaily[EntryDate],DATE(2026,12,25),tblDaily[WardCode],"BH")=0,"",SUMIFS(tblDaily[TransfersOut],tblDaily[EntryDate],DATE(2026,12,25),tblDaily[WardCode],"BH")),"")</f>
        <v/>
      </c>
      <c r="H460" s="5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IFERROR(IF(SUMIFS(tblDaily[Admissions],tblDaily[EntryDate],DATE(2026,12,26),tblDaily[WardCode],"BH")=0,"",SUMIFS(tblDaily[Admissions],tblDaily[EntryDate],DATE(2026,12,26),tblDaily[WardCode],"BH")),"")</f>
        <v/>
      </c>
      <c r="C461" s="5" t="str">
        <f>IFERROR(IF(SUMIFS(tblDaily[Discharges],tblDaily[EntryDate],DATE(2026,12,26),tblDaily[WardCode],"BH")=0,"",SUMIFS(tblDaily[Discharges],tblDaily[EntryDate],DATE(2026,12,26),tblDaily[WardCode],"BH")),"")</f>
        <v/>
      </c>
      <c r="D461" s="5" t="str">
        <f>IFERROR(IF(SUMIFS(tblDaily[Deaths],tblDaily[EntryDate],DATE(2026,12,26),tblDaily[WardCode],"BH")=0,"",SUMIFS(tblDaily[Deaths],tblDaily[EntryDate],DATE(2026,12,26),tblDaily[WardCode],"BH")),"")</f>
        <v/>
      </c>
      <c r="E461" s="5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5" t="str">
        <f>IFERROR(IF(SUMIFS(tblDaily[TransfersIn],tblDaily[EntryDate],DATE(2026,12,26),tblDaily[WardCode],"BH")=0,"",SUMIFS(tblDaily[TransfersIn],tblDaily[EntryDate],DATE(2026,12,26),tblDaily[WardCode],"BH")),"")</f>
        <v/>
      </c>
      <c r="G461" s="5" t="str">
        <f>IFERROR(IF(SUMIFS(tblDaily[TransfersOut],tblDaily[EntryDate],DATE(2026,12,26),tblDaily[WardCode],"BH")=0,"",SUMIFS(tblDaily[TransfersOut],tblDaily[EntryDate],DATE(2026,12,26),tblDaily[WardCode],"BH")),"")</f>
        <v/>
      </c>
      <c r="H461" s="5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IFERROR(IF(SUMIFS(tblDaily[Admissions],tblDaily[EntryDate],DATE(2026,12,27),tblDaily[WardCode],"BH")=0,"",SUMIFS(tblDaily[Admissions],tblDaily[EntryDate],DATE(2026,12,27),tblDaily[WardCode],"BH")),"")</f>
        <v/>
      </c>
      <c r="C462" s="5" t="str">
        <f>IFERROR(IF(SUMIFS(tblDaily[Discharges],tblDaily[EntryDate],DATE(2026,12,27),tblDaily[WardCode],"BH")=0,"",SUMIFS(tblDaily[Discharges],tblDaily[EntryDate],DATE(2026,12,27),tblDaily[WardCode],"BH")),"")</f>
        <v/>
      </c>
      <c r="D462" s="5" t="str">
        <f>IFERROR(IF(SUMIFS(tblDaily[Deaths],tblDaily[EntryDate],DATE(2026,12,27),tblDaily[WardCode],"BH")=0,"",SUMIFS(tblDaily[Deaths],tblDaily[EntryDate],DATE(2026,12,27),tblDaily[WardCode],"BH")),"")</f>
        <v/>
      </c>
      <c r="E462" s="5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5" t="str">
        <f>IFERROR(IF(SUMIFS(tblDaily[TransfersIn],tblDaily[EntryDate],DATE(2026,12,27),tblDaily[WardCode],"BH")=0,"",SUMIFS(tblDaily[TransfersIn],tblDaily[EntryDate],DATE(2026,12,27),tblDaily[WardCode],"BH")),"")</f>
        <v/>
      </c>
      <c r="G462" s="5" t="str">
        <f>IFERROR(IF(SUMIFS(tblDaily[TransfersOut],tblDaily[EntryDate],DATE(2026,12,27),tblDaily[WardCode],"BH")=0,"",SUMIFS(tblDaily[TransfersOut],tblDaily[EntryDate],DATE(2026,12,27),tblDaily[WardCode],"BH")),"")</f>
        <v/>
      </c>
      <c r="H462" s="5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IFERROR(IF(SUMIFS(tblDaily[Admissions],tblDaily[EntryDate],DATE(2026,12,28),tblDaily[WardCode],"BH")=0,"",SUMIFS(tblDaily[Admissions],tblDaily[EntryDate],DATE(2026,12,28),tblDaily[WardCode],"BH")),"")</f>
        <v/>
      </c>
      <c r="C463" s="5" t="str">
        <f>IFERROR(IF(SUMIFS(tblDaily[Discharges],tblDaily[EntryDate],DATE(2026,12,28),tblDaily[WardCode],"BH")=0,"",SUMIFS(tblDaily[Discharges],tblDaily[EntryDate],DATE(2026,12,28),tblDaily[WardCode],"BH")),"")</f>
        <v/>
      </c>
      <c r="D463" s="5" t="str">
        <f>IFERROR(IF(SUMIFS(tblDaily[Deaths],tblDaily[EntryDate],DATE(2026,12,28),tblDaily[WardCode],"BH")=0,"",SUMIFS(tblDaily[Deaths],tblDaily[EntryDate],DATE(2026,12,28),tblDaily[WardCode],"BH")),"")</f>
        <v/>
      </c>
      <c r="E463" s="5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5" t="str">
        <f>IFERROR(IF(SUMIFS(tblDaily[TransfersIn],tblDaily[EntryDate],DATE(2026,12,28),tblDaily[WardCode],"BH")=0,"",SUMIFS(tblDaily[TransfersIn],tblDaily[EntryDate],DATE(2026,12,28),tblDaily[WardCode],"BH")),"")</f>
        <v/>
      </c>
      <c r="G463" s="5" t="str">
        <f>IFERROR(IF(SUMIFS(tblDaily[TransfersOut],tblDaily[EntryDate],DATE(2026,12,28),tblDaily[WardCode],"BH")=0,"",SUMIFS(tblDaily[TransfersOut],tblDaily[EntryDate],DATE(2026,12,28),tblDaily[WardCode],"BH")),"")</f>
        <v/>
      </c>
      <c r="H463" s="5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IFERROR(IF(SUMIFS(tblDaily[Admissions],tblDaily[EntryDate],DATE(2026,12,29),tblDaily[WardCode],"BH")=0,"",SUMIFS(tblDaily[Admissions],tblDaily[EntryDate],DATE(2026,12,29),tblDaily[WardCode],"BH")),"")</f>
        <v/>
      </c>
      <c r="C464" s="5" t="str">
        <f>IFERROR(IF(SUMIFS(tblDaily[Discharges],tblDaily[EntryDate],DATE(2026,12,29),tblDaily[WardCode],"BH")=0,"",SUMIFS(tblDaily[Discharges],tblDaily[EntryDate],DATE(2026,12,29),tblDaily[WardCode],"BH")),"")</f>
        <v/>
      </c>
      <c r="D464" s="5" t="str">
        <f>IFERROR(IF(SUMIFS(tblDaily[Deaths],tblDaily[EntryDate],DATE(2026,12,29),tblDaily[WardCode],"BH")=0,"",SUMIFS(tblDaily[Deaths],tblDaily[EntryDate],DATE(2026,12,29),tblDaily[WardCode],"BH")),"")</f>
        <v/>
      </c>
      <c r="E464" s="5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5" t="str">
        <f>IFERROR(IF(SUMIFS(tblDaily[TransfersIn],tblDaily[EntryDate],DATE(2026,12,29),tblDaily[WardCode],"BH")=0,"",SUMIFS(tblDaily[TransfersIn],tblDaily[EntryDate],DATE(2026,12,29),tblDaily[WardCode],"BH")),"")</f>
        <v/>
      </c>
      <c r="G464" s="5" t="str">
        <f>IFERROR(IF(SUMIFS(tblDaily[TransfersOut],tblDaily[EntryDate],DATE(2026,12,29),tblDaily[WardCode],"BH")=0,"",SUMIFS(tblDaily[TransfersOut],tblDaily[EntryDate],DATE(2026,12,29),tblDaily[WardCode],"BH")),"")</f>
        <v/>
      </c>
      <c r="H464" s="5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IFERROR(IF(SUMIFS(tblDaily[Admissions],tblDaily[EntryDate],DATE(2026,12,30),tblDaily[WardCode],"BH")=0,"",SUMIFS(tblDaily[Admissions],tblDaily[EntryDate],DATE(2026,12,30),tblDaily[WardCode],"BH")),"")</f>
        <v/>
      </c>
      <c r="C465" s="5" t="str">
        <f>IFERROR(IF(SUMIFS(tblDaily[Discharges],tblDaily[EntryDate],DATE(2026,12,30),tblDaily[WardCode],"BH")=0,"",SUMIFS(tblDaily[Discharges],tblDaily[EntryDate],DATE(2026,12,30),tblDaily[WardCode],"BH")),"")</f>
        <v/>
      </c>
      <c r="D465" s="5" t="str">
        <f>IFERROR(IF(SUMIFS(tblDaily[Deaths],tblDaily[EntryDate],DATE(2026,12,30),tblDaily[WardCode],"BH")=0,"",SUMIFS(tblDaily[Deaths],tblDaily[EntryDate],DATE(2026,12,30),tblDaily[WardCode],"BH")),"")</f>
        <v/>
      </c>
      <c r="E465" s="5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5" t="str">
        <f>IFERROR(IF(SUMIFS(tblDaily[TransfersIn],tblDaily[EntryDate],DATE(2026,12,30),tblDaily[WardCode],"BH")=0,"",SUMIFS(tblDaily[TransfersIn],tblDaily[EntryDate],DATE(2026,12,30),tblDaily[WardCode],"BH")),"")</f>
        <v/>
      </c>
      <c r="G465" s="5" t="str">
        <f>IFERROR(IF(SUMIFS(tblDaily[TransfersOut],tblDaily[EntryDate],DATE(2026,12,30),tblDaily[WardCode],"BH")=0,"",SUMIFS(tblDaily[TransfersOut],tblDaily[EntryDate],DATE(2026,12,30),tblDaily[WardCode],"BH")),"")</f>
        <v/>
      </c>
      <c r="H465" s="5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IFERROR(IF(SUMIFS(tblDaily[Admissions],tblDaily[EntryDate],DATE(2026,12,31),tblDaily[WardCode],"BH")=0,"",SUMIFS(tblDaily[Admissions],tblDaily[EntryDate],DATE(2026,12,31),tblDaily[WardCode],"BH")),"")</f>
        <v/>
      </c>
      <c r="C466" s="5" t="str">
        <f>IFERROR(IF(SUMIFS(tblDaily[Discharges],tblDaily[EntryDate],DATE(2026,12,31),tblDaily[WardCode],"BH")=0,"",SUMIFS(tblDaily[Discharges],tblDaily[EntryDate],DATE(2026,12,31),tblDaily[WardCode],"BH")),"")</f>
        <v/>
      </c>
      <c r="D466" s="5" t="str">
        <f>IFERROR(IF(SUMIFS(tblDaily[Deaths],tblDaily[EntryDate],DATE(2026,12,31),tblDaily[WardCode],"BH")=0,"",SUMIFS(tblDaily[Deaths],tblDaily[EntryDate],DATE(2026,12,31),tblDaily[WardCode],"BH")),"")</f>
        <v/>
      </c>
      <c r="E466" s="5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5" t="str">
        <f>IFERROR(IF(SUMIFS(tblDaily[TransfersIn],tblDaily[EntryDate],DATE(2026,12,31),tblDaily[WardCode],"BH")=0,"",SUMIFS(tblDaily[TransfersIn],tblDaily[EntryDate],DATE(2026,12,31),tblDaily[WardCode],"BH")),"")</f>
        <v/>
      </c>
      <c r="G466" s="5" t="str">
        <f>IFERROR(IF(SUMIFS(tblDaily[TransfersOut],tblDaily[EntryDate],DATE(2026,12,31),tblDaily[WardCode],"BH")=0,"",SUMIFS(tblDaily[TransfersOut],tblDaily[EntryDate],DATE(2026,12,31),tblDaily[WardCode],"BH")),"")</f>
        <v/>
      </c>
      <c r="H466" s="5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95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101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IFERROR(INDEX(tblWardConfig[PrevYearRemaining],MATCH("NICU",tblWardConfig[WardCode],0)),0)</f>
        <v>0</v>
      </c>
    </row>
    <row r="5" spans="1:8" x14ac:dyDescent="0.25">
      <c r="A5" s="1" t="s">
        <v>89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IFERROR(IF(SUMIFS(tblDaily[Admissions],tblDaily[EntryDate],DATE(2026,1,1),tblDaily[WardCode],"NICU")=0,"",SUMIFS(tblDaily[Admissions],tblDaily[EntryDate],DATE(2026,1,1),tblDaily[WardCode],"NICU")),"")</f>
        <v/>
      </c>
      <c r="C7" s="5" t="str">
        <f>IFERROR(IF(SUMIFS(tblDaily[Discharges],tblDaily[EntryDate],DATE(2026,1,1),tblDaily[WardCode],"NICU")=0,"",SUMIFS(tblDaily[Discharges],tblDaily[EntryDate],DATE(2026,1,1),tblDaily[WardCode],"NICU")),"")</f>
        <v/>
      </c>
      <c r="D7" s="5" t="str">
        <f>IFERROR(IF(SUMIFS(tblDaily[Deaths],tblDaily[EntryDate],DATE(2026,1,1),tblDaily[WardCode],"NICU")=0,"",SUMIFS(tblDaily[Deaths],tblDaily[EntryDate],DATE(2026,1,1),tblDaily[WardCode],"NICU")),"")</f>
        <v/>
      </c>
      <c r="E7" s="5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5" t="str">
        <f>IFERROR(IF(SUMIFS(tblDaily[TransfersIn],tblDaily[EntryDate],DATE(2026,1,1),tblDaily[WardCode],"NICU")=0,"",SUMIFS(tblDaily[TransfersIn],tblDaily[EntryDate],DATE(2026,1,1),tblDaily[WardCode],"NICU")),"")</f>
        <v/>
      </c>
      <c r="G7" s="5" t="str">
        <f>IFERROR(IF(SUMIFS(tblDaily[TransfersOut],tblDaily[EntryDate],DATE(2026,1,1),tblDaily[WardCode],"NICU")=0,"",SUMIFS(tblDaily[TransfersOut],tblDaily[EntryDate],DATE(2026,1,1),tblDaily[WardCode],"NICU")),"")</f>
        <v/>
      </c>
      <c r="H7" s="5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IFERROR(IF(SUMIFS(tblDaily[Admissions],tblDaily[EntryDate],DATE(2026,1,2),tblDaily[WardCode],"NICU")=0,"",SUMIFS(tblDaily[Admissions],tblDaily[EntryDate],DATE(2026,1,2),tblDaily[WardCode],"NICU")),"")</f>
        <v/>
      </c>
      <c r="C8" s="5" t="str">
        <f>IFERROR(IF(SUMIFS(tblDaily[Discharges],tblDaily[EntryDate],DATE(2026,1,2),tblDaily[WardCode],"NICU")=0,"",SUMIFS(tblDaily[Discharges],tblDaily[EntryDate],DATE(2026,1,2),tblDaily[WardCode],"NICU")),"")</f>
        <v/>
      </c>
      <c r="D8" s="5" t="str">
        <f>IFERROR(IF(SUMIFS(tblDaily[Deaths],tblDaily[EntryDate],DATE(2026,1,2),tblDaily[WardCode],"NICU")=0,"",SUMIFS(tblDaily[Deaths],tblDaily[EntryDate],DATE(2026,1,2),tblDaily[WardCode],"NICU")),"")</f>
        <v/>
      </c>
      <c r="E8" s="5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5" t="str">
        <f>IFERROR(IF(SUMIFS(tblDaily[TransfersIn],tblDaily[EntryDate],DATE(2026,1,2),tblDaily[WardCode],"NICU")=0,"",SUMIFS(tblDaily[TransfersIn],tblDaily[EntryDate],DATE(2026,1,2),tblDaily[WardCode],"NICU")),"")</f>
        <v/>
      </c>
      <c r="G8" s="5" t="str">
        <f>IFERROR(IF(SUMIFS(tblDaily[TransfersOut],tblDaily[EntryDate],DATE(2026,1,2),tblDaily[WardCode],"NICU")=0,"",SUMIFS(tblDaily[TransfersOut],tblDaily[EntryDate],DATE(2026,1,2),tblDaily[WardCode],"NICU")),"")</f>
        <v/>
      </c>
      <c r="H8" s="5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IFERROR(IF(SUMIFS(tblDaily[Admissions],tblDaily[EntryDate],DATE(2026,1,3),tblDaily[WardCode],"NICU")=0,"",SUMIFS(tblDaily[Admissions],tblDaily[EntryDate],DATE(2026,1,3),tblDaily[WardCode],"NICU")),"")</f>
        <v/>
      </c>
      <c r="C9" s="5" t="str">
        <f>IFERROR(IF(SUMIFS(tblDaily[Discharges],tblDaily[EntryDate],DATE(2026,1,3),tblDaily[WardCode],"NICU")=0,"",SUMIFS(tblDaily[Discharges],tblDaily[EntryDate],DATE(2026,1,3),tblDaily[WardCode],"NICU")),"")</f>
        <v/>
      </c>
      <c r="D9" s="5" t="str">
        <f>IFERROR(IF(SUMIFS(tblDaily[Deaths],tblDaily[EntryDate],DATE(2026,1,3),tblDaily[WardCode],"NICU")=0,"",SUMIFS(tblDaily[Deaths],tblDaily[EntryDate],DATE(2026,1,3),tblDaily[WardCode],"NICU")),"")</f>
        <v/>
      </c>
      <c r="E9" s="5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5" t="str">
        <f>IFERROR(IF(SUMIFS(tblDaily[TransfersIn],tblDaily[EntryDate],DATE(2026,1,3),tblDaily[WardCode],"NICU")=0,"",SUMIFS(tblDaily[TransfersIn],tblDaily[EntryDate],DATE(2026,1,3),tblDaily[WardCode],"NICU")),"")</f>
        <v/>
      </c>
      <c r="G9" s="5" t="str">
        <f>IFERROR(IF(SUMIFS(tblDaily[TransfersOut],tblDaily[EntryDate],DATE(2026,1,3),tblDaily[WardCode],"NICU")=0,"",SUMIFS(tblDaily[TransfersOut],tblDaily[EntryDate],DATE(2026,1,3),tblDaily[WardCode],"NICU")),"")</f>
        <v/>
      </c>
      <c r="H9" s="5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IFERROR(IF(SUMIFS(tblDaily[Admissions],tblDaily[EntryDate],DATE(2026,1,4),tblDaily[WardCode],"NICU")=0,"",SUMIFS(tblDaily[Admissions],tblDaily[EntryDate],DATE(2026,1,4),tblDaily[WardCode],"NICU")),"")</f>
        <v/>
      </c>
      <c r="C10" s="5" t="str">
        <f>IFERROR(IF(SUMIFS(tblDaily[Discharges],tblDaily[EntryDate],DATE(2026,1,4),tblDaily[WardCode],"NICU")=0,"",SUMIFS(tblDaily[Discharges],tblDaily[EntryDate],DATE(2026,1,4),tblDaily[WardCode],"NICU")),"")</f>
        <v/>
      </c>
      <c r="D10" s="5" t="str">
        <f>IFERROR(IF(SUMIFS(tblDaily[Deaths],tblDaily[EntryDate],DATE(2026,1,4),tblDaily[WardCode],"NICU")=0,"",SUMIFS(tblDaily[Deaths],tblDaily[EntryDate],DATE(2026,1,4),tblDaily[WardCode],"NICU")),"")</f>
        <v/>
      </c>
      <c r="E10" s="5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5" t="str">
        <f>IFERROR(IF(SUMIFS(tblDaily[TransfersIn],tblDaily[EntryDate],DATE(2026,1,4),tblDaily[WardCode],"NICU")=0,"",SUMIFS(tblDaily[TransfersIn],tblDaily[EntryDate],DATE(2026,1,4),tblDaily[WardCode],"NICU")),"")</f>
        <v/>
      </c>
      <c r="G10" s="5" t="str">
        <f>IFERROR(IF(SUMIFS(tblDaily[TransfersOut],tblDaily[EntryDate],DATE(2026,1,4),tblDaily[WardCode],"NICU")=0,"",SUMIFS(tblDaily[TransfersOut],tblDaily[EntryDate],DATE(2026,1,4),tblDaily[WardCode],"NICU")),"")</f>
        <v/>
      </c>
      <c r="H10" s="5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IFERROR(IF(SUMIFS(tblDaily[Admissions],tblDaily[EntryDate],DATE(2026,1,5),tblDaily[WardCode],"NICU")=0,"",SUMIFS(tblDaily[Admissions],tblDaily[EntryDate],DATE(2026,1,5),tblDaily[WardCode],"NICU")),"")</f>
        <v/>
      </c>
      <c r="C11" s="5" t="str">
        <f>IFERROR(IF(SUMIFS(tblDaily[Discharges],tblDaily[EntryDate],DATE(2026,1,5),tblDaily[WardCode],"NICU")=0,"",SUMIFS(tblDaily[Discharges],tblDaily[EntryDate],DATE(2026,1,5),tblDaily[WardCode],"NICU")),"")</f>
        <v/>
      </c>
      <c r="D11" s="5" t="str">
        <f>IFERROR(IF(SUMIFS(tblDaily[Deaths],tblDaily[EntryDate],DATE(2026,1,5),tblDaily[WardCode],"NICU")=0,"",SUMIFS(tblDaily[Deaths],tblDaily[EntryDate],DATE(2026,1,5),tblDaily[WardCode],"NICU")),"")</f>
        <v/>
      </c>
      <c r="E11" s="5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5" t="str">
        <f>IFERROR(IF(SUMIFS(tblDaily[TransfersIn],tblDaily[EntryDate],DATE(2026,1,5),tblDaily[WardCode],"NICU")=0,"",SUMIFS(tblDaily[TransfersIn],tblDaily[EntryDate],DATE(2026,1,5),tblDaily[WardCode],"NICU")),"")</f>
        <v/>
      </c>
      <c r="G11" s="5" t="str">
        <f>IFERROR(IF(SUMIFS(tblDaily[TransfersOut],tblDaily[EntryDate],DATE(2026,1,5),tblDaily[WardCode],"NICU")=0,"",SUMIFS(tblDaily[TransfersOut],tblDaily[EntryDate],DATE(2026,1,5),tblDaily[WardCode],"NICU")),"")</f>
        <v/>
      </c>
      <c r="H11" s="5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IFERROR(IF(SUMIFS(tblDaily[Admissions],tblDaily[EntryDate],DATE(2026,1,6),tblDaily[WardCode],"NICU")=0,"",SUMIFS(tblDaily[Admissions],tblDaily[EntryDate],DATE(2026,1,6),tblDaily[WardCode],"NICU")),"")</f>
        <v/>
      </c>
      <c r="C12" s="5" t="str">
        <f>IFERROR(IF(SUMIFS(tblDaily[Discharges],tblDaily[EntryDate],DATE(2026,1,6),tblDaily[WardCode],"NICU")=0,"",SUMIFS(tblDaily[Discharges],tblDaily[EntryDate],DATE(2026,1,6),tblDaily[WardCode],"NICU")),"")</f>
        <v/>
      </c>
      <c r="D12" s="5" t="str">
        <f>IFERROR(IF(SUMIFS(tblDaily[Deaths],tblDaily[EntryDate],DATE(2026,1,6),tblDaily[WardCode],"NICU")=0,"",SUMIFS(tblDaily[Deaths],tblDaily[EntryDate],DATE(2026,1,6),tblDaily[WardCode],"NICU")),"")</f>
        <v/>
      </c>
      <c r="E12" s="5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5" t="str">
        <f>IFERROR(IF(SUMIFS(tblDaily[TransfersIn],tblDaily[EntryDate],DATE(2026,1,6),tblDaily[WardCode],"NICU")=0,"",SUMIFS(tblDaily[TransfersIn],tblDaily[EntryDate],DATE(2026,1,6),tblDaily[WardCode],"NICU")),"")</f>
        <v/>
      </c>
      <c r="G12" s="5" t="str">
        <f>IFERROR(IF(SUMIFS(tblDaily[TransfersOut],tblDaily[EntryDate],DATE(2026,1,6),tblDaily[WardCode],"NICU")=0,"",SUMIFS(tblDaily[TransfersOut],tblDaily[EntryDate],DATE(2026,1,6),tblDaily[WardCode],"NICU")),"")</f>
        <v/>
      </c>
      <c r="H12" s="5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IFERROR(IF(SUMIFS(tblDaily[Admissions],tblDaily[EntryDate],DATE(2026,1,7),tblDaily[WardCode],"NICU")=0,"",SUMIFS(tblDaily[Admissions],tblDaily[EntryDate],DATE(2026,1,7),tblDaily[WardCode],"NICU")),"")</f>
        <v/>
      </c>
      <c r="C13" s="5" t="str">
        <f>IFERROR(IF(SUMIFS(tblDaily[Discharges],tblDaily[EntryDate],DATE(2026,1,7),tblDaily[WardCode],"NICU")=0,"",SUMIFS(tblDaily[Discharges],tblDaily[EntryDate],DATE(2026,1,7),tblDaily[WardCode],"NICU")),"")</f>
        <v/>
      </c>
      <c r="D13" s="5" t="str">
        <f>IFERROR(IF(SUMIFS(tblDaily[Deaths],tblDaily[EntryDate],DATE(2026,1,7),tblDaily[WardCode],"NICU")=0,"",SUMIFS(tblDaily[Deaths],tblDaily[EntryDate],DATE(2026,1,7),tblDaily[WardCode],"NICU")),"")</f>
        <v/>
      </c>
      <c r="E13" s="5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5" t="str">
        <f>IFERROR(IF(SUMIFS(tblDaily[TransfersIn],tblDaily[EntryDate],DATE(2026,1,7),tblDaily[WardCode],"NICU")=0,"",SUMIFS(tblDaily[TransfersIn],tblDaily[EntryDate],DATE(2026,1,7),tblDaily[WardCode],"NICU")),"")</f>
        <v/>
      </c>
      <c r="G13" s="5" t="str">
        <f>IFERROR(IF(SUMIFS(tblDaily[TransfersOut],tblDaily[EntryDate],DATE(2026,1,7),tblDaily[WardCode],"NICU")=0,"",SUMIFS(tblDaily[TransfersOut],tblDaily[EntryDate],DATE(2026,1,7),tblDaily[WardCode],"NICU")),"")</f>
        <v/>
      </c>
      <c r="H13" s="5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IFERROR(IF(SUMIFS(tblDaily[Admissions],tblDaily[EntryDate],DATE(2026,1,8),tblDaily[WardCode],"NICU")=0,"",SUMIFS(tblDaily[Admissions],tblDaily[EntryDate],DATE(2026,1,8),tblDaily[WardCode],"NICU")),"")</f>
        <v/>
      </c>
      <c r="C14" s="5" t="str">
        <f>IFERROR(IF(SUMIFS(tblDaily[Discharges],tblDaily[EntryDate],DATE(2026,1,8),tblDaily[WardCode],"NICU")=0,"",SUMIFS(tblDaily[Discharges],tblDaily[EntryDate],DATE(2026,1,8),tblDaily[WardCode],"NICU")),"")</f>
        <v/>
      </c>
      <c r="D14" s="5" t="str">
        <f>IFERROR(IF(SUMIFS(tblDaily[Deaths],tblDaily[EntryDate],DATE(2026,1,8),tblDaily[WardCode],"NICU")=0,"",SUMIFS(tblDaily[Deaths],tblDaily[EntryDate],DATE(2026,1,8),tblDaily[WardCode],"NICU")),"")</f>
        <v/>
      </c>
      <c r="E14" s="5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5" t="str">
        <f>IFERROR(IF(SUMIFS(tblDaily[TransfersIn],tblDaily[EntryDate],DATE(2026,1,8),tblDaily[WardCode],"NICU")=0,"",SUMIFS(tblDaily[TransfersIn],tblDaily[EntryDate],DATE(2026,1,8),tblDaily[WardCode],"NICU")),"")</f>
        <v/>
      </c>
      <c r="G14" s="5" t="str">
        <f>IFERROR(IF(SUMIFS(tblDaily[TransfersOut],tblDaily[EntryDate],DATE(2026,1,8),tblDaily[WardCode],"NICU")=0,"",SUMIFS(tblDaily[TransfersOut],tblDaily[EntryDate],DATE(2026,1,8),tblDaily[WardCode],"NICU")),"")</f>
        <v/>
      </c>
      <c r="H14" s="5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IFERROR(IF(SUMIFS(tblDaily[Admissions],tblDaily[EntryDate],DATE(2026,1,9),tblDaily[WardCode],"NICU")=0,"",SUMIFS(tblDaily[Admissions],tblDaily[EntryDate],DATE(2026,1,9),tblDaily[WardCode],"NICU")),"")</f>
        <v/>
      </c>
      <c r="C15" s="5" t="str">
        <f>IFERROR(IF(SUMIFS(tblDaily[Discharges],tblDaily[EntryDate],DATE(2026,1,9),tblDaily[WardCode],"NICU")=0,"",SUMIFS(tblDaily[Discharges],tblDaily[EntryDate],DATE(2026,1,9),tblDaily[WardCode],"NICU")),"")</f>
        <v/>
      </c>
      <c r="D15" s="5" t="str">
        <f>IFERROR(IF(SUMIFS(tblDaily[Deaths],tblDaily[EntryDate],DATE(2026,1,9),tblDaily[WardCode],"NICU")=0,"",SUMIFS(tblDaily[Deaths],tblDaily[EntryDate],DATE(2026,1,9),tblDaily[WardCode],"NICU")),"")</f>
        <v/>
      </c>
      <c r="E15" s="5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5" t="str">
        <f>IFERROR(IF(SUMIFS(tblDaily[TransfersIn],tblDaily[EntryDate],DATE(2026,1,9),tblDaily[WardCode],"NICU")=0,"",SUMIFS(tblDaily[TransfersIn],tblDaily[EntryDate],DATE(2026,1,9),tblDaily[WardCode],"NICU")),"")</f>
        <v/>
      </c>
      <c r="G15" s="5" t="str">
        <f>IFERROR(IF(SUMIFS(tblDaily[TransfersOut],tblDaily[EntryDate],DATE(2026,1,9),tblDaily[WardCode],"NICU")=0,"",SUMIFS(tblDaily[TransfersOut],tblDaily[EntryDate],DATE(2026,1,9),tblDaily[WardCode],"NICU")),"")</f>
        <v/>
      </c>
      <c r="H15" s="5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IFERROR(IF(SUMIFS(tblDaily[Admissions],tblDaily[EntryDate],DATE(2026,1,10),tblDaily[WardCode],"NICU")=0,"",SUMIFS(tblDaily[Admissions],tblDaily[EntryDate],DATE(2026,1,10),tblDaily[WardCode],"NICU")),"")</f>
        <v/>
      </c>
      <c r="C16" s="5" t="str">
        <f>IFERROR(IF(SUMIFS(tblDaily[Discharges],tblDaily[EntryDate],DATE(2026,1,10),tblDaily[WardCode],"NICU")=0,"",SUMIFS(tblDaily[Discharges],tblDaily[EntryDate],DATE(2026,1,10),tblDaily[WardCode],"NICU")),"")</f>
        <v/>
      </c>
      <c r="D16" s="5" t="str">
        <f>IFERROR(IF(SUMIFS(tblDaily[Deaths],tblDaily[EntryDate],DATE(2026,1,10),tblDaily[WardCode],"NICU")=0,"",SUMIFS(tblDaily[Deaths],tblDaily[EntryDate],DATE(2026,1,10),tblDaily[WardCode],"NICU")),"")</f>
        <v/>
      </c>
      <c r="E16" s="5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5" t="str">
        <f>IFERROR(IF(SUMIFS(tblDaily[TransfersIn],tblDaily[EntryDate],DATE(2026,1,10),tblDaily[WardCode],"NICU")=0,"",SUMIFS(tblDaily[TransfersIn],tblDaily[EntryDate],DATE(2026,1,10),tblDaily[WardCode],"NICU")),"")</f>
        <v/>
      </c>
      <c r="G16" s="5" t="str">
        <f>IFERROR(IF(SUMIFS(tblDaily[TransfersOut],tblDaily[EntryDate],DATE(2026,1,10),tblDaily[WardCode],"NICU")=0,"",SUMIFS(tblDaily[TransfersOut],tblDaily[EntryDate],DATE(2026,1,10),tblDaily[WardCode],"NICU")),"")</f>
        <v/>
      </c>
      <c r="H16" s="5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IFERROR(IF(SUMIFS(tblDaily[Admissions],tblDaily[EntryDate],DATE(2026,1,11),tblDaily[WardCode],"NICU")=0,"",SUMIFS(tblDaily[Admissions],tblDaily[EntryDate],DATE(2026,1,11),tblDaily[WardCode],"NICU")),"")</f>
        <v/>
      </c>
      <c r="C17" s="5" t="str">
        <f>IFERROR(IF(SUMIFS(tblDaily[Discharges],tblDaily[EntryDate],DATE(2026,1,11),tblDaily[WardCode],"NICU")=0,"",SUMIFS(tblDaily[Discharges],tblDaily[EntryDate],DATE(2026,1,11),tblDaily[WardCode],"NICU")),"")</f>
        <v/>
      </c>
      <c r="D17" s="5" t="str">
        <f>IFERROR(IF(SUMIFS(tblDaily[Deaths],tblDaily[EntryDate],DATE(2026,1,11),tblDaily[WardCode],"NICU")=0,"",SUMIFS(tblDaily[Deaths],tblDaily[EntryDate],DATE(2026,1,11),tblDaily[WardCode],"NICU")),"")</f>
        <v/>
      </c>
      <c r="E17" s="5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5" t="str">
        <f>IFERROR(IF(SUMIFS(tblDaily[TransfersIn],tblDaily[EntryDate],DATE(2026,1,11),tblDaily[WardCode],"NICU")=0,"",SUMIFS(tblDaily[TransfersIn],tblDaily[EntryDate],DATE(2026,1,11),tblDaily[WardCode],"NICU")),"")</f>
        <v/>
      </c>
      <c r="G17" s="5" t="str">
        <f>IFERROR(IF(SUMIFS(tblDaily[TransfersOut],tblDaily[EntryDate],DATE(2026,1,11),tblDaily[WardCode],"NICU")=0,"",SUMIFS(tblDaily[TransfersOut],tblDaily[EntryDate],DATE(2026,1,11),tblDaily[WardCode],"NICU")),"")</f>
        <v/>
      </c>
      <c r="H17" s="5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IFERROR(IF(SUMIFS(tblDaily[Admissions],tblDaily[EntryDate],DATE(2026,1,12),tblDaily[WardCode],"NICU")=0,"",SUMIFS(tblDaily[Admissions],tblDaily[EntryDate],DATE(2026,1,12),tblDaily[WardCode],"NICU")),"")</f>
        <v/>
      </c>
      <c r="C18" s="5" t="str">
        <f>IFERROR(IF(SUMIFS(tblDaily[Discharges],tblDaily[EntryDate],DATE(2026,1,12),tblDaily[WardCode],"NICU")=0,"",SUMIFS(tblDaily[Discharges],tblDaily[EntryDate],DATE(2026,1,12),tblDaily[WardCode],"NICU")),"")</f>
        <v/>
      </c>
      <c r="D18" s="5" t="str">
        <f>IFERROR(IF(SUMIFS(tblDaily[Deaths],tblDaily[EntryDate],DATE(2026,1,12),tblDaily[WardCode],"NICU")=0,"",SUMIFS(tblDaily[Deaths],tblDaily[EntryDate],DATE(2026,1,12),tblDaily[WardCode],"NICU")),"")</f>
        <v/>
      </c>
      <c r="E18" s="5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5" t="str">
        <f>IFERROR(IF(SUMIFS(tblDaily[TransfersIn],tblDaily[EntryDate],DATE(2026,1,12),tblDaily[WardCode],"NICU")=0,"",SUMIFS(tblDaily[TransfersIn],tblDaily[EntryDate],DATE(2026,1,12),tblDaily[WardCode],"NICU")),"")</f>
        <v/>
      </c>
      <c r="G18" s="5" t="str">
        <f>IFERROR(IF(SUMIFS(tblDaily[TransfersOut],tblDaily[EntryDate],DATE(2026,1,12),tblDaily[WardCode],"NICU")=0,"",SUMIFS(tblDaily[TransfersOut],tblDaily[EntryDate],DATE(2026,1,12),tblDaily[WardCode],"NICU")),"")</f>
        <v/>
      </c>
      <c r="H18" s="5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IFERROR(IF(SUMIFS(tblDaily[Admissions],tblDaily[EntryDate],DATE(2026,1,13),tblDaily[WardCode],"NICU")=0,"",SUMIFS(tblDaily[Admissions],tblDaily[EntryDate],DATE(2026,1,13),tblDaily[WardCode],"NICU")),"")</f>
        <v/>
      </c>
      <c r="C19" s="5" t="str">
        <f>IFERROR(IF(SUMIFS(tblDaily[Discharges],tblDaily[EntryDate],DATE(2026,1,13),tblDaily[WardCode],"NICU")=0,"",SUMIFS(tblDaily[Discharges],tblDaily[EntryDate],DATE(2026,1,13),tblDaily[WardCode],"NICU")),"")</f>
        <v/>
      </c>
      <c r="D19" s="5" t="str">
        <f>IFERROR(IF(SUMIFS(tblDaily[Deaths],tblDaily[EntryDate],DATE(2026,1,13),tblDaily[WardCode],"NICU")=0,"",SUMIFS(tblDaily[Deaths],tblDaily[EntryDate],DATE(2026,1,13),tblDaily[WardCode],"NICU")),"")</f>
        <v/>
      </c>
      <c r="E19" s="5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5" t="str">
        <f>IFERROR(IF(SUMIFS(tblDaily[TransfersIn],tblDaily[EntryDate],DATE(2026,1,13),tblDaily[WardCode],"NICU")=0,"",SUMIFS(tblDaily[TransfersIn],tblDaily[EntryDate],DATE(2026,1,13),tblDaily[WardCode],"NICU")),"")</f>
        <v/>
      </c>
      <c r="G19" s="5" t="str">
        <f>IFERROR(IF(SUMIFS(tblDaily[TransfersOut],tblDaily[EntryDate],DATE(2026,1,13),tblDaily[WardCode],"NICU")=0,"",SUMIFS(tblDaily[TransfersOut],tblDaily[EntryDate],DATE(2026,1,13),tblDaily[WardCode],"NICU")),"")</f>
        <v/>
      </c>
      <c r="H19" s="5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IFERROR(IF(SUMIFS(tblDaily[Admissions],tblDaily[EntryDate],DATE(2026,1,14),tblDaily[WardCode],"NICU")=0,"",SUMIFS(tblDaily[Admissions],tblDaily[EntryDate],DATE(2026,1,14),tblDaily[WardCode],"NICU")),"")</f>
        <v/>
      </c>
      <c r="C20" s="5" t="str">
        <f>IFERROR(IF(SUMIFS(tblDaily[Discharges],tblDaily[EntryDate],DATE(2026,1,14),tblDaily[WardCode],"NICU")=0,"",SUMIFS(tblDaily[Discharges],tblDaily[EntryDate],DATE(2026,1,14),tblDaily[WardCode],"NICU")),"")</f>
        <v/>
      </c>
      <c r="D20" s="5" t="str">
        <f>IFERROR(IF(SUMIFS(tblDaily[Deaths],tblDaily[EntryDate],DATE(2026,1,14),tblDaily[WardCode],"NICU")=0,"",SUMIFS(tblDaily[Deaths],tblDaily[EntryDate],DATE(2026,1,14),tblDaily[WardCode],"NICU")),"")</f>
        <v/>
      </c>
      <c r="E20" s="5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5" t="str">
        <f>IFERROR(IF(SUMIFS(tblDaily[TransfersIn],tblDaily[EntryDate],DATE(2026,1,14),tblDaily[WardCode],"NICU")=0,"",SUMIFS(tblDaily[TransfersIn],tblDaily[EntryDate],DATE(2026,1,14),tblDaily[WardCode],"NICU")),"")</f>
        <v/>
      </c>
      <c r="G20" s="5" t="str">
        <f>IFERROR(IF(SUMIFS(tblDaily[TransfersOut],tblDaily[EntryDate],DATE(2026,1,14),tblDaily[WardCode],"NICU")=0,"",SUMIFS(tblDaily[TransfersOut],tblDaily[EntryDate],DATE(2026,1,14),tblDaily[WardCode],"NICU")),"")</f>
        <v/>
      </c>
      <c r="H20" s="5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IFERROR(IF(SUMIFS(tblDaily[Admissions],tblDaily[EntryDate],DATE(2026,1,15),tblDaily[WardCode],"NICU")=0,"",SUMIFS(tblDaily[Admissions],tblDaily[EntryDate],DATE(2026,1,15),tblDaily[WardCode],"NICU")),"")</f>
        <v/>
      </c>
      <c r="C21" s="5" t="str">
        <f>IFERROR(IF(SUMIFS(tblDaily[Discharges],tblDaily[EntryDate],DATE(2026,1,15),tblDaily[WardCode],"NICU")=0,"",SUMIFS(tblDaily[Discharges],tblDaily[EntryDate],DATE(2026,1,15),tblDaily[WardCode],"NICU")),"")</f>
        <v/>
      </c>
      <c r="D21" s="5" t="str">
        <f>IFERROR(IF(SUMIFS(tblDaily[Deaths],tblDaily[EntryDate],DATE(2026,1,15),tblDaily[WardCode],"NICU")=0,"",SUMIFS(tblDaily[Deaths],tblDaily[EntryDate],DATE(2026,1,15),tblDaily[WardCode],"NICU")),"")</f>
        <v/>
      </c>
      <c r="E21" s="5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5" t="str">
        <f>IFERROR(IF(SUMIFS(tblDaily[TransfersIn],tblDaily[EntryDate],DATE(2026,1,15),tblDaily[WardCode],"NICU")=0,"",SUMIFS(tblDaily[TransfersIn],tblDaily[EntryDate],DATE(2026,1,15),tblDaily[WardCode],"NICU")),"")</f>
        <v/>
      </c>
      <c r="G21" s="5" t="str">
        <f>IFERROR(IF(SUMIFS(tblDaily[TransfersOut],tblDaily[EntryDate],DATE(2026,1,15),tblDaily[WardCode],"NICU")=0,"",SUMIFS(tblDaily[TransfersOut],tblDaily[EntryDate],DATE(2026,1,15),tblDaily[WardCode],"NICU")),"")</f>
        <v/>
      </c>
      <c r="H21" s="5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IFERROR(IF(SUMIFS(tblDaily[Admissions],tblDaily[EntryDate],DATE(2026,1,16),tblDaily[WardCode],"NICU")=0,"",SUMIFS(tblDaily[Admissions],tblDaily[EntryDate],DATE(2026,1,16),tblDaily[WardCode],"NICU")),"")</f>
        <v/>
      </c>
      <c r="C22" s="5" t="str">
        <f>IFERROR(IF(SUMIFS(tblDaily[Discharges],tblDaily[EntryDate],DATE(2026,1,16),tblDaily[WardCode],"NICU")=0,"",SUMIFS(tblDaily[Discharges],tblDaily[EntryDate],DATE(2026,1,16),tblDaily[WardCode],"NICU")),"")</f>
        <v/>
      </c>
      <c r="D22" s="5" t="str">
        <f>IFERROR(IF(SUMIFS(tblDaily[Deaths],tblDaily[EntryDate],DATE(2026,1,16),tblDaily[WardCode],"NICU")=0,"",SUMIFS(tblDaily[Deaths],tblDaily[EntryDate],DATE(2026,1,16),tblDaily[WardCode],"NICU")),"")</f>
        <v/>
      </c>
      <c r="E22" s="5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5" t="str">
        <f>IFERROR(IF(SUMIFS(tblDaily[TransfersIn],tblDaily[EntryDate],DATE(2026,1,16),tblDaily[WardCode],"NICU")=0,"",SUMIFS(tblDaily[TransfersIn],tblDaily[EntryDate],DATE(2026,1,16),tblDaily[WardCode],"NICU")),"")</f>
        <v/>
      </c>
      <c r="G22" s="5" t="str">
        <f>IFERROR(IF(SUMIFS(tblDaily[TransfersOut],tblDaily[EntryDate],DATE(2026,1,16),tblDaily[WardCode],"NICU")=0,"",SUMIFS(tblDaily[TransfersOut],tblDaily[EntryDate],DATE(2026,1,16),tblDaily[WardCode],"NICU")),"")</f>
        <v/>
      </c>
      <c r="H22" s="5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IFERROR(IF(SUMIFS(tblDaily[Admissions],tblDaily[EntryDate],DATE(2026,1,17),tblDaily[WardCode],"NICU")=0,"",SUMIFS(tblDaily[Admissions],tblDaily[EntryDate],DATE(2026,1,17),tblDaily[WardCode],"NICU")),"")</f>
        <v/>
      </c>
      <c r="C23" s="5" t="str">
        <f>IFERROR(IF(SUMIFS(tblDaily[Discharges],tblDaily[EntryDate],DATE(2026,1,17),tblDaily[WardCode],"NICU")=0,"",SUMIFS(tblDaily[Discharges],tblDaily[EntryDate],DATE(2026,1,17),tblDaily[WardCode],"NICU")),"")</f>
        <v/>
      </c>
      <c r="D23" s="5" t="str">
        <f>IFERROR(IF(SUMIFS(tblDaily[Deaths],tblDaily[EntryDate],DATE(2026,1,17),tblDaily[WardCode],"NICU")=0,"",SUMIFS(tblDaily[Deaths],tblDaily[EntryDate],DATE(2026,1,17),tblDaily[WardCode],"NICU")),"")</f>
        <v/>
      </c>
      <c r="E23" s="5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5" t="str">
        <f>IFERROR(IF(SUMIFS(tblDaily[TransfersIn],tblDaily[EntryDate],DATE(2026,1,17),tblDaily[WardCode],"NICU")=0,"",SUMIFS(tblDaily[TransfersIn],tblDaily[EntryDate],DATE(2026,1,17),tblDaily[WardCode],"NICU")),"")</f>
        <v/>
      </c>
      <c r="G23" s="5" t="str">
        <f>IFERROR(IF(SUMIFS(tblDaily[TransfersOut],tblDaily[EntryDate],DATE(2026,1,17),tblDaily[WardCode],"NICU")=0,"",SUMIFS(tblDaily[TransfersOut],tblDaily[EntryDate],DATE(2026,1,17),tblDaily[WardCode],"NICU")),"")</f>
        <v/>
      </c>
      <c r="H23" s="5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IFERROR(IF(SUMIFS(tblDaily[Admissions],tblDaily[EntryDate],DATE(2026,1,18),tblDaily[WardCode],"NICU")=0,"",SUMIFS(tblDaily[Admissions],tblDaily[EntryDate],DATE(2026,1,18),tblDaily[WardCode],"NICU")),"")</f>
        <v/>
      </c>
      <c r="C24" s="5" t="str">
        <f>IFERROR(IF(SUMIFS(tblDaily[Discharges],tblDaily[EntryDate],DATE(2026,1,18),tblDaily[WardCode],"NICU")=0,"",SUMIFS(tblDaily[Discharges],tblDaily[EntryDate],DATE(2026,1,18),tblDaily[WardCode],"NICU")),"")</f>
        <v/>
      </c>
      <c r="D24" s="5" t="str">
        <f>IFERROR(IF(SUMIFS(tblDaily[Deaths],tblDaily[EntryDate],DATE(2026,1,18),tblDaily[WardCode],"NICU")=0,"",SUMIFS(tblDaily[Deaths],tblDaily[EntryDate],DATE(2026,1,18),tblDaily[WardCode],"NICU")),"")</f>
        <v/>
      </c>
      <c r="E24" s="5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5" t="str">
        <f>IFERROR(IF(SUMIFS(tblDaily[TransfersIn],tblDaily[EntryDate],DATE(2026,1,18),tblDaily[WardCode],"NICU")=0,"",SUMIFS(tblDaily[TransfersIn],tblDaily[EntryDate],DATE(2026,1,18),tblDaily[WardCode],"NICU")),"")</f>
        <v/>
      </c>
      <c r="G24" s="5" t="str">
        <f>IFERROR(IF(SUMIFS(tblDaily[TransfersOut],tblDaily[EntryDate],DATE(2026,1,18),tblDaily[WardCode],"NICU")=0,"",SUMIFS(tblDaily[TransfersOut],tblDaily[EntryDate],DATE(2026,1,18),tblDaily[WardCode],"NICU")),"")</f>
        <v/>
      </c>
      <c r="H24" s="5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IFERROR(IF(SUMIFS(tblDaily[Admissions],tblDaily[EntryDate],DATE(2026,1,19),tblDaily[WardCode],"NICU")=0,"",SUMIFS(tblDaily[Admissions],tblDaily[EntryDate],DATE(2026,1,19),tblDaily[WardCode],"NICU")),"")</f>
        <v/>
      </c>
      <c r="C25" s="5" t="str">
        <f>IFERROR(IF(SUMIFS(tblDaily[Discharges],tblDaily[EntryDate],DATE(2026,1,19),tblDaily[WardCode],"NICU")=0,"",SUMIFS(tblDaily[Discharges],tblDaily[EntryDate],DATE(2026,1,19),tblDaily[WardCode],"NICU")),"")</f>
        <v/>
      </c>
      <c r="D25" s="5" t="str">
        <f>IFERROR(IF(SUMIFS(tblDaily[Deaths],tblDaily[EntryDate],DATE(2026,1,19),tblDaily[WardCode],"NICU")=0,"",SUMIFS(tblDaily[Deaths],tblDaily[EntryDate],DATE(2026,1,19),tblDaily[WardCode],"NICU")),"")</f>
        <v/>
      </c>
      <c r="E25" s="5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5" t="str">
        <f>IFERROR(IF(SUMIFS(tblDaily[TransfersIn],tblDaily[EntryDate],DATE(2026,1,19),tblDaily[WardCode],"NICU")=0,"",SUMIFS(tblDaily[TransfersIn],tblDaily[EntryDate],DATE(2026,1,19),tblDaily[WardCode],"NICU")),"")</f>
        <v/>
      </c>
      <c r="G25" s="5" t="str">
        <f>IFERROR(IF(SUMIFS(tblDaily[TransfersOut],tblDaily[EntryDate],DATE(2026,1,19),tblDaily[WardCode],"NICU")=0,"",SUMIFS(tblDaily[TransfersOut],tblDaily[EntryDate],DATE(2026,1,19),tblDaily[WardCode],"NICU")),"")</f>
        <v/>
      </c>
      <c r="H25" s="5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IFERROR(IF(SUMIFS(tblDaily[Admissions],tblDaily[EntryDate],DATE(2026,1,20),tblDaily[WardCode],"NICU")=0,"",SUMIFS(tblDaily[Admissions],tblDaily[EntryDate],DATE(2026,1,20),tblDaily[WardCode],"NICU")),"")</f>
        <v/>
      </c>
      <c r="C26" s="5" t="str">
        <f>IFERROR(IF(SUMIFS(tblDaily[Discharges],tblDaily[EntryDate],DATE(2026,1,20),tblDaily[WardCode],"NICU")=0,"",SUMIFS(tblDaily[Discharges],tblDaily[EntryDate],DATE(2026,1,20),tblDaily[WardCode],"NICU")),"")</f>
        <v/>
      </c>
      <c r="D26" s="5" t="str">
        <f>IFERROR(IF(SUMIFS(tblDaily[Deaths],tblDaily[EntryDate],DATE(2026,1,20),tblDaily[WardCode],"NICU")=0,"",SUMIFS(tblDaily[Deaths],tblDaily[EntryDate],DATE(2026,1,20),tblDaily[WardCode],"NICU")),"")</f>
        <v/>
      </c>
      <c r="E26" s="5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5" t="str">
        <f>IFERROR(IF(SUMIFS(tblDaily[TransfersIn],tblDaily[EntryDate],DATE(2026,1,20),tblDaily[WardCode],"NICU")=0,"",SUMIFS(tblDaily[TransfersIn],tblDaily[EntryDate],DATE(2026,1,20),tblDaily[WardCode],"NICU")),"")</f>
        <v/>
      </c>
      <c r="G26" s="5" t="str">
        <f>IFERROR(IF(SUMIFS(tblDaily[TransfersOut],tblDaily[EntryDate],DATE(2026,1,20),tblDaily[WardCode],"NICU")=0,"",SUMIFS(tblDaily[TransfersOut],tblDaily[EntryDate],DATE(2026,1,20),tblDaily[WardCode],"NICU")),"")</f>
        <v/>
      </c>
      <c r="H26" s="5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IFERROR(IF(SUMIFS(tblDaily[Admissions],tblDaily[EntryDate],DATE(2026,1,21),tblDaily[WardCode],"NICU")=0,"",SUMIFS(tblDaily[Admissions],tblDaily[EntryDate],DATE(2026,1,21),tblDaily[WardCode],"NICU")),"")</f>
        <v/>
      </c>
      <c r="C27" s="5" t="str">
        <f>IFERROR(IF(SUMIFS(tblDaily[Discharges],tblDaily[EntryDate],DATE(2026,1,21),tblDaily[WardCode],"NICU")=0,"",SUMIFS(tblDaily[Discharges],tblDaily[EntryDate],DATE(2026,1,21),tblDaily[WardCode],"NICU")),"")</f>
        <v/>
      </c>
      <c r="D27" s="5" t="str">
        <f>IFERROR(IF(SUMIFS(tblDaily[Deaths],tblDaily[EntryDate],DATE(2026,1,21),tblDaily[WardCode],"NICU")=0,"",SUMIFS(tblDaily[Deaths],tblDaily[EntryDate],DATE(2026,1,21),tblDaily[WardCode],"NICU")),"")</f>
        <v/>
      </c>
      <c r="E27" s="5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5" t="str">
        <f>IFERROR(IF(SUMIFS(tblDaily[TransfersIn],tblDaily[EntryDate],DATE(2026,1,21),tblDaily[WardCode],"NICU")=0,"",SUMIFS(tblDaily[TransfersIn],tblDaily[EntryDate],DATE(2026,1,21),tblDaily[WardCode],"NICU")),"")</f>
        <v/>
      </c>
      <c r="G27" s="5" t="str">
        <f>IFERROR(IF(SUMIFS(tblDaily[TransfersOut],tblDaily[EntryDate],DATE(2026,1,21),tblDaily[WardCode],"NICU")=0,"",SUMIFS(tblDaily[TransfersOut],tblDaily[EntryDate],DATE(2026,1,21),tblDaily[WardCode],"NICU")),"")</f>
        <v/>
      </c>
      <c r="H27" s="5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IFERROR(IF(SUMIFS(tblDaily[Admissions],tblDaily[EntryDate],DATE(2026,1,22),tblDaily[WardCode],"NICU")=0,"",SUMIFS(tblDaily[Admissions],tblDaily[EntryDate],DATE(2026,1,22),tblDaily[WardCode],"NICU")),"")</f>
        <v/>
      </c>
      <c r="C28" s="5" t="str">
        <f>IFERROR(IF(SUMIFS(tblDaily[Discharges],tblDaily[EntryDate],DATE(2026,1,22),tblDaily[WardCode],"NICU")=0,"",SUMIFS(tblDaily[Discharges],tblDaily[EntryDate],DATE(2026,1,22),tblDaily[WardCode],"NICU")),"")</f>
        <v/>
      </c>
      <c r="D28" s="5" t="str">
        <f>IFERROR(IF(SUMIFS(tblDaily[Deaths],tblDaily[EntryDate],DATE(2026,1,22),tblDaily[WardCode],"NICU")=0,"",SUMIFS(tblDaily[Deaths],tblDaily[EntryDate],DATE(2026,1,22),tblDaily[WardCode],"NICU")),"")</f>
        <v/>
      </c>
      <c r="E28" s="5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5" t="str">
        <f>IFERROR(IF(SUMIFS(tblDaily[TransfersIn],tblDaily[EntryDate],DATE(2026,1,22),tblDaily[WardCode],"NICU")=0,"",SUMIFS(tblDaily[TransfersIn],tblDaily[EntryDate],DATE(2026,1,22),tblDaily[WardCode],"NICU")),"")</f>
        <v/>
      </c>
      <c r="G28" s="5" t="str">
        <f>IFERROR(IF(SUMIFS(tblDaily[TransfersOut],tblDaily[EntryDate],DATE(2026,1,22),tblDaily[WardCode],"NICU")=0,"",SUMIFS(tblDaily[TransfersOut],tblDaily[EntryDate],DATE(2026,1,22),tblDaily[WardCode],"NICU")),"")</f>
        <v/>
      </c>
      <c r="H28" s="5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IFERROR(IF(SUMIFS(tblDaily[Admissions],tblDaily[EntryDate],DATE(2026,1,23),tblDaily[WardCode],"NICU")=0,"",SUMIFS(tblDaily[Admissions],tblDaily[EntryDate],DATE(2026,1,23),tblDaily[WardCode],"NICU")),"")</f>
        <v/>
      </c>
      <c r="C29" s="5" t="str">
        <f>IFERROR(IF(SUMIFS(tblDaily[Discharges],tblDaily[EntryDate],DATE(2026,1,23),tblDaily[WardCode],"NICU")=0,"",SUMIFS(tblDaily[Discharges],tblDaily[EntryDate],DATE(2026,1,23),tblDaily[WardCode],"NICU")),"")</f>
        <v/>
      </c>
      <c r="D29" s="5" t="str">
        <f>IFERROR(IF(SUMIFS(tblDaily[Deaths],tblDaily[EntryDate],DATE(2026,1,23),tblDaily[WardCode],"NICU")=0,"",SUMIFS(tblDaily[Deaths],tblDaily[EntryDate],DATE(2026,1,23),tblDaily[WardCode],"NICU")),"")</f>
        <v/>
      </c>
      <c r="E29" s="5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5" t="str">
        <f>IFERROR(IF(SUMIFS(tblDaily[TransfersIn],tblDaily[EntryDate],DATE(2026,1,23),tblDaily[WardCode],"NICU")=0,"",SUMIFS(tblDaily[TransfersIn],tblDaily[EntryDate],DATE(2026,1,23),tblDaily[WardCode],"NICU")),"")</f>
        <v/>
      </c>
      <c r="G29" s="5" t="str">
        <f>IFERROR(IF(SUMIFS(tblDaily[TransfersOut],tblDaily[EntryDate],DATE(2026,1,23),tblDaily[WardCode],"NICU")=0,"",SUMIFS(tblDaily[TransfersOut],tblDaily[EntryDate],DATE(2026,1,23),tblDaily[WardCode],"NICU")),"")</f>
        <v/>
      </c>
      <c r="H29" s="5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IFERROR(IF(SUMIFS(tblDaily[Admissions],tblDaily[EntryDate],DATE(2026,1,24),tblDaily[WardCode],"NICU")=0,"",SUMIFS(tblDaily[Admissions],tblDaily[EntryDate],DATE(2026,1,24),tblDaily[WardCode],"NICU")),"")</f>
        <v/>
      </c>
      <c r="C30" s="5" t="str">
        <f>IFERROR(IF(SUMIFS(tblDaily[Discharges],tblDaily[EntryDate],DATE(2026,1,24),tblDaily[WardCode],"NICU")=0,"",SUMIFS(tblDaily[Discharges],tblDaily[EntryDate],DATE(2026,1,24),tblDaily[WardCode],"NICU")),"")</f>
        <v/>
      </c>
      <c r="D30" s="5" t="str">
        <f>IFERROR(IF(SUMIFS(tblDaily[Deaths],tblDaily[EntryDate],DATE(2026,1,24),tblDaily[WardCode],"NICU")=0,"",SUMIFS(tblDaily[Deaths],tblDaily[EntryDate],DATE(2026,1,24),tblDaily[WardCode],"NICU")),"")</f>
        <v/>
      </c>
      <c r="E30" s="5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5" t="str">
        <f>IFERROR(IF(SUMIFS(tblDaily[TransfersIn],tblDaily[EntryDate],DATE(2026,1,24),tblDaily[WardCode],"NICU")=0,"",SUMIFS(tblDaily[TransfersIn],tblDaily[EntryDate],DATE(2026,1,24),tblDaily[WardCode],"NICU")),"")</f>
        <v/>
      </c>
      <c r="G30" s="5" t="str">
        <f>IFERROR(IF(SUMIFS(tblDaily[TransfersOut],tblDaily[EntryDate],DATE(2026,1,24),tblDaily[WardCode],"NICU")=0,"",SUMIFS(tblDaily[TransfersOut],tblDaily[EntryDate],DATE(2026,1,24),tblDaily[WardCode],"NICU")),"")</f>
        <v/>
      </c>
      <c r="H30" s="5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IFERROR(IF(SUMIFS(tblDaily[Admissions],tblDaily[EntryDate],DATE(2026,1,25),tblDaily[WardCode],"NICU")=0,"",SUMIFS(tblDaily[Admissions],tblDaily[EntryDate],DATE(2026,1,25),tblDaily[WardCode],"NICU")),"")</f>
        <v/>
      </c>
      <c r="C31" s="5" t="str">
        <f>IFERROR(IF(SUMIFS(tblDaily[Discharges],tblDaily[EntryDate],DATE(2026,1,25),tblDaily[WardCode],"NICU")=0,"",SUMIFS(tblDaily[Discharges],tblDaily[EntryDate],DATE(2026,1,25),tblDaily[WardCode],"NICU")),"")</f>
        <v/>
      </c>
      <c r="D31" s="5" t="str">
        <f>IFERROR(IF(SUMIFS(tblDaily[Deaths],tblDaily[EntryDate],DATE(2026,1,25),tblDaily[WardCode],"NICU")=0,"",SUMIFS(tblDaily[Deaths],tblDaily[EntryDate],DATE(2026,1,25),tblDaily[WardCode],"NICU")),"")</f>
        <v/>
      </c>
      <c r="E31" s="5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5" t="str">
        <f>IFERROR(IF(SUMIFS(tblDaily[TransfersIn],tblDaily[EntryDate],DATE(2026,1,25),tblDaily[WardCode],"NICU")=0,"",SUMIFS(tblDaily[TransfersIn],tblDaily[EntryDate],DATE(2026,1,25),tblDaily[WardCode],"NICU")),"")</f>
        <v/>
      </c>
      <c r="G31" s="5" t="str">
        <f>IFERROR(IF(SUMIFS(tblDaily[TransfersOut],tblDaily[EntryDate],DATE(2026,1,25),tblDaily[WardCode],"NICU")=0,"",SUMIFS(tblDaily[TransfersOut],tblDaily[EntryDate],DATE(2026,1,25),tblDaily[WardCode],"NICU")),"")</f>
        <v/>
      </c>
      <c r="H31" s="5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IFERROR(IF(SUMIFS(tblDaily[Admissions],tblDaily[EntryDate],DATE(2026,1,26),tblDaily[WardCode],"NICU")=0,"",SUMIFS(tblDaily[Admissions],tblDaily[EntryDate],DATE(2026,1,26),tblDaily[WardCode],"NICU")),"")</f>
        <v/>
      </c>
      <c r="C32" s="5" t="str">
        <f>IFERROR(IF(SUMIFS(tblDaily[Discharges],tblDaily[EntryDate],DATE(2026,1,26),tblDaily[WardCode],"NICU")=0,"",SUMIFS(tblDaily[Discharges],tblDaily[EntryDate],DATE(2026,1,26),tblDaily[WardCode],"NICU")),"")</f>
        <v/>
      </c>
      <c r="D32" s="5" t="str">
        <f>IFERROR(IF(SUMIFS(tblDaily[Deaths],tblDaily[EntryDate],DATE(2026,1,26),tblDaily[WardCode],"NICU")=0,"",SUMIFS(tblDaily[Deaths],tblDaily[EntryDate],DATE(2026,1,26),tblDaily[WardCode],"NICU")),"")</f>
        <v/>
      </c>
      <c r="E32" s="5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5" t="str">
        <f>IFERROR(IF(SUMIFS(tblDaily[TransfersIn],tblDaily[EntryDate],DATE(2026,1,26),tblDaily[WardCode],"NICU")=0,"",SUMIFS(tblDaily[TransfersIn],tblDaily[EntryDate],DATE(2026,1,26),tblDaily[WardCode],"NICU")),"")</f>
        <v/>
      </c>
      <c r="G32" s="5" t="str">
        <f>IFERROR(IF(SUMIFS(tblDaily[TransfersOut],tblDaily[EntryDate],DATE(2026,1,26),tblDaily[WardCode],"NICU")=0,"",SUMIFS(tblDaily[TransfersOut],tblDaily[EntryDate],DATE(2026,1,26),tblDaily[WardCode],"NICU")),"")</f>
        <v/>
      </c>
      <c r="H32" s="5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IFERROR(IF(SUMIFS(tblDaily[Admissions],tblDaily[EntryDate],DATE(2026,1,27),tblDaily[WardCode],"NICU")=0,"",SUMIFS(tblDaily[Admissions],tblDaily[EntryDate],DATE(2026,1,27),tblDaily[WardCode],"NICU")),"")</f>
        <v/>
      </c>
      <c r="C33" s="5" t="str">
        <f>IFERROR(IF(SUMIFS(tblDaily[Discharges],tblDaily[EntryDate],DATE(2026,1,27),tblDaily[WardCode],"NICU")=0,"",SUMIFS(tblDaily[Discharges],tblDaily[EntryDate],DATE(2026,1,27),tblDaily[WardCode],"NICU")),"")</f>
        <v/>
      </c>
      <c r="D33" s="5" t="str">
        <f>IFERROR(IF(SUMIFS(tblDaily[Deaths],tblDaily[EntryDate],DATE(2026,1,27),tblDaily[WardCode],"NICU")=0,"",SUMIFS(tblDaily[Deaths],tblDaily[EntryDate],DATE(2026,1,27),tblDaily[WardCode],"NICU")),"")</f>
        <v/>
      </c>
      <c r="E33" s="5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5" t="str">
        <f>IFERROR(IF(SUMIFS(tblDaily[TransfersIn],tblDaily[EntryDate],DATE(2026,1,27),tblDaily[WardCode],"NICU")=0,"",SUMIFS(tblDaily[TransfersIn],tblDaily[EntryDate],DATE(2026,1,27),tblDaily[WardCode],"NICU")),"")</f>
        <v/>
      </c>
      <c r="G33" s="5" t="str">
        <f>IFERROR(IF(SUMIFS(tblDaily[TransfersOut],tblDaily[EntryDate],DATE(2026,1,27),tblDaily[WardCode],"NICU")=0,"",SUMIFS(tblDaily[TransfersOut],tblDaily[EntryDate],DATE(2026,1,27),tblDaily[WardCode],"NICU")),"")</f>
        <v/>
      </c>
      <c r="H33" s="5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IFERROR(IF(SUMIFS(tblDaily[Admissions],tblDaily[EntryDate],DATE(2026,1,28),tblDaily[WardCode],"NICU")=0,"",SUMIFS(tblDaily[Admissions],tblDaily[EntryDate],DATE(2026,1,28),tblDaily[WardCode],"NICU")),"")</f>
        <v/>
      </c>
      <c r="C34" s="5" t="str">
        <f>IFERROR(IF(SUMIFS(tblDaily[Discharges],tblDaily[EntryDate],DATE(2026,1,28),tblDaily[WardCode],"NICU")=0,"",SUMIFS(tblDaily[Discharges],tblDaily[EntryDate],DATE(2026,1,28),tblDaily[WardCode],"NICU")),"")</f>
        <v/>
      </c>
      <c r="D34" s="5" t="str">
        <f>IFERROR(IF(SUMIFS(tblDaily[Deaths],tblDaily[EntryDate],DATE(2026,1,28),tblDaily[WardCode],"NICU")=0,"",SUMIFS(tblDaily[Deaths],tblDaily[EntryDate],DATE(2026,1,28),tblDaily[WardCode],"NICU")),"")</f>
        <v/>
      </c>
      <c r="E34" s="5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5" t="str">
        <f>IFERROR(IF(SUMIFS(tblDaily[TransfersIn],tblDaily[EntryDate],DATE(2026,1,28),tblDaily[WardCode],"NICU")=0,"",SUMIFS(tblDaily[TransfersIn],tblDaily[EntryDate],DATE(2026,1,28),tblDaily[WardCode],"NICU")),"")</f>
        <v/>
      </c>
      <c r="G34" s="5" t="str">
        <f>IFERROR(IF(SUMIFS(tblDaily[TransfersOut],tblDaily[EntryDate],DATE(2026,1,28),tblDaily[WardCode],"NICU")=0,"",SUMIFS(tblDaily[TransfersOut],tblDaily[EntryDate],DATE(2026,1,28),tblDaily[WardCode],"NICU")),"")</f>
        <v/>
      </c>
      <c r="H34" s="5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IFERROR(IF(SUMIFS(tblDaily[Admissions],tblDaily[EntryDate],DATE(2026,1,29),tblDaily[WardCode],"NICU")=0,"",SUMIFS(tblDaily[Admissions],tblDaily[EntryDate],DATE(2026,1,29),tblDaily[WardCode],"NICU")),"")</f>
        <v/>
      </c>
      <c r="C35" s="5" t="str">
        <f>IFERROR(IF(SUMIFS(tblDaily[Discharges],tblDaily[EntryDate],DATE(2026,1,29),tblDaily[WardCode],"NICU")=0,"",SUMIFS(tblDaily[Discharges],tblDaily[EntryDate],DATE(2026,1,29),tblDaily[WardCode],"NICU")),"")</f>
        <v/>
      </c>
      <c r="D35" s="5" t="str">
        <f>IFERROR(IF(SUMIFS(tblDaily[Deaths],tblDaily[EntryDate],DATE(2026,1,29),tblDaily[WardCode],"NICU")=0,"",SUMIFS(tblDaily[Deaths],tblDaily[EntryDate],DATE(2026,1,29),tblDaily[WardCode],"NICU")),"")</f>
        <v/>
      </c>
      <c r="E35" s="5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5" t="str">
        <f>IFERROR(IF(SUMIFS(tblDaily[TransfersIn],tblDaily[EntryDate],DATE(2026,1,29),tblDaily[WardCode],"NICU")=0,"",SUMIFS(tblDaily[TransfersIn],tblDaily[EntryDate],DATE(2026,1,29),tblDaily[WardCode],"NICU")),"")</f>
        <v/>
      </c>
      <c r="G35" s="5" t="str">
        <f>IFERROR(IF(SUMIFS(tblDaily[TransfersOut],tblDaily[EntryDate],DATE(2026,1,29),tblDaily[WardCode],"NICU")=0,"",SUMIFS(tblDaily[TransfersOut],tblDaily[EntryDate],DATE(2026,1,29),tblDaily[WardCode],"NICU")),"")</f>
        <v/>
      </c>
      <c r="H35" s="5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IFERROR(IF(SUMIFS(tblDaily[Admissions],tblDaily[EntryDate],DATE(2026,1,30),tblDaily[WardCode],"NICU")=0,"",SUMIFS(tblDaily[Admissions],tblDaily[EntryDate],DATE(2026,1,30),tblDaily[WardCode],"NICU")),"")</f>
        <v/>
      </c>
      <c r="C36" s="5" t="str">
        <f>IFERROR(IF(SUMIFS(tblDaily[Discharges],tblDaily[EntryDate],DATE(2026,1,30),tblDaily[WardCode],"NICU")=0,"",SUMIFS(tblDaily[Discharges],tblDaily[EntryDate],DATE(2026,1,30),tblDaily[WardCode],"NICU")),"")</f>
        <v/>
      </c>
      <c r="D36" s="5" t="str">
        <f>IFERROR(IF(SUMIFS(tblDaily[Deaths],tblDaily[EntryDate],DATE(2026,1,30),tblDaily[WardCode],"NICU")=0,"",SUMIFS(tblDaily[Deaths],tblDaily[EntryDate],DATE(2026,1,30),tblDaily[WardCode],"NICU")),"")</f>
        <v/>
      </c>
      <c r="E36" s="5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5" t="str">
        <f>IFERROR(IF(SUMIFS(tblDaily[TransfersIn],tblDaily[EntryDate],DATE(2026,1,30),tblDaily[WardCode],"NICU")=0,"",SUMIFS(tblDaily[TransfersIn],tblDaily[EntryDate],DATE(2026,1,30),tblDaily[WardCode],"NICU")),"")</f>
        <v/>
      </c>
      <c r="G36" s="5" t="str">
        <f>IFERROR(IF(SUMIFS(tblDaily[TransfersOut],tblDaily[EntryDate],DATE(2026,1,30),tblDaily[WardCode],"NICU")=0,"",SUMIFS(tblDaily[TransfersOut],tblDaily[EntryDate],DATE(2026,1,30),tblDaily[WardCode],"NICU")),"")</f>
        <v/>
      </c>
      <c r="H36" s="5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IFERROR(IF(SUMIFS(tblDaily[Admissions],tblDaily[EntryDate],DATE(2026,1,31),tblDaily[WardCode],"NICU")=0,"",SUMIFS(tblDaily[Admissions],tblDaily[EntryDate],DATE(2026,1,31),tblDaily[WardCode],"NICU")),"")</f>
        <v/>
      </c>
      <c r="C37" s="5" t="str">
        <f>IFERROR(IF(SUMIFS(tblDaily[Discharges],tblDaily[EntryDate],DATE(2026,1,31),tblDaily[WardCode],"NICU")=0,"",SUMIFS(tblDaily[Discharges],tblDaily[EntryDate],DATE(2026,1,31),tblDaily[WardCode],"NICU")),"")</f>
        <v/>
      </c>
      <c r="D37" s="5" t="str">
        <f>IFERROR(IF(SUMIFS(tblDaily[Deaths],tblDaily[EntryDate],DATE(2026,1,31),tblDaily[WardCode],"NICU")=0,"",SUMIFS(tblDaily[Deaths],tblDaily[EntryDate],DATE(2026,1,31),tblDaily[WardCode],"NICU")),"")</f>
        <v/>
      </c>
      <c r="E37" s="5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5" t="str">
        <f>IFERROR(IF(SUMIFS(tblDaily[TransfersIn],tblDaily[EntryDate],DATE(2026,1,31),tblDaily[WardCode],"NICU")=0,"",SUMIFS(tblDaily[TransfersIn],tblDaily[EntryDate],DATE(2026,1,31),tblDaily[WardCode],"NICU")),"")</f>
        <v/>
      </c>
      <c r="G37" s="5" t="str">
        <f>IFERROR(IF(SUMIFS(tblDaily[TransfersOut],tblDaily[EntryDate],DATE(2026,1,31),tblDaily[WardCode],"NICU")=0,"",SUMIFS(tblDaily[TransfersOut],tblDaily[EntryDate],DATE(2026,1,31),tblDaily[WardCode],"NICU")),"")</f>
        <v/>
      </c>
      <c r="H37" s="5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9" t="s">
        <v>95</v>
      </c>
      <c r="B38" s="9">
        <f>SUMIFS(tblDaily[Admissions],tblDaily[Month],1,tblDaily[WardCode],"NICU")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101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IFERROR(SUMIFS(tblDaily[Remaining],tblDaily[EntryDate],DATE(2026,1,31),tblDaily[WardCode],"NICU"),0)</f>
        <v>0</v>
      </c>
    </row>
    <row r="44" spans="1:8" x14ac:dyDescent="0.25">
      <c r="A44" s="1" t="s">
        <v>89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IFERROR(IF(SUMIFS(tblDaily[Admissions],tblDaily[EntryDate],DATE(2026,2,1),tblDaily[WardCode],"NICU")=0,"",SUMIFS(tblDaily[Admissions],tblDaily[EntryDate],DATE(2026,2,1),tblDaily[WardCode],"NICU")),"")</f>
        <v/>
      </c>
      <c r="C46" s="5" t="str">
        <f>IFERROR(IF(SUMIFS(tblDaily[Discharges],tblDaily[EntryDate],DATE(2026,2,1),tblDaily[WardCode],"NICU")=0,"",SUMIFS(tblDaily[Discharges],tblDaily[EntryDate],DATE(2026,2,1),tblDaily[WardCode],"NICU")),"")</f>
        <v/>
      </c>
      <c r="D46" s="5" t="str">
        <f>IFERROR(IF(SUMIFS(tblDaily[Deaths],tblDaily[EntryDate],DATE(2026,2,1),tblDaily[WardCode],"NICU")=0,"",SUMIFS(tblDaily[Deaths],tblDaily[EntryDate],DATE(2026,2,1),tblDaily[WardCode],"NICU")),"")</f>
        <v/>
      </c>
      <c r="E46" s="5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5" t="str">
        <f>IFERROR(IF(SUMIFS(tblDaily[TransfersIn],tblDaily[EntryDate],DATE(2026,2,1),tblDaily[WardCode],"NICU")=0,"",SUMIFS(tblDaily[TransfersIn],tblDaily[EntryDate],DATE(2026,2,1),tblDaily[WardCode],"NICU")),"")</f>
        <v/>
      </c>
      <c r="G46" s="5" t="str">
        <f>IFERROR(IF(SUMIFS(tblDaily[TransfersOut],tblDaily[EntryDate],DATE(2026,2,1),tblDaily[WardCode],"NICU")=0,"",SUMIFS(tblDaily[TransfersOut],tblDaily[EntryDate],DATE(2026,2,1),tblDaily[WardCode],"NICU")),"")</f>
        <v/>
      </c>
      <c r="H46" s="5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IFERROR(IF(SUMIFS(tblDaily[Admissions],tblDaily[EntryDate],DATE(2026,2,2),tblDaily[WardCode],"NICU")=0,"",SUMIFS(tblDaily[Admissions],tblDaily[EntryDate],DATE(2026,2,2),tblDaily[WardCode],"NICU")),"")</f>
        <v/>
      </c>
      <c r="C47" s="5" t="str">
        <f>IFERROR(IF(SUMIFS(tblDaily[Discharges],tblDaily[EntryDate],DATE(2026,2,2),tblDaily[WardCode],"NICU")=0,"",SUMIFS(tblDaily[Discharges],tblDaily[EntryDate],DATE(2026,2,2),tblDaily[WardCode],"NICU")),"")</f>
        <v/>
      </c>
      <c r="D47" s="5" t="str">
        <f>IFERROR(IF(SUMIFS(tblDaily[Deaths],tblDaily[EntryDate],DATE(2026,2,2),tblDaily[WardCode],"NICU")=0,"",SUMIFS(tblDaily[Deaths],tblDaily[EntryDate],DATE(2026,2,2),tblDaily[WardCode],"NICU")),"")</f>
        <v/>
      </c>
      <c r="E47" s="5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5" t="str">
        <f>IFERROR(IF(SUMIFS(tblDaily[TransfersIn],tblDaily[EntryDate],DATE(2026,2,2),tblDaily[WardCode],"NICU")=0,"",SUMIFS(tblDaily[TransfersIn],tblDaily[EntryDate],DATE(2026,2,2),tblDaily[WardCode],"NICU")),"")</f>
        <v/>
      </c>
      <c r="G47" s="5" t="str">
        <f>IFERROR(IF(SUMIFS(tblDaily[TransfersOut],tblDaily[EntryDate],DATE(2026,2,2),tblDaily[WardCode],"NICU")=0,"",SUMIFS(tblDaily[TransfersOut],tblDaily[EntryDate],DATE(2026,2,2),tblDaily[WardCode],"NICU")),"")</f>
        <v/>
      </c>
      <c r="H47" s="5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IFERROR(IF(SUMIFS(tblDaily[Admissions],tblDaily[EntryDate],DATE(2026,2,3),tblDaily[WardCode],"NICU")=0,"",SUMIFS(tblDaily[Admissions],tblDaily[EntryDate],DATE(2026,2,3),tblDaily[WardCode],"NICU")),"")</f>
        <v/>
      </c>
      <c r="C48" s="5" t="str">
        <f>IFERROR(IF(SUMIFS(tblDaily[Discharges],tblDaily[EntryDate],DATE(2026,2,3),tblDaily[WardCode],"NICU")=0,"",SUMIFS(tblDaily[Discharges],tblDaily[EntryDate],DATE(2026,2,3),tblDaily[WardCode],"NICU")),"")</f>
        <v/>
      </c>
      <c r="D48" s="5" t="str">
        <f>IFERROR(IF(SUMIFS(tblDaily[Deaths],tblDaily[EntryDate],DATE(2026,2,3),tblDaily[WardCode],"NICU")=0,"",SUMIFS(tblDaily[Deaths],tblDaily[EntryDate],DATE(2026,2,3),tblDaily[WardCode],"NICU")),"")</f>
        <v/>
      </c>
      <c r="E48" s="5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5" t="str">
        <f>IFERROR(IF(SUMIFS(tblDaily[TransfersIn],tblDaily[EntryDate],DATE(2026,2,3),tblDaily[WardCode],"NICU")=0,"",SUMIFS(tblDaily[TransfersIn],tblDaily[EntryDate],DATE(2026,2,3),tblDaily[WardCode],"NICU")),"")</f>
        <v/>
      </c>
      <c r="G48" s="5" t="str">
        <f>IFERROR(IF(SUMIFS(tblDaily[TransfersOut],tblDaily[EntryDate],DATE(2026,2,3),tblDaily[WardCode],"NICU")=0,"",SUMIFS(tblDaily[TransfersOut],tblDaily[EntryDate],DATE(2026,2,3),tblDaily[WardCode],"NICU")),"")</f>
        <v/>
      </c>
      <c r="H48" s="5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IFERROR(IF(SUMIFS(tblDaily[Admissions],tblDaily[EntryDate],DATE(2026,2,4),tblDaily[WardCode],"NICU")=0,"",SUMIFS(tblDaily[Admissions],tblDaily[EntryDate],DATE(2026,2,4),tblDaily[WardCode],"NICU")),"")</f>
        <v/>
      </c>
      <c r="C49" s="5" t="str">
        <f>IFERROR(IF(SUMIFS(tblDaily[Discharges],tblDaily[EntryDate],DATE(2026,2,4),tblDaily[WardCode],"NICU")=0,"",SUMIFS(tblDaily[Discharges],tblDaily[EntryDate],DATE(2026,2,4),tblDaily[WardCode],"NICU")),"")</f>
        <v/>
      </c>
      <c r="D49" s="5" t="str">
        <f>IFERROR(IF(SUMIFS(tblDaily[Deaths],tblDaily[EntryDate],DATE(2026,2,4),tblDaily[WardCode],"NICU")=0,"",SUMIFS(tblDaily[Deaths],tblDaily[EntryDate],DATE(2026,2,4),tblDaily[WardCode],"NICU")),"")</f>
        <v/>
      </c>
      <c r="E49" s="5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5" t="str">
        <f>IFERROR(IF(SUMIFS(tblDaily[TransfersIn],tblDaily[EntryDate],DATE(2026,2,4),tblDaily[WardCode],"NICU")=0,"",SUMIFS(tblDaily[TransfersIn],tblDaily[EntryDate],DATE(2026,2,4),tblDaily[WardCode],"NICU")),"")</f>
        <v/>
      </c>
      <c r="G49" s="5" t="str">
        <f>IFERROR(IF(SUMIFS(tblDaily[TransfersOut],tblDaily[EntryDate],DATE(2026,2,4),tblDaily[WardCode],"NICU")=0,"",SUMIFS(tblDaily[TransfersOut],tblDaily[EntryDate],DATE(2026,2,4),tblDaily[WardCode],"NICU")),"")</f>
        <v/>
      </c>
      <c r="H49" s="5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IFERROR(IF(SUMIFS(tblDaily[Admissions],tblDaily[EntryDate],DATE(2026,2,5),tblDaily[WardCode],"NICU")=0,"",SUMIFS(tblDaily[Admissions],tblDaily[EntryDate],DATE(2026,2,5),tblDaily[WardCode],"NICU")),"")</f>
        <v/>
      </c>
      <c r="C50" s="5" t="str">
        <f>IFERROR(IF(SUMIFS(tblDaily[Discharges],tblDaily[EntryDate],DATE(2026,2,5),tblDaily[WardCode],"NICU")=0,"",SUMIFS(tblDaily[Discharges],tblDaily[EntryDate],DATE(2026,2,5),tblDaily[WardCode],"NICU")),"")</f>
        <v/>
      </c>
      <c r="D50" s="5" t="str">
        <f>IFERROR(IF(SUMIFS(tblDaily[Deaths],tblDaily[EntryDate],DATE(2026,2,5),tblDaily[WardCode],"NICU")=0,"",SUMIFS(tblDaily[Deaths],tblDaily[EntryDate],DATE(2026,2,5),tblDaily[WardCode],"NICU")),"")</f>
        <v/>
      </c>
      <c r="E50" s="5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5" t="str">
        <f>IFERROR(IF(SUMIFS(tblDaily[TransfersIn],tblDaily[EntryDate],DATE(2026,2,5),tblDaily[WardCode],"NICU")=0,"",SUMIFS(tblDaily[TransfersIn],tblDaily[EntryDate],DATE(2026,2,5),tblDaily[WardCode],"NICU")),"")</f>
        <v/>
      </c>
      <c r="G50" s="5" t="str">
        <f>IFERROR(IF(SUMIFS(tblDaily[TransfersOut],tblDaily[EntryDate],DATE(2026,2,5),tblDaily[WardCode],"NICU")=0,"",SUMIFS(tblDaily[TransfersOut],tblDaily[EntryDate],DATE(2026,2,5),tblDaily[WardCode],"NICU")),"")</f>
        <v/>
      </c>
      <c r="H50" s="5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IFERROR(IF(SUMIFS(tblDaily[Admissions],tblDaily[EntryDate],DATE(2026,2,6),tblDaily[WardCode],"NICU")=0,"",SUMIFS(tblDaily[Admissions],tblDaily[EntryDate],DATE(2026,2,6),tblDaily[WardCode],"NICU")),"")</f>
        <v/>
      </c>
      <c r="C51" s="5" t="str">
        <f>IFERROR(IF(SUMIFS(tblDaily[Discharges],tblDaily[EntryDate],DATE(2026,2,6),tblDaily[WardCode],"NICU")=0,"",SUMIFS(tblDaily[Discharges],tblDaily[EntryDate],DATE(2026,2,6),tblDaily[WardCode],"NICU")),"")</f>
        <v/>
      </c>
      <c r="D51" s="5" t="str">
        <f>IFERROR(IF(SUMIFS(tblDaily[Deaths],tblDaily[EntryDate],DATE(2026,2,6),tblDaily[WardCode],"NICU")=0,"",SUMIFS(tblDaily[Deaths],tblDaily[EntryDate],DATE(2026,2,6),tblDaily[WardCode],"NICU")),"")</f>
        <v/>
      </c>
      <c r="E51" s="5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5" t="str">
        <f>IFERROR(IF(SUMIFS(tblDaily[TransfersIn],tblDaily[EntryDate],DATE(2026,2,6),tblDaily[WardCode],"NICU")=0,"",SUMIFS(tblDaily[TransfersIn],tblDaily[EntryDate],DATE(2026,2,6),tblDaily[WardCode],"NICU")),"")</f>
        <v/>
      </c>
      <c r="G51" s="5" t="str">
        <f>IFERROR(IF(SUMIFS(tblDaily[TransfersOut],tblDaily[EntryDate],DATE(2026,2,6),tblDaily[WardCode],"NICU")=0,"",SUMIFS(tblDaily[TransfersOut],tblDaily[EntryDate],DATE(2026,2,6),tblDaily[WardCode],"NICU")),"")</f>
        <v/>
      </c>
      <c r="H51" s="5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IFERROR(IF(SUMIFS(tblDaily[Admissions],tblDaily[EntryDate],DATE(2026,2,7),tblDaily[WardCode],"NICU")=0,"",SUMIFS(tblDaily[Admissions],tblDaily[EntryDate],DATE(2026,2,7),tblDaily[WardCode],"NICU")),"")</f>
        <v/>
      </c>
      <c r="C52" s="5" t="str">
        <f>IFERROR(IF(SUMIFS(tblDaily[Discharges],tblDaily[EntryDate],DATE(2026,2,7),tblDaily[WardCode],"NICU")=0,"",SUMIFS(tblDaily[Discharges],tblDaily[EntryDate],DATE(2026,2,7),tblDaily[WardCode],"NICU")),"")</f>
        <v/>
      </c>
      <c r="D52" s="5" t="str">
        <f>IFERROR(IF(SUMIFS(tblDaily[Deaths],tblDaily[EntryDate],DATE(2026,2,7),tblDaily[WardCode],"NICU")=0,"",SUMIFS(tblDaily[Deaths],tblDaily[EntryDate],DATE(2026,2,7),tblDaily[WardCode],"NICU")),"")</f>
        <v/>
      </c>
      <c r="E52" s="5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5" t="str">
        <f>IFERROR(IF(SUMIFS(tblDaily[TransfersIn],tblDaily[EntryDate],DATE(2026,2,7),tblDaily[WardCode],"NICU")=0,"",SUMIFS(tblDaily[TransfersIn],tblDaily[EntryDate],DATE(2026,2,7),tblDaily[WardCode],"NICU")),"")</f>
        <v/>
      </c>
      <c r="G52" s="5" t="str">
        <f>IFERROR(IF(SUMIFS(tblDaily[TransfersOut],tblDaily[EntryDate],DATE(2026,2,7),tblDaily[WardCode],"NICU")=0,"",SUMIFS(tblDaily[TransfersOut],tblDaily[EntryDate],DATE(2026,2,7),tblDaily[WardCode],"NICU")),"")</f>
        <v/>
      </c>
      <c r="H52" s="5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IFERROR(IF(SUMIFS(tblDaily[Admissions],tblDaily[EntryDate],DATE(2026,2,8),tblDaily[WardCode],"NICU")=0,"",SUMIFS(tblDaily[Admissions],tblDaily[EntryDate],DATE(2026,2,8),tblDaily[WardCode],"NICU")),"")</f>
        <v/>
      </c>
      <c r="C53" s="5" t="str">
        <f>IFERROR(IF(SUMIFS(tblDaily[Discharges],tblDaily[EntryDate],DATE(2026,2,8),tblDaily[WardCode],"NICU")=0,"",SUMIFS(tblDaily[Discharges],tblDaily[EntryDate],DATE(2026,2,8),tblDaily[WardCode],"NICU")),"")</f>
        <v/>
      </c>
      <c r="D53" s="5" t="str">
        <f>IFERROR(IF(SUMIFS(tblDaily[Deaths],tblDaily[EntryDate],DATE(2026,2,8),tblDaily[WardCode],"NICU")=0,"",SUMIFS(tblDaily[Deaths],tblDaily[EntryDate],DATE(2026,2,8),tblDaily[WardCode],"NICU")),"")</f>
        <v/>
      </c>
      <c r="E53" s="5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5" t="str">
        <f>IFERROR(IF(SUMIFS(tblDaily[TransfersIn],tblDaily[EntryDate],DATE(2026,2,8),tblDaily[WardCode],"NICU")=0,"",SUMIFS(tblDaily[TransfersIn],tblDaily[EntryDate],DATE(2026,2,8),tblDaily[WardCode],"NICU")),"")</f>
        <v/>
      </c>
      <c r="G53" s="5" t="str">
        <f>IFERROR(IF(SUMIFS(tblDaily[TransfersOut],tblDaily[EntryDate],DATE(2026,2,8),tblDaily[WardCode],"NICU")=0,"",SUMIFS(tblDaily[TransfersOut],tblDaily[EntryDate],DATE(2026,2,8),tblDaily[WardCode],"NICU")),"")</f>
        <v/>
      </c>
      <c r="H53" s="5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IFERROR(IF(SUMIFS(tblDaily[Admissions],tblDaily[EntryDate],DATE(2026,2,9),tblDaily[WardCode],"NICU")=0,"",SUMIFS(tblDaily[Admissions],tblDaily[EntryDate],DATE(2026,2,9),tblDaily[WardCode],"NICU")),"")</f>
        <v/>
      </c>
      <c r="C54" s="5" t="str">
        <f>IFERROR(IF(SUMIFS(tblDaily[Discharges],tblDaily[EntryDate],DATE(2026,2,9),tblDaily[WardCode],"NICU")=0,"",SUMIFS(tblDaily[Discharges],tblDaily[EntryDate],DATE(2026,2,9),tblDaily[WardCode],"NICU")),"")</f>
        <v/>
      </c>
      <c r="D54" s="5" t="str">
        <f>IFERROR(IF(SUMIFS(tblDaily[Deaths],tblDaily[EntryDate],DATE(2026,2,9),tblDaily[WardCode],"NICU")=0,"",SUMIFS(tblDaily[Deaths],tblDaily[EntryDate],DATE(2026,2,9),tblDaily[WardCode],"NICU")),"")</f>
        <v/>
      </c>
      <c r="E54" s="5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5" t="str">
        <f>IFERROR(IF(SUMIFS(tblDaily[TransfersIn],tblDaily[EntryDate],DATE(2026,2,9),tblDaily[WardCode],"NICU")=0,"",SUMIFS(tblDaily[TransfersIn],tblDaily[EntryDate],DATE(2026,2,9),tblDaily[WardCode],"NICU")),"")</f>
        <v/>
      </c>
      <c r="G54" s="5" t="str">
        <f>IFERROR(IF(SUMIFS(tblDaily[TransfersOut],tblDaily[EntryDate],DATE(2026,2,9),tblDaily[WardCode],"NICU")=0,"",SUMIFS(tblDaily[TransfersOut],tblDaily[EntryDate],DATE(2026,2,9),tblDaily[WardCode],"NICU")),"")</f>
        <v/>
      </c>
      <c r="H54" s="5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IFERROR(IF(SUMIFS(tblDaily[Admissions],tblDaily[EntryDate],DATE(2026,2,10),tblDaily[WardCode],"NICU")=0,"",SUMIFS(tblDaily[Admissions],tblDaily[EntryDate],DATE(2026,2,10),tblDaily[WardCode],"NICU")),"")</f>
        <v/>
      </c>
      <c r="C55" s="5" t="str">
        <f>IFERROR(IF(SUMIFS(tblDaily[Discharges],tblDaily[EntryDate],DATE(2026,2,10),tblDaily[WardCode],"NICU")=0,"",SUMIFS(tblDaily[Discharges],tblDaily[EntryDate],DATE(2026,2,10),tblDaily[WardCode],"NICU")),"")</f>
        <v/>
      </c>
      <c r="D55" s="5" t="str">
        <f>IFERROR(IF(SUMIFS(tblDaily[Deaths],tblDaily[EntryDate],DATE(2026,2,10),tblDaily[WardCode],"NICU")=0,"",SUMIFS(tblDaily[Deaths],tblDaily[EntryDate],DATE(2026,2,10),tblDaily[WardCode],"NICU")),"")</f>
        <v/>
      </c>
      <c r="E55" s="5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5" t="str">
        <f>IFERROR(IF(SUMIFS(tblDaily[TransfersIn],tblDaily[EntryDate],DATE(2026,2,10),tblDaily[WardCode],"NICU")=0,"",SUMIFS(tblDaily[TransfersIn],tblDaily[EntryDate],DATE(2026,2,10),tblDaily[WardCode],"NICU")),"")</f>
        <v/>
      </c>
      <c r="G55" s="5" t="str">
        <f>IFERROR(IF(SUMIFS(tblDaily[TransfersOut],tblDaily[EntryDate],DATE(2026,2,10),tblDaily[WardCode],"NICU")=0,"",SUMIFS(tblDaily[TransfersOut],tblDaily[EntryDate],DATE(2026,2,10),tblDaily[WardCode],"NICU")),"")</f>
        <v/>
      </c>
      <c r="H55" s="5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IFERROR(IF(SUMIFS(tblDaily[Admissions],tblDaily[EntryDate],DATE(2026,2,11),tblDaily[WardCode],"NICU")=0,"",SUMIFS(tblDaily[Admissions],tblDaily[EntryDate],DATE(2026,2,11),tblDaily[WardCode],"NICU")),"")</f>
        <v/>
      </c>
      <c r="C56" s="5" t="str">
        <f>IFERROR(IF(SUMIFS(tblDaily[Discharges],tblDaily[EntryDate],DATE(2026,2,11),tblDaily[WardCode],"NICU")=0,"",SUMIFS(tblDaily[Discharges],tblDaily[EntryDate],DATE(2026,2,11),tblDaily[WardCode],"NICU")),"")</f>
        <v/>
      </c>
      <c r="D56" s="5" t="str">
        <f>IFERROR(IF(SUMIFS(tblDaily[Deaths],tblDaily[EntryDate],DATE(2026,2,11),tblDaily[WardCode],"NICU")=0,"",SUMIFS(tblDaily[Deaths],tblDaily[EntryDate],DATE(2026,2,11),tblDaily[WardCode],"NICU")),"")</f>
        <v/>
      </c>
      <c r="E56" s="5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5" t="str">
        <f>IFERROR(IF(SUMIFS(tblDaily[TransfersIn],tblDaily[EntryDate],DATE(2026,2,11),tblDaily[WardCode],"NICU")=0,"",SUMIFS(tblDaily[TransfersIn],tblDaily[EntryDate],DATE(2026,2,11),tblDaily[WardCode],"NICU")),"")</f>
        <v/>
      </c>
      <c r="G56" s="5" t="str">
        <f>IFERROR(IF(SUMIFS(tblDaily[TransfersOut],tblDaily[EntryDate],DATE(2026,2,11),tblDaily[WardCode],"NICU")=0,"",SUMIFS(tblDaily[TransfersOut],tblDaily[EntryDate],DATE(2026,2,11),tblDaily[WardCode],"NICU")),"")</f>
        <v/>
      </c>
      <c r="H56" s="5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IFERROR(IF(SUMIFS(tblDaily[Admissions],tblDaily[EntryDate],DATE(2026,2,12),tblDaily[WardCode],"NICU")=0,"",SUMIFS(tblDaily[Admissions],tblDaily[EntryDate],DATE(2026,2,12),tblDaily[WardCode],"NICU")),"")</f>
        <v/>
      </c>
      <c r="C57" s="5" t="str">
        <f>IFERROR(IF(SUMIFS(tblDaily[Discharges],tblDaily[EntryDate],DATE(2026,2,12),tblDaily[WardCode],"NICU")=0,"",SUMIFS(tblDaily[Discharges],tblDaily[EntryDate],DATE(2026,2,12),tblDaily[WardCode],"NICU")),"")</f>
        <v/>
      </c>
      <c r="D57" s="5" t="str">
        <f>IFERROR(IF(SUMIFS(tblDaily[Deaths],tblDaily[EntryDate],DATE(2026,2,12),tblDaily[WardCode],"NICU")=0,"",SUMIFS(tblDaily[Deaths],tblDaily[EntryDate],DATE(2026,2,12),tblDaily[WardCode],"NICU")),"")</f>
        <v/>
      </c>
      <c r="E57" s="5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5" t="str">
        <f>IFERROR(IF(SUMIFS(tblDaily[TransfersIn],tblDaily[EntryDate],DATE(2026,2,12),tblDaily[WardCode],"NICU")=0,"",SUMIFS(tblDaily[TransfersIn],tblDaily[EntryDate],DATE(2026,2,12),tblDaily[WardCode],"NICU")),"")</f>
        <v/>
      </c>
      <c r="G57" s="5" t="str">
        <f>IFERROR(IF(SUMIFS(tblDaily[TransfersOut],tblDaily[EntryDate],DATE(2026,2,12),tblDaily[WardCode],"NICU")=0,"",SUMIFS(tblDaily[TransfersOut],tblDaily[EntryDate],DATE(2026,2,12),tblDaily[WardCode],"NICU")),"")</f>
        <v/>
      </c>
      <c r="H57" s="5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IFERROR(IF(SUMIFS(tblDaily[Admissions],tblDaily[EntryDate],DATE(2026,2,13),tblDaily[WardCode],"NICU")=0,"",SUMIFS(tblDaily[Admissions],tblDaily[EntryDate],DATE(2026,2,13),tblDaily[WardCode],"NICU")),"")</f>
        <v/>
      </c>
      <c r="C58" s="5" t="str">
        <f>IFERROR(IF(SUMIFS(tblDaily[Discharges],tblDaily[EntryDate],DATE(2026,2,13),tblDaily[WardCode],"NICU")=0,"",SUMIFS(tblDaily[Discharges],tblDaily[EntryDate],DATE(2026,2,13),tblDaily[WardCode],"NICU")),"")</f>
        <v/>
      </c>
      <c r="D58" s="5" t="str">
        <f>IFERROR(IF(SUMIFS(tblDaily[Deaths],tblDaily[EntryDate],DATE(2026,2,13),tblDaily[WardCode],"NICU")=0,"",SUMIFS(tblDaily[Deaths],tblDaily[EntryDate],DATE(2026,2,13),tblDaily[WardCode],"NICU")),"")</f>
        <v/>
      </c>
      <c r="E58" s="5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5" t="str">
        <f>IFERROR(IF(SUMIFS(tblDaily[TransfersIn],tblDaily[EntryDate],DATE(2026,2,13),tblDaily[WardCode],"NICU")=0,"",SUMIFS(tblDaily[TransfersIn],tblDaily[EntryDate],DATE(2026,2,13),tblDaily[WardCode],"NICU")),"")</f>
        <v/>
      </c>
      <c r="G58" s="5" t="str">
        <f>IFERROR(IF(SUMIFS(tblDaily[TransfersOut],tblDaily[EntryDate],DATE(2026,2,13),tblDaily[WardCode],"NICU")=0,"",SUMIFS(tblDaily[TransfersOut],tblDaily[EntryDate],DATE(2026,2,13),tblDaily[WardCode],"NICU")),"")</f>
        <v/>
      </c>
      <c r="H58" s="5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IFERROR(IF(SUMIFS(tblDaily[Admissions],tblDaily[EntryDate],DATE(2026,2,14),tblDaily[WardCode],"NICU")=0,"",SUMIFS(tblDaily[Admissions],tblDaily[EntryDate],DATE(2026,2,14),tblDaily[WardCode],"NICU")),"")</f>
        <v/>
      </c>
      <c r="C59" s="5" t="str">
        <f>IFERROR(IF(SUMIFS(tblDaily[Discharges],tblDaily[EntryDate],DATE(2026,2,14),tblDaily[WardCode],"NICU")=0,"",SUMIFS(tblDaily[Discharges],tblDaily[EntryDate],DATE(2026,2,14),tblDaily[WardCode],"NICU")),"")</f>
        <v/>
      </c>
      <c r="D59" s="5" t="str">
        <f>IFERROR(IF(SUMIFS(tblDaily[Deaths],tblDaily[EntryDate],DATE(2026,2,14),tblDaily[WardCode],"NICU")=0,"",SUMIFS(tblDaily[Deaths],tblDaily[EntryDate],DATE(2026,2,14),tblDaily[WardCode],"NICU")),"")</f>
        <v/>
      </c>
      <c r="E59" s="5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5" t="str">
        <f>IFERROR(IF(SUMIFS(tblDaily[TransfersIn],tblDaily[EntryDate],DATE(2026,2,14),tblDaily[WardCode],"NICU")=0,"",SUMIFS(tblDaily[TransfersIn],tblDaily[EntryDate],DATE(2026,2,14),tblDaily[WardCode],"NICU")),"")</f>
        <v/>
      </c>
      <c r="G59" s="5" t="str">
        <f>IFERROR(IF(SUMIFS(tblDaily[TransfersOut],tblDaily[EntryDate],DATE(2026,2,14),tblDaily[WardCode],"NICU")=0,"",SUMIFS(tblDaily[TransfersOut],tblDaily[EntryDate],DATE(2026,2,14),tblDaily[WardCode],"NICU")),"")</f>
        <v/>
      </c>
      <c r="H59" s="5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IFERROR(IF(SUMIFS(tblDaily[Admissions],tblDaily[EntryDate],DATE(2026,2,15),tblDaily[WardCode],"NICU")=0,"",SUMIFS(tblDaily[Admissions],tblDaily[EntryDate],DATE(2026,2,15),tblDaily[WardCode],"NICU")),"")</f>
        <v/>
      </c>
      <c r="C60" s="5" t="str">
        <f>IFERROR(IF(SUMIFS(tblDaily[Discharges],tblDaily[EntryDate],DATE(2026,2,15),tblDaily[WardCode],"NICU")=0,"",SUMIFS(tblDaily[Discharges],tblDaily[EntryDate],DATE(2026,2,15),tblDaily[WardCode],"NICU")),"")</f>
        <v/>
      </c>
      <c r="D60" s="5" t="str">
        <f>IFERROR(IF(SUMIFS(tblDaily[Deaths],tblDaily[EntryDate],DATE(2026,2,15),tblDaily[WardCode],"NICU")=0,"",SUMIFS(tblDaily[Deaths],tblDaily[EntryDate],DATE(2026,2,15),tblDaily[WardCode],"NICU")),"")</f>
        <v/>
      </c>
      <c r="E60" s="5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5" t="str">
        <f>IFERROR(IF(SUMIFS(tblDaily[TransfersIn],tblDaily[EntryDate],DATE(2026,2,15),tblDaily[WardCode],"NICU")=0,"",SUMIFS(tblDaily[TransfersIn],tblDaily[EntryDate],DATE(2026,2,15),tblDaily[WardCode],"NICU")),"")</f>
        <v/>
      </c>
      <c r="G60" s="5" t="str">
        <f>IFERROR(IF(SUMIFS(tblDaily[TransfersOut],tblDaily[EntryDate],DATE(2026,2,15),tblDaily[WardCode],"NICU")=0,"",SUMIFS(tblDaily[TransfersOut],tblDaily[EntryDate],DATE(2026,2,15),tblDaily[WardCode],"NICU")),"")</f>
        <v/>
      </c>
      <c r="H60" s="5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IFERROR(IF(SUMIFS(tblDaily[Admissions],tblDaily[EntryDate],DATE(2026,2,16),tblDaily[WardCode],"NICU")=0,"",SUMIFS(tblDaily[Admissions],tblDaily[EntryDate],DATE(2026,2,16),tblDaily[WardCode],"NICU")),"")</f>
        <v/>
      </c>
      <c r="C61" s="5" t="str">
        <f>IFERROR(IF(SUMIFS(tblDaily[Discharges],tblDaily[EntryDate],DATE(2026,2,16),tblDaily[WardCode],"NICU")=0,"",SUMIFS(tblDaily[Discharges],tblDaily[EntryDate],DATE(2026,2,16),tblDaily[WardCode],"NICU")),"")</f>
        <v/>
      </c>
      <c r="D61" s="5" t="str">
        <f>IFERROR(IF(SUMIFS(tblDaily[Deaths],tblDaily[EntryDate],DATE(2026,2,16),tblDaily[WardCode],"NICU")=0,"",SUMIFS(tblDaily[Deaths],tblDaily[EntryDate],DATE(2026,2,16),tblDaily[WardCode],"NICU")),"")</f>
        <v/>
      </c>
      <c r="E61" s="5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5" t="str">
        <f>IFERROR(IF(SUMIFS(tblDaily[TransfersIn],tblDaily[EntryDate],DATE(2026,2,16),tblDaily[WardCode],"NICU")=0,"",SUMIFS(tblDaily[TransfersIn],tblDaily[EntryDate],DATE(2026,2,16),tblDaily[WardCode],"NICU")),"")</f>
        <v/>
      </c>
      <c r="G61" s="5" t="str">
        <f>IFERROR(IF(SUMIFS(tblDaily[TransfersOut],tblDaily[EntryDate],DATE(2026,2,16),tblDaily[WardCode],"NICU")=0,"",SUMIFS(tblDaily[TransfersOut],tblDaily[EntryDate],DATE(2026,2,16),tblDaily[WardCode],"NICU")),"")</f>
        <v/>
      </c>
      <c r="H61" s="5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IFERROR(IF(SUMIFS(tblDaily[Admissions],tblDaily[EntryDate],DATE(2026,2,17),tblDaily[WardCode],"NICU")=0,"",SUMIFS(tblDaily[Admissions],tblDaily[EntryDate],DATE(2026,2,17),tblDaily[WardCode],"NICU")),"")</f>
        <v/>
      </c>
      <c r="C62" s="5" t="str">
        <f>IFERROR(IF(SUMIFS(tblDaily[Discharges],tblDaily[EntryDate],DATE(2026,2,17),tblDaily[WardCode],"NICU")=0,"",SUMIFS(tblDaily[Discharges],tblDaily[EntryDate],DATE(2026,2,17),tblDaily[WardCode],"NICU")),"")</f>
        <v/>
      </c>
      <c r="D62" s="5" t="str">
        <f>IFERROR(IF(SUMIFS(tblDaily[Deaths],tblDaily[EntryDate],DATE(2026,2,17),tblDaily[WardCode],"NICU")=0,"",SUMIFS(tblDaily[Deaths],tblDaily[EntryDate],DATE(2026,2,17),tblDaily[WardCode],"NICU")),"")</f>
        <v/>
      </c>
      <c r="E62" s="5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5" t="str">
        <f>IFERROR(IF(SUMIFS(tblDaily[TransfersIn],tblDaily[EntryDate],DATE(2026,2,17),tblDaily[WardCode],"NICU")=0,"",SUMIFS(tblDaily[TransfersIn],tblDaily[EntryDate],DATE(2026,2,17),tblDaily[WardCode],"NICU")),"")</f>
        <v/>
      </c>
      <c r="G62" s="5" t="str">
        <f>IFERROR(IF(SUMIFS(tblDaily[TransfersOut],tblDaily[EntryDate],DATE(2026,2,17),tblDaily[WardCode],"NICU")=0,"",SUMIFS(tblDaily[TransfersOut],tblDaily[EntryDate],DATE(2026,2,17),tblDaily[WardCode],"NICU")),"")</f>
        <v/>
      </c>
      <c r="H62" s="5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IFERROR(IF(SUMIFS(tblDaily[Admissions],tblDaily[EntryDate],DATE(2026,2,18),tblDaily[WardCode],"NICU")=0,"",SUMIFS(tblDaily[Admissions],tblDaily[EntryDate],DATE(2026,2,18),tblDaily[WardCode],"NICU")),"")</f>
        <v/>
      </c>
      <c r="C63" s="5" t="str">
        <f>IFERROR(IF(SUMIFS(tblDaily[Discharges],tblDaily[EntryDate],DATE(2026,2,18),tblDaily[WardCode],"NICU")=0,"",SUMIFS(tblDaily[Discharges],tblDaily[EntryDate],DATE(2026,2,18),tblDaily[WardCode],"NICU")),"")</f>
        <v/>
      </c>
      <c r="D63" s="5" t="str">
        <f>IFERROR(IF(SUMIFS(tblDaily[Deaths],tblDaily[EntryDate],DATE(2026,2,18),tblDaily[WardCode],"NICU")=0,"",SUMIFS(tblDaily[Deaths],tblDaily[EntryDate],DATE(2026,2,18),tblDaily[WardCode],"NICU")),"")</f>
        <v/>
      </c>
      <c r="E63" s="5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5" t="str">
        <f>IFERROR(IF(SUMIFS(tblDaily[TransfersIn],tblDaily[EntryDate],DATE(2026,2,18),tblDaily[WardCode],"NICU")=0,"",SUMIFS(tblDaily[TransfersIn],tblDaily[EntryDate],DATE(2026,2,18),tblDaily[WardCode],"NICU")),"")</f>
        <v/>
      </c>
      <c r="G63" s="5" t="str">
        <f>IFERROR(IF(SUMIFS(tblDaily[TransfersOut],tblDaily[EntryDate],DATE(2026,2,18),tblDaily[WardCode],"NICU")=0,"",SUMIFS(tblDaily[TransfersOut],tblDaily[EntryDate],DATE(2026,2,18),tblDaily[WardCode],"NICU")),"")</f>
        <v/>
      </c>
      <c r="H63" s="5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IFERROR(IF(SUMIFS(tblDaily[Admissions],tblDaily[EntryDate],DATE(2026,2,19),tblDaily[WardCode],"NICU")=0,"",SUMIFS(tblDaily[Admissions],tblDaily[EntryDate],DATE(2026,2,19),tblDaily[WardCode],"NICU")),"")</f>
        <v/>
      </c>
      <c r="C64" s="5" t="str">
        <f>IFERROR(IF(SUMIFS(tblDaily[Discharges],tblDaily[EntryDate],DATE(2026,2,19),tblDaily[WardCode],"NICU")=0,"",SUMIFS(tblDaily[Discharges],tblDaily[EntryDate],DATE(2026,2,19),tblDaily[WardCode],"NICU")),"")</f>
        <v/>
      </c>
      <c r="D64" s="5" t="str">
        <f>IFERROR(IF(SUMIFS(tblDaily[Deaths],tblDaily[EntryDate],DATE(2026,2,19),tblDaily[WardCode],"NICU")=0,"",SUMIFS(tblDaily[Deaths],tblDaily[EntryDate],DATE(2026,2,19),tblDaily[WardCode],"NICU")),"")</f>
        <v/>
      </c>
      <c r="E64" s="5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5" t="str">
        <f>IFERROR(IF(SUMIFS(tblDaily[TransfersIn],tblDaily[EntryDate],DATE(2026,2,19),tblDaily[WardCode],"NICU")=0,"",SUMIFS(tblDaily[TransfersIn],tblDaily[EntryDate],DATE(2026,2,19),tblDaily[WardCode],"NICU")),"")</f>
        <v/>
      </c>
      <c r="G64" s="5" t="str">
        <f>IFERROR(IF(SUMIFS(tblDaily[TransfersOut],tblDaily[EntryDate],DATE(2026,2,19),tblDaily[WardCode],"NICU")=0,"",SUMIFS(tblDaily[TransfersOut],tblDaily[EntryDate],DATE(2026,2,19),tblDaily[WardCode],"NICU")),"")</f>
        <v/>
      </c>
      <c r="H64" s="5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IFERROR(IF(SUMIFS(tblDaily[Admissions],tblDaily[EntryDate],DATE(2026,2,20),tblDaily[WardCode],"NICU")=0,"",SUMIFS(tblDaily[Admissions],tblDaily[EntryDate],DATE(2026,2,20),tblDaily[WardCode],"NICU")),"")</f>
        <v/>
      </c>
      <c r="C65" s="5" t="str">
        <f>IFERROR(IF(SUMIFS(tblDaily[Discharges],tblDaily[EntryDate],DATE(2026,2,20),tblDaily[WardCode],"NICU")=0,"",SUMIFS(tblDaily[Discharges],tblDaily[EntryDate],DATE(2026,2,20),tblDaily[WardCode],"NICU")),"")</f>
        <v/>
      </c>
      <c r="D65" s="5" t="str">
        <f>IFERROR(IF(SUMIFS(tblDaily[Deaths],tblDaily[EntryDate],DATE(2026,2,20),tblDaily[WardCode],"NICU")=0,"",SUMIFS(tblDaily[Deaths],tblDaily[EntryDate],DATE(2026,2,20),tblDaily[WardCode],"NICU")),"")</f>
        <v/>
      </c>
      <c r="E65" s="5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5" t="str">
        <f>IFERROR(IF(SUMIFS(tblDaily[TransfersIn],tblDaily[EntryDate],DATE(2026,2,20),tblDaily[WardCode],"NICU")=0,"",SUMIFS(tblDaily[TransfersIn],tblDaily[EntryDate],DATE(2026,2,20),tblDaily[WardCode],"NICU")),"")</f>
        <v/>
      </c>
      <c r="G65" s="5" t="str">
        <f>IFERROR(IF(SUMIFS(tblDaily[TransfersOut],tblDaily[EntryDate],DATE(2026,2,20),tblDaily[WardCode],"NICU")=0,"",SUMIFS(tblDaily[TransfersOut],tblDaily[EntryDate],DATE(2026,2,20),tblDaily[WardCode],"NICU")),"")</f>
        <v/>
      </c>
      <c r="H65" s="5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IFERROR(IF(SUMIFS(tblDaily[Admissions],tblDaily[EntryDate],DATE(2026,2,21),tblDaily[WardCode],"NICU")=0,"",SUMIFS(tblDaily[Admissions],tblDaily[EntryDate],DATE(2026,2,21),tblDaily[WardCode],"NICU")),"")</f>
        <v/>
      </c>
      <c r="C66" s="5" t="str">
        <f>IFERROR(IF(SUMIFS(tblDaily[Discharges],tblDaily[EntryDate],DATE(2026,2,21),tblDaily[WardCode],"NICU")=0,"",SUMIFS(tblDaily[Discharges],tblDaily[EntryDate],DATE(2026,2,21),tblDaily[WardCode],"NICU")),"")</f>
        <v/>
      </c>
      <c r="D66" s="5" t="str">
        <f>IFERROR(IF(SUMIFS(tblDaily[Deaths],tblDaily[EntryDate],DATE(2026,2,21),tblDaily[WardCode],"NICU")=0,"",SUMIFS(tblDaily[Deaths],tblDaily[EntryDate],DATE(2026,2,21),tblDaily[WardCode],"NICU")),"")</f>
        <v/>
      </c>
      <c r="E66" s="5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5" t="str">
        <f>IFERROR(IF(SUMIFS(tblDaily[TransfersIn],tblDaily[EntryDate],DATE(2026,2,21),tblDaily[WardCode],"NICU")=0,"",SUMIFS(tblDaily[TransfersIn],tblDaily[EntryDate],DATE(2026,2,21),tblDaily[WardCode],"NICU")),"")</f>
        <v/>
      </c>
      <c r="G66" s="5" t="str">
        <f>IFERROR(IF(SUMIFS(tblDaily[TransfersOut],tblDaily[EntryDate],DATE(2026,2,21),tblDaily[WardCode],"NICU")=0,"",SUMIFS(tblDaily[TransfersOut],tblDaily[EntryDate],DATE(2026,2,21),tblDaily[WardCode],"NICU")),"")</f>
        <v/>
      </c>
      <c r="H66" s="5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IFERROR(IF(SUMIFS(tblDaily[Admissions],tblDaily[EntryDate],DATE(2026,2,22),tblDaily[WardCode],"NICU")=0,"",SUMIFS(tblDaily[Admissions],tblDaily[EntryDate],DATE(2026,2,22),tblDaily[WardCode],"NICU")),"")</f>
        <v/>
      </c>
      <c r="C67" s="5" t="str">
        <f>IFERROR(IF(SUMIFS(tblDaily[Discharges],tblDaily[EntryDate],DATE(2026,2,22),tblDaily[WardCode],"NICU")=0,"",SUMIFS(tblDaily[Discharges],tblDaily[EntryDate],DATE(2026,2,22),tblDaily[WardCode],"NICU")),"")</f>
        <v/>
      </c>
      <c r="D67" s="5" t="str">
        <f>IFERROR(IF(SUMIFS(tblDaily[Deaths],tblDaily[EntryDate],DATE(2026,2,22),tblDaily[WardCode],"NICU")=0,"",SUMIFS(tblDaily[Deaths],tblDaily[EntryDate],DATE(2026,2,22),tblDaily[WardCode],"NICU")),"")</f>
        <v/>
      </c>
      <c r="E67" s="5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5" t="str">
        <f>IFERROR(IF(SUMIFS(tblDaily[TransfersIn],tblDaily[EntryDate],DATE(2026,2,22),tblDaily[WardCode],"NICU")=0,"",SUMIFS(tblDaily[TransfersIn],tblDaily[EntryDate],DATE(2026,2,22),tblDaily[WardCode],"NICU")),"")</f>
        <v/>
      </c>
      <c r="G67" s="5" t="str">
        <f>IFERROR(IF(SUMIFS(tblDaily[TransfersOut],tblDaily[EntryDate],DATE(2026,2,22),tblDaily[WardCode],"NICU")=0,"",SUMIFS(tblDaily[TransfersOut],tblDaily[EntryDate],DATE(2026,2,22),tblDaily[WardCode],"NICU")),"")</f>
        <v/>
      </c>
      <c r="H67" s="5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IFERROR(IF(SUMIFS(tblDaily[Admissions],tblDaily[EntryDate],DATE(2026,2,23),tblDaily[WardCode],"NICU")=0,"",SUMIFS(tblDaily[Admissions],tblDaily[EntryDate],DATE(2026,2,23),tblDaily[WardCode],"NICU")),"")</f>
        <v/>
      </c>
      <c r="C68" s="5" t="str">
        <f>IFERROR(IF(SUMIFS(tblDaily[Discharges],tblDaily[EntryDate],DATE(2026,2,23),tblDaily[WardCode],"NICU")=0,"",SUMIFS(tblDaily[Discharges],tblDaily[EntryDate],DATE(2026,2,23),tblDaily[WardCode],"NICU")),"")</f>
        <v/>
      </c>
      <c r="D68" s="5" t="str">
        <f>IFERROR(IF(SUMIFS(tblDaily[Deaths],tblDaily[EntryDate],DATE(2026,2,23),tblDaily[WardCode],"NICU")=0,"",SUMIFS(tblDaily[Deaths],tblDaily[EntryDate],DATE(2026,2,23),tblDaily[WardCode],"NICU")),"")</f>
        <v/>
      </c>
      <c r="E68" s="5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5" t="str">
        <f>IFERROR(IF(SUMIFS(tblDaily[TransfersIn],tblDaily[EntryDate],DATE(2026,2,23),tblDaily[WardCode],"NICU")=0,"",SUMIFS(tblDaily[TransfersIn],tblDaily[EntryDate],DATE(2026,2,23),tblDaily[WardCode],"NICU")),"")</f>
        <v/>
      </c>
      <c r="G68" s="5" t="str">
        <f>IFERROR(IF(SUMIFS(tblDaily[TransfersOut],tblDaily[EntryDate],DATE(2026,2,23),tblDaily[WardCode],"NICU")=0,"",SUMIFS(tblDaily[TransfersOut],tblDaily[EntryDate],DATE(2026,2,23),tblDaily[WardCode],"NICU")),"")</f>
        <v/>
      </c>
      <c r="H68" s="5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IFERROR(IF(SUMIFS(tblDaily[Admissions],tblDaily[EntryDate],DATE(2026,2,24),tblDaily[WardCode],"NICU")=0,"",SUMIFS(tblDaily[Admissions],tblDaily[EntryDate],DATE(2026,2,24),tblDaily[WardCode],"NICU")),"")</f>
        <v/>
      </c>
      <c r="C69" s="5" t="str">
        <f>IFERROR(IF(SUMIFS(tblDaily[Discharges],tblDaily[EntryDate],DATE(2026,2,24),tblDaily[WardCode],"NICU")=0,"",SUMIFS(tblDaily[Discharges],tblDaily[EntryDate],DATE(2026,2,24),tblDaily[WardCode],"NICU")),"")</f>
        <v/>
      </c>
      <c r="D69" s="5" t="str">
        <f>IFERROR(IF(SUMIFS(tblDaily[Deaths],tblDaily[EntryDate],DATE(2026,2,24),tblDaily[WardCode],"NICU")=0,"",SUMIFS(tblDaily[Deaths],tblDaily[EntryDate],DATE(2026,2,24),tblDaily[WardCode],"NICU")),"")</f>
        <v/>
      </c>
      <c r="E69" s="5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5" t="str">
        <f>IFERROR(IF(SUMIFS(tblDaily[TransfersIn],tblDaily[EntryDate],DATE(2026,2,24),tblDaily[WardCode],"NICU")=0,"",SUMIFS(tblDaily[TransfersIn],tblDaily[EntryDate],DATE(2026,2,24),tblDaily[WardCode],"NICU")),"")</f>
        <v/>
      </c>
      <c r="G69" s="5" t="str">
        <f>IFERROR(IF(SUMIFS(tblDaily[TransfersOut],tblDaily[EntryDate],DATE(2026,2,24),tblDaily[WardCode],"NICU")=0,"",SUMIFS(tblDaily[TransfersOut],tblDaily[EntryDate],DATE(2026,2,24),tblDaily[WardCode],"NICU")),"")</f>
        <v/>
      </c>
      <c r="H69" s="5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IFERROR(IF(SUMIFS(tblDaily[Admissions],tblDaily[EntryDate],DATE(2026,2,25),tblDaily[WardCode],"NICU")=0,"",SUMIFS(tblDaily[Admissions],tblDaily[EntryDate],DATE(2026,2,25),tblDaily[WardCode],"NICU")),"")</f>
        <v/>
      </c>
      <c r="C70" s="5" t="str">
        <f>IFERROR(IF(SUMIFS(tblDaily[Discharges],tblDaily[EntryDate],DATE(2026,2,25),tblDaily[WardCode],"NICU")=0,"",SUMIFS(tblDaily[Discharges],tblDaily[EntryDate],DATE(2026,2,25),tblDaily[WardCode],"NICU")),"")</f>
        <v/>
      </c>
      <c r="D70" s="5" t="str">
        <f>IFERROR(IF(SUMIFS(tblDaily[Deaths],tblDaily[EntryDate],DATE(2026,2,25),tblDaily[WardCode],"NICU")=0,"",SUMIFS(tblDaily[Deaths],tblDaily[EntryDate],DATE(2026,2,25),tblDaily[WardCode],"NICU")),"")</f>
        <v/>
      </c>
      <c r="E70" s="5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5" t="str">
        <f>IFERROR(IF(SUMIFS(tblDaily[TransfersIn],tblDaily[EntryDate],DATE(2026,2,25),tblDaily[WardCode],"NICU")=0,"",SUMIFS(tblDaily[TransfersIn],tblDaily[EntryDate],DATE(2026,2,25),tblDaily[WardCode],"NICU")),"")</f>
        <v/>
      </c>
      <c r="G70" s="5" t="str">
        <f>IFERROR(IF(SUMIFS(tblDaily[TransfersOut],tblDaily[EntryDate],DATE(2026,2,25),tblDaily[WardCode],"NICU")=0,"",SUMIFS(tblDaily[TransfersOut],tblDaily[EntryDate],DATE(2026,2,25),tblDaily[WardCode],"NICU")),"")</f>
        <v/>
      </c>
      <c r="H70" s="5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IFERROR(IF(SUMIFS(tblDaily[Admissions],tblDaily[EntryDate],DATE(2026,2,26),tblDaily[WardCode],"NICU")=0,"",SUMIFS(tblDaily[Admissions],tblDaily[EntryDate],DATE(2026,2,26),tblDaily[WardCode],"NICU")),"")</f>
        <v/>
      </c>
      <c r="C71" s="5" t="str">
        <f>IFERROR(IF(SUMIFS(tblDaily[Discharges],tblDaily[EntryDate],DATE(2026,2,26),tblDaily[WardCode],"NICU")=0,"",SUMIFS(tblDaily[Discharges],tblDaily[EntryDate],DATE(2026,2,26),tblDaily[WardCode],"NICU")),"")</f>
        <v/>
      </c>
      <c r="D71" s="5" t="str">
        <f>IFERROR(IF(SUMIFS(tblDaily[Deaths],tblDaily[EntryDate],DATE(2026,2,26),tblDaily[WardCode],"NICU")=0,"",SUMIFS(tblDaily[Deaths],tblDaily[EntryDate],DATE(2026,2,26),tblDaily[WardCode],"NICU")),"")</f>
        <v/>
      </c>
      <c r="E71" s="5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5" t="str">
        <f>IFERROR(IF(SUMIFS(tblDaily[TransfersIn],tblDaily[EntryDate],DATE(2026,2,26),tblDaily[WardCode],"NICU")=0,"",SUMIFS(tblDaily[TransfersIn],tblDaily[EntryDate],DATE(2026,2,26),tblDaily[WardCode],"NICU")),"")</f>
        <v/>
      </c>
      <c r="G71" s="5" t="str">
        <f>IFERROR(IF(SUMIFS(tblDaily[TransfersOut],tblDaily[EntryDate],DATE(2026,2,26),tblDaily[WardCode],"NICU")=0,"",SUMIFS(tblDaily[TransfersOut],tblDaily[EntryDate],DATE(2026,2,26),tblDaily[WardCode],"NICU")),"")</f>
        <v/>
      </c>
      <c r="H71" s="5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IFERROR(IF(SUMIFS(tblDaily[Admissions],tblDaily[EntryDate],DATE(2026,2,27),tblDaily[WardCode],"NICU")=0,"",SUMIFS(tblDaily[Admissions],tblDaily[EntryDate],DATE(2026,2,27),tblDaily[WardCode],"NICU")),"")</f>
        <v/>
      </c>
      <c r="C72" s="5" t="str">
        <f>IFERROR(IF(SUMIFS(tblDaily[Discharges],tblDaily[EntryDate],DATE(2026,2,27),tblDaily[WardCode],"NICU")=0,"",SUMIFS(tblDaily[Discharges],tblDaily[EntryDate],DATE(2026,2,27),tblDaily[WardCode],"NICU")),"")</f>
        <v/>
      </c>
      <c r="D72" s="5" t="str">
        <f>IFERROR(IF(SUMIFS(tblDaily[Deaths],tblDaily[EntryDate],DATE(2026,2,27),tblDaily[WardCode],"NICU")=0,"",SUMIFS(tblDaily[Deaths],tblDaily[EntryDate],DATE(2026,2,27),tblDaily[WardCode],"NICU")),"")</f>
        <v/>
      </c>
      <c r="E72" s="5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5" t="str">
        <f>IFERROR(IF(SUMIFS(tblDaily[TransfersIn],tblDaily[EntryDate],DATE(2026,2,27),tblDaily[WardCode],"NICU")=0,"",SUMIFS(tblDaily[TransfersIn],tblDaily[EntryDate],DATE(2026,2,27),tblDaily[WardCode],"NICU")),"")</f>
        <v/>
      </c>
      <c r="G72" s="5" t="str">
        <f>IFERROR(IF(SUMIFS(tblDaily[TransfersOut],tblDaily[EntryDate],DATE(2026,2,27),tblDaily[WardCode],"NICU")=0,"",SUMIFS(tblDaily[TransfersOut],tblDaily[EntryDate],DATE(2026,2,27),tblDaily[WardCode],"NICU")),"")</f>
        <v/>
      </c>
      <c r="H72" s="5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IFERROR(IF(SUMIFS(tblDaily[Admissions],tblDaily[EntryDate],DATE(2026,2,28),tblDaily[WardCode],"NICU")=0,"",SUMIFS(tblDaily[Admissions],tblDaily[EntryDate],DATE(2026,2,28),tblDaily[WardCode],"NICU")),"")</f>
        <v/>
      </c>
      <c r="C73" s="5" t="str">
        <f>IFERROR(IF(SUMIFS(tblDaily[Discharges],tblDaily[EntryDate],DATE(2026,2,28),tblDaily[WardCode],"NICU")=0,"",SUMIFS(tblDaily[Discharges],tblDaily[EntryDate],DATE(2026,2,28),tblDaily[WardCode],"NICU")),"")</f>
        <v/>
      </c>
      <c r="D73" s="5" t="str">
        <f>IFERROR(IF(SUMIFS(tblDaily[Deaths],tblDaily[EntryDate],DATE(2026,2,28),tblDaily[WardCode],"NICU")=0,"",SUMIFS(tblDaily[Deaths],tblDaily[EntryDate],DATE(2026,2,28),tblDaily[WardCode],"NICU")),"")</f>
        <v/>
      </c>
      <c r="E73" s="5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5" t="str">
        <f>IFERROR(IF(SUMIFS(tblDaily[TransfersIn],tblDaily[EntryDate],DATE(2026,2,28),tblDaily[WardCode],"NICU")=0,"",SUMIFS(tblDaily[TransfersIn],tblDaily[EntryDate],DATE(2026,2,28),tblDaily[WardCode],"NICU")),"")</f>
        <v/>
      </c>
      <c r="G73" s="5" t="str">
        <f>IFERROR(IF(SUMIFS(tblDaily[TransfersOut],tblDaily[EntryDate],DATE(2026,2,28),tblDaily[WardCode],"NICU")=0,"",SUMIFS(tblDaily[TransfersOut],tblDaily[EntryDate],DATE(2026,2,28),tblDaily[WardCode],"NICU")),"")</f>
        <v/>
      </c>
      <c r="H73" s="5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101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89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IFERROR(IF(SUMIFS(tblDaily[Admissions],tblDaily[EntryDate],DATE(2026,3,1),tblDaily[WardCode],"NICU")=0,"",SUMIFS(tblDaily[Admissions],tblDaily[EntryDate],DATE(2026,3,1),tblDaily[WardCode],"NICU")),"")</f>
        <v/>
      </c>
      <c r="C85" s="5" t="str">
        <f>IFERROR(IF(SUMIFS(tblDaily[Discharges],tblDaily[EntryDate],DATE(2026,3,1),tblDaily[WardCode],"NICU")=0,"",SUMIFS(tblDaily[Discharges],tblDaily[EntryDate],DATE(2026,3,1),tblDaily[WardCode],"NICU")),"")</f>
        <v/>
      </c>
      <c r="D85" s="5" t="str">
        <f>IFERROR(IF(SUMIFS(tblDaily[Deaths],tblDaily[EntryDate],DATE(2026,3,1),tblDaily[WardCode],"NICU")=0,"",SUMIFS(tblDaily[Deaths],tblDaily[EntryDate],DATE(2026,3,1),tblDaily[WardCode],"NICU")),"")</f>
        <v/>
      </c>
      <c r="E85" s="5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5" t="str">
        <f>IFERROR(IF(SUMIFS(tblDaily[TransfersIn],tblDaily[EntryDate],DATE(2026,3,1),tblDaily[WardCode],"NICU")=0,"",SUMIFS(tblDaily[TransfersIn],tblDaily[EntryDate],DATE(2026,3,1),tblDaily[WardCode],"NICU")),"")</f>
        <v/>
      </c>
      <c r="G85" s="5" t="str">
        <f>IFERROR(IF(SUMIFS(tblDaily[TransfersOut],tblDaily[EntryDate],DATE(2026,3,1),tblDaily[WardCode],"NICU")=0,"",SUMIFS(tblDaily[TransfersOut],tblDaily[EntryDate],DATE(2026,3,1),tblDaily[WardCode],"NICU")),"")</f>
        <v/>
      </c>
      <c r="H85" s="5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IFERROR(IF(SUMIFS(tblDaily[Admissions],tblDaily[EntryDate],DATE(2026,3,2),tblDaily[WardCode],"NICU")=0,"",SUMIFS(tblDaily[Admissions],tblDaily[EntryDate],DATE(2026,3,2),tblDaily[WardCode],"NICU")),"")</f>
        <v/>
      </c>
      <c r="C86" s="5" t="str">
        <f>IFERROR(IF(SUMIFS(tblDaily[Discharges],tblDaily[EntryDate],DATE(2026,3,2),tblDaily[WardCode],"NICU")=0,"",SUMIFS(tblDaily[Discharges],tblDaily[EntryDate],DATE(2026,3,2),tblDaily[WardCode],"NICU")),"")</f>
        <v/>
      </c>
      <c r="D86" s="5" t="str">
        <f>IFERROR(IF(SUMIFS(tblDaily[Deaths],tblDaily[EntryDate],DATE(2026,3,2),tblDaily[WardCode],"NICU")=0,"",SUMIFS(tblDaily[Deaths],tblDaily[EntryDate],DATE(2026,3,2),tblDaily[WardCode],"NICU")),"")</f>
        <v/>
      </c>
      <c r="E86" s="5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5" t="str">
        <f>IFERROR(IF(SUMIFS(tblDaily[TransfersIn],tblDaily[EntryDate],DATE(2026,3,2),tblDaily[WardCode],"NICU")=0,"",SUMIFS(tblDaily[TransfersIn],tblDaily[EntryDate],DATE(2026,3,2),tblDaily[WardCode],"NICU")),"")</f>
        <v/>
      </c>
      <c r="G86" s="5" t="str">
        <f>IFERROR(IF(SUMIFS(tblDaily[TransfersOut],tblDaily[EntryDate],DATE(2026,3,2),tblDaily[WardCode],"NICU")=0,"",SUMIFS(tblDaily[TransfersOut],tblDaily[EntryDate],DATE(2026,3,2),tblDaily[WardCode],"NICU")),"")</f>
        <v/>
      </c>
      <c r="H86" s="5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IFERROR(IF(SUMIFS(tblDaily[Admissions],tblDaily[EntryDate],DATE(2026,3,3),tblDaily[WardCode],"NICU")=0,"",SUMIFS(tblDaily[Admissions],tblDaily[EntryDate],DATE(2026,3,3),tblDaily[WardCode],"NICU")),"")</f>
        <v/>
      </c>
      <c r="C87" s="5" t="str">
        <f>IFERROR(IF(SUMIFS(tblDaily[Discharges],tblDaily[EntryDate],DATE(2026,3,3),tblDaily[WardCode],"NICU")=0,"",SUMIFS(tblDaily[Discharges],tblDaily[EntryDate],DATE(2026,3,3),tblDaily[WardCode],"NICU")),"")</f>
        <v/>
      </c>
      <c r="D87" s="5" t="str">
        <f>IFERROR(IF(SUMIFS(tblDaily[Deaths],tblDaily[EntryDate],DATE(2026,3,3),tblDaily[WardCode],"NICU")=0,"",SUMIFS(tblDaily[Deaths],tblDaily[EntryDate],DATE(2026,3,3),tblDaily[WardCode],"NICU")),"")</f>
        <v/>
      </c>
      <c r="E87" s="5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5" t="str">
        <f>IFERROR(IF(SUMIFS(tblDaily[TransfersIn],tblDaily[EntryDate],DATE(2026,3,3),tblDaily[WardCode],"NICU")=0,"",SUMIFS(tblDaily[TransfersIn],tblDaily[EntryDate],DATE(2026,3,3),tblDaily[WardCode],"NICU")),"")</f>
        <v/>
      </c>
      <c r="G87" s="5" t="str">
        <f>IFERROR(IF(SUMIFS(tblDaily[TransfersOut],tblDaily[EntryDate],DATE(2026,3,3),tblDaily[WardCode],"NICU")=0,"",SUMIFS(tblDaily[TransfersOut],tblDaily[EntryDate],DATE(2026,3,3),tblDaily[WardCode],"NICU")),"")</f>
        <v/>
      </c>
      <c r="H87" s="5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IFERROR(IF(SUMIFS(tblDaily[Admissions],tblDaily[EntryDate],DATE(2026,3,4),tblDaily[WardCode],"NICU")=0,"",SUMIFS(tblDaily[Admissions],tblDaily[EntryDate],DATE(2026,3,4),tblDaily[WardCode],"NICU")),"")</f>
        <v/>
      </c>
      <c r="C88" s="5" t="str">
        <f>IFERROR(IF(SUMIFS(tblDaily[Discharges],tblDaily[EntryDate],DATE(2026,3,4),tblDaily[WardCode],"NICU")=0,"",SUMIFS(tblDaily[Discharges],tblDaily[EntryDate],DATE(2026,3,4),tblDaily[WardCode],"NICU")),"")</f>
        <v/>
      </c>
      <c r="D88" s="5" t="str">
        <f>IFERROR(IF(SUMIFS(tblDaily[Deaths],tblDaily[EntryDate],DATE(2026,3,4),tblDaily[WardCode],"NICU")=0,"",SUMIFS(tblDaily[Deaths],tblDaily[EntryDate],DATE(2026,3,4),tblDaily[WardCode],"NICU")),"")</f>
        <v/>
      </c>
      <c r="E88" s="5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5" t="str">
        <f>IFERROR(IF(SUMIFS(tblDaily[TransfersIn],tblDaily[EntryDate],DATE(2026,3,4),tblDaily[WardCode],"NICU")=0,"",SUMIFS(tblDaily[TransfersIn],tblDaily[EntryDate],DATE(2026,3,4),tblDaily[WardCode],"NICU")),"")</f>
        <v/>
      </c>
      <c r="G88" s="5" t="str">
        <f>IFERROR(IF(SUMIFS(tblDaily[TransfersOut],tblDaily[EntryDate],DATE(2026,3,4),tblDaily[WardCode],"NICU")=0,"",SUMIFS(tblDaily[TransfersOut],tblDaily[EntryDate],DATE(2026,3,4),tblDaily[WardCode],"NICU")),"")</f>
        <v/>
      </c>
      <c r="H88" s="5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IFERROR(IF(SUMIFS(tblDaily[Admissions],tblDaily[EntryDate],DATE(2026,3,5),tblDaily[WardCode],"NICU")=0,"",SUMIFS(tblDaily[Admissions],tblDaily[EntryDate],DATE(2026,3,5),tblDaily[WardCode],"NICU")),"")</f>
        <v/>
      </c>
      <c r="C89" s="5" t="str">
        <f>IFERROR(IF(SUMIFS(tblDaily[Discharges],tblDaily[EntryDate],DATE(2026,3,5),tblDaily[WardCode],"NICU")=0,"",SUMIFS(tblDaily[Discharges],tblDaily[EntryDate],DATE(2026,3,5),tblDaily[WardCode],"NICU")),"")</f>
        <v/>
      </c>
      <c r="D89" s="5" t="str">
        <f>IFERROR(IF(SUMIFS(tblDaily[Deaths],tblDaily[EntryDate],DATE(2026,3,5),tblDaily[WardCode],"NICU")=0,"",SUMIFS(tblDaily[Deaths],tblDaily[EntryDate],DATE(2026,3,5),tblDaily[WardCode],"NICU")),"")</f>
        <v/>
      </c>
      <c r="E89" s="5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5" t="str">
        <f>IFERROR(IF(SUMIFS(tblDaily[TransfersIn],tblDaily[EntryDate],DATE(2026,3,5),tblDaily[WardCode],"NICU")=0,"",SUMIFS(tblDaily[TransfersIn],tblDaily[EntryDate],DATE(2026,3,5),tblDaily[WardCode],"NICU")),"")</f>
        <v/>
      </c>
      <c r="G89" s="5" t="str">
        <f>IFERROR(IF(SUMIFS(tblDaily[TransfersOut],tblDaily[EntryDate],DATE(2026,3,5),tblDaily[WardCode],"NICU")=0,"",SUMIFS(tblDaily[TransfersOut],tblDaily[EntryDate],DATE(2026,3,5),tblDaily[WardCode],"NICU")),"")</f>
        <v/>
      </c>
      <c r="H89" s="5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IFERROR(IF(SUMIFS(tblDaily[Admissions],tblDaily[EntryDate],DATE(2026,3,6),tblDaily[WardCode],"NICU")=0,"",SUMIFS(tblDaily[Admissions],tblDaily[EntryDate],DATE(2026,3,6),tblDaily[WardCode],"NICU")),"")</f>
        <v/>
      </c>
      <c r="C90" s="5" t="str">
        <f>IFERROR(IF(SUMIFS(tblDaily[Discharges],tblDaily[EntryDate],DATE(2026,3,6),tblDaily[WardCode],"NICU")=0,"",SUMIFS(tblDaily[Discharges],tblDaily[EntryDate],DATE(2026,3,6),tblDaily[WardCode],"NICU")),"")</f>
        <v/>
      </c>
      <c r="D90" s="5" t="str">
        <f>IFERROR(IF(SUMIFS(tblDaily[Deaths],tblDaily[EntryDate],DATE(2026,3,6),tblDaily[WardCode],"NICU")=0,"",SUMIFS(tblDaily[Deaths],tblDaily[EntryDate],DATE(2026,3,6),tblDaily[WardCode],"NICU")),"")</f>
        <v/>
      </c>
      <c r="E90" s="5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5" t="str">
        <f>IFERROR(IF(SUMIFS(tblDaily[TransfersIn],tblDaily[EntryDate],DATE(2026,3,6),tblDaily[WardCode],"NICU")=0,"",SUMIFS(tblDaily[TransfersIn],tblDaily[EntryDate],DATE(2026,3,6),tblDaily[WardCode],"NICU")),"")</f>
        <v/>
      </c>
      <c r="G90" s="5" t="str">
        <f>IFERROR(IF(SUMIFS(tblDaily[TransfersOut],tblDaily[EntryDate],DATE(2026,3,6),tblDaily[WardCode],"NICU")=0,"",SUMIFS(tblDaily[TransfersOut],tblDaily[EntryDate],DATE(2026,3,6),tblDaily[WardCode],"NICU")),"")</f>
        <v/>
      </c>
      <c r="H90" s="5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IFERROR(IF(SUMIFS(tblDaily[Admissions],tblDaily[EntryDate],DATE(2026,3,7),tblDaily[WardCode],"NICU")=0,"",SUMIFS(tblDaily[Admissions],tblDaily[EntryDate],DATE(2026,3,7),tblDaily[WardCode],"NICU")),"")</f>
        <v/>
      </c>
      <c r="C91" s="5" t="str">
        <f>IFERROR(IF(SUMIFS(tblDaily[Discharges],tblDaily[EntryDate],DATE(2026,3,7),tblDaily[WardCode],"NICU")=0,"",SUMIFS(tblDaily[Discharges],tblDaily[EntryDate],DATE(2026,3,7),tblDaily[WardCode],"NICU")),"")</f>
        <v/>
      </c>
      <c r="D91" s="5" t="str">
        <f>IFERROR(IF(SUMIFS(tblDaily[Deaths],tblDaily[EntryDate],DATE(2026,3,7),tblDaily[WardCode],"NICU")=0,"",SUMIFS(tblDaily[Deaths],tblDaily[EntryDate],DATE(2026,3,7),tblDaily[WardCode],"NICU")),"")</f>
        <v/>
      </c>
      <c r="E91" s="5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5" t="str">
        <f>IFERROR(IF(SUMIFS(tblDaily[TransfersIn],tblDaily[EntryDate],DATE(2026,3,7),tblDaily[WardCode],"NICU")=0,"",SUMIFS(tblDaily[TransfersIn],tblDaily[EntryDate],DATE(2026,3,7),tblDaily[WardCode],"NICU")),"")</f>
        <v/>
      </c>
      <c r="G91" s="5" t="str">
        <f>IFERROR(IF(SUMIFS(tblDaily[TransfersOut],tblDaily[EntryDate],DATE(2026,3,7),tblDaily[WardCode],"NICU")=0,"",SUMIFS(tblDaily[TransfersOut],tblDaily[EntryDate],DATE(2026,3,7),tblDaily[WardCode],"NICU")),"")</f>
        <v/>
      </c>
      <c r="H91" s="5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IFERROR(IF(SUMIFS(tblDaily[Admissions],tblDaily[EntryDate],DATE(2026,3,8),tblDaily[WardCode],"NICU")=0,"",SUMIFS(tblDaily[Admissions],tblDaily[EntryDate],DATE(2026,3,8),tblDaily[WardCode],"NICU")),"")</f>
        <v/>
      </c>
      <c r="C92" s="5" t="str">
        <f>IFERROR(IF(SUMIFS(tblDaily[Discharges],tblDaily[EntryDate],DATE(2026,3,8),tblDaily[WardCode],"NICU")=0,"",SUMIFS(tblDaily[Discharges],tblDaily[EntryDate],DATE(2026,3,8),tblDaily[WardCode],"NICU")),"")</f>
        <v/>
      </c>
      <c r="D92" s="5" t="str">
        <f>IFERROR(IF(SUMIFS(tblDaily[Deaths],tblDaily[EntryDate],DATE(2026,3,8),tblDaily[WardCode],"NICU")=0,"",SUMIFS(tblDaily[Deaths],tblDaily[EntryDate],DATE(2026,3,8),tblDaily[WardCode],"NICU")),"")</f>
        <v/>
      </c>
      <c r="E92" s="5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5" t="str">
        <f>IFERROR(IF(SUMIFS(tblDaily[TransfersIn],tblDaily[EntryDate],DATE(2026,3,8),tblDaily[WardCode],"NICU")=0,"",SUMIFS(tblDaily[TransfersIn],tblDaily[EntryDate],DATE(2026,3,8),tblDaily[WardCode],"NICU")),"")</f>
        <v/>
      </c>
      <c r="G92" s="5" t="str">
        <f>IFERROR(IF(SUMIFS(tblDaily[TransfersOut],tblDaily[EntryDate],DATE(2026,3,8),tblDaily[WardCode],"NICU")=0,"",SUMIFS(tblDaily[TransfersOut],tblDaily[EntryDate],DATE(2026,3,8),tblDaily[WardCode],"NICU")),"")</f>
        <v/>
      </c>
      <c r="H92" s="5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IFERROR(IF(SUMIFS(tblDaily[Admissions],tblDaily[EntryDate],DATE(2026,3,9),tblDaily[WardCode],"NICU")=0,"",SUMIFS(tblDaily[Admissions],tblDaily[EntryDate],DATE(2026,3,9),tblDaily[WardCode],"NICU")),"")</f>
        <v/>
      </c>
      <c r="C93" s="5" t="str">
        <f>IFERROR(IF(SUMIFS(tblDaily[Discharges],tblDaily[EntryDate],DATE(2026,3,9),tblDaily[WardCode],"NICU")=0,"",SUMIFS(tblDaily[Discharges],tblDaily[EntryDate],DATE(2026,3,9),tblDaily[WardCode],"NICU")),"")</f>
        <v/>
      </c>
      <c r="D93" s="5" t="str">
        <f>IFERROR(IF(SUMIFS(tblDaily[Deaths],tblDaily[EntryDate],DATE(2026,3,9),tblDaily[WardCode],"NICU")=0,"",SUMIFS(tblDaily[Deaths],tblDaily[EntryDate],DATE(2026,3,9),tblDaily[WardCode],"NICU")),"")</f>
        <v/>
      </c>
      <c r="E93" s="5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5" t="str">
        <f>IFERROR(IF(SUMIFS(tblDaily[TransfersIn],tblDaily[EntryDate],DATE(2026,3,9),tblDaily[WardCode],"NICU")=0,"",SUMIFS(tblDaily[TransfersIn],tblDaily[EntryDate],DATE(2026,3,9),tblDaily[WardCode],"NICU")),"")</f>
        <v/>
      </c>
      <c r="G93" s="5" t="str">
        <f>IFERROR(IF(SUMIFS(tblDaily[TransfersOut],tblDaily[EntryDate],DATE(2026,3,9),tblDaily[WardCode],"NICU")=0,"",SUMIFS(tblDaily[TransfersOut],tblDaily[EntryDate],DATE(2026,3,9),tblDaily[WardCode],"NICU")),"")</f>
        <v/>
      </c>
      <c r="H93" s="5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IFERROR(IF(SUMIFS(tblDaily[Admissions],tblDaily[EntryDate],DATE(2026,3,10),tblDaily[WardCode],"NICU")=0,"",SUMIFS(tblDaily[Admissions],tblDaily[EntryDate],DATE(2026,3,10),tblDaily[WardCode],"NICU")),"")</f>
        <v/>
      </c>
      <c r="C94" s="5" t="str">
        <f>IFERROR(IF(SUMIFS(tblDaily[Discharges],tblDaily[EntryDate],DATE(2026,3,10),tblDaily[WardCode],"NICU")=0,"",SUMIFS(tblDaily[Discharges],tblDaily[EntryDate],DATE(2026,3,10),tblDaily[WardCode],"NICU")),"")</f>
        <v/>
      </c>
      <c r="D94" s="5" t="str">
        <f>IFERROR(IF(SUMIFS(tblDaily[Deaths],tblDaily[EntryDate],DATE(2026,3,10),tblDaily[WardCode],"NICU")=0,"",SUMIFS(tblDaily[Deaths],tblDaily[EntryDate],DATE(2026,3,10),tblDaily[WardCode],"NICU")),"")</f>
        <v/>
      </c>
      <c r="E94" s="5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5" t="str">
        <f>IFERROR(IF(SUMIFS(tblDaily[TransfersIn],tblDaily[EntryDate],DATE(2026,3,10),tblDaily[WardCode],"NICU")=0,"",SUMIFS(tblDaily[TransfersIn],tblDaily[EntryDate],DATE(2026,3,10),tblDaily[WardCode],"NICU")),"")</f>
        <v/>
      </c>
      <c r="G94" s="5" t="str">
        <f>IFERROR(IF(SUMIFS(tblDaily[TransfersOut],tblDaily[EntryDate],DATE(2026,3,10),tblDaily[WardCode],"NICU")=0,"",SUMIFS(tblDaily[TransfersOut],tblDaily[EntryDate],DATE(2026,3,10),tblDaily[WardCode],"NICU")),"")</f>
        <v/>
      </c>
      <c r="H94" s="5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IFERROR(IF(SUMIFS(tblDaily[Admissions],tblDaily[EntryDate],DATE(2026,3,11),tblDaily[WardCode],"NICU")=0,"",SUMIFS(tblDaily[Admissions],tblDaily[EntryDate],DATE(2026,3,11),tblDaily[WardCode],"NICU")),"")</f>
        <v/>
      </c>
      <c r="C95" s="5" t="str">
        <f>IFERROR(IF(SUMIFS(tblDaily[Discharges],tblDaily[EntryDate],DATE(2026,3,11),tblDaily[WardCode],"NICU")=0,"",SUMIFS(tblDaily[Discharges],tblDaily[EntryDate],DATE(2026,3,11),tblDaily[WardCode],"NICU")),"")</f>
        <v/>
      </c>
      <c r="D95" s="5" t="str">
        <f>IFERROR(IF(SUMIFS(tblDaily[Deaths],tblDaily[EntryDate],DATE(2026,3,11),tblDaily[WardCode],"NICU")=0,"",SUMIFS(tblDaily[Deaths],tblDaily[EntryDate],DATE(2026,3,11),tblDaily[WardCode],"NICU")),"")</f>
        <v/>
      </c>
      <c r="E95" s="5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5" t="str">
        <f>IFERROR(IF(SUMIFS(tblDaily[TransfersIn],tblDaily[EntryDate],DATE(2026,3,11),tblDaily[WardCode],"NICU")=0,"",SUMIFS(tblDaily[TransfersIn],tblDaily[EntryDate],DATE(2026,3,11),tblDaily[WardCode],"NICU")),"")</f>
        <v/>
      </c>
      <c r="G95" s="5" t="str">
        <f>IFERROR(IF(SUMIFS(tblDaily[TransfersOut],tblDaily[EntryDate],DATE(2026,3,11),tblDaily[WardCode],"NICU")=0,"",SUMIFS(tblDaily[TransfersOut],tblDaily[EntryDate],DATE(2026,3,11),tblDaily[WardCode],"NICU")),"")</f>
        <v/>
      </c>
      <c r="H95" s="5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IFERROR(IF(SUMIFS(tblDaily[Admissions],tblDaily[EntryDate],DATE(2026,3,12),tblDaily[WardCode],"NICU")=0,"",SUMIFS(tblDaily[Admissions],tblDaily[EntryDate],DATE(2026,3,12),tblDaily[WardCode],"NICU")),"")</f>
        <v/>
      </c>
      <c r="C96" s="5" t="str">
        <f>IFERROR(IF(SUMIFS(tblDaily[Discharges],tblDaily[EntryDate],DATE(2026,3,12),tblDaily[WardCode],"NICU")=0,"",SUMIFS(tblDaily[Discharges],tblDaily[EntryDate],DATE(2026,3,12),tblDaily[WardCode],"NICU")),"")</f>
        <v/>
      </c>
      <c r="D96" s="5" t="str">
        <f>IFERROR(IF(SUMIFS(tblDaily[Deaths],tblDaily[EntryDate],DATE(2026,3,12),tblDaily[WardCode],"NICU")=0,"",SUMIFS(tblDaily[Deaths],tblDaily[EntryDate],DATE(2026,3,12),tblDaily[WardCode],"NICU")),"")</f>
        <v/>
      </c>
      <c r="E96" s="5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5" t="str">
        <f>IFERROR(IF(SUMIFS(tblDaily[TransfersIn],tblDaily[EntryDate],DATE(2026,3,12),tblDaily[WardCode],"NICU")=0,"",SUMIFS(tblDaily[TransfersIn],tblDaily[EntryDate],DATE(2026,3,12),tblDaily[WardCode],"NICU")),"")</f>
        <v/>
      </c>
      <c r="G96" s="5" t="str">
        <f>IFERROR(IF(SUMIFS(tblDaily[TransfersOut],tblDaily[EntryDate],DATE(2026,3,12),tblDaily[WardCode],"NICU")=0,"",SUMIFS(tblDaily[TransfersOut],tblDaily[EntryDate],DATE(2026,3,12),tblDaily[WardCode],"NICU")),"")</f>
        <v/>
      </c>
      <c r="H96" s="5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IFERROR(IF(SUMIFS(tblDaily[Admissions],tblDaily[EntryDate],DATE(2026,3,13),tblDaily[WardCode],"NICU")=0,"",SUMIFS(tblDaily[Admissions],tblDaily[EntryDate],DATE(2026,3,13),tblDaily[WardCode],"NICU")),"")</f>
        <v/>
      </c>
      <c r="C97" s="5" t="str">
        <f>IFERROR(IF(SUMIFS(tblDaily[Discharges],tblDaily[EntryDate],DATE(2026,3,13),tblDaily[WardCode],"NICU")=0,"",SUMIFS(tblDaily[Discharges],tblDaily[EntryDate],DATE(2026,3,13),tblDaily[WardCode],"NICU")),"")</f>
        <v/>
      </c>
      <c r="D97" s="5" t="str">
        <f>IFERROR(IF(SUMIFS(tblDaily[Deaths],tblDaily[EntryDate],DATE(2026,3,13),tblDaily[WardCode],"NICU")=0,"",SUMIFS(tblDaily[Deaths],tblDaily[EntryDate],DATE(2026,3,13),tblDaily[WardCode],"NICU")),"")</f>
        <v/>
      </c>
      <c r="E97" s="5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5" t="str">
        <f>IFERROR(IF(SUMIFS(tblDaily[TransfersIn],tblDaily[EntryDate],DATE(2026,3,13),tblDaily[WardCode],"NICU")=0,"",SUMIFS(tblDaily[TransfersIn],tblDaily[EntryDate],DATE(2026,3,13),tblDaily[WardCode],"NICU")),"")</f>
        <v/>
      </c>
      <c r="G97" s="5" t="str">
        <f>IFERROR(IF(SUMIFS(tblDaily[TransfersOut],tblDaily[EntryDate],DATE(2026,3,13),tblDaily[WardCode],"NICU")=0,"",SUMIFS(tblDaily[TransfersOut],tblDaily[EntryDate],DATE(2026,3,13),tblDaily[WardCode],"NICU")),"")</f>
        <v/>
      </c>
      <c r="H97" s="5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IFERROR(IF(SUMIFS(tblDaily[Admissions],tblDaily[EntryDate],DATE(2026,3,14),tblDaily[WardCode],"NICU")=0,"",SUMIFS(tblDaily[Admissions],tblDaily[EntryDate],DATE(2026,3,14),tblDaily[WardCode],"NICU")),"")</f>
        <v/>
      </c>
      <c r="C98" s="5" t="str">
        <f>IFERROR(IF(SUMIFS(tblDaily[Discharges],tblDaily[EntryDate],DATE(2026,3,14),tblDaily[WardCode],"NICU")=0,"",SUMIFS(tblDaily[Discharges],tblDaily[EntryDate],DATE(2026,3,14),tblDaily[WardCode],"NICU")),"")</f>
        <v/>
      </c>
      <c r="D98" s="5" t="str">
        <f>IFERROR(IF(SUMIFS(tblDaily[Deaths],tblDaily[EntryDate],DATE(2026,3,14),tblDaily[WardCode],"NICU")=0,"",SUMIFS(tblDaily[Deaths],tblDaily[EntryDate],DATE(2026,3,14),tblDaily[WardCode],"NICU")),"")</f>
        <v/>
      </c>
      <c r="E98" s="5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5" t="str">
        <f>IFERROR(IF(SUMIFS(tblDaily[TransfersIn],tblDaily[EntryDate],DATE(2026,3,14),tblDaily[WardCode],"NICU")=0,"",SUMIFS(tblDaily[TransfersIn],tblDaily[EntryDate],DATE(2026,3,14),tblDaily[WardCode],"NICU")),"")</f>
        <v/>
      </c>
      <c r="G98" s="5" t="str">
        <f>IFERROR(IF(SUMIFS(tblDaily[TransfersOut],tblDaily[EntryDate],DATE(2026,3,14),tblDaily[WardCode],"NICU")=0,"",SUMIFS(tblDaily[TransfersOut],tblDaily[EntryDate],DATE(2026,3,14),tblDaily[WardCode],"NICU")),"")</f>
        <v/>
      </c>
      <c r="H98" s="5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IFERROR(IF(SUMIFS(tblDaily[Admissions],tblDaily[EntryDate],DATE(2026,3,15),tblDaily[WardCode],"NICU")=0,"",SUMIFS(tblDaily[Admissions],tblDaily[EntryDate],DATE(2026,3,15),tblDaily[WardCode],"NICU")),"")</f>
        <v/>
      </c>
      <c r="C99" s="5" t="str">
        <f>IFERROR(IF(SUMIFS(tblDaily[Discharges],tblDaily[EntryDate],DATE(2026,3,15),tblDaily[WardCode],"NICU")=0,"",SUMIFS(tblDaily[Discharges],tblDaily[EntryDate],DATE(2026,3,15),tblDaily[WardCode],"NICU")),"")</f>
        <v/>
      </c>
      <c r="D99" s="5" t="str">
        <f>IFERROR(IF(SUMIFS(tblDaily[Deaths],tblDaily[EntryDate],DATE(2026,3,15),tblDaily[WardCode],"NICU")=0,"",SUMIFS(tblDaily[Deaths],tblDaily[EntryDate],DATE(2026,3,15),tblDaily[WardCode],"NICU")),"")</f>
        <v/>
      </c>
      <c r="E99" s="5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5" t="str">
        <f>IFERROR(IF(SUMIFS(tblDaily[TransfersIn],tblDaily[EntryDate],DATE(2026,3,15),tblDaily[WardCode],"NICU")=0,"",SUMIFS(tblDaily[TransfersIn],tblDaily[EntryDate],DATE(2026,3,15),tblDaily[WardCode],"NICU")),"")</f>
        <v/>
      </c>
      <c r="G99" s="5" t="str">
        <f>IFERROR(IF(SUMIFS(tblDaily[TransfersOut],tblDaily[EntryDate],DATE(2026,3,15),tblDaily[WardCode],"NICU")=0,"",SUMIFS(tblDaily[TransfersOut],tblDaily[EntryDate],DATE(2026,3,15),tblDaily[WardCode],"NICU")),"")</f>
        <v/>
      </c>
      <c r="H99" s="5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IFERROR(IF(SUMIFS(tblDaily[Admissions],tblDaily[EntryDate],DATE(2026,3,16),tblDaily[WardCode],"NICU")=0,"",SUMIFS(tblDaily[Admissions],tblDaily[EntryDate],DATE(2026,3,16),tblDaily[WardCode],"NICU")),"")</f>
        <v/>
      </c>
      <c r="C100" s="5" t="str">
        <f>IFERROR(IF(SUMIFS(tblDaily[Discharges],tblDaily[EntryDate],DATE(2026,3,16),tblDaily[WardCode],"NICU")=0,"",SUMIFS(tblDaily[Discharges],tblDaily[EntryDate],DATE(2026,3,16),tblDaily[WardCode],"NICU")),"")</f>
        <v/>
      </c>
      <c r="D100" s="5" t="str">
        <f>IFERROR(IF(SUMIFS(tblDaily[Deaths],tblDaily[EntryDate],DATE(2026,3,16),tblDaily[WardCode],"NICU")=0,"",SUMIFS(tblDaily[Deaths],tblDaily[EntryDate],DATE(2026,3,16),tblDaily[WardCode],"NICU")),"")</f>
        <v/>
      </c>
      <c r="E100" s="5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5" t="str">
        <f>IFERROR(IF(SUMIFS(tblDaily[TransfersIn],tblDaily[EntryDate],DATE(2026,3,16),tblDaily[WardCode],"NICU")=0,"",SUMIFS(tblDaily[TransfersIn],tblDaily[EntryDate],DATE(2026,3,16),tblDaily[WardCode],"NICU")),"")</f>
        <v/>
      </c>
      <c r="G100" s="5" t="str">
        <f>IFERROR(IF(SUMIFS(tblDaily[TransfersOut],tblDaily[EntryDate],DATE(2026,3,16),tblDaily[WardCode],"NICU")=0,"",SUMIFS(tblDaily[TransfersOut],tblDaily[EntryDate],DATE(2026,3,16),tblDaily[WardCode],"NICU")),"")</f>
        <v/>
      </c>
      <c r="H100" s="5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IFERROR(IF(SUMIFS(tblDaily[Admissions],tblDaily[EntryDate],DATE(2026,3,17),tblDaily[WardCode],"NICU")=0,"",SUMIFS(tblDaily[Admissions],tblDaily[EntryDate],DATE(2026,3,17),tblDaily[WardCode],"NICU")),"")</f>
        <v/>
      </c>
      <c r="C101" s="5" t="str">
        <f>IFERROR(IF(SUMIFS(tblDaily[Discharges],tblDaily[EntryDate],DATE(2026,3,17),tblDaily[WardCode],"NICU")=0,"",SUMIFS(tblDaily[Discharges],tblDaily[EntryDate],DATE(2026,3,17),tblDaily[WardCode],"NICU")),"")</f>
        <v/>
      </c>
      <c r="D101" s="5" t="str">
        <f>IFERROR(IF(SUMIFS(tblDaily[Deaths],tblDaily[EntryDate],DATE(2026,3,17),tblDaily[WardCode],"NICU")=0,"",SUMIFS(tblDaily[Deaths],tblDaily[EntryDate],DATE(2026,3,17),tblDaily[WardCode],"NICU")),"")</f>
        <v/>
      </c>
      <c r="E101" s="5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5" t="str">
        <f>IFERROR(IF(SUMIFS(tblDaily[TransfersIn],tblDaily[EntryDate],DATE(2026,3,17),tblDaily[WardCode],"NICU")=0,"",SUMIFS(tblDaily[TransfersIn],tblDaily[EntryDate],DATE(2026,3,17),tblDaily[WardCode],"NICU")),"")</f>
        <v/>
      </c>
      <c r="G101" s="5" t="str">
        <f>IFERROR(IF(SUMIFS(tblDaily[TransfersOut],tblDaily[EntryDate],DATE(2026,3,17),tblDaily[WardCode],"NICU")=0,"",SUMIFS(tblDaily[TransfersOut],tblDaily[EntryDate],DATE(2026,3,17),tblDaily[WardCode],"NICU")),"")</f>
        <v/>
      </c>
      <c r="H101" s="5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IFERROR(IF(SUMIFS(tblDaily[Admissions],tblDaily[EntryDate],DATE(2026,3,18),tblDaily[WardCode],"NICU")=0,"",SUMIFS(tblDaily[Admissions],tblDaily[EntryDate],DATE(2026,3,18),tblDaily[WardCode],"NICU")),"")</f>
        <v/>
      </c>
      <c r="C102" s="5" t="str">
        <f>IFERROR(IF(SUMIFS(tblDaily[Discharges],tblDaily[EntryDate],DATE(2026,3,18),tblDaily[WardCode],"NICU")=0,"",SUMIFS(tblDaily[Discharges],tblDaily[EntryDate],DATE(2026,3,18),tblDaily[WardCode],"NICU")),"")</f>
        <v/>
      </c>
      <c r="D102" s="5" t="str">
        <f>IFERROR(IF(SUMIFS(tblDaily[Deaths],tblDaily[EntryDate],DATE(2026,3,18),tblDaily[WardCode],"NICU")=0,"",SUMIFS(tblDaily[Deaths],tblDaily[EntryDate],DATE(2026,3,18),tblDaily[WardCode],"NICU")),"")</f>
        <v/>
      </c>
      <c r="E102" s="5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5" t="str">
        <f>IFERROR(IF(SUMIFS(tblDaily[TransfersIn],tblDaily[EntryDate],DATE(2026,3,18),tblDaily[WardCode],"NICU")=0,"",SUMIFS(tblDaily[TransfersIn],tblDaily[EntryDate],DATE(2026,3,18),tblDaily[WardCode],"NICU")),"")</f>
        <v/>
      </c>
      <c r="G102" s="5" t="str">
        <f>IFERROR(IF(SUMIFS(tblDaily[TransfersOut],tblDaily[EntryDate],DATE(2026,3,18),tblDaily[WardCode],"NICU")=0,"",SUMIFS(tblDaily[TransfersOut],tblDaily[EntryDate],DATE(2026,3,18),tblDaily[WardCode],"NICU")),"")</f>
        <v/>
      </c>
      <c r="H102" s="5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IFERROR(IF(SUMIFS(tblDaily[Admissions],tblDaily[EntryDate],DATE(2026,3,19),tblDaily[WardCode],"NICU")=0,"",SUMIFS(tblDaily[Admissions],tblDaily[EntryDate],DATE(2026,3,19),tblDaily[WardCode],"NICU")),"")</f>
        <v/>
      </c>
      <c r="C103" s="5" t="str">
        <f>IFERROR(IF(SUMIFS(tblDaily[Discharges],tblDaily[EntryDate],DATE(2026,3,19),tblDaily[WardCode],"NICU")=0,"",SUMIFS(tblDaily[Discharges],tblDaily[EntryDate],DATE(2026,3,19),tblDaily[WardCode],"NICU")),"")</f>
        <v/>
      </c>
      <c r="D103" s="5" t="str">
        <f>IFERROR(IF(SUMIFS(tblDaily[Deaths],tblDaily[EntryDate],DATE(2026,3,19),tblDaily[WardCode],"NICU")=0,"",SUMIFS(tblDaily[Deaths],tblDaily[EntryDate],DATE(2026,3,19),tblDaily[WardCode],"NICU")),"")</f>
        <v/>
      </c>
      <c r="E103" s="5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5" t="str">
        <f>IFERROR(IF(SUMIFS(tblDaily[TransfersIn],tblDaily[EntryDate],DATE(2026,3,19),tblDaily[WardCode],"NICU")=0,"",SUMIFS(tblDaily[TransfersIn],tblDaily[EntryDate],DATE(2026,3,19),tblDaily[WardCode],"NICU")),"")</f>
        <v/>
      </c>
      <c r="G103" s="5" t="str">
        <f>IFERROR(IF(SUMIFS(tblDaily[TransfersOut],tblDaily[EntryDate],DATE(2026,3,19),tblDaily[WardCode],"NICU")=0,"",SUMIFS(tblDaily[TransfersOut],tblDaily[EntryDate],DATE(2026,3,19),tblDaily[WardCode],"NICU")),"")</f>
        <v/>
      </c>
      <c r="H103" s="5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IFERROR(IF(SUMIFS(tblDaily[Admissions],tblDaily[EntryDate],DATE(2026,3,20),tblDaily[WardCode],"NICU")=0,"",SUMIFS(tblDaily[Admissions],tblDaily[EntryDate],DATE(2026,3,20),tblDaily[WardCode],"NICU")),"")</f>
        <v/>
      </c>
      <c r="C104" s="5" t="str">
        <f>IFERROR(IF(SUMIFS(tblDaily[Discharges],tblDaily[EntryDate],DATE(2026,3,20),tblDaily[WardCode],"NICU")=0,"",SUMIFS(tblDaily[Discharges],tblDaily[EntryDate],DATE(2026,3,20),tblDaily[WardCode],"NICU")),"")</f>
        <v/>
      </c>
      <c r="D104" s="5" t="str">
        <f>IFERROR(IF(SUMIFS(tblDaily[Deaths],tblDaily[EntryDate],DATE(2026,3,20),tblDaily[WardCode],"NICU")=0,"",SUMIFS(tblDaily[Deaths],tblDaily[EntryDate],DATE(2026,3,20),tblDaily[WardCode],"NICU")),"")</f>
        <v/>
      </c>
      <c r="E104" s="5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5" t="str">
        <f>IFERROR(IF(SUMIFS(tblDaily[TransfersIn],tblDaily[EntryDate],DATE(2026,3,20),tblDaily[WardCode],"NICU")=0,"",SUMIFS(tblDaily[TransfersIn],tblDaily[EntryDate],DATE(2026,3,20),tblDaily[WardCode],"NICU")),"")</f>
        <v/>
      </c>
      <c r="G104" s="5" t="str">
        <f>IFERROR(IF(SUMIFS(tblDaily[TransfersOut],tblDaily[EntryDate],DATE(2026,3,20),tblDaily[WardCode],"NICU")=0,"",SUMIFS(tblDaily[TransfersOut],tblDaily[EntryDate],DATE(2026,3,20),tblDaily[WardCode],"NICU")),"")</f>
        <v/>
      </c>
      <c r="H104" s="5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IFERROR(IF(SUMIFS(tblDaily[Admissions],tblDaily[EntryDate],DATE(2026,3,21),tblDaily[WardCode],"NICU")=0,"",SUMIFS(tblDaily[Admissions],tblDaily[EntryDate],DATE(2026,3,21),tblDaily[WardCode],"NICU")),"")</f>
        <v/>
      </c>
      <c r="C105" s="5" t="str">
        <f>IFERROR(IF(SUMIFS(tblDaily[Discharges],tblDaily[EntryDate],DATE(2026,3,21),tblDaily[WardCode],"NICU")=0,"",SUMIFS(tblDaily[Discharges],tblDaily[EntryDate],DATE(2026,3,21),tblDaily[WardCode],"NICU")),"")</f>
        <v/>
      </c>
      <c r="D105" s="5" t="str">
        <f>IFERROR(IF(SUMIFS(tblDaily[Deaths],tblDaily[EntryDate],DATE(2026,3,21),tblDaily[WardCode],"NICU")=0,"",SUMIFS(tblDaily[Deaths],tblDaily[EntryDate],DATE(2026,3,21),tblDaily[WardCode],"NICU")),"")</f>
        <v/>
      </c>
      <c r="E105" s="5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5" t="str">
        <f>IFERROR(IF(SUMIFS(tblDaily[TransfersIn],tblDaily[EntryDate],DATE(2026,3,21),tblDaily[WardCode],"NICU")=0,"",SUMIFS(tblDaily[TransfersIn],tblDaily[EntryDate],DATE(2026,3,21),tblDaily[WardCode],"NICU")),"")</f>
        <v/>
      </c>
      <c r="G105" s="5" t="str">
        <f>IFERROR(IF(SUMIFS(tblDaily[TransfersOut],tblDaily[EntryDate],DATE(2026,3,21),tblDaily[WardCode],"NICU")=0,"",SUMIFS(tblDaily[TransfersOut],tblDaily[EntryDate],DATE(2026,3,21),tblDaily[WardCode],"NICU")),"")</f>
        <v/>
      </c>
      <c r="H105" s="5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IFERROR(IF(SUMIFS(tblDaily[Admissions],tblDaily[EntryDate],DATE(2026,3,22),tblDaily[WardCode],"NICU")=0,"",SUMIFS(tblDaily[Admissions],tblDaily[EntryDate],DATE(2026,3,22),tblDaily[WardCode],"NICU")),"")</f>
        <v/>
      </c>
      <c r="C106" s="5" t="str">
        <f>IFERROR(IF(SUMIFS(tblDaily[Discharges],tblDaily[EntryDate],DATE(2026,3,22),tblDaily[WardCode],"NICU")=0,"",SUMIFS(tblDaily[Discharges],tblDaily[EntryDate],DATE(2026,3,22),tblDaily[WardCode],"NICU")),"")</f>
        <v/>
      </c>
      <c r="D106" s="5" t="str">
        <f>IFERROR(IF(SUMIFS(tblDaily[Deaths],tblDaily[EntryDate],DATE(2026,3,22),tblDaily[WardCode],"NICU")=0,"",SUMIFS(tblDaily[Deaths],tblDaily[EntryDate],DATE(2026,3,22),tblDaily[WardCode],"NICU")),"")</f>
        <v/>
      </c>
      <c r="E106" s="5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5" t="str">
        <f>IFERROR(IF(SUMIFS(tblDaily[TransfersIn],tblDaily[EntryDate],DATE(2026,3,22),tblDaily[WardCode],"NICU")=0,"",SUMIFS(tblDaily[TransfersIn],tblDaily[EntryDate],DATE(2026,3,22),tblDaily[WardCode],"NICU")),"")</f>
        <v/>
      </c>
      <c r="G106" s="5" t="str">
        <f>IFERROR(IF(SUMIFS(tblDaily[TransfersOut],tblDaily[EntryDate],DATE(2026,3,22),tblDaily[WardCode],"NICU")=0,"",SUMIFS(tblDaily[TransfersOut],tblDaily[EntryDate],DATE(2026,3,22),tblDaily[WardCode],"NICU")),"")</f>
        <v/>
      </c>
      <c r="H106" s="5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IFERROR(IF(SUMIFS(tblDaily[Admissions],tblDaily[EntryDate],DATE(2026,3,23),tblDaily[WardCode],"NICU")=0,"",SUMIFS(tblDaily[Admissions],tblDaily[EntryDate],DATE(2026,3,23),tblDaily[WardCode],"NICU")),"")</f>
        <v/>
      </c>
      <c r="C107" s="5" t="str">
        <f>IFERROR(IF(SUMIFS(tblDaily[Discharges],tblDaily[EntryDate],DATE(2026,3,23),tblDaily[WardCode],"NICU")=0,"",SUMIFS(tblDaily[Discharges],tblDaily[EntryDate],DATE(2026,3,23),tblDaily[WardCode],"NICU")),"")</f>
        <v/>
      </c>
      <c r="D107" s="5" t="str">
        <f>IFERROR(IF(SUMIFS(tblDaily[Deaths],tblDaily[EntryDate],DATE(2026,3,23),tblDaily[WardCode],"NICU")=0,"",SUMIFS(tblDaily[Deaths],tblDaily[EntryDate],DATE(2026,3,23),tblDaily[WardCode],"NICU")),"")</f>
        <v/>
      </c>
      <c r="E107" s="5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5" t="str">
        <f>IFERROR(IF(SUMIFS(tblDaily[TransfersIn],tblDaily[EntryDate],DATE(2026,3,23),tblDaily[WardCode],"NICU")=0,"",SUMIFS(tblDaily[TransfersIn],tblDaily[EntryDate],DATE(2026,3,23),tblDaily[WardCode],"NICU")),"")</f>
        <v/>
      </c>
      <c r="G107" s="5" t="str">
        <f>IFERROR(IF(SUMIFS(tblDaily[TransfersOut],tblDaily[EntryDate],DATE(2026,3,23),tblDaily[WardCode],"NICU")=0,"",SUMIFS(tblDaily[TransfersOut],tblDaily[EntryDate],DATE(2026,3,23),tblDaily[WardCode],"NICU")),"")</f>
        <v/>
      </c>
      <c r="H107" s="5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IFERROR(IF(SUMIFS(tblDaily[Admissions],tblDaily[EntryDate],DATE(2026,3,24),tblDaily[WardCode],"NICU")=0,"",SUMIFS(tblDaily[Admissions],tblDaily[EntryDate],DATE(2026,3,24),tblDaily[WardCode],"NICU")),"")</f>
        <v/>
      </c>
      <c r="C108" s="5" t="str">
        <f>IFERROR(IF(SUMIFS(tblDaily[Discharges],tblDaily[EntryDate],DATE(2026,3,24),tblDaily[WardCode],"NICU")=0,"",SUMIFS(tblDaily[Discharges],tblDaily[EntryDate],DATE(2026,3,24),tblDaily[WardCode],"NICU")),"")</f>
        <v/>
      </c>
      <c r="D108" s="5" t="str">
        <f>IFERROR(IF(SUMIFS(tblDaily[Deaths],tblDaily[EntryDate],DATE(2026,3,24),tblDaily[WardCode],"NICU")=0,"",SUMIFS(tblDaily[Deaths],tblDaily[EntryDate],DATE(2026,3,24),tblDaily[WardCode],"NICU")),"")</f>
        <v/>
      </c>
      <c r="E108" s="5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5" t="str">
        <f>IFERROR(IF(SUMIFS(tblDaily[TransfersIn],tblDaily[EntryDate],DATE(2026,3,24),tblDaily[WardCode],"NICU")=0,"",SUMIFS(tblDaily[TransfersIn],tblDaily[EntryDate],DATE(2026,3,24),tblDaily[WardCode],"NICU")),"")</f>
        <v/>
      </c>
      <c r="G108" s="5" t="str">
        <f>IFERROR(IF(SUMIFS(tblDaily[TransfersOut],tblDaily[EntryDate],DATE(2026,3,24),tblDaily[WardCode],"NICU")=0,"",SUMIFS(tblDaily[TransfersOut],tblDaily[EntryDate],DATE(2026,3,24),tblDaily[WardCode],"NICU")),"")</f>
        <v/>
      </c>
      <c r="H108" s="5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IFERROR(IF(SUMIFS(tblDaily[Admissions],tblDaily[EntryDate],DATE(2026,3,25),tblDaily[WardCode],"NICU")=0,"",SUMIFS(tblDaily[Admissions],tblDaily[EntryDate],DATE(2026,3,25),tblDaily[WardCode],"NICU")),"")</f>
        <v/>
      </c>
      <c r="C109" s="5" t="str">
        <f>IFERROR(IF(SUMIFS(tblDaily[Discharges],tblDaily[EntryDate],DATE(2026,3,25),tblDaily[WardCode],"NICU")=0,"",SUMIFS(tblDaily[Discharges],tblDaily[EntryDate],DATE(2026,3,25),tblDaily[WardCode],"NICU")),"")</f>
        <v/>
      </c>
      <c r="D109" s="5" t="str">
        <f>IFERROR(IF(SUMIFS(tblDaily[Deaths],tblDaily[EntryDate],DATE(2026,3,25),tblDaily[WardCode],"NICU")=0,"",SUMIFS(tblDaily[Deaths],tblDaily[EntryDate],DATE(2026,3,25),tblDaily[WardCode],"NICU")),"")</f>
        <v/>
      </c>
      <c r="E109" s="5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5" t="str">
        <f>IFERROR(IF(SUMIFS(tblDaily[TransfersIn],tblDaily[EntryDate],DATE(2026,3,25),tblDaily[WardCode],"NICU")=0,"",SUMIFS(tblDaily[TransfersIn],tblDaily[EntryDate],DATE(2026,3,25),tblDaily[WardCode],"NICU")),"")</f>
        <v/>
      </c>
      <c r="G109" s="5" t="str">
        <f>IFERROR(IF(SUMIFS(tblDaily[TransfersOut],tblDaily[EntryDate],DATE(2026,3,25),tblDaily[WardCode],"NICU")=0,"",SUMIFS(tblDaily[TransfersOut],tblDaily[EntryDate],DATE(2026,3,25),tblDaily[WardCode],"NICU")),"")</f>
        <v/>
      </c>
      <c r="H109" s="5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IFERROR(IF(SUMIFS(tblDaily[Admissions],tblDaily[EntryDate],DATE(2026,3,26),tblDaily[WardCode],"NICU")=0,"",SUMIFS(tblDaily[Admissions],tblDaily[EntryDate],DATE(2026,3,26),tblDaily[WardCode],"NICU")),"")</f>
        <v/>
      </c>
      <c r="C110" s="5" t="str">
        <f>IFERROR(IF(SUMIFS(tblDaily[Discharges],tblDaily[EntryDate],DATE(2026,3,26),tblDaily[WardCode],"NICU")=0,"",SUMIFS(tblDaily[Discharges],tblDaily[EntryDate],DATE(2026,3,26),tblDaily[WardCode],"NICU")),"")</f>
        <v/>
      </c>
      <c r="D110" s="5" t="str">
        <f>IFERROR(IF(SUMIFS(tblDaily[Deaths],tblDaily[EntryDate],DATE(2026,3,26),tblDaily[WardCode],"NICU")=0,"",SUMIFS(tblDaily[Deaths],tblDaily[EntryDate],DATE(2026,3,26),tblDaily[WardCode],"NICU")),"")</f>
        <v/>
      </c>
      <c r="E110" s="5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5" t="str">
        <f>IFERROR(IF(SUMIFS(tblDaily[TransfersIn],tblDaily[EntryDate],DATE(2026,3,26),tblDaily[WardCode],"NICU")=0,"",SUMIFS(tblDaily[TransfersIn],tblDaily[EntryDate],DATE(2026,3,26),tblDaily[WardCode],"NICU")),"")</f>
        <v/>
      </c>
      <c r="G110" s="5" t="str">
        <f>IFERROR(IF(SUMIFS(tblDaily[TransfersOut],tblDaily[EntryDate],DATE(2026,3,26),tblDaily[WardCode],"NICU")=0,"",SUMIFS(tblDaily[TransfersOut],tblDaily[EntryDate],DATE(2026,3,26),tblDaily[WardCode],"NICU")),"")</f>
        <v/>
      </c>
      <c r="H110" s="5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IFERROR(IF(SUMIFS(tblDaily[Admissions],tblDaily[EntryDate],DATE(2026,3,27),tblDaily[WardCode],"NICU")=0,"",SUMIFS(tblDaily[Admissions],tblDaily[EntryDate],DATE(2026,3,27),tblDaily[WardCode],"NICU")),"")</f>
        <v/>
      </c>
      <c r="C111" s="5" t="str">
        <f>IFERROR(IF(SUMIFS(tblDaily[Discharges],tblDaily[EntryDate],DATE(2026,3,27),tblDaily[WardCode],"NICU")=0,"",SUMIFS(tblDaily[Discharges],tblDaily[EntryDate],DATE(2026,3,27),tblDaily[WardCode],"NICU")),"")</f>
        <v/>
      </c>
      <c r="D111" s="5" t="str">
        <f>IFERROR(IF(SUMIFS(tblDaily[Deaths],tblDaily[EntryDate],DATE(2026,3,27),tblDaily[WardCode],"NICU")=0,"",SUMIFS(tblDaily[Deaths],tblDaily[EntryDate],DATE(2026,3,27),tblDaily[WardCode],"NICU")),"")</f>
        <v/>
      </c>
      <c r="E111" s="5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5" t="str">
        <f>IFERROR(IF(SUMIFS(tblDaily[TransfersIn],tblDaily[EntryDate],DATE(2026,3,27),tblDaily[WardCode],"NICU")=0,"",SUMIFS(tblDaily[TransfersIn],tblDaily[EntryDate],DATE(2026,3,27),tblDaily[WardCode],"NICU")),"")</f>
        <v/>
      </c>
      <c r="G111" s="5" t="str">
        <f>IFERROR(IF(SUMIFS(tblDaily[TransfersOut],tblDaily[EntryDate],DATE(2026,3,27),tblDaily[WardCode],"NICU")=0,"",SUMIFS(tblDaily[TransfersOut],tblDaily[EntryDate],DATE(2026,3,27),tblDaily[WardCode],"NICU")),"")</f>
        <v/>
      </c>
      <c r="H111" s="5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IFERROR(IF(SUMIFS(tblDaily[Admissions],tblDaily[EntryDate],DATE(2026,3,28),tblDaily[WardCode],"NICU")=0,"",SUMIFS(tblDaily[Admissions],tblDaily[EntryDate],DATE(2026,3,28),tblDaily[WardCode],"NICU")),"")</f>
        <v/>
      </c>
      <c r="C112" s="5" t="str">
        <f>IFERROR(IF(SUMIFS(tblDaily[Discharges],tblDaily[EntryDate],DATE(2026,3,28),tblDaily[WardCode],"NICU")=0,"",SUMIFS(tblDaily[Discharges],tblDaily[EntryDate],DATE(2026,3,28),tblDaily[WardCode],"NICU")),"")</f>
        <v/>
      </c>
      <c r="D112" s="5" t="str">
        <f>IFERROR(IF(SUMIFS(tblDaily[Deaths],tblDaily[EntryDate],DATE(2026,3,28),tblDaily[WardCode],"NICU")=0,"",SUMIFS(tblDaily[Deaths],tblDaily[EntryDate],DATE(2026,3,28),tblDaily[WardCode],"NICU")),"")</f>
        <v/>
      </c>
      <c r="E112" s="5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5" t="str">
        <f>IFERROR(IF(SUMIFS(tblDaily[TransfersIn],tblDaily[EntryDate],DATE(2026,3,28),tblDaily[WardCode],"NICU")=0,"",SUMIFS(tblDaily[TransfersIn],tblDaily[EntryDate],DATE(2026,3,28),tblDaily[WardCode],"NICU")),"")</f>
        <v/>
      </c>
      <c r="G112" s="5" t="str">
        <f>IFERROR(IF(SUMIFS(tblDaily[TransfersOut],tblDaily[EntryDate],DATE(2026,3,28),tblDaily[WardCode],"NICU")=0,"",SUMIFS(tblDaily[TransfersOut],tblDaily[EntryDate],DATE(2026,3,28),tblDaily[WardCode],"NICU")),"")</f>
        <v/>
      </c>
      <c r="H112" s="5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IFERROR(IF(SUMIFS(tblDaily[Admissions],tblDaily[EntryDate],DATE(2026,3,29),tblDaily[WardCode],"NICU")=0,"",SUMIFS(tblDaily[Admissions],tblDaily[EntryDate],DATE(2026,3,29),tblDaily[WardCode],"NICU")),"")</f>
        <v/>
      </c>
      <c r="C113" s="5" t="str">
        <f>IFERROR(IF(SUMIFS(tblDaily[Discharges],tblDaily[EntryDate],DATE(2026,3,29),tblDaily[WardCode],"NICU")=0,"",SUMIFS(tblDaily[Discharges],tblDaily[EntryDate],DATE(2026,3,29),tblDaily[WardCode],"NICU")),"")</f>
        <v/>
      </c>
      <c r="D113" s="5" t="str">
        <f>IFERROR(IF(SUMIFS(tblDaily[Deaths],tblDaily[EntryDate],DATE(2026,3,29),tblDaily[WardCode],"NICU")=0,"",SUMIFS(tblDaily[Deaths],tblDaily[EntryDate],DATE(2026,3,29),tblDaily[WardCode],"NICU")),"")</f>
        <v/>
      </c>
      <c r="E113" s="5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5" t="str">
        <f>IFERROR(IF(SUMIFS(tblDaily[TransfersIn],tblDaily[EntryDate],DATE(2026,3,29),tblDaily[WardCode],"NICU")=0,"",SUMIFS(tblDaily[TransfersIn],tblDaily[EntryDate],DATE(2026,3,29),tblDaily[WardCode],"NICU")),"")</f>
        <v/>
      </c>
      <c r="G113" s="5" t="str">
        <f>IFERROR(IF(SUMIFS(tblDaily[TransfersOut],tblDaily[EntryDate],DATE(2026,3,29),tblDaily[WardCode],"NICU")=0,"",SUMIFS(tblDaily[TransfersOut],tblDaily[EntryDate],DATE(2026,3,29),tblDaily[WardCode],"NICU")),"")</f>
        <v/>
      </c>
      <c r="H113" s="5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IFERROR(IF(SUMIFS(tblDaily[Admissions],tblDaily[EntryDate],DATE(2026,3,30),tblDaily[WardCode],"NICU")=0,"",SUMIFS(tblDaily[Admissions],tblDaily[EntryDate],DATE(2026,3,30),tblDaily[WardCode],"NICU")),"")</f>
        <v/>
      </c>
      <c r="C114" s="5" t="str">
        <f>IFERROR(IF(SUMIFS(tblDaily[Discharges],tblDaily[EntryDate],DATE(2026,3,30),tblDaily[WardCode],"NICU")=0,"",SUMIFS(tblDaily[Discharges],tblDaily[EntryDate],DATE(2026,3,30),tblDaily[WardCode],"NICU")),"")</f>
        <v/>
      </c>
      <c r="D114" s="5" t="str">
        <f>IFERROR(IF(SUMIFS(tblDaily[Deaths],tblDaily[EntryDate],DATE(2026,3,30),tblDaily[WardCode],"NICU")=0,"",SUMIFS(tblDaily[Deaths],tblDaily[EntryDate],DATE(2026,3,30),tblDaily[WardCode],"NICU")),"")</f>
        <v/>
      </c>
      <c r="E114" s="5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5" t="str">
        <f>IFERROR(IF(SUMIFS(tblDaily[TransfersIn],tblDaily[EntryDate],DATE(2026,3,30),tblDaily[WardCode],"NICU")=0,"",SUMIFS(tblDaily[TransfersIn],tblDaily[EntryDate],DATE(2026,3,30),tblDaily[WardCode],"NICU")),"")</f>
        <v/>
      </c>
      <c r="G114" s="5" t="str">
        <f>IFERROR(IF(SUMIFS(tblDaily[TransfersOut],tblDaily[EntryDate],DATE(2026,3,30),tblDaily[WardCode],"NICU")=0,"",SUMIFS(tblDaily[TransfersOut],tblDaily[EntryDate],DATE(2026,3,30),tblDaily[WardCode],"NICU")),"")</f>
        <v/>
      </c>
      <c r="H114" s="5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IFERROR(IF(SUMIFS(tblDaily[Admissions],tblDaily[EntryDate],DATE(2026,3,31),tblDaily[WardCode],"NICU")=0,"",SUMIFS(tblDaily[Admissions],tblDaily[EntryDate],DATE(2026,3,31),tblDaily[WardCode],"NICU")),"")</f>
        <v/>
      </c>
      <c r="C115" s="5" t="str">
        <f>IFERROR(IF(SUMIFS(tblDaily[Discharges],tblDaily[EntryDate],DATE(2026,3,31),tblDaily[WardCode],"NICU")=0,"",SUMIFS(tblDaily[Discharges],tblDaily[EntryDate],DATE(2026,3,31),tblDaily[WardCode],"NICU")),"")</f>
        <v/>
      </c>
      <c r="D115" s="5" t="str">
        <f>IFERROR(IF(SUMIFS(tblDaily[Deaths],tblDaily[EntryDate],DATE(2026,3,31),tblDaily[WardCode],"NICU")=0,"",SUMIFS(tblDaily[Deaths],tblDaily[EntryDate],DATE(2026,3,31),tblDaily[WardCode],"NICU")),"")</f>
        <v/>
      </c>
      <c r="E115" s="5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5" t="str">
        <f>IFERROR(IF(SUMIFS(tblDaily[TransfersIn],tblDaily[EntryDate],DATE(2026,3,31),tblDaily[WardCode],"NICU")=0,"",SUMIFS(tblDaily[TransfersIn],tblDaily[EntryDate],DATE(2026,3,31),tblDaily[WardCode],"NICU")),"")</f>
        <v/>
      </c>
      <c r="G115" s="5" t="str">
        <f>IFERROR(IF(SUMIFS(tblDaily[TransfersOut],tblDaily[EntryDate],DATE(2026,3,31),tblDaily[WardCode],"NICU")=0,"",SUMIFS(tblDaily[TransfersOut],tblDaily[EntryDate],DATE(2026,3,31),tblDaily[WardCode],"NICU")),"")</f>
        <v/>
      </c>
      <c r="H115" s="5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95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101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89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IFERROR(IF(SUMIFS(tblDaily[Admissions],tblDaily[EntryDate],DATE(2026,4,1),tblDaily[WardCode],"NICU")=0,"",SUMIFS(tblDaily[Admissions],tblDaily[EntryDate],DATE(2026,4,1),tblDaily[WardCode],"NICU")),"")</f>
        <v/>
      </c>
      <c r="C124" s="5" t="str">
        <f>IFERROR(IF(SUMIFS(tblDaily[Discharges],tblDaily[EntryDate],DATE(2026,4,1),tblDaily[WardCode],"NICU")=0,"",SUMIFS(tblDaily[Discharges],tblDaily[EntryDate],DATE(2026,4,1),tblDaily[WardCode],"NICU")),"")</f>
        <v/>
      </c>
      <c r="D124" s="5" t="str">
        <f>IFERROR(IF(SUMIFS(tblDaily[Deaths],tblDaily[EntryDate],DATE(2026,4,1),tblDaily[WardCode],"NICU")=0,"",SUMIFS(tblDaily[Deaths],tblDaily[EntryDate],DATE(2026,4,1),tblDaily[WardCode],"NICU")),"")</f>
        <v/>
      </c>
      <c r="E124" s="5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5" t="str">
        <f>IFERROR(IF(SUMIFS(tblDaily[TransfersIn],tblDaily[EntryDate],DATE(2026,4,1),tblDaily[WardCode],"NICU")=0,"",SUMIFS(tblDaily[TransfersIn],tblDaily[EntryDate],DATE(2026,4,1),tblDaily[WardCode],"NICU")),"")</f>
        <v/>
      </c>
      <c r="G124" s="5" t="str">
        <f>IFERROR(IF(SUMIFS(tblDaily[TransfersOut],tblDaily[EntryDate],DATE(2026,4,1),tblDaily[WardCode],"NICU")=0,"",SUMIFS(tblDaily[TransfersOut],tblDaily[EntryDate],DATE(2026,4,1),tblDaily[WardCode],"NICU")),"")</f>
        <v/>
      </c>
      <c r="H124" s="5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IFERROR(IF(SUMIFS(tblDaily[Admissions],tblDaily[EntryDate],DATE(2026,4,2),tblDaily[WardCode],"NICU")=0,"",SUMIFS(tblDaily[Admissions],tblDaily[EntryDate],DATE(2026,4,2),tblDaily[WardCode],"NICU")),"")</f>
        <v/>
      </c>
      <c r="C125" s="5" t="str">
        <f>IFERROR(IF(SUMIFS(tblDaily[Discharges],tblDaily[EntryDate],DATE(2026,4,2),tblDaily[WardCode],"NICU")=0,"",SUMIFS(tblDaily[Discharges],tblDaily[EntryDate],DATE(2026,4,2),tblDaily[WardCode],"NICU")),"")</f>
        <v/>
      </c>
      <c r="D125" s="5" t="str">
        <f>IFERROR(IF(SUMIFS(tblDaily[Deaths],tblDaily[EntryDate],DATE(2026,4,2),tblDaily[WardCode],"NICU")=0,"",SUMIFS(tblDaily[Deaths],tblDaily[EntryDate],DATE(2026,4,2),tblDaily[WardCode],"NICU")),"")</f>
        <v/>
      </c>
      <c r="E125" s="5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5" t="str">
        <f>IFERROR(IF(SUMIFS(tblDaily[TransfersIn],tblDaily[EntryDate],DATE(2026,4,2),tblDaily[WardCode],"NICU")=0,"",SUMIFS(tblDaily[TransfersIn],tblDaily[EntryDate],DATE(2026,4,2),tblDaily[WardCode],"NICU")),"")</f>
        <v/>
      </c>
      <c r="G125" s="5" t="str">
        <f>IFERROR(IF(SUMIFS(tblDaily[TransfersOut],tblDaily[EntryDate],DATE(2026,4,2),tblDaily[WardCode],"NICU")=0,"",SUMIFS(tblDaily[TransfersOut],tblDaily[EntryDate],DATE(2026,4,2),tblDaily[WardCode],"NICU")),"")</f>
        <v/>
      </c>
      <c r="H125" s="5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IFERROR(IF(SUMIFS(tblDaily[Admissions],tblDaily[EntryDate],DATE(2026,4,3),tblDaily[WardCode],"NICU")=0,"",SUMIFS(tblDaily[Admissions],tblDaily[EntryDate],DATE(2026,4,3),tblDaily[WardCode],"NICU")),"")</f>
        <v/>
      </c>
      <c r="C126" s="5" t="str">
        <f>IFERROR(IF(SUMIFS(tblDaily[Discharges],tblDaily[EntryDate],DATE(2026,4,3),tblDaily[WardCode],"NICU")=0,"",SUMIFS(tblDaily[Discharges],tblDaily[EntryDate],DATE(2026,4,3),tblDaily[WardCode],"NICU")),"")</f>
        <v/>
      </c>
      <c r="D126" s="5" t="str">
        <f>IFERROR(IF(SUMIFS(tblDaily[Deaths],tblDaily[EntryDate],DATE(2026,4,3),tblDaily[WardCode],"NICU")=0,"",SUMIFS(tblDaily[Deaths],tblDaily[EntryDate],DATE(2026,4,3),tblDaily[WardCode],"NICU")),"")</f>
        <v/>
      </c>
      <c r="E126" s="5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5" t="str">
        <f>IFERROR(IF(SUMIFS(tblDaily[TransfersIn],tblDaily[EntryDate],DATE(2026,4,3),tblDaily[WardCode],"NICU")=0,"",SUMIFS(tblDaily[TransfersIn],tblDaily[EntryDate],DATE(2026,4,3),tblDaily[WardCode],"NICU")),"")</f>
        <v/>
      </c>
      <c r="G126" s="5" t="str">
        <f>IFERROR(IF(SUMIFS(tblDaily[TransfersOut],tblDaily[EntryDate],DATE(2026,4,3),tblDaily[WardCode],"NICU")=0,"",SUMIFS(tblDaily[TransfersOut],tblDaily[EntryDate],DATE(2026,4,3),tblDaily[WardCode],"NICU")),"")</f>
        <v/>
      </c>
      <c r="H126" s="5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IFERROR(IF(SUMIFS(tblDaily[Admissions],tblDaily[EntryDate],DATE(2026,4,4),tblDaily[WardCode],"NICU")=0,"",SUMIFS(tblDaily[Admissions],tblDaily[EntryDate],DATE(2026,4,4),tblDaily[WardCode],"NICU")),"")</f>
        <v/>
      </c>
      <c r="C127" s="5" t="str">
        <f>IFERROR(IF(SUMIFS(tblDaily[Discharges],tblDaily[EntryDate],DATE(2026,4,4),tblDaily[WardCode],"NICU")=0,"",SUMIFS(tblDaily[Discharges],tblDaily[EntryDate],DATE(2026,4,4),tblDaily[WardCode],"NICU")),"")</f>
        <v/>
      </c>
      <c r="D127" s="5" t="str">
        <f>IFERROR(IF(SUMIFS(tblDaily[Deaths],tblDaily[EntryDate],DATE(2026,4,4),tblDaily[WardCode],"NICU")=0,"",SUMIFS(tblDaily[Deaths],tblDaily[EntryDate],DATE(2026,4,4),tblDaily[WardCode],"NICU")),"")</f>
        <v/>
      </c>
      <c r="E127" s="5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5" t="str">
        <f>IFERROR(IF(SUMIFS(tblDaily[TransfersIn],tblDaily[EntryDate],DATE(2026,4,4),tblDaily[WardCode],"NICU")=0,"",SUMIFS(tblDaily[TransfersIn],tblDaily[EntryDate],DATE(2026,4,4),tblDaily[WardCode],"NICU")),"")</f>
        <v/>
      </c>
      <c r="G127" s="5" t="str">
        <f>IFERROR(IF(SUMIFS(tblDaily[TransfersOut],tblDaily[EntryDate],DATE(2026,4,4),tblDaily[WardCode],"NICU")=0,"",SUMIFS(tblDaily[TransfersOut],tblDaily[EntryDate],DATE(2026,4,4),tblDaily[WardCode],"NICU")),"")</f>
        <v/>
      </c>
      <c r="H127" s="5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IFERROR(IF(SUMIFS(tblDaily[Admissions],tblDaily[EntryDate],DATE(2026,4,5),tblDaily[WardCode],"NICU")=0,"",SUMIFS(tblDaily[Admissions],tblDaily[EntryDate],DATE(2026,4,5),tblDaily[WardCode],"NICU")),"")</f>
        <v/>
      </c>
      <c r="C128" s="5" t="str">
        <f>IFERROR(IF(SUMIFS(tblDaily[Discharges],tblDaily[EntryDate],DATE(2026,4,5),tblDaily[WardCode],"NICU")=0,"",SUMIFS(tblDaily[Discharges],tblDaily[EntryDate],DATE(2026,4,5),tblDaily[WardCode],"NICU")),"")</f>
        <v/>
      </c>
      <c r="D128" s="5" t="str">
        <f>IFERROR(IF(SUMIFS(tblDaily[Deaths],tblDaily[EntryDate],DATE(2026,4,5),tblDaily[WardCode],"NICU")=0,"",SUMIFS(tblDaily[Deaths],tblDaily[EntryDate],DATE(2026,4,5),tblDaily[WardCode],"NICU")),"")</f>
        <v/>
      </c>
      <c r="E128" s="5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5" t="str">
        <f>IFERROR(IF(SUMIFS(tblDaily[TransfersIn],tblDaily[EntryDate],DATE(2026,4,5),tblDaily[WardCode],"NICU")=0,"",SUMIFS(tblDaily[TransfersIn],tblDaily[EntryDate],DATE(2026,4,5),tblDaily[WardCode],"NICU")),"")</f>
        <v/>
      </c>
      <c r="G128" s="5" t="str">
        <f>IFERROR(IF(SUMIFS(tblDaily[TransfersOut],tblDaily[EntryDate],DATE(2026,4,5),tblDaily[WardCode],"NICU")=0,"",SUMIFS(tblDaily[TransfersOut],tblDaily[EntryDate],DATE(2026,4,5),tblDaily[WardCode],"NICU")),"")</f>
        <v/>
      </c>
      <c r="H128" s="5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IFERROR(IF(SUMIFS(tblDaily[Admissions],tblDaily[EntryDate],DATE(2026,4,6),tblDaily[WardCode],"NICU")=0,"",SUMIFS(tblDaily[Admissions],tblDaily[EntryDate],DATE(2026,4,6),tblDaily[WardCode],"NICU")),"")</f>
        <v/>
      </c>
      <c r="C129" s="5" t="str">
        <f>IFERROR(IF(SUMIFS(tblDaily[Discharges],tblDaily[EntryDate],DATE(2026,4,6),tblDaily[WardCode],"NICU")=0,"",SUMIFS(tblDaily[Discharges],tblDaily[EntryDate],DATE(2026,4,6),tblDaily[WardCode],"NICU")),"")</f>
        <v/>
      </c>
      <c r="D129" s="5" t="str">
        <f>IFERROR(IF(SUMIFS(tblDaily[Deaths],tblDaily[EntryDate],DATE(2026,4,6),tblDaily[WardCode],"NICU")=0,"",SUMIFS(tblDaily[Deaths],tblDaily[EntryDate],DATE(2026,4,6),tblDaily[WardCode],"NICU")),"")</f>
        <v/>
      </c>
      <c r="E129" s="5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5" t="str">
        <f>IFERROR(IF(SUMIFS(tblDaily[TransfersIn],tblDaily[EntryDate],DATE(2026,4,6),tblDaily[WardCode],"NICU")=0,"",SUMIFS(tblDaily[TransfersIn],tblDaily[EntryDate],DATE(2026,4,6),tblDaily[WardCode],"NICU")),"")</f>
        <v/>
      </c>
      <c r="G129" s="5" t="str">
        <f>IFERROR(IF(SUMIFS(tblDaily[TransfersOut],tblDaily[EntryDate],DATE(2026,4,6),tblDaily[WardCode],"NICU")=0,"",SUMIFS(tblDaily[TransfersOut],tblDaily[EntryDate],DATE(2026,4,6),tblDaily[WardCode],"NICU")),"")</f>
        <v/>
      </c>
      <c r="H129" s="5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IFERROR(IF(SUMIFS(tblDaily[Admissions],tblDaily[EntryDate],DATE(2026,4,7),tblDaily[WardCode],"NICU")=0,"",SUMIFS(tblDaily[Admissions],tblDaily[EntryDate],DATE(2026,4,7),tblDaily[WardCode],"NICU")),"")</f>
        <v/>
      </c>
      <c r="C130" s="5" t="str">
        <f>IFERROR(IF(SUMIFS(tblDaily[Discharges],tblDaily[EntryDate],DATE(2026,4,7),tblDaily[WardCode],"NICU")=0,"",SUMIFS(tblDaily[Discharges],tblDaily[EntryDate],DATE(2026,4,7),tblDaily[WardCode],"NICU")),"")</f>
        <v/>
      </c>
      <c r="D130" s="5" t="str">
        <f>IFERROR(IF(SUMIFS(tblDaily[Deaths],tblDaily[EntryDate],DATE(2026,4,7),tblDaily[WardCode],"NICU")=0,"",SUMIFS(tblDaily[Deaths],tblDaily[EntryDate],DATE(2026,4,7),tblDaily[WardCode],"NICU")),"")</f>
        <v/>
      </c>
      <c r="E130" s="5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5" t="str">
        <f>IFERROR(IF(SUMIFS(tblDaily[TransfersIn],tblDaily[EntryDate],DATE(2026,4,7),tblDaily[WardCode],"NICU")=0,"",SUMIFS(tblDaily[TransfersIn],tblDaily[EntryDate],DATE(2026,4,7),tblDaily[WardCode],"NICU")),"")</f>
        <v/>
      </c>
      <c r="G130" s="5" t="str">
        <f>IFERROR(IF(SUMIFS(tblDaily[TransfersOut],tblDaily[EntryDate],DATE(2026,4,7),tblDaily[WardCode],"NICU")=0,"",SUMIFS(tblDaily[TransfersOut],tblDaily[EntryDate],DATE(2026,4,7),tblDaily[WardCode],"NICU")),"")</f>
        <v/>
      </c>
      <c r="H130" s="5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IFERROR(IF(SUMIFS(tblDaily[Admissions],tblDaily[EntryDate],DATE(2026,4,8),tblDaily[WardCode],"NICU")=0,"",SUMIFS(tblDaily[Admissions],tblDaily[EntryDate],DATE(2026,4,8),tblDaily[WardCode],"NICU")),"")</f>
        <v/>
      </c>
      <c r="C131" s="5" t="str">
        <f>IFERROR(IF(SUMIFS(tblDaily[Discharges],tblDaily[EntryDate],DATE(2026,4,8),tblDaily[WardCode],"NICU")=0,"",SUMIFS(tblDaily[Discharges],tblDaily[EntryDate],DATE(2026,4,8),tblDaily[WardCode],"NICU")),"")</f>
        <v/>
      </c>
      <c r="D131" s="5" t="str">
        <f>IFERROR(IF(SUMIFS(tblDaily[Deaths],tblDaily[EntryDate],DATE(2026,4,8),tblDaily[WardCode],"NICU")=0,"",SUMIFS(tblDaily[Deaths],tblDaily[EntryDate],DATE(2026,4,8),tblDaily[WardCode],"NICU")),"")</f>
        <v/>
      </c>
      <c r="E131" s="5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5" t="str">
        <f>IFERROR(IF(SUMIFS(tblDaily[TransfersIn],tblDaily[EntryDate],DATE(2026,4,8),tblDaily[WardCode],"NICU")=0,"",SUMIFS(tblDaily[TransfersIn],tblDaily[EntryDate],DATE(2026,4,8),tblDaily[WardCode],"NICU")),"")</f>
        <v/>
      </c>
      <c r="G131" s="5" t="str">
        <f>IFERROR(IF(SUMIFS(tblDaily[TransfersOut],tblDaily[EntryDate],DATE(2026,4,8),tblDaily[WardCode],"NICU")=0,"",SUMIFS(tblDaily[TransfersOut],tblDaily[EntryDate],DATE(2026,4,8),tblDaily[WardCode],"NICU")),"")</f>
        <v/>
      </c>
      <c r="H131" s="5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IFERROR(IF(SUMIFS(tblDaily[Admissions],tblDaily[EntryDate],DATE(2026,4,9),tblDaily[WardCode],"NICU")=0,"",SUMIFS(tblDaily[Admissions],tblDaily[EntryDate],DATE(2026,4,9),tblDaily[WardCode],"NICU")),"")</f>
        <v/>
      </c>
      <c r="C132" s="5" t="str">
        <f>IFERROR(IF(SUMIFS(tblDaily[Discharges],tblDaily[EntryDate],DATE(2026,4,9),tblDaily[WardCode],"NICU")=0,"",SUMIFS(tblDaily[Discharges],tblDaily[EntryDate],DATE(2026,4,9),tblDaily[WardCode],"NICU")),"")</f>
        <v/>
      </c>
      <c r="D132" s="5" t="str">
        <f>IFERROR(IF(SUMIFS(tblDaily[Deaths],tblDaily[EntryDate],DATE(2026,4,9),tblDaily[WardCode],"NICU")=0,"",SUMIFS(tblDaily[Deaths],tblDaily[EntryDate],DATE(2026,4,9),tblDaily[WardCode],"NICU")),"")</f>
        <v/>
      </c>
      <c r="E132" s="5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5" t="str">
        <f>IFERROR(IF(SUMIFS(tblDaily[TransfersIn],tblDaily[EntryDate],DATE(2026,4,9),tblDaily[WardCode],"NICU")=0,"",SUMIFS(tblDaily[TransfersIn],tblDaily[EntryDate],DATE(2026,4,9),tblDaily[WardCode],"NICU")),"")</f>
        <v/>
      </c>
      <c r="G132" s="5" t="str">
        <f>IFERROR(IF(SUMIFS(tblDaily[TransfersOut],tblDaily[EntryDate],DATE(2026,4,9),tblDaily[WardCode],"NICU")=0,"",SUMIFS(tblDaily[TransfersOut],tblDaily[EntryDate],DATE(2026,4,9),tblDaily[WardCode],"NICU")),"")</f>
        <v/>
      </c>
      <c r="H132" s="5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IFERROR(IF(SUMIFS(tblDaily[Admissions],tblDaily[EntryDate],DATE(2026,4,10),tblDaily[WardCode],"NICU")=0,"",SUMIFS(tblDaily[Admissions],tblDaily[EntryDate],DATE(2026,4,10),tblDaily[WardCode],"NICU")),"")</f>
        <v/>
      </c>
      <c r="C133" s="5" t="str">
        <f>IFERROR(IF(SUMIFS(tblDaily[Discharges],tblDaily[EntryDate],DATE(2026,4,10),tblDaily[WardCode],"NICU")=0,"",SUMIFS(tblDaily[Discharges],tblDaily[EntryDate],DATE(2026,4,10),tblDaily[WardCode],"NICU")),"")</f>
        <v/>
      </c>
      <c r="D133" s="5" t="str">
        <f>IFERROR(IF(SUMIFS(tblDaily[Deaths],tblDaily[EntryDate],DATE(2026,4,10),tblDaily[WardCode],"NICU")=0,"",SUMIFS(tblDaily[Deaths],tblDaily[EntryDate],DATE(2026,4,10),tblDaily[WardCode],"NICU")),"")</f>
        <v/>
      </c>
      <c r="E133" s="5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5" t="str">
        <f>IFERROR(IF(SUMIFS(tblDaily[TransfersIn],tblDaily[EntryDate],DATE(2026,4,10),tblDaily[WardCode],"NICU")=0,"",SUMIFS(tblDaily[TransfersIn],tblDaily[EntryDate],DATE(2026,4,10),tblDaily[WardCode],"NICU")),"")</f>
        <v/>
      </c>
      <c r="G133" s="5" t="str">
        <f>IFERROR(IF(SUMIFS(tblDaily[TransfersOut],tblDaily[EntryDate],DATE(2026,4,10),tblDaily[WardCode],"NICU")=0,"",SUMIFS(tblDaily[TransfersOut],tblDaily[EntryDate],DATE(2026,4,10),tblDaily[WardCode],"NICU")),"")</f>
        <v/>
      </c>
      <c r="H133" s="5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IFERROR(IF(SUMIFS(tblDaily[Admissions],tblDaily[EntryDate],DATE(2026,4,11),tblDaily[WardCode],"NICU")=0,"",SUMIFS(tblDaily[Admissions],tblDaily[EntryDate],DATE(2026,4,11),tblDaily[WardCode],"NICU")),"")</f>
        <v/>
      </c>
      <c r="C134" s="5" t="str">
        <f>IFERROR(IF(SUMIFS(tblDaily[Discharges],tblDaily[EntryDate],DATE(2026,4,11),tblDaily[WardCode],"NICU")=0,"",SUMIFS(tblDaily[Discharges],tblDaily[EntryDate],DATE(2026,4,11),tblDaily[WardCode],"NICU")),"")</f>
        <v/>
      </c>
      <c r="D134" s="5" t="str">
        <f>IFERROR(IF(SUMIFS(tblDaily[Deaths],tblDaily[EntryDate],DATE(2026,4,11),tblDaily[WardCode],"NICU")=0,"",SUMIFS(tblDaily[Deaths],tblDaily[EntryDate],DATE(2026,4,11),tblDaily[WardCode],"NICU")),"")</f>
        <v/>
      </c>
      <c r="E134" s="5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5" t="str">
        <f>IFERROR(IF(SUMIFS(tblDaily[TransfersIn],tblDaily[EntryDate],DATE(2026,4,11),tblDaily[WardCode],"NICU")=0,"",SUMIFS(tblDaily[TransfersIn],tblDaily[EntryDate],DATE(2026,4,11),tblDaily[WardCode],"NICU")),"")</f>
        <v/>
      </c>
      <c r="G134" s="5" t="str">
        <f>IFERROR(IF(SUMIFS(tblDaily[TransfersOut],tblDaily[EntryDate],DATE(2026,4,11),tblDaily[WardCode],"NICU")=0,"",SUMIFS(tblDaily[TransfersOut],tblDaily[EntryDate],DATE(2026,4,11),tblDaily[WardCode],"NICU")),"")</f>
        <v/>
      </c>
      <c r="H134" s="5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IFERROR(IF(SUMIFS(tblDaily[Admissions],tblDaily[EntryDate],DATE(2026,4,12),tblDaily[WardCode],"NICU")=0,"",SUMIFS(tblDaily[Admissions],tblDaily[EntryDate],DATE(2026,4,12),tblDaily[WardCode],"NICU")),"")</f>
        <v/>
      </c>
      <c r="C135" s="5" t="str">
        <f>IFERROR(IF(SUMIFS(tblDaily[Discharges],tblDaily[EntryDate],DATE(2026,4,12),tblDaily[WardCode],"NICU")=0,"",SUMIFS(tblDaily[Discharges],tblDaily[EntryDate],DATE(2026,4,12),tblDaily[WardCode],"NICU")),"")</f>
        <v/>
      </c>
      <c r="D135" s="5" t="str">
        <f>IFERROR(IF(SUMIFS(tblDaily[Deaths],tblDaily[EntryDate],DATE(2026,4,12),tblDaily[WardCode],"NICU")=0,"",SUMIFS(tblDaily[Deaths],tblDaily[EntryDate],DATE(2026,4,12),tblDaily[WardCode],"NICU")),"")</f>
        <v/>
      </c>
      <c r="E135" s="5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5" t="str">
        <f>IFERROR(IF(SUMIFS(tblDaily[TransfersIn],tblDaily[EntryDate],DATE(2026,4,12),tblDaily[WardCode],"NICU")=0,"",SUMIFS(tblDaily[TransfersIn],tblDaily[EntryDate],DATE(2026,4,12),tblDaily[WardCode],"NICU")),"")</f>
        <v/>
      </c>
      <c r="G135" s="5" t="str">
        <f>IFERROR(IF(SUMIFS(tblDaily[TransfersOut],tblDaily[EntryDate],DATE(2026,4,12),tblDaily[WardCode],"NICU")=0,"",SUMIFS(tblDaily[TransfersOut],tblDaily[EntryDate],DATE(2026,4,12),tblDaily[WardCode],"NICU")),"")</f>
        <v/>
      </c>
      <c r="H135" s="5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IFERROR(IF(SUMIFS(tblDaily[Admissions],tblDaily[EntryDate],DATE(2026,4,13),tblDaily[WardCode],"NICU")=0,"",SUMIFS(tblDaily[Admissions],tblDaily[EntryDate],DATE(2026,4,13),tblDaily[WardCode],"NICU")),"")</f>
        <v/>
      </c>
      <c r="C136" s="5" t="str">
        <f>IFERROR(IF(SUMIFS(tblDaily[Discharges],tblDaily[EntryDate],DATE(2026,4,13),tblDaily[WardCode],"NICU")=0,"",SUMIFS(tblDaily[Discharges],tblDaily[EntryDate],DATE(2026,4,13),tblDaily[WardCode],"NICU")),"")</f>
        <v/>
      </c>
      <c r="D136" s="5" t="str">
        <f>IFERROR(IF(SUMIFS(tblDaily[Deaths],tblDaily[EntryDate],DATE(2026,4,13),tblDaily[WardCode],"NICU")=0,"",SUMIFS(tblDaily[Deaths],tblDaily[EntryDate],DATE(2026,4,13),tblDaily[WardCode],"NICU")),"")</f>
        <v/>
      </c>
      <c r="E136" s="5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5" t="str">
        <f>IFERROR(IF(SUMIFS(tblDaily[TransfersIn],tblDaily[EntryDate],DATE(2026,4,13),tblDaily[WardCode],"NICU")=0,"",SUMIFS(tblDaily[TransfersIn],tblDaily[EntryDate],DATE(2026,4,13),tblDaily[WardCode],"NICU")),"")</f>
        <v/>
      </c>
      <c r="G136" s="5" t="str">
        <f>IFERROR(IF(SUMIFS(tblDaily[TransfersOut],tblDaily[EntryDate],DATE(2026,4,13),tblDaily[WardCode],"NICU")=0,"",SUMIFS(tblDaily[TransfersOut],tblDaily[EntryDate],DATE(2026,4,13),tblDaily[WardCode],"NICU")),"")</f>
        <v/>
      </c>
      <c r="H136" s="5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IFERROR(IF(SUMIFS(tblDaily[Admissions],tblDaily[EntryDate],DATE(2026,4,14),tblDaily[WardCode],"NICU")=0,"",SUMIFS(tblDaily[Admissions],tblDaily[EntryDate],DATE(2026,4,14),tblDaily[WardCode],"NICU")),"")</f>
        <v/>
      </c>
      <c r="C137" s="5" t="str">
        <f>IFERROR(IF(SUMIFS(tblDaily[Discharges],tblDaily[EntryDate],DATE(2026,4,14),tblDaily[WardCode],"NICU")=0,"",SUMIFS(tblDaily[Discharges],tblDaily[EntryDate],DATE(2026,4,14),tblDaily[WardCode],"NICU")),"")</f>
        <v/>
      </c>
      <c r="D137" s="5" t="str">
        <f>IFERROR(IF(SUMIFS(tblDaily[Deaths],tblDaily[EntryDate],DATE(2026,4,14),tblDaily[WardCode],"NICU")=0,"",SUMIFS(tblDaily[Deaths],tblDaily[EntryDate],DATE(2026,4,14),tblDaily[WardCode],"NICU")),"")</f>
        <v/>
      </c>
      <c r="E137" s="5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5" t="str">
        <f>IFERROR(IF(SUMIFS(tblDaily[TransfersIn],tblDaily[EntryDate],DATE(2026,4,14),tblDaily[WardCode],"NICU")=0,"",SUMIFS(tblDaily[TransfersIn],tblDaily[EntryDate],DATE(2026,4,14),tblDaily[WardCode],"NICU")),"")</f>
        <v/>
      </c>
      <c r="G137" s="5" t="str">
        <f>IFERROR(IF(SUMIFS(tblDaily[TransfersOut],tblDaily[EntryDate],DATE(2026,4,14),tblDaily[WardCode],"NICU")=0,"",SUMIFS(tblDaily[TransfersOut],tblDaily[EntryDate],DATE(2026,4,14),tblDaily[WardCode],"NICU")),"")</f>
        <v/>
      </c>
      <c r="H137" s="5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IFERROR(IF(SUMIFS(tblDaily[Admissions],tblDaily[EntryDate],DATE(2026,4,15),tblDaily[WardCode],"NICU")=0,"",SUMIFS(tblDaily[Admissions],tblDaily[EntryDate],DATE(2026,4,15),tblDaily[WardCode],"NICU")),"")</f>
        <v/>
      </c>
      <c r="C138" s="5" t="str">
        <f>IFERROR(IF(SUMIFS(tblDaily[Discharges],tblDaily[EntryDate],DATE(2026,4,15),tblDaily[WardCode],"NICU")=0,"",SUMIFS(tblDaily[Discharges],tblDaily[EntryDate],DATE(2026,4,15),tblDaily[WardCode],"NICU")),"")</f>
        <v/>
      </c>
      <c r="D138" s="5" t="str">
        <f>IFERROR(IF(SUMIFS(tblDaily[Deaths],tblDaily[EntryDate],DATE(2026,4,15),tblDaily[WardCode],"NICU")=0,"",SUMIFS(tblDaily[Deaths],tblDaily[EntryDate],DATE(2026,4,15),tblDaily[WardCode],"NICU")),"")</f>
        <v/>
      </c>
      <c r="E138" s="5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5" t="str">
        <f>IFERROR(IF(SUMIFS(tblDaily[TransfersIn],tblDaily[EntryDate],DATE(2026,4,15),tblDaily[WardCode],"NICU")=0,"",SUMIFS(tblDaily[TransfersIn],tblDaily[EntryDate],DATE(2026,4,15),tblDaily[WardCode],"NICU")),"")</f>
        <v/>
      </c>
      <c r="G138" s="5" t="str">
        <f>IFERROR(IF(SUMIFS(tblDaily[TransfersOut],tblDaily[EntryDate],DATE(2026,4,15),tblDaily[WardCode],"NICU")=0,"",SUMIFS(tblDaily[TransfersOut],tblDaily[EntryDate],DATE(2026,4,15),tblDaily[WardCode],"NICU")),"")</f>
        <v/>
      </c>
      <c r="H138" s="5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IFERROR(IF(SUMIFS(tblDaily[Admissions],tblDaily[EntryDate],DATE(2026,4,16),tblDaily[WardCode],"NICU")=0,"",SUMIFS(tblDaily[Admissions],tblDaily[EntryDate],DATE(2026,4,16),tblDaily[WardCode],"NICU")),"")</f>
        <v/>
      </c>
      <c r="C139" s="5" t="str">
        <f>IFERROR(IF(SUMIFS(tblDaily[Discharges],tblDaily[EntryDate],DATE(2026,4,16),tblDaily[WardCode],"NICU")=0,"",SUMIFS(tblDaily[Discharges],tblDaily[EntryDate],DATE(2026,4,16),tblDaily[WardCode],"NICU")),"")</f>
        <v/>
      </c>
      <c r="D139" s="5" t="str">
        <f>IFERROR(IF(SUMIFS(tblDaily[Deaths],tblDaily[EntryDate],DATE(2026,4,16),tblDaily[WardCode],"NICU")=0,"",SUMIFS(tblDaily[Deaths],tblDaily[EntryDate],DATE(2026,4,16),tblDaily[WardCode],"NICU")),"")</f>
        <v/>
      </c>
      <c r="E139" s="5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5" t="str">
        <f>IFERROR(IF(SUMIFS(tblDaily[TransfersIn],tblDaily[EntryDate],DATE(2026,4,16),tblDaily[WardCode],"NICU")=0,"",SUMIFS(tblDaily[TransfersIn],tblDaily[EntryDate],DATE(2026,4,16),tblDaily[WardCode],"NICU")),"")</f>
        <v/>
      </c>
      <c r="G139" s="5" t="str">
        <f>IFERROR(IF(SUMIFS(tblDaily[TransfersOut],tblDaily[EntryDate],DATE(2026,4,16),tblDaily[WardCode],"NICU")=0,"",SUMIFS(tblDaily[TransfersOut],tblDaily[EntryDate],DATE(2026,4,16),tblDaily[WardCode],"NICU")),"")</f>
        <v/>
      </c>
      <c r="H139" s="5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IFERROR(IF(SUMIFS(tblDaily[Admissions],tblDaily[EntryDate],DATE(2026,4,17),tblDaily[WardCode],"NICU")=0,"",SUMIFS(tblDaily[Admissions],tblDaily[EntryDate],DATE(2026,4,17),tblDaily[WardCode],"NICU")),"")</f>
        <v/>
      </c>
      <c r="C140" s="5" t="str">
        <f>IFERROR(IF(SUMIFS(tblDaily[Discharges],tblDaily[EntryDate],DATE(2026,4,17),tblDaily[WardCode],"NICU")=0,"",SUMIFS(tblDaily[Discharges],tblDaily[EntryDate],DATE(2026,4,17),tblDaily[WardCode],"NICU")),"")</f>
        <v/>
      </c>
      <c r="D140" s="5" t="str">
        <f>IFERROR(IF(SUMIFS(tblDaily[Deaths],tblDaily[EntryDate],DATE(2026,4,17),tblDaily[WardCode],"NICU")=0,"",SUMIFS(tblDaily[Deaths],tblDaily[EntryDate],DATE(2026,4,17),tblDaily[WardCode],"NICU")),"")</f>
        <v/>
      </c>
      <c r="E140" s="5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5" t="str">
        <f>IFERROR(IF(SUMIFS(tblDaily[TransfersIn],tblDaily[EntryDate],DATE(2026,4,17),tblDaily[WardCode],"NICU")=0,"",SUMIFS(tblDaily[TransfersIn],tblDaily[EntryDate],DATE(2026,4,17),tblDaily[WardCode],"NICU")),"")</f>
        <v/>
      </c>
      <c r="G140" s="5" t="str">
        <f>IFERROR(IF(SUMIFS(tblDaily[TransfersOut],tblDaily[EntryDate],DATE(2026,4,17),tblDaily[WardCode],"NICU")=0,"",SUMIFS(tblDaily[TransfersOut],tblDaily[EntryDate],DATE(2026,4,17),tblDaily[WardCode],"NICU")),"")</f>
        <v/>
      </c>
      <c r="H140" s="5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IFERROR(IF(SUMIFS(tblDaily[Admissions],tblDaily[EntryDate],DATE(2026,4,18),tblDaily[WardCode],"NICU")=0,"",SUMIFS(tblDaily[Admissions],tblDaily[EntryDate],DATE(2026,4,18),tblDaily[WardCode],"NICU")),"")</f>
        <v/>
      </c>
      <c r="C141" s="5" t="str">
        <f>IFERROR(IF(SUMIFS(tblDaily[Discharges],tblDaily[EntryDate],DATE(2026,4,18),tblDaily[WardCode],"NICU")=0,"",SUMIFS(tblDaily[Discharges],tblDaily[EntryDate],DATE(2026,4,18),tblDaily[WardCode],"NICU")),"")</f>
        <v/>
      </c>
      <c r="D141" s="5" t="str">
        <f>IFERROR(IF(SUMIFS(tblDaily[Deaths],tblDaily[EntryDate],DATE(2026,4,18),tblDaily[WardCode],"NICU")=0,"",SUMIFS(tblDaily[Deaths],tblDaily[EntryDate],DATE(2026,4,18),tblDaily[WardCode],"NICU")),"")</f>
        <v/>
      </c>
      <c r="E141" s="5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5" t="str">
        <f>IFERROR(IF(SUMIFS(tblDaily[TransfersIn],tblDaily[EntryDate],DATE(2026,4,18),tblDaily[WardCode],"NICU")=0,"",SUMIFS(tblDaily[TransfersIn],tblDaily[EntryDate],DATE(2026,4,18),tblDaily[WardCode],"NICU")),"")</f>
        <v/>
      </c>
      <c r="G141" s="5" t="str">
        <f>IFERROR(IF(SUMIFS(tblDaily[TransfersOut],tblDaily[EntryDate],DATE(2026,4,18),tblDaily[WardCode],"NICU")=0,"",SUMIFS(tblDaily[TransfersOut],tblDaily[EntryDate],DATE(2026,4,18),tblDaily[WardCode],"NICU")),"")</f>
        <v/>
      </c>
      <c r="H141" s="5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IFERROR(IF(SUMIFS(tblDaily[Admissions],tblDaily[EntryDate],DATE(2026,4,19),tblDaily[WardCode],"NICU")=0,"",SUMIFS(tblDaily[Admissions],tblDaily[EntryDate],DATE(2026,4,19),tblDaily[WardCode],"NICU")),"")</f>
        <v/>
      </c>
      <c r="C142" s="5" t="str">
        <f>IFERROR(IF(SUMIFS(tblDaily[Discharges],tblDaily[EntryDate],DATE(2026,4,19),tblDaily[WardCode],"NICU")=0,"",SUMIFS(tblDaily[Discharges],tblDaily[EntryDate],DATE(2026,4,19),tblDaily[WardCode],"NICU")),"")</f>
        <v/>
      </c>
      <c r="D142" s="5" t="str">
        <f>IFERROR(IF(SUMIFS(tblDaily[Deaths],tblDaily[EntryDate],DATE(2026,4,19),tblDaily[WardCode],"NICU")=0,"",SUMIFS(tblDaily[Deaths],tblDaily[EntryDate],DATE(2026,4,19),tblDaily[WardCode],"NICU")),"")</f>
        <v/>
      </c>
      <c r="E142" s="5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5" t="str">
        <f>IFERROR(IF(SUMIFS(tblDaily[TransfersIn],tblDaily[EntryDate],DATE(2026,4,19),tblDaily[WardCode],"NICU")=0,"",SUMIFS(tblDaily[TransfersIn],tblDaily[EntryDate],DATE(2026,4,19),tblDaily[WardCode],"NICU")),"")</f>
        <v/>
      </c>
      <c r="G142" s="5" t="str">
        <f>IFERROR(IF(SUMIFS(tblDaily[TransfersOut],tblDaily[EntryDate],DATE(2026,4,19),tblDaily[WardCode],"NICU")=0,"",SUMIFS(tblDaily[TransfersOut],tblDaily[EntryDate],DATE(2026,4,19),tblDaily[WardCode],"NICU")),"")</f>
        <v/>
      </c>
      <c r="H142" s="5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IFERROR(IF(SUMIFS(tblDaily[Admissions],tblDaily[EntryDate],DATE(2026,4,20),tblDaily[WardCode],"NICU")=0,"",SUMIFS(tblDaily[Admissions],tblDaily[EntryDate],DATE(2026,4,20),tblDaily[WardCode],"NICU")),"")</f>
        <v/>
      </c>
      <c r="C143" s="5" t="str">
        <f>IFERROR(IF(SUMIFS(tblDaily[Discharges],tblDaily[EntryDate],DATE(2026,4,20),tblDaily[WardCode],"NICU")=0,"",SUMIFS(tblDaily[Discharges],tblDaily[EntryDate],DATE(2026,4,20),tblDaily[WardCode],"NICU")),"")</f>
        <v/>
      </c>
      <c r="D143" s="5" t="str">
        <f>IFERROR(IF(SUMIFS(tblDaily[Deaths],tblDaily[EntryDate],DATE(2026,4,20),tblDaily[WardCode],"NICU")=0,"",SUMIFS(tblDaily[Deaths],tblDaily[EntryDate],DATE(2026,4,20),tblDaily[WardCode],"NICU")),"")</f>
        <v/>
      </c>
      <c r="E143" s="5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5" t="str">
        <f>IFERROR(IF(SUMIFS(tblDaily[TransfersIn],tblDaily[EntryDate],DATE(2026,4,20),tblDaily[WardCode],"NICU")=0,"",SUMIFS(tblDaily[TransfersIn],tblDaily[EntryDate],DATE(2026,4,20),tblDaily[WardCode],"NICU")),"")</f>
        <v/>
      </c>
      <c r="G143" s="5" t="str">
        <f>IFERROR(IF(SUMIFS(tblDaily[TransfersOut],tblDaily[EntryDate],DATE(2026,4,20),tblDaily[WardCode],"NICU")=0,"",SUMIFS(tblDaily[TransfersOut],tblDaily[EntryDate],DATE(2026,4,20),tblDaily[WardCode],"NICU")),"")</f>
        <v/>
      </c>
      <c r="H143" s="5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IFERROR(IF(SUMIFS(tblDaily[Admissions],tblDaily[EntryDate],DATE(2026,4,21),tblDaily[WardCode],"NICU")=0,"",SUMIFS(tblDaily[Admissions],tblDaily[EntryDate],DATE(2026,4,21),tblDaily[WardCode],"NICU")),"")</f>
        <v/>
      </c>
      <c r="C144" s="5" t="str">
        <f>IFERROR(IF(SUMIFS(tblDaily[Discharges],tblDaily[EntryDate],DATE(2026,4,21),tblDaily[WardCode],"NICU")=0,"",SUMIFS(tblDaily[Discharges],tblDaily[EntryDate],DATE(2026,4,21),tblDaily[WardCode],"NICU")),"")</f>
        <v/>
      </c>
      <c r="D144" s="5" t="str">
        <f>IFERROR(IF(SUMIFS(tblDaily[Deaths],tblDaily[EntryDate],DATE(2026,4,21),tblDaily[WardCode],"NICU")=0,"",SUMIFS(tblDaily[Deaths],tblDaily[EntryDate],DATE(2026,4,21),tblDaily[WardCode],"NICU")),"")</f>
        <v/>
      </c>
      <c r="E144" s="5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5" t="str">
        <f>IFERROR(IF(SUMIFS(tblDaily[TransfersIn],tblDaily[EntryDate],DATE(2026,4,21),tblDaily[WardCode],"NICU")=0,"",SUMIFS(tblDaily[TransfersIn],tblDaily[EntryDate],DATE(2026,4,21),tblDaily[WardCode],"NICU")),"")</f>
        <v/>
      </c>
      <c r="G144" s="5" t="str">
        <f>IFERROR(IF(SUMIFS(tblDaily[TransfersOut],tblDaily[EntryDate],DATE(2026,4,21),tblDaily[WardCode],"NICU")=0,"",SUMIFS(tblDaily[TransfersOut],tblDaily[EntryDate],DATE(2026,4,21),tblDaily[WardCode],"NICU")),"")</f>
        <v/>
      </c>
      <c r="H144" s="5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IFERROR(IF(SUMIFS(tblDaily[Admissions],tblDaily[EntryDate],DATE(2026,4,22),tblDaily[WardCode],"NICU")=0,"",SUMIFS(tblDaily[Admissions],tblDaily[EntryDate],DATE(2026,4,22),tblDaily[WardCode],"NICU")),"")</f>
        <v/>
      </c>
      <c r="C145" s="5" t="str">
        <f>IFERROR(IF(SUMIFS(tblDaily[Discharges],tblDaily[EntryDate],DATE(2026,4,22),tblDaily[WardCode],"NICU")=0,"",SUMIFS(tblDaily[Discharges],tblDaily[EntryDate],DATE(2026,4,22),tblDaily[WardCode],"NICU")),"")</f>
        <v/>
      </c>
      <c r="D145" s="5" t="str">
        <f>IFERROR(IF(SUMIFS(tblDaily[Deaths],tblDaily[EntryDate],DATE(2026,4,22),tblDaily[WardCode],"NICU")=0,"",SUMIFS(tblDaily[Deaths],tblDaily[EntryDate],DATE(2026,4,22),tblDaily[WardCode],"NICU")),"")</f>
        <v/>
      </c>
      <c r="E145" s="5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5" t="str">
        <f>IFERROR(IF(SUMIFS(tblDaily[TransfersIn],tblDaily[EntryDate],DATE(2026,4,22),tblDaily[WardCode],"NICU")=0,"",SUMIFS(tblDaily[TransfersIn],tblDaily[EntryDate],DATE(2026,4,22),tblDaily[WardCode],"NICU")),"")</f>
        <v/>
      </c>
      <c r="G145" s="5" t="str">
        <f>IFERROR(IF(SUMIFS(tblDaily[TransfersOut],tblDaily[EntryDate],DATE(2026,4,22),tblDaily[WardCode],"NICU")=0,"",SUMIFS(tblDaily[TransfersOut],tblDaily[EntryDate],DATE(2026,4,22),tblDaily[WardCode],"NICU")),"")</f>
        <v/>
      </c>
      <c r="H145" s="5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IFERROR(IF(SUMIFS(tblDaily[Admissions],tblDaily[EntryDate],DATE(2026,4,23),tblDaily[WardCode],"NICU")=0,"",SUMIFS(tblDaily[Admissions],tblDaily[EntryDate],DATE(2026,4,23),tblDaily[WardCode],"NICU")),"")</f>
        <v/>
      </c>
      <c r="C146" s="5" t="str">
        <f>IFERROR(IF(SUMIFS(tblDaily[Discharges],tblDaily[EntryDate],DATE(2026,4,23),tblDaily[WardCode],"NICU")=0,"",SUMIFS(tblDaily[Discharges],tblDaily[EntryDate],DATE(2026,4,23),tblDaily[WardCode],"NICU")),"")</f>
        <v/>
      </c>
      <c r="D146" s="5" t="str">
        <f>IFERROR(IF(SUMIFS(tblDaily[Deaths],tblDaily[EntryDate],DATE(2026,4,23),tblDaily[WardCode],"NICU")=0,"",SUMIFS(tblDaily[Deaths],tblDaily[EntryDate],DATE(2026,4,23),tblDaily[WardCode],"NICU")),"")</f>
        <v/>
      </c>
      <c r="E146" s="5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5" t="str">
        <f>IFERROR(IF(SUMIFS(tblDaily[TransfersIn],tblDaily[EntryDate],DATE(2026,4,23),tblDaily[WardCode],"NICU")=0,"",SUMIFS(tblDaily[TransfersIn],tblDaily[EntryDate],DATE(2026,4,23),tblDaily[WardCode],"NICU")),"")</f>
        <v/>
      </c>
      <c r="G146" s="5" t="str">
        <f>IFERROR(IF(SUMIFS(tblDaily[TransfersOut],tblDaily[EntryDate],DATE(2026,4,23),tblDaily[WardCode],"NICU")=0,"",SUMIFS(tblDaily[TransfersOut],tblDaily[EntryDate],DATE(2026,4,23),tblDaily[WardCode],"NICU")),"")</f>
        <v/>
      </c>
      <c r="H146" s="5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IFERROR(IF(SUMIFS(tblDaily[Admissions],tblDaily[EntryDate],DATE(2026,4,24),tblDaily[WardCode],"NICU")=0,"",SUMIFS(tblDaily[Admissions],tblDaily[EntryDate],DATE(2026,4,24),tblDaily[WardCode],"NICU")),"")</f>
        <v/>
      </c>
      <c r="C147" s="5" t="str">
        <f>IFERROR(IF(SUMIFS(tblDaily[Discharges],tblDaily[EntryDate],DATE(2026,4,24),tblDaily[WardCode],"NICU")=0,"",SUMIFS(tblDaily[Discharges],tblDaily[EntryDate],DATE(2026,4,24),tblDaily[WardCode],"NICU")),"")</f>
        <v/>
      </c>
      <c r="D147" s="5" t="str">
        <f>IFERROR(IF(SUMIFS(tblDaily[Deaths],tblDaily[EntryDate],DATE(2026,4,24),tblDaily[WardCode],"NICU")=0,"",SUMIFS(tblDaily[Deaths],tblDaily[EntryDate],DATE(2026,4,24),tblDaily[WardCode],"NICU")),"")</f>
        <v/>
      </c>
      <c r="E147" s="5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5" t="str">
        <f>IFERROR(IF(SUMIFS(tblDaily[TransfersIn],tblDaily[EntryDate],DATE(2026,4,24),tblDaily[WardCode],"NICU")=0,"",SUMIFS(tblDaily[TransfersIn],tblDaily[EntryDate],DATE(2026,4,24),tblDaily[WardCode],"NICU")),"")</f>
        <v/>
      </c>
      <c r="G147" s="5" t="str">
        <f>IFERROR(IF(SUMIFS(tblDaily[TransfersOut],tblDaily[EntryDate],DATE(2026,4,24),tblDaily[WardCode],"NICU")=0,"",SUMIFS(tblDaily[TransfersOut],tblDaily[EntryDate],DATE(2026,4,24),tblDaily[WardCode],"NICU")),"")</f>
        <v/>
      </c>
      <c r="H147" s="5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IFERROR(IF(SUMIFS(tblDaily[Admissions],tblDaily[EntryDate],DATE(2026,4,25),tblDaily[WardCode],"NICU")=0,"",SUMIFS(tblDaily[Admissions],tblDaily[EntryDate],DATE(2026,4,25),tblDaily[WardCode],"NICU")),"")</f>
        <v/>
      </c>
      <c r="C148" s="5" t="str">
        <f>IFERROR(IF(SUMIFS(tblDaily[Discharges],tblDaily[EntryDate],DATE(2026,4,25),tblDaily[WardCode],"NICU")=0,"",SUMIFS(tblDaily[Discharges],tblDaily[EntryDate],DATE(2026,4,25),tblDaily[WardCode],"NICU")),"")</f>
        <v/>
      </c>
      <c r="D148" s="5" t="str">
        <f>IFERROR(IF(SUMIFS(tblDaily[Deaths],tblDaily[EntryDate],DATE(2026,4,25),tblDaily[WardCode],"NICU")=0,"",SUMIFS(tblDaily[Deaths],tblDaily[EntryDate],DATE(2026,4,25),tblDaily[WardCode],"NICU")),"")</f>
        <v/>
      </c>
      <c r="E148" s="5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5" t="str">
        <f>IFERROR(IF(SUMIFS(tblDaily[TransfersIn],tblDaily[EntryDate],DATE(2026,4,25),tblDaily[WardCode],"NICU")=0,"",SUMIFS(tblDaily[TransfersIn],tblDaily[EntryDate],DATE(2026,4,25),tblDaily[WardCode],"NICU")),"")</f>
        <v/>
      </c>
      <c r="G148" s="5" t="str">
        <f>IFERROR(IF(SUMIFS(tblDaily[TransfersOut],tblDaily[EntryDate],DATE(2026,4,25),tblDaily[WardCode],"NICU")=0,"",SUMIFS(tblDaily[TransfersOut],tblDaily[EntryDate],DATE(2026,4,25),tblDaily[WardCode],"NICU")),"")</f>
        <v/>
      </c>
      <c r="H148" s="5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IFERROR(IF(SUMIFS(tblDaily[Admissions],tblDaily[EntryDate],DATE(2026,4,26),tblDaily[WardCode],"NICU")=0,"",SUMIFS(tblDaily[Admissions],tblDaily[EntryDate],DATE(2026,4,26),tblDaily[WardCode],"NICU")),"")</f>
        <v/>
      </c>
      <c r="C149" s="5" t="str">
        <f>IFERROR(IF(SUMIFS(tblDaily[Discharges],tblDaily[EntryDate],DATE(2026,4,26),tblDaily[WardCode],"NICU")=0,"",SUMIFS(tblDaily[Discharges],tblDaily[EntryDate],DATE(2026,4,26),tblDaily[WardCode],"NICU")),"")</f>
        <v/>
      </c>
      <c r="D149" s="5" t="str">
        <f>IFERROR(IF(SUMIFS(tblDaily[Deaths],tblDaily[EntryDate],DATE(2026,4,26),tblDaily[WardCode],"NICU")=0,"",SUMIFS(tblDaily[Deaths],tblDaily[EntryDate],DATE(2026,4,26),tblDaily[WardCode],"NICU")),"")</f>
        <v/>
      </c>
      <c r="E149" s="5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5" t="str">
        <f>IFERROR(IF(SUMIFS(tblDaily[TransfersIn],tblDaily[EntryDate],DATE(2026,4,26),tblDaily[WardCode],"NICU")=0,"",SUMIFS(tblDaily[TransfersIn],tblDaily[EntryDate],DATE(2026,4,26),tblDaily[WardCode],"NICU")),"")</f>
        <v/>
      </c>
      <c r="G149" s="5" t="str">
        <f>IFERROR(IF(SUMIFS(tblDaily[TransfersOut],tblDaily[EntryDate],DATE(2026,4,26),tblDaily[WardCode],"NICU")=0,"",SUMIFS(tblDaily[TransfersOut],tblDaily[EntryDate],DATE(2026,4,26),tblDaily[WardCode],"NICU")),"")</f>
        <v/>
      </c>
      <c r="H149" s="5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IFERROR(IF(SUMIFS(tblDaily[Admissions],tblDaily[EntryDate],DATE(2026,4,27),tblDaily[WardCode],"NICU")=0,"",SUMIFS(tblDaily[Admissions],tblDaily[EntryDate],DATE(2026,4,27),tblDaily[WardCode],"NICU")),"")</f>
        <v/>
      </c>
      <c r="C150" s="5" t="str">
        <f>IFERROR(IF(SUMIFS(tblDaily[Discharges],tblDaily[EntryDate],DATE(2026,4,27),tblDaily[WardCode],"NICU")=0,"",SUMIFS(tblDaily[Discharges],tblDaily[EntryDate],DATE(2026,4,27),tblDaily[WardCode],"NICU")),"")</f>
        <v/>
      </c>
      <c r="D150" s="5" t="str">
        <f>IFERROR(IF(SUMIFS(tblDaily[Deaths],tblDaily[EntryDate],DATE(2026,4,27),tblDaily[WardCode],"NICU")=0,"",SUMIFS(tblDaily[Deaths],tblDaily[EntryDate],DATE(2026,4,27),tblDaily[WardCode],"NICU")),"")</f>
        <v/>
      </c>
      <c r="E150" s="5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5" t="str">
        <f>IFERROR(IF(SUMIFS(tblDaily[TransfersIn],tblDaily[EntryDate],DATE(2026,4,27),tblDaily[WardCode],"NICU")=0,"",SUMIFS(tblDaily[TransfersIn],tblDaily[EntryDate],DATE(2026,4,27),tblDaily[WardCode],"NICU")),"")</f>
        <v/>
      </c>
      <c r="G150" s="5" t="str">
        <f>IFERROR(IF(SUMIFS(tblDaily[TransfersOut],tblDaily[EntryDate],DATE(2026,4,27),tblDaily[WardCode],"NICU")=0,"",SUMIFS(tblDaily[TransfersOut],tblDaily[EntryDate],DATE(2026,4,27),tblDaily[WardCode],"NICU")),"")</f>
        <v/>
      </c>
      <c r="H150" s="5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IFERROR(IF(SUMIFS(tblDaily[Admissions],tblDaily[EntryDate],DATE(2026,4,28),tblDaily[WardCode],"NICU")=0,"",SUMIFS(tblDaily[Admissions],tblDaily[EntryDate],DATE(2026,4,28),tblDaily[WardCode],"NICU")),"")</f>
        <v/>
      </c>
      <c r="C151" s="5" t="str">
        <f>IFERROR(IF(SUMIFS(tblDaily[Discharges],tblDaily[EntryDate],DATE(2026,4,28),tblDaily[WardCode],"NICU")=0,"",SUMIFS(tblDaily[Discharges],tblDaily[EntryDate],DATE(2026,4,28),tblDaily[WardCode],"NICU")),"")</f>
        <v/>
      </c>
      <c r="D151" s="5" t="str">
        <f>IFERROR(IF(SUMIFS(tblDaily[Deaths],tblDaily[EntryDate],DATE(2026,4,28),tblDaily[WardCode],"NICU")=0,"",SUMIFS(tblDaily[Deaths],tblDaily[EntryDate],DATE(2026,4,28),tblDaily[WardCode],"NICU")),"")</f>
        <v/>
      </c>
      <c r="E151" s="5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5" t="str">
        <f>IFERROR(IF(SUMIFS(tblDaily[TransfersIn],tblDaily[EntryDate],DATE(2026,4,28),tblDaily[WardCode],"NICU")=0,"",SUMIFS(tblDaily[TransfersIn],tblDaily[EntryDate],DATE(2026,4,28),tblDaily[WardCode],"NICU")),"")</f>
        <v/>
      </c>
      <c r="G151" s="5" t="str">
        <f>IFERROR(IF(SUMIFS(tblDaily[TransfersOut],tblDaily[EntryDate],DATE(2026,4,28),tblDaily[WardCode],"NICU")=0,"",SUMIFS(tblDaily[TransfersOut],tblDaily[EntryDate],DATE(2026,4,28),tblDaily[WardCode],"NICU")),"")</f>
        <v/>
      </c>
      <c r="H151" s="5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IFERROR(IF(SUMIFS(tblDaily[Admissions],tblDaily[EntryDate],DATE(2026,4,29),tblDaily[WardCode],"NICU")=0,"",SUMIFS(tblDaily[Admissions],tblDaily[EntryDate],DATE(2026,4,29),tblDaily[WardCode],"NICU")),"")</f>
        <v/>
      </c>
      <c r="C152" s="5" t="str">
        <f>IFERROR(IF(SUMIFS(tblDaily[Discharges],tblDaily[EntryDate],DATE(2026,4,29),tblDaily[WardCode],"NICU")=0,"",SUMIFS(tblDaily[Discharges],tblDaily[EntryDate],DATE(2026,4,29),tblDaily[WardCode],"NICU")),"")</f>
        <v/>
      </c>
      <c r="D152" s="5" t="str">
        <f>IFERROR(IF(SUMIFS(tblDaily[Deaths],tblDaily[EntryDate],DATE(2026,4,29),tblDaily[WardCode],"NICU")=0,"",SUMIFS(tblDaily[Deaths],tblDaily[EntryDate],DATE(2026,4,29),tblDaily[WardCode],"NICU")),"")</f>
        <v/>
      </c>
      <c r="E152" s="5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5" t="str">
        <f>IFERROR(IF(SUMIFS(tblDaily[TransfersIn],tblDaily[EntryDate],DATE(2026,4,29),tblDaily[WardCode],"NICU")=0,"",SUMIFS(tblDaily[TransfersIn],tblDaily[EntryDate],DATE(2026,4,29),tblDaily[WardCode],"NICU")),"")</f>
        <v/>
      </c>
      <c r="G152" s="5" t="str">
        <f>IFERROR(IF(SUMIFS(tblDaily[TransfersOut],tblDaily[EntryDate],DATE(2026,4,29),tblDaily[WardCode],"NICU")=0,"",SUMIFS(tblDaily[TransfersOut],tblDaily[EntryDate],DATE(2026,4,29),tblDaily[WardCode],"NICU")),"")</f>
        <v/>
      </c>
      <c r="H152" s="5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IFERROR(IF(SUMIFS(tblDaily[Admissions],tblDaily[EntryDate],DATE(2026,4,30),tblDaily[WardCode],"NICU")=0,"",SUMIFS(tblDaily[Admissions],tblDaily[EntryDate],DATE(2026,4,30),tblDaily[WardCode],"NICU")),"")</f>
        <v/>
      </c>
      <c r="C153" s="5" t="str">
        <f>IFERROR(IF(SUMIFS(tblDaily[Discharges],tblDaily[EntryDate],DATE(2026,4,30),tblDaily[WardCode],"NICU")=0,"",SUMIFS(tblDaily[Discharges],tblDaily[EntryDate],DATE(2026,4,30),tblDaily[WardCode],"NICU")),"")</f>
        <v/>
      </c>
      <c r="D153" s="5" t="str">
        <f>IFERROR(IF(SUMIFS(tblDaily[Deaths],tblDaily[EntryDate],DATE(2026,4,30),tblDaily[WardCode],"NICU")=0,"",SUMIFS(tblDaily[Deaths],tblDaily[EntryDate],DATE(2026,4,30),tblDaily[WardCode],"NICU")),"")</f>
        <v/>
      </c>
      <c r="E153" s="5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5" t="str">
        <f>IFERROR(IF(SUMIFS(tblDaily[TransfersIn],tblDaily[EntryDate],DATE(2026,4,30),tblDaily[WardCode],"NICU")=0,"",SUMIFS(tblDaily[TransfersIn],tblDaily[EntryDate],DATE(2026,4,30),tblDaily[WardCode],"NICU")),"")</f>
        <v/>
      </c>
      <c r="G153" s="5" t="str">
        <f>IFERROR(IF(SUMIFS(tblDaily[TransfersOut],tblDaily[EntryDate],DATE(2026,4,30),tblDaily[WardCode],"NICU")=0,"",SUMIFS(tblDaily[TransfersOut],tblDaily[EntryDate],DATE(2026,4,30),tblDaily[WardCode],"NICU")),"")</f>
        <v/>
      </c>
      <c r="H153" s="5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101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89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IFERROR(IF(SUMIFS(tblDaily[Admissions],tblDaily[EntryDate],DATE(2026,5,1),tblDaily[WardCode],"NICU")=0,"",SUMIFS(tblDaily[Admissions],tblDaily[EntryDate],DATE(2026,5,1),tblDaily[WardCode],"NICU")),"")</f>
        <v/>
      </c>
      <c r="C163" s="5" t="str">
        <f>IFERROR(IF(SUMIFS(tblDaily[Discharges],tblDaily[EntryDate],DATE(2026,5,1),tblDaily[WardCode],"NICU")=0,"",SUMIFS(tblDaily[Discharges],tblDaily[EntryDate],DATE(2026,5,1),tblDaily[WardCode],"NICU")),"")</f>
        <v/>
      </c>
      <c r="D163" s="5" t="str">
        <f>IFERROR(IF(SUMIFS(tblDaily[Deaths],tblDaily[EntryDate],DATE(2026,5,1),tblDaily[WardCode],"NICU")=0,"",SUMIFS(tblDaily[Deaths],tblDaily[EntryDate],DATE(2026,5,1),tblDaily[WardCode],"NICU")),"")</f>
        <v/>
      </c>
      <c r="E163" s="5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5" t="str">
        <f>IFERROR(IF(SUMIFS(tblDaily[TransfersIn],tblDaily[EntryDate],DATE(2026,5,1),tblDaily[WardCode],"NICU")=0,"",SUMIFS(tblDaily[TransfersIn],tblDaily[EntryDate],DATE(2026,5,1),tblDaily[WardCode],"NICU")),"")</f>
        <v/>
      </c>
      <c r="G163" s="5" t="str">
        <f>IFERROR(IF(SUMIFS(tblDaily[TransfersOut],tblDaily[EntryDate],DATE(2026,5,1),tblDaily[WardCode],"NICU")=0,"",SUMIFS(tblDaily[TransfersOut],tblDaily[EntryDate],DATE(2026,5,1),tblDaily[WardCode],"NICU")),"")</f>
        <v/>
      </c>
      <c r="H163" s="5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IFERROR(IF(SUMIFS(tblDaily[Admissions],tblDaily[EntryDate],DATE(2026,5,2),tblDaily[WardCode],"NICU")=0,"",SUMIFS(tblDaily[Admissions],tblDaily[EntryDate],DATE(2026,5,2),tblDaily[WardCode],"NICU")),"")</f>
        <v/>
      </c>
      <c r="C164" s="5" t="str">
        <f>IFERROR(IF(SUMIFS(tblDaily[Discharges],tblDaily[EntryDate],DATE(2026,5,2),tblDaily[WardCode],"NICU")=0,"",SUMIFS(tblDaily[Discharges],tblDaily[EntryDate],DATE(2026,5,2),tblDaily[WardCode],"NICU")),"")</f>
        <v/>
      </c>
      <c r="D164" s="5" t="str">
        <f>IFERROR(IF(SUMIFS(tblDaily[Deaths],tblDaily[EntryDate],DATE(2026,5,2),tblDaily[WardCode],"NICU")=0,"",SUMIFS(tblDaily[Deaths],tblDaily[EntryDate],DATE(2026,5,2),tblDaily[WardCode],"NICU")),"")</f>
        <v/>
      </c>
      <c r="E164" s="5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5" t="str">
        <f>IFERROR(IF(SUMIFS(tblDaily[TransfersIn],tblDaily[EntryDate],DATE(2026,5,2),tblDaily[WardCode],"NICU")=0,"",SUMIFS(tblDaily[TransfersIn],tblDaily[EntryDate],DATE(2026,5,2),tblDaily[WardCode],"NICU")),"")</f>
        <v/>
      </c>
      <c r="G164" s="5" t="str">
        <f>IFERROR(IF(SUMIFS(tblDaily[TransfersOut],tblDaily[EntryDate],DATE(2026,5,2),tblDaily[WardCode],"NICU")=0,"",SUMIFS(tblDaily[TransfersOut],tblDaily[EntryDate],DATE(2026,5,2),tblDaily[WardCode],"NICU")),"")</f>
        <v/>
      </c>
      <c r="H164" s="5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IFERROR(IF(SUMIFS(tblDaily[Admissions],tblDaily[EntryDate],DATE(2026,5,3),tblDaily[WardCode],"NICU")=0,"",SUMIFS(tblDaily[Admissions],tblDaily[EntryDate],DATE(2026,5,3),tblDaily[WardCode],"NICU")),"")</f>
        <v/>
      </c>
      <c r="C165" s="5" t="str">
        <f>IFERROR(IF(SUMIFS(tblDaily[Discharges],tblDaily[EntryDate],DATE(2026,5,3),tblDaily[WardCode],"NICU")=0,"",SUMIFS(tblDaily[Discharges],tblDaily[EntryDate],DATE(2026,5,3),tblDaily[WardCode],"NICU")),"")</f>
        <v/>
      </c>
      <c r="D165" s="5" t="str">
        <f>IFERROR(IF(SUMIFS(tblDaily[Deaths],tblDaily[EntryDate],DATE(2026,5,3),tblDaily[WardCode],"NICU")=0,"",SUMIFS(tblDaily[Deaths],tblDaily[EntryDate],DATE(2026,5,3),tblDaily[WardCode],"NICU")),"")</f>
        <v/>
      </c>
      <c r="E165" s="5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5" t="str">
        <f>IFERROR(IF(SUMIFS(tblDaily[TransfersIn],tblDaily[EntryDate],DATE(2026,5,3),tblDaily[WardCode],"NICU")=0,"",SUMIFS(tblDaily[TransfersIn],tblDaily[EntryDate],DATE(2026,5,3),tblDaily[WardCode],"NICU")),"")</f>
        <v/>
      </c>
      <c r="G165" s="5" t="str">
        <f>IFERROR(IF(SUMIFS(tblDaily[TransfersOut],tblDaily[EntryDate],DATE(2026,5,3),tblDaily[WardCode],"NICU")=0,"",SUMIFS(tblDaily[TransfersOut],tblDaily[EntryDate],DATE(2026,5,3),tblDaily[WardCode],"NICU")),"")</f>
        <v/>
      </c>
      <c r="H165" s="5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IFERROR(IF(SUMIFS(tblDaily[Admissions],tblDaily[EntryDate],DATE(2026,5,4),tblDaily[WardCode],"NICU")=0,"",SUMIFS(tblDaily[Admissions],tblDaily[EntryDate],DATE(2026,5,4),tblDaily[WardCode],"NICU")),"")</f>
        <v/>
      </c>
      <c r="C166" s="5" t="str">
        <f>IFERROR(IF(SUMIFS(tblDaily[Discharges],tblDaily[EntryDate],DATE(2026,5,4),tblDaily[WardCode],"NICU")=0,"",SUMIFS(tblDaily[Discharges],tblDaily[EntryDate],DATE(2026,5,4),tblDaily[WardCode],"NICU")),"")</f>
        <v/>
      </c>
      <c r="D166" s="5" t="str">
        <f>IFERROR(IF(SUMIFS(tblDaily[Deaths],tblDaily[EntryDate],DATE(2026,5,4),tblDaily[WardCode],"NICU")=0,"",SUMIFS(tblDaily[Deaths],tblDaily[EntryDate],DATE(2026,5,4),tblDaily[WardCode],"NICU")),"")</f>
        <v/>
      </c>
      <c r="E166" s="5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5" t="str">
        <f>IFERROR(IF(SUMIFS(tblDaily[TransfersIn],tblDaily[EntryDate],DATE(2026,5,4),tblDaily[WardCode],"NICU")=0,"",SUMIFS(tblDaily[TransfersIn],tblDaily[EntryDate],DATE(2026,5,4),tblDaily[WardCode],"NICU")),"")</f>
        <v/>
      </c>
      <c r="G166" s="5" t="str">
        <f>IFERROR(IF(SUMIFS(tblDaily[TransfersOut],tblDaily[EntryDate],DATE(2026,5,4),tblDaily[WardCode],"NICU")=0,"",SUMIFS(tblDaily[TransfersOut],tblDaily[EntryDate],DATE(2026,5,4),tblDaily[WardCode],"NICU")),"")</f>
        <v/>
      </c>
      <c r="H166" s="5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IFERROR(IF(SUMIFS(tblDaily[Admissions],tblDaily[EntryDate],DATE(2026,5,5),tblDaily[WardCode],"NICU")=0,"",SUMIFS(tblDaily[Admissions],tblDaily[EntryDate],DATE(2026,5,5),tblDaily[WardCode],"NICU")),"")</f>
        <v/>
      </c>
      <c r="C167" s="5" t="str">
        <f>IFERROR(IF(SUMIFS(tblDaily[Discharges],tblDaily[EntryDate],DATE(2026,5,5),tblDaily[WardCode],"NICU")=0,"",SUMIFS(tblDaily[Discharges],tblDaily[EntryDate],DATE(2026,5,5),tblDaily[WardCode],"NICU")),"")</f>
        <v/>
      </c>
      <c r="D167" s="5" t="str">
        <f>IFERROR(IF(SUMIFS(tblDaily[Deaths],tblDaily[EntryDate],DATE(2026,5,5),tblDaily[WardCode],"NICU")=0,"",SUMIFS(tblDaily[Deaths],tblDaily[EntryDate],DATE(2026,5,5),tblDaily[WardCode],"NICU")),"")</f>
        <v/>
      </c>
      <c r="E167" s="5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5" t="str">
        <f>IFERROR(IF(SUMIFS(tblDaily[TransfersIn],tblDaily[EntryDate],DATE(2026,5,5),tblDaily[WardCode],"NICU")=0,"",SUMIFS(tblDaily[TransfersIn],tblDaily[EntryDate],DATE(2026,5,5),tblDaily[WardCode],"NICU")),"")</f>
        <v/>
      </c>
      <c r="G167" s="5" t="str">
        <f>IFERROR(IF(SUMIFS(tblDaily[TransfersOut],tblDaily[EntryDate],DATE(2026,5,5),tblDaily[WardCode],"NICU")=0,"",SUMIFS(tblDaily[TransfersOut],tblDaily[EntryDate],DATE(2026,5,5),tblDaily[WardCode],"NICU")),"")</f>
        <v/>
      </c>
      <c r="H167" s="5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IFERROR(IF(SUMIFS(tblDaily[Admissions],tblDaily[EntryDate],DATE(2026,5,6),tblDaily[WardCode],"NICU")=0,"",SUMIFS(tblDaily[Admissions],tblDaily[EntryDate],DATE(2026,5,6),tblDaily[WardCode],"NICU")),"")</f>
        <v/>
      </c>
      <c r="C168" s="5" t="str">
        <f>IFERROR(IF(SUMIFS(tblDaily[Discharges],tblDaily[EntryDate],DATE(2026,5,6),tblDaily[WardCode],"NICU")=0,"",SUMIFS(tblDaily[Discharges],tblDaily[EntryDate],DATE(2026,5,6),tblDaily[WardCode],"NICU")),"")</f>
        <v/>
      </c>
      <c r="D168" s="5" t="str">
        <f>IFERROR(IF(SUMIFS(tblDaily[Deaths],tblDaily[EntryDate],DATE(2026,5,6),tblDaily[WardCode],"NICU")=0,"",SUMIFS(tblDaily[Deaths],tblDaily[EntryDate],DATE(2026,5,6),tblDaily[WardCode],"NICU")),"")</f>
        <v/>
      </c>
      <c r="E168" s="5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5" t="str">
        <f>IFERROR(IF(SUMIFS(tblDaily[TransfersIn],tblDaily[EntryDate],DATE(2026,5,6),tblDaily[WardCode],"NICU")=0,"",SUMIFS(tblDaily[TransfersIn],tblDaily[EntryDate],DATE(2026,5,6),tblDaily[WardCode],"NICU")),"")</f>
        <v/>
      </c>
      <c r="G168" s="5" t="str">
        <f>IFERROR(IF(SUMIFS(tblDaily[TransfersOut],tblDaily[EntryDate],DATE(2026,5,6),tblDaily[WardCode],"NICU")=0,"",SUMIFS(tblDaily[TransfersOut],tblDaily[EntryDate],DATE(2026,5,6),tblDaily[WardCode],"NICU")),"")</f>
        <v/>
      </c>
      <c r="H168" s="5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IFERROR(IF(SUMIFS(tblDaily[Admissions],tblDaily[EntryDate],DATE(2026,5,7),tblDaily[WardCode],"NICU")=0,"",SUMIFS(tblDaily[Admissions],tblDaily[EntryDate],DATE(2026,5,7),tblDaily[WardCode],"NICU")),"")</f>
        <v/>
      </c>
      <c r="C169" s="5" t="str">
        <f>IFERROR(IF(SUMIFS(tblDaily[Discharges],tblDaily[EntryDate],DATE(2026,5,7),tblDaily[WardCode],"NICU")=0,"",SUMIFS(tblDaily[Discharges],tblDaily[EntryDate],DATE(2026,5,7),tblDaily[WardCode],"NICU")),"")</f>
        <v/>
      </c>
      <c r="D169" s="5" t="str">
        <f>IFERROR(IF(SUMIFS(tblDaily[Deaths],tblDaily[EntryDate],DATE(2026,5,7),tblDaily[WardCode],"NICU")=0,"",SUMIFS(tblDaily[Deaths],tblDaily[EntryDate],DATE(2026,5,7),tblDaily[WardCode],"NICU")),"")</f>
        <v/>
      </c>
      <c r="E169" s="5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5" t="str">
        <f>IFERROR(IF(SUMIFS(tblDaily[TransfersIn],tblDaily[EntryDate],DATE(2026,5,7),tblDaily[WardCode],"NICU")=0,"",SUMIFS(tblDaily[TransfersIn],tblDaily[EntryDate],DATE(2026,5,7),tblDaily[WardCode],"NICU")),"")</f>
        <v/>
      </c>
      <c r="G169" s="5" t="str">
        <f>IFERROR(IF(SUMIFS(tblDaily[TransfersOut],tblDaily[EntryDate],DATE(2026,5,7),tblDaily[WardCode],"NICU")=0,"",SUMIFS(tblDaily[TransfersOut],tblDaily[EntryDate],DATE(2026,5,7),tblDaily[WardCode],"NICU")),"")</f>
        <v/>
      </c>
      <c r="H169" s="5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IFERROR(IF(SUMIFS(tblDaily[Admissions],tblDaily[EntryDate],DATE(2026,5,8),tblDaily[WardCode],"NICU")=0,"",SUMIFS(tblDaily[Admissions],tblDaily[EntryDate],DATE(2026,5,8),tblDaily[WardCode],"NICU")),"")</f>
        <v/>
      </c>
      <c r="C170" s="5" t="str">
        <f>IFERROR(IF(SUMIFS(tblDaily[Discharges],tblDaily[EntryDate],DATE(2026,5,8),tblDaily[WardCode],"NICU")=0,"",SUMIFS(tblDaily[Discharges],tblDaily[EntryDate],DATE(2026,5,8),tblDaily[WardCode],"NICU")),"")</f>
        <v/>
      </c>
      <c r="D170" s="5" t="str">
        <f>IFERROR(IF(SUMIFS(tblDaily[Deaths],tblDaily[EntryDate],DATE(2026,5,8),tblDaily[WardCode],"NICU")=0,"",SUMIFS(tblDaily[Deaths],tblDaily[EntryDate],DATE(2026,5,8),tblDaily[WardCode],"NICU")),"")</f>
        <v/>
      </c>
      <c r="E170" s="5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5" t="str">
        <f>IFERROR(IF(SUMIFS(tblDaily[TransfersIn],tblDaily[EntryDate],DATE(2026,5,8),tblDaily[WardCode],"NICU")=0,"",SUMIFS(tblDaily[TransfersIn],tblDaily[EntryDate],DATE(2026,5,8),tblDaily[WardCode],"NICU")),"")</f>
        <v/>
      </c>
      <c r="G170" s="5" t="str">
        <f>IFERROR(IF(SUMIFS(tblDaily[TransfersOut],tblDaily[EntryDate],DATE(2026,5,8),tblDaily[WardCode],"NICU")=0,"",SUMIFS(tblDaily[TransfersOut],tblDaily[EntryDate],DATE(2026,5,8),tblDaily[WardCode],"NICU")),"")</f>
        <v/>
      </c>
      <c r="H170" s="5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IFERROR(IF(SUMIFS(tblDaily[Admissions],tblDaily[EntryDate],DATE(2026,5,9),tblDaily[WardCode],"NICU")=0,"",SUMIFS(tblDaily[Admissions],tblDaily[EntryDate],DATE(2026,5,9),tblDaily[WardCode],"NICU")),"")</f>
        <v/>
      </c>
      <c r="C171" s="5" t="str">
        <f>IFERROR(IF(SUMIFS(tblDaily[Discharges],tblDaily[EntryDate],DATE(2026,5,9),tblDaily[WardCode],"NICU")=0,"",SUMIFS(tblDaily[Discharges],tblDaily[EntryDate],DATE(2026,5,9),tblDaily[WardCode],"NICU")),"")</f>
        <v/>
      </c>
      <c r="D171" s="5" t="str">
        <f>IFERROR(IF(SUMIFS(tblDaily[Deaths],tblDaily[EntryDate],DATE(2026,5,9),tblDaily[WardCode],"NICU")=0,"",SUMIFS(tblDaily[Deaths],tblDaily[EntryDate],DATE(2026,5,9),tblDaily[WardCode],"NICU")),"")</f>
        <v/>
      </c>
      <c r="E171" s="5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5" t="str">
        <f>IFERROR(IF(SUMIFS(tblDaily[TransfersIn],tblDaily[EntryDate],DATE(2026,5,9),tblDaily[WardCode],"NICU")=0,"",SUMIFS(tblDaily[TransfersIn],tblDaily[EntryDate],DATE(2026,5,9),tblDaily[WardCode],"NICU")),"")</f>
        <v/>
      </c>
      <c r="G171" s="5" t="str">
        <f>IFERROR(IF(SUMIFS(tblDaily[TransfersOut],tblDaily[EntryDate],DATE(2026,5,9),tblDaily[WardCode],"NICU")=0,"",SUMIFS(tblDaily[TransfersOut],tblDaily[EntryDate],DATE(2026,5,9),tblDaily[WardCode],"NICU")),"")</f>
        <v/>
      </c>
      <c r="H171" s="5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IFERROR(IF(SUMIFS(tblDaily[Admissions],tblDaily[EntryDate],DATE(2026,5,10),tblDaily[WardCode],"NICU")=0,"",SUMIFS(tblDaily[Admissions],tblDaily[EntryDate],DATE(2026,5,10),tblDaily[WardCode],"NICU")),"")</f>
        <v/>
      </c>
      <c r="C172" s="5" t="str">
        <f>IFERROR(IF(SUMIFS(tblDaily[Discharges],tblDaily[EntryDate],DATE(2026,5,10),tblDaily[WardCode],"NICU")=0,"",SUMIFS(tblDaily[Discharges],tblDaily[EntryDate],DATE(2026,5,10),tblDaily[WardCode],"NICU")),"")</f>
        <v/>
      </c>
      <c r="D172" s="5" t="str">
        <f>IFERROR(IF(SUMIFS(tblDaily[Deaths],tblDaily[EntryDate],DATE(2026,5,10),tblDaily[WardCode],"NICU")=0,"",SUMIFS(tblDaily[Deaths],tblDaily[EntryDate],DATE(2026,5,10),tblDaily[WardCode],"NICU")),"")</f>
        <v/>
      </c>
      <c r="E172" s="5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5" t="str">
        <f>IFERROR(IF(SUMIFS(tblDaily[TransfersIn],tblDaily[EntryDate],DATE(2026,5,10),tblDaily[WardCode],"NICU")=0,"",SUMIFS(tblDaily[TransfersIn],tblDaily[EntryDate],DATE(2026,5,10),tblDaily[WardCode],"NICU")),"")</f>
        <v/>
      </c>
      <c r="G172" s="5" t="str">
        <f>IFERROR(IF(SUMIFS(tblDaily[TransfersOut],tblDaily[EntryDate],DATE(2026,5,10),tblDaily[WardCode],"NICU")=0,"",SUMIFS(tblDaily[TransfersOut],tblDaily[EntryDate],DATE(2026,5,10),tblDaily[WardCode],"NICU")),"")</f>
        <v/>
      </c>
      <c r="H172" s="5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IFERROR(IF(SUMIFS(tblDaily[Admissions],tblDaily[EntryDate],DATE(2026,5,11),tblDaily[WardCode],"NICU")=0,"",SUMIFS(tblDaily[Admissions],tblDaily[EntryDate],DATE(2026,5,11),tblDaily[WardCode],"NICU")),"")</f>
        <v/>
      </c>
      <c r="C173" s="5" t="str">
        <f>IFERROR(IF(SUMIFS(tblDaily[Discharges],tblDaily[EntryDate],DATE(2026,5,11),tblDaily[WardCode],"NICU")=0,"",SUMIFS(tblDaily[Discharges],tblDaily[EntryDate],DATE(2026,5,11),tblDaily[WardCode],"NICU")),"")</f>
        <v/>
      </c>
      <c r="D173" s="5" t="str">
        <f>IFERROR(IF(SUMIFS(tblDaily[Deaths],tblDaily[EntryDate],DATE(2026,5,11),tblDaily[WardCode],"NICU")=0,"",SUMIFS(tblDaily[Deaths],tblDaily[EntryDate],DATE(2026,5,11),tblDaily[WardCode],"NICU")),"")</f>
        <v/>
      </c>
      <c r="E173" s="5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5" t="str">
        <f>IFERROR(IF(SUMIFS(tblDaily[TransfersIn],tblDaily[EntryDate],DATE(2026,5,11),tblDaily[WardCode],"NICU")=0,"",SUMIFS(tblDaily[TransfersIn],tblDaily[EntryDate],DATE(2026,5,11),tblDaily[WardCode],"NICU")),"")</f>
        <v/>
      </c>
      <c r="G173" s="5" t="str">
        <f>IFERROR(IF(SUMIFS(tblDaily[TransfersOut],tblDaily[EntryDate],DATE(2026,5,11),tblDaily[WardCode],"NICU")=0,"",SUMIFS(tblDaily[TransfersOut],tblDaily[EntryDate],DATE(2026,5,11),tblDaily[WardCode],"NICU")),"")</f>
        <v/>
      </c>
      <c r="H173" s="5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IFERROR(IF(SUMIFS(tblDaily[Admissions],tblDaily[EntryDate],DATE(2026,5,12),tblDaily[WardCode],"NICU")=0,"",SUMIFS(tblDaily[Admissions],tblDaily[EntryDate],DATE(2026,5,12),tblDaily[WardCode],"NICU")),"")</f>
        <v/>
      </c>
      <c r="C174" s="5" t="str">
        <f>IFERROR(IF(SUMIFS(tblDaily[Discharges],tblDaily[EntryDate],DATE(2026,5,12),tblDaily[WardCode],"NICU")=0,"",SUMIFS(tblDaily[Discharges],tblDaily[EntryDate],DATE(2026,5,12),tblDaily[WardCode],"NICU")),"")</f>
        <v/>
      </c>
      <c r="D174" s="5" t="str">
        <f>IFERROR(IF(SUMIFS(tblDaily[Deaths],tblDaily[EntryDate],DATE(2026,5,12),tblDaily[WardCode],"NICU")=0,"",SUMIFS(tblDaily[Deaths],tblDaily[EntryDate],DATE(2026,5,12),tblDaily[WardCode],"NICU")),"")</f>
        <v/>
      </c>
      <c r="E174" s="5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5" t="str">
        <f>IFERROR(IF(SUMIFS(tblDaily[TransfersIn],tblDaily[EntryDate],DATE(2026,5,12),tblDaily[WardCode],"NICU")=0,"",SUMIFS(tblDaily[TransfersIn],tblDaily[EntryDate],DATE(2026,5,12),tblDaily[WardCode],"NICU")),"")</f>
        <v/>
      </c>
      <c r="G174" s="5" t="str">
        <f>IFERROR(IF(SUMIFS(tblDaily[TransfersOut],tblDaily[EntryDate],DATE(2026,5,12),tblDaily[WardCode],"NICU")=0,"",SUMIFS(tblDaily[TransfersOut],tblDaily[EntryDate],DATE(2026,5,12),tblDaily[WardCode],"NICU")),"")</f>
        <v/>
      </c>
      <c r="H174" s="5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IFERROR(IF(SUMIFS(tblDaily[Admissions],tblDaily[EntryDate],DATE(2026,5,13),tblDaily[WardCode],"NICU")=0,"",SUMIFS(tblDaily[Admissions],tblDaily[EntryDate],DATE(2026,5,13),tblDaily[WardCode],"NICU")),"")</f>
        <v/>
      </c>
      <c r="C175" s="5" t="str">
        <f>IFERROR(IF(SUMIFS(tblDaily[Discharges],tblDaily[EntryDate],DATE(2026,5,13),tblDaily[WardCode],"NICU")=0,"",SUMIFS(tblDaily[Discharges],tblDaily[EntryDate],DATE(2026,5,13),tblDaily[WardCode],"NICU")),"")</f>
        <v/>
      </c>
      <c r="D175" s="5" t="str">
        <f>IFERROR(IF(SUMIFS(tblDaily[Deaths],tblDaily[EntryDate],DATE(2026,5,13),tblDaily[WardCode],"NICU")=0,"",SUMIFS(tblDaily[Deaths],tblDaily[EntryDate],DATE(2026,5,13),tblDaily[WardCode],"NICU")),"")</f>
        <v/>
      </c>
      <c r="E175" s="5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5" t="str">
        <f>IFERROR(IF(SUMIFS(tblDaily[TransfersIn],tblDaily[EntryDate],DATE(2026,5,13),tblDaily[WardCode],"NICU")=0,"",SUMIFS(tblDaily[TransfersIn],tblDaily[EntryDate],DATE(2026,5,13),tblDaily[WardCode],"NICU")),"")</f>
        <v/>
      </c>
      <c r="G175" s="5" t="str">
        <f>IFERROR(IF(SUMIFS(tblDaily[TransfersOut],tblDaily[EntryDate],DATE(2026,5,13),tblDaily[WardCode],"NICU")=0,"",SUMIFS(tblDaily[TransfersOut],tblDaily[EntryDate],DATE(2026,5,13),tblDaily[WardCode],"NICU")),"")</f>
        <v/>
      </c>
      <c r="H175" s="5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IFERROR(IF(SUMIFS(tblDaily[Admissions],tblDaily[EntryDate],DATE(2026,5,14),tblDaily[WardCode],"NICU")=0,"",SUMIFS(tblDaily[Admissions],tblDaily[EntryDate],DATE(2026,5,14),tblDaily[WardCode],"NICU")),"")</f>
        <v/>
      </c>
      <c r="C176" s="5" t="str">
        <f>IFERROR(IF(SUMIFS(tblDaily[Discharges],tblDaily[EntryDate],DATE(2026,5,14),tblDaily[WardCode],"NICU")=0,"",SUMIFS(tblDaily[Discharges],tblDaily[EntryDate],DATE(2026,5,14),tblDaily[WardCode],"NICU")),"")</f>
        <v/>
      </c>
      <c r="D176" s="5" t="str">
        <f>IFERROR(IF(SUMIFS(tblDaily[Deaths],tblDaily[EntryDate],DATE(2026,5,14),tblDaily[WardCode],"NICU")=0,"",SUMIFS(tblDaily[Deaths],tblDaily[EntryDate],DATE(2026,5,14),tblDaily[WardCode],"NICU")),"")</f>
        <v/>
      </c>
      <c r="E176" s="5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5" t="str">
        <f>IFERROR(IF(SUMIFS(tblDaily[TransfersIn],tblDaily[EntryDate],DATE(2026,5,14),tblDaily[WardCode],"NICU")=0,"",SUMIFS(tblDaily[TransfersIn],tblDaily[EntryDate],DATE(2026,5,14),tblDaily[WardCode],"NICU")),"")</f>
        <v/>
      </c>
      <c r="G176" s="5" t="str">
        <f>IFERROR(IF(SUMIFS(tblDaily[TransfersOut],tblDaily[EntryDate],DATE(2026,5,14),tblDaily[WardCode],"NICU")=0,"",SUMIFS(tblDaily[TransfersOut],tblDaily[EntryDate],DATE(2026,5,14),tblDaily[WardCode],"NICU")),"")</f>
        <v/>
      </c>
      <c r="H176" s="5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IFERROR(IF(SUMIFS(tblDaily[Admissions],tblDaily[EntryDate],DATE(2026,5,15),tblDaily[WardCode],"NICU")=0,"",SUMIFS(tblDaily[Admissions],tblDaily[EntryDate],DATE(2026,5,15),tblDaily[WardCode],"NICU")),"")</f>
        <v/>
      </c>
      <c r="C177" s="5" t="str">
        <f>IFERROR(IF(SUMIFS(tblDaily[Discharges],tblDaily[EntryDate],DATE(2026,5,15),tblDaily[WardCode],"NICU")=0,"",SUMIFS(tblDaily[Discharges],tblDaily[EntryDate],DATE(2026,5,15),tblDaily[WardCode],"NICU")),"")</f>
        <v/>
      </c>
      <c r="D177" s="5" t="str">
        <f>IFERROR(IF(SUMIFS(tblDaily[Deaths],tblDaily[EntryDate],DATE(2026,5,15),tblDaily[WardCode],"NICU")=0,"",SUMIFS(tblDaily[Deaths],tblDaily[EntryDate],DATE(2026,5,15),tblDaily[WardCode],"NICU")),"")</f>
        <v/>
      </c>
      <c r="E177" s="5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5" t="str">
        <f>IFERROR(IF(SUMIFS(tblDaily[TransfersIn],tblDaily[EntryDate],DATE(2026,5,15),tblDaily[WardCode],"NICU")=0,"",SUMIFS(tblDaily[TransfersIn],tblDaily[EntryDate],DATE(2026,5,15),tblDaily[WardCode],"NICU")),"")</f>
        <v/>
      </c>
      <c r="G177" s="5" t="str">
        <f>IFERROR(IF(SUMIFS(tblDaily[TransfersOut],tblDaily[EntryDate],DATE(2026,5,15),tblDaily[WardCode],"NICU")=0,"",SUMIFS(tblDaily[TransfersOut],tblDaily[EntryDate],DATE(2026,5,15),tblDaily[WardCode],"NICU")),"")</f>
        <v/>
      </c>
      <c r="H177" s="5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IFERROR(IF(SUMIFS(tblDaily[Admissions],tblDaily[EntryDate],DATE(2026,5,16),tblDaily[WardCode],"NICU")=0,"",SUMIFS(tblDaily[Admissions],tblDaily[EntryDate],DATE(2026,5,16),tblDaily[WardCode],"NICU")),"")</f>
        <v/>
      </c>
      <c r="C178" s="5" t="str">
        <f>IFERROR(IF(SUMIFS(tblDaily[Discharges],tblDaily[EntryDate],DATE(2026,5,16),tblDaily[WardCode],"NICU")=0,"",SUMIFS(tblDaily[Discharges],tblDaily[EntryDate],DATE(2026,5,16),tblDaily[WardCode],"NICU")),"")</f>
        <v/>
      </c>
      <c r="D178" s="5" t="str">
        <f>IFERROR(IF(SUMIFS(tblDaily[Deaths],tblDaily[EntryDate],DATE(2026,5,16),tblDaily[WardCode],"NICU")=0,"",SUMIFS(tblDaily[Deaths],tblDaily[EntryDate],DATE(2026,5,16),tblDaily[WardCode],"NICU")),"")</f>
        <v/>
      </c>
      <c r="E178" s="5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5" t="str">
        <f>IFERROR(IF(SUMIFS(tblDaily[TransfersIn],tblDaily[EntryDate],DATE(2026,5,16),tblDaily[WardCode],"NICU")=0,"",SUMIFS(tblDaily[TransfersIn],tblDaily[EntryDate],DATE(2026,5,16),tblDaily[WardCode],"NICU")),"")</f>
        <v/>
      </c>
      <c r="G178" s="5" t="str">
        <f>IFERROR(IF(SUMIFS(tblDaily[TransfersOut],tblDaily[EntryDate],DATE(2026,5,16),tblDaily[WardCode],"NICU")=0,"",SUMIFS(tblDaily[TransfersOut],tblDaily[EntryDate],DATE(2026,5,16),tblDaily[WardCode],"NICU")),"")</f>
        <v/>
      </c>
      <c r="H178" s="5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IFERROR(IF(SUMIFS(tblDaily[Admissions],tblDaily[EntryDate],DATE(2026,5,17),tblDaily[WardCode],"NICU")=0,"",SUMIFS(tblDaily[Admissions],tblDaily[EntryDate],DATE(2026,5,17),tblDaily[WardCode],"NICU")),"")</f>
        <v/>
      </c>
      <c r="C179" s="5" t="str">
        <f>IFERROR(IF(SUMIFS(tblDaily[Discharges],tblDaily[EntryDate],DATE(2026,5,17),tblDaily[WardCode],"NICU")=0,"",SUMIFS(tblDaily[Discharges],tblDaily[EntryDate],DATE(2026,5,17),tblDaily[WardCode],"NICU")),"")</f>
        <v/>
      </c>
      <c r="D179" s="5" t="str">
        <f>IFERROR(IF(SUMIFS(tblDaily[Deaths],tblDaily[EntryDate],DATE(2026,5,17),tblDaily[WardCode],"NICU")=0,"",SUMIFS(tblDaily[Deaths],tblDaily[EntryDate],DATE(2026,5,17),tblDaily[WardCode],"NICU")),"")</f>
        <v/>
      </c>
      <c r="E179" s="5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5" t="str">
        <f>IFERROR(IF(SUMIFS(tblDaily[TransfersIn],tblDaily[EntryDate],DATE(2026,5,17),tblDaily[WardCode],"NICU")=0,"",SUMIFS(tblDaily[TransfersIn],tblDaily[EntryDate],DATE(2026,5,17),tblDaily[WardCode],"NICU")),"")</f>
        <v/>
      </c>
      <c r="G179" s="5" t="str">
        <f>IFERROR(IF(SUMIFS(tblDaily[TransfersOut],tblDaily[EntryDate],DATE(2026,5,17),tblDaily[WardCode],"NICU")=0,"",SUMIFS(tblDaily[TransfersOut],tblDaily[EntryDate],DATE(2026,5,17),tblDaily[WardCode],"NICU")),"")</f>
        <v/>
      </c>
      <c r="H179" s="5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IFERROR(IF(SUMIFS(tblDaily[Admissions],tblDaily[EntryDate],DATE(2026,5,18),tblDaily[WardCode],"NICU")=0,"",SUMIFS(tblDaily[Admissions],tblDaily[EntryDate],DATE(2026,5,18),tblDaily[WardCode],"NICU")),"")</f>
        <v/>
      </c>
      <c r="C180" s="5" t="str">
        <f>IFERROR(IF(SUMIFS(tblDaily[Discharges],tblDaily[EntryDate],DATE(2026,5,18),tblDaily[WardCode],"NICU")=0,"",SUMIFS(tblDaily[Discharges],tblDaily[EntryDate],DATE(2026,5,18),tblDaily[WardCode],"NICU")),"")</f>
        <v/>
      </c>
      <c r="D180" s="5" t="str">
        <f>IFERROR(IF(SUMIFS(tblDaily[Deaths],tblDaily[EntryDate],DATE(2026,5,18),tblDaily[WardCode],"NICU")=0,"",SUMIFS(tblDaily[Deaths],tblDaily[EntryDate],DATE(2026,5,18),tblDaily[WardCode],"NICU")),"")</f>
        <v/>
      </c>
      <c r="E180" s="5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5" t="str">
        <f>IFERROR(IF(SUMIFS(tblDaily[TransfersIn],tblDaily[EntryDate],DATE(2026,5,18),tblDaily[WardCode],"NICU")=0,"",SUMIFS(tblDaily[TransfersIn],tblDaily[EntryDate],DATE(2026,5,18),tblDaily[WardCode],"NICU")),"")</f>
        <v/>
      </c>
      <c r="G180" s="5" t="str">
        <f>IFERROR(IF(SUMIFS(tblDaily[TransfersOut],tblDaily[EntryDate],DATE(2026,5,18),tblDaily[WardCode],"NICU")=0,"",SUMIFS(tblDaily[TransfersOut],tblDaily[EntryDate],DATE(2026,5,18),tblDaily[WardCode],"NICU")),"")</f>
        <v/>
      </c>
      <c r="H180" s="5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IFERROR(IF(SUMIFS(tblDaily[Admissions],tblDaily[EntryDate],DATE(2026,5,19),tblDaily[WardCode],"NICU")=0,"",SUMIFS(tblDaily[Admissions],tblDaily[EntryDate],DATE(2026,5,19),tblDaily[WardCode],"NICU")),"")</f>
        <v/>
      </c>
      <c r="C181" s="5" t="str">
        <f>IFERROR(IF(SUMIFS(tblDaily[Discharges],tblDaily[EntryDate],DATE(2026,5,19),tblDaily[WardCode],"NICU")=0,"",SUMIFS(tblDaily[Discharges],tblDaily[EntryDate],DATE(2026,5,19),tblDaily[WardCode],"NICU")),"")</f>
        <v/>
      </c>
      <c r="D181" s="5" t="str">
        <f>IFERROR(IF(SUMIFS(tblDaily[Deaths],tblDaily[EntryDate],DATE(2026,5,19),tblDaily[WardCode],"NICU")=0,"",SUMIFS(tblDaily[Deaths],tblDaily[EntryDate],DATE(2026,5,19),tblDaily[WardCode],"NICU")),"")</f>
        <v/>
      </c>
      <c r="E181" s="5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5" t="str">
        <f>IFERROR(IF(SUMIFS(tblDaily[TransfersIn],tblDaily[EntryDate],DATE(2026,5,19),tblDaily[WardCode],"NICU")=0,"",SUMIFS(tblDaily[TransfersIn],tblDaily[EntryDate],DATE(2026,5,19),tblDaily[WardCode],"NICU")),"")</f>
        <v/>
      </c>
      <c r="G181" s="5" t="str">
        <f>IFERROR(IF(SUMIFS(tblDaily[TransfersOut],tblDaily[EntryDate],DATE(2026,5,19),tblDaily[WardCode],"NICU")=0,"",SUMIFS(tblDaily[TransfersOut],tblDaily[EntryDate],DATE(2026,5,19),tblDaily[WardCode],"NICU")),"")</f>
        <v/>
      </c>
      <c r="H181" s="5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IFERROR(IF(SUMIFS(tblDaily[Admissions],tblDaily[EntryDate],DATE(2026,5,20),tblDaily[WardCode],"NICU")=0,"",SUMIFS(tblDaily[Admissions],tblDaily[EntryDate],DATE(2026,5,20),tblDaily[WardCode],"NICU")),"")</f>
        <v/>
      </c>
      <c r="C182" s="5" t="str">
        <f>IFERROR(IF(SUMIFS(tblDaily[Discharges],tblDaily[EntryDate],DATE(2026,5,20),tblDaily[WardCode],"NICU")=0,"",SUMIFS(tblDaily[Discharges],tblDaily[EntryDate],DATE(2026,5,20),tblDaily[WardCode],"NICU")),"")</f>
        <v/>
      </c>
      <c r="D182" s="5" t="str">
        <f>IFERROR(IF(SUMIFS(tblDaily[Deaths],tblDaily[EntryDate],DATE(2026,5,20),tblDaily[WardCode],"NICU")=0,"",SUMIFS(tblDaily[Deaths],tblDaily[EntryDate],DATE(2026,5,20),tblDaily[WardCode],"NICU")),"")</f>
        <v/>
      </c>
      <c r="E182" s="5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5" t="str">
        <f>IFERROR(IF(SUMIFS(tblDaily[TransfersIn],tblDaily[EntryDate],DATE(2026,5,20),tblDaily[WardCode],"NICU")=0,"",SUMIFS(tblDaily[TransfersIn],tblDaily[EntryDate],DATE(2026,5,20),tblDaily[WardCode],"NICU")),"")</f>
        <v/>
      </c>
      <c r="G182" s="5" t="str">
        <f>IFERROR(IF(SUMIFS(tblDaily[TransfersOut],tblDaily[EntryDate],DATE(2026,5,20),tblDaily[WardCode],"NICU")=0,"",SUMIFS(tblDaily[TransfersOut],tblDaily[EntryDate],DATE(2026,5,20),tblDaily[WardCode],"NICU")),"")</f>
        <v/>
      </c>
      <c r="H182" s="5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IFERROR(IF(SUMIFS(tblDaily[Admissions],tblDaily[EntryDate],DATE(2026,5,21),tblDaily[WardCode],"NICU")=0,"",SUMIFS(tblDaily[Admissions],tblDaily[EntryDate],DATE(2026,5,21),tblDaily[WardCode],"NICU")),"")</f>
        <v/>
      </c>
      <c r="C183" s="5" t="str">
        <f>IFERROR(IF(SUMIFS(tblDaily[Discharges],tblDaily[EntryDate],DATE(2026,5,21),tblDaily[WardCode],"NICU")=0,"",SUMIFS(tblDaily[Discharges],tblDaily[EntryDate],DATE(2026,5,21),tblDaily[WardCode],"NICU")),"")</f>
        <v/>
      </c>
      <c r="D183" s="5" t="str">
        <f>IFERROR(IF(SUMIFS(tblDaily[Deaths],tblDaily[EntryDate],DATE(2026,5,21),tblDaily[WardCode],"NICU")=0,"",SUMIFS(tblDaily[Deaths],tblDaily[EntryDate],DATE(2026,5,21),tblDaily[WardCode],"NICU")),"")</f>
        <v/>
      </c>
      <c r="E183" s="5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5" t="str">
        <f>IFERROR(IF(SUMIFS(tblDaily[TransfersIn],tblDaily[EntryDate],DATE(2026,5,21),tblDaily[WardCode],"NICU")=0,"",SUMIFS(tblDaily[TransfersIn],tblDaily[EntryDate],DATE(2026,5,21),tblDaily[WardCode],"NICU")),"")</f>
        <v/>
      </c>
      <c r="G183" s="5" t="str">
        <f>IFERROR(IF(SUMIFS(tblDaily[TransfersOut],tblDaily[EntryDate],DATE(2026,5,21),tblDaily[WardCode],"NICU")=0,"",SUMIFS(tblDaily[TransfersOut],tblDaily[EntryDate],DATE(2026,5,21),tblDaily[WardCode],"NICU")),"")</f>
        <v/>
      </c>
      <c r="H183" s="5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IFERROR(IF(SUMIFS(tblDaily[Admissions],tblDaily[EntryDate],DATE(2026,5,22),tblDaily[WardCode],"NICU")=0,"",SUMIFS(tblDaily[Admissions],tblDaily[EntryDate],DATE(2026,5,22),tblDaily[WardCode],"NICU")),"")</f>
        <v/>
      </c>
      <c r="C184" s="5" t="str">
        <f>IFERROR(IF(SUMIFS(tblDaily[Discharges],tblDaily[EntryDate],DATE(2026,5,22),tblDaily[WardCode],"NICU")=0,"",SUMIFS(tblDaily[Discharges],tblDaily[EntryDate],DATE(2026,5,22),tblDaily[WardCode],"NICU")),"")</f>
        <v/>
      </c>
      <c r="D184" s="5" t="str">
        <f>IFERROR(IF(SUMIFS(tblDaily[Deaths],tblDaily[EntryDate],DATE(2026,5,22),tblDaily[WardCode],"NICU")=0,"",SUMIFS(tblDaily[Deaths],tblDaily[EntryDate],DATE(2026,5,22),tblDaily[WardCode],"NICU")),"")</f>
        <v/>
      </c>
      <c r="E184" s="5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5" t="str">
        <f>IFERROR(IF(SUMIFS(tblDaily[TransfersIn],tblDaily[EntryDate],DATE(2026,5,22),tblDaily[WardCode],"NICU")=0,"",SUMIFS(tblDaily[TransfersIn],tblDaily[EntryDate],DATE(2026,5,22),tblDaily[WardCode],"NICU")),"")</f>
        <v/>
      </c>
      <c r="G184" s="5" t="str">
        <f>IFERROR(IF(SUMIFS(tblDaily[TransfersOut],tblDaily[EntryDate],DATE(2026,5,22),tblDaily[WardCode],"NICU")=0,"",SUMIFS(tblDaily[TransfersOut],tblDaily[EntryDate],DATE(2026,5,22),tblDaily[WardCode],"NICU")),"")</f>
        <v/>
      </c>
      <c r="H184" s="5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IFERROR(IF(SUMIFS(tblDaily[Admissions],tblDaily[EntryDate],DATE(2026,5,23),tblDaily[WardCode],"NICU")=0,"",SUMIFS(tblDaily[Admissions],tblDaily[EntryDate],DATE(2026,5,23),tblDaily[WardCode],"NICU")),"")</f>
        <v/>
      </c>
      <c r="C185" s="5" t="str">
        <f>IFERROR(IF(SUMIFS(tblDaily[Discharges],tblDaily[EntryDate],DATE(2026,5,23),tblDaily[WardCode],"NICU")=0,"",SUMIFS(tblDaily[Discharges],tblDaily[EntryDate],DATE(2026,5,23),tblDaily[WardCode],"NICU")),"")</f>
        <v/>
      </c>
      <c r="D185" s="5" t="str">
        <f>IFERROR(IF(SUMIFS(tblDaily[Deaths],tblDaily[EntryDate],DATE(2026,5,23),tblDaily[WardCode],"NICU")=0,"",SUMIFS(tblDaily[Deaths],tblDaily[EntryDate],DATE(2026,5,23),tblDaily[WardCode],"NICU")),"")</f>
        <v/>
      </c>
      <c r="E185" s="5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5" t="str">
        <f>IFERROR(IF(SUMIFS(tblDaily[TransfersIn],tblDaily[EntryDate],DATE(2026,5,23),tblDaily[WardCode],"NICU")=0,"",SUMIFS(tblDaily[TransfersIn],tblDaily[EntryDate],DATE(2026,5,23),tblDaily[WardCode],"NICU")),"")</f>
        <v/>
      </c>
      <c r="G185" s="5" t="str">
        <f>IFERROR(IF(SUMIFS(tblDaily[TransfersOut],tblDaily[EntryDate],DATE(2026,5,23),tblDaily[WardCode],"NICU")=0,"",SUMIFS(tblDaily[TransfersOut],tblDaily[EntryDate],DATE(2026,5,23),tblDaily[WardCode],"NICU")),"")</f>
        <v/>
      </c>
      <c r="H185" s="5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IFERROR(IF(SUMIFS(tblDaily[Admissions],tblDaily[EntryDate],DATE(2026,5,24),tblDaily[WardCode],"NICU")=0,"",SUMIFS(tblDaily[Admissions],tblDaily[EntryDate],DATE(2026,5,24),tblDaily[WardCode],"NICU")),"")</f>
        <v/>
      </c>
      <c r="C186" s="5" t="str">
        <f>IFERROR(IF(SUMIFS(tblDaily[Discharges],tblDaily[EntryDate],DATE(2026,5,24),tblDaily[WardCode],"NICU")=0,"",SUMIFS(tblDaily[Discharges],tblDaily[EntryDate],DATE(2026,5,24),tblDaily[WardCode],"NICU")),"")</f>
        <v/>
      </c>
      <c r="D186" s="5" t="str">
        <f>IFERROR(IF(SUMIFS(tblDaily[Deaths],tblDaily[EntryDate],DATE(2026,5,24),tblDaily[WardCode],"NICU")=0,"",SUMIFS(tblDaily[Deaths],tblDaily[EntryDate],DATE(2026,5,24),tblDaily[WardCode],"NICU")),"")</f>
        <v/>
      </c>
      <c r="E186" s="5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5" t="str">
        <f>IFERROR(IF(SUMIFS(tblDaily[TransfersIn],tblDaily[EntryDate],DATE(2026,5,24),tblDaily[WardCode],"NICU")=0,"",SUMIFS(tblDaily[TransfersIn],tblDaily[EntryDate],DATE(2026,5,24),tblDaily[WardCode],"NICU")),"")</f>
        <v/>
      </c>
      <c r="G186" s="5" t="str">
        <f>IFERROR(IF(SUMIFS(tblDaily[TransfersOut],tblDaily[EntryDate],DATE(2026,5,24),tblDaily[WardCode],"NICU")=0,"",SUMIFS(tblDaily[TransfersOut],tblDaily[EntryDate],DATE(2026,5,24),tblDaily[WardCode],"NICU")),"")</f>
        <v/>
      </c>
      <c r="H186" s="5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IFERROR(IF(SUMIFS(tblDaily[Admissions],tblDaily[EntryDate],DATE(2026,5,25),tblDaily[WardCode],"NICU")=0,"",SUMIFS(tblDaily[Admissions],tblDaily[EntryDate],DATE(2026,5,25),tblDaily[WardCode],"NICU")),"")</f>
        <v/>
      </c>
      <c r="C187" s="5" t="str">
        <f>IFERROR(IF(SUMIFS(tblDaily[Discharges],tblDaily[EntryDate],DATE(2026,5,25),tblDaily[WardCode],"NICU")=0,"",SUMIFS(tblDaily[Discharges],tblDaily[EntryDate],DATE(2026,5,25),tblDaily[WardCode],"NICU")),"")</f>
        <v/>
      </c>
      <c r="D187" s="5" t="str">
        <f>IFERROR(IF(SUMIFS(tblDaily[Deaths],tblDaily[EntryDate],DATE(2026,5,25),tblDaily[WardCode],"NICU")=0,"",SUMIFS(tblDaily[Deaths],tblDaily[EntryDate],DATE(2026,5,25),tblDaily[WardCode],"NICU")),"")</f>
        <v/>
      </c>
      <c r="E187" s="5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5" t="str">
        <f>IFERROR(IF(SUMIFS(tblDaily[TransfersIn],tblDaily[EntryDate],DATE(2026,5,25),tblDaily[WardCode],"NICU")=0,"",SUMIFS(tblDaily[TransfersIn],tblDaily[EntryDate],DATE(2026,5,25),tblDaily[WardCode],"NICU")),"")</f>
        <v/>
      </c>
      <c r="G187" s="5" t="str">
        <f>IFERROR(IF(SUMIFS(tblDaily[TransfersOut],tblDaily[EntryDate],DATE(2026,5,25),tblDaily[WardCode],"NICU")=0,"",SUMIFS(tblDaily[TransfersOut],tblDaily[EntryDate],DATE(2026,5,25),tblDaily[WardCode],"NICU")),"")</f>
        <v/>
      </c>
      <c r="H187" s="5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IFERROR(IF(SUMIFS(tblDaily[Admissions],tblDaily[EntryDate],DATE(2026,5,26),tblDaily[WardCode],"NICU")=0,"",SUMIFS(tblDaily[Admissions],tblDaily[EntryDate],DATE(2026,5,26),tblDaily[WardCode],"NICU")),"")</f>
        <v/>
      </c>
      <c r="C188" s="5" t="str">
        <f>IFERROR(IF(SUMIFS(tblDaily[Discharges],tblDaily[EntryDate],DATE(2026,5,26),tblDaily[WardCode],"NICU")=0,"",SUMIFS(tblDaily[Discharges],tblDaily[EntryDate],DATE(2026,5,26),tblDaily[WardCode],"NICU")),"")</f>
        <v/>
      </c>
      <c r="D188" s="5" t="str">
        <f>IFERROR(IF(SUMIFS(tblDaily[Deaths],tblDaily[EntryDate],DATE(2026,5,26),tblDaily[WardCode],"NICU")=0,"",SUMIFS(tblDaily[Deaths],tblDaily[EntryDate],DATE(2026,5,26),tblDaily[WardCode],"NICU")),"")</f>
        <v/>
      </c>
      <c r="E188" s="5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5" t="str">
        <f>IFERROR(IF(SUMIFS(tblDaily[TransfersIn],tblDaily[EntryDate],DATE(2026,5,26),tblDaily[WardCode],"NICU")=0,"",SUMIFS(tblDaily[TransfersIn],tblDaily[EntryDate],DATE(2026,5,26),tblDaily[WardCode],"NICU")),"")</f>
        <v/>
      </c>
      <c r="G188" s="5" t="str">
        <f>IFERROR(IF(SUMIFS(tblDaily[TransfersOut],tblDaily[EntryDate],DATE(2026,5,26),tblDaily[WardCode],"NICU")=0,"",SUMIFS(tblDaily[TransfersOut],tblDaily[EntryDate],DATE(2026,5,26),tblDaily[WardCode],"NICU")),"")</f>
        <v/>
      </c>
      <c r="H188" s="5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IFERROR(IF(SUMIFS(tblDaily[Admissions],tblDaily[EntryDate],DATE(2026,5,27),tblDaily[WardCode],"NICU")=0,"",SUMIFS(tblDaily[Admissions],tblDaily[EntryDate],DATE(2026,5,27),tblDaily[WardCode],"NICU")),"")</f>
        <v/>
      </c>
      <c r="C189" s="5" t="str">
        <f>IFERROR(IF(SUMIFS(tblDaily[Discharges],tblDaily[EntryDate],DATE(2026,5,27),tblDaily[WardCode],"NICU")=0,"",SUMIFS(tblDaily[Discharges],tblDaily[EntryDate],DATE(2026,5,27),tblDaily[WardCode],"NICU")),"")</f>
        <v/>
      </c>
      <c r="D189" s="5" t="str">
        <f>IFERROR(IF(SUMIFS(tblDaily[Deaths],tblDaily[EntryDate],DATE(2026,5,27),tblDaily[WardCode],"NICU")=0,"",SUMIFS(tblDaily[Deaths],tblDaily[EntryDate],DATE(2026,5,27),tblDaily[WardCode],"NICU")),"")</f>
        <v/>
      </c>
      <c r="E189" s="5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5" t="str">
        <f>IFERROR(IF(SUMIFS(tblDaily[TransfersIn],tblDaily[EntryDate],DATE(2026,5,27),tblDaily[WardCode],"NICU")=0,"",SUMIFS(tblDaily[TransfersIn],tblDaily[EntryDate],DATE(2026,5,27),tblDaily[WardCode],"NICU")),"")</f>
        <v/>
      </c>
      <c r="G189" s="5" t="str">
        <f>IFERROR(IF(SUMIFS(tblDaily[TransfersOut],tblDaily[EntryDate],DATE(2026,5,27),tblDaily[WardCode],"NICU")=0,"",SUMIFS(tblDaily[TransfersOut],tblDaily[EntryDate],DATE(2026,5,27),tblDaily[WardCode],"NICU")),"")</f>
        <v/>
      </c>
      <c r="H189" s="5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IFERROR(IF(SUMIFS(tblDaily[Admissions],tblDaily[EntryDate],DATE(2026,5,28),tblDaily[WardCode],"NICU")=0,"",SUMIFS(tblDaily[Admissions],tblDaily[EntryDate],DATE(2026,5,28),tblDaily[WardCode],"NICU")),"")</f>
        <v/>
      </c>
      <c r="C190" s="5" t="str">
        <f>IFERROR(IF(SUMIFS(tblDaily[Discharges],tblDaily[EntryDate],DATE(2026,5,28),tblDaily[WardCode],"NICU")=0,"",SUMIFS(tblDaily[Discharges],tblDaily[EntryDate],DATE(2026,5,28),tblDaily[WardCode],"NICU")),"")</f>
        <v/>
      </c>
      <c r="D190" s="5" t="str">
        <f>IFERROR(IF(SUMIFS(tblDaily[Deaths],tblDaily[EntryDate],DATE(2026,5,28),tblDaily[WardCode],"NICU")=0,"",SUMIFS(tblDaily[Deaths],tblDaily[EntryDate],DATE(2026,5,28),tblDaily[WardCode],"NICU")),"")</f>
        <v/>
      </c>
      <c r="E190" s="5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5" t="str">
        <f>IFERROR(IF(SUMIFS(tblDaily[TransfersIn],tblDaily[EntryDate],DATE(2026,5,28),tblDaily[WardCode],"NICU")=0,"",SUMIFS(tblDaily[TransfersIn],tblDaily[EntryDate],DATE(2026,5,28),tblDaily[WardCode],"NICU")),"")</f>
        <v/>
      </c>
      <c r="G190" s="5" t="str">
        <f>IFERROR(IF(SUMIFS(tblDaily[TransfersOut],tblDaily[EntryDate],DATE(2026,5,28),tblDaily[WardCode],"NICU")=0,"",SUMIFS(tblDaily[TransfersOut],tblDaily[EntryDate],DATE(2026,5,28),tblDaily[WardCode],"NICU")),"")</f>
        <v/>
      </c>
      <c r="H190" s="5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IFERROR(IF(SUMIFS(tblDaily[Admissions],tblDaily[EntryDate],DATE(2026,5,29),tblDaily[WardCode],"NICU")=0,"",SUMIFS(tblDaily[Admissions],tblDaily[EntryDate],DATE(2026,5,29),tblDaily[WardCode],"NICU")),"")</f>
        <v/>
      </c>
      <c r="C191" s="5" t="str">
        <f>IFERROR(IF(SUMIFS(tblDaily[Discharges],tblDaily[EntryDate],DATE(2026,5,29),tblDaily[WardCode],"NICU")=0,"",SUMIFS(tblDaily[Discharges],tblDaily[EntryDate],DATE(2026,5,29),tblDaily[WardCode],"NICU")),"")</f>
        <v/>
      </c>
      <c r="D191" s="5" t="str">
        <f>IFERROR(IF(SUMIFS(tblDaily[Deaths],tblDaily[EntryDate],DATE(2026,5,29),tblDaily[WardCode],"NICU")=0,"",SUMIFS(tblDaily[Deaths],tblDaily[EntryDate],DATE(2026,5,29),tblDaily[WardCode],"NICU")),"")</f>
        <v/>
      </c>
      <c r="E191" s="5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5" t="str">
        <f>IFERROR(IF(SUMIFS(tblDaily[TransfersIn],tblDaily[EntryDate],DATE(2026,5,29),tblDaily[WardCode],"NICU")=0,"",SUMIFS(tblDaily[TransfersIn],tblDaily[EntryDate],DATE(2026,5,29),tblDaily[WardCode],"NICU")),"")</f>
        <v/>
      </c>
      <c r="G191" s="5" t="str">
        <f>IFERROR(IF(SUMIFS(tblDaily[TransfersOut],tblDaily[EntryDate],DATE(2026,5,29),tblDaily[WardCode],"NICU")=0,"",SUMIFS(tblDaily[TransfersOut],tblDaily[EntryDate],DATE(2026,5,29),tblDaily[WardCode],"NICU")),"")</f>
        <v/>
      </c>
      <c r="H191" s="5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IFERROR(IF(SUMIFS(tblDaily[Admissions],tblDaily[EntryDate],DATE(2026,5,30),tblDaily[WardCode],"NICU")=0,"",SUMIFS(tblDaily[Admissions],tblDaily[EntryDate],DATE(2026,5,30),tblDaily[WardCode],"NICU")),"")</f>
        <v/>
      </c>
      <c r="C192" s="5" t="str">
        <f>IFERROR(IF(SUMIFS(tblDaily[Discharges],tblDaily[EntryDate],DATE(2026,5,30),tblDaily[WardCode],"NICU")=0,"",SUMIFS(tblDaily[Discharges],tblDaily[EntryDate],DATE(2026,5,30),tblDaily[WardCode],"NICU")),"")</f>
        <v/>
      </c>
      <c r="D192" s="5" t="str">
        <f>IFERROR(IF(SUMIFS(tblDaily[Deaths],tblDaily[EntryDate],DATE(2026,5,30),tblDaily[WardCode],"NICU")=0,"",SUMIFS(tblDaily[Deaths],tblDaily[EntryDate],DATE(2026,5,30),tblDaily[WardCode],"NICU")),"")</f>
        <v/>
      </c>
      <c r="E192" s="5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5" t="str">
        <f>IFERROR(IF(SUMIFS(tblDaily[TransfersIn],tblDaily[EntryDate],DATE(2026,5,30),tblDaily[WardCode],"NICU")=0,"",SUMIFS(tblDaily[TransfersIn],tblDaily[EntryDate],DATE(2026,5,30),tblDaily[WardCode],"NICU")),"")</f>
        <v/>
      </c>
      <c r="G192" s="5" t="str">
        <f>IFERROR(IF(SUMIFS(tblDaily[TransfersOut],tblDaily[EntryDate],DATE(2026,5,30),tblDaily[WardCode],"NICU")=0,"",SUMIFS(tblDaily[TransfersOut],tblDaily[EntryDate],DATE(2026,5,30),tblDaily[WardCode],"NICU")),"")</f>
        <v/>
      </c>
      <c r="H192" s="5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IFERROR(IF(SUMIFS(tblDaily[Admissions],tblDaily[EntryDate],DATE(2026,5,31),tblDaily[WardCode],"NICU")=0,"",SUMIFS(tblDaily[Admissions],tblDaily[EntryDate],DATE(2026,5,31),tblDaily[WardCode],"NICU")),"")</f>
        <v/>
      </c>
      <c r="C193" s="5" t="str">
        <f>IFERROR(IF(SUMIFS(tblDaily[Discharges],tblDaily[EntryDate],DATE(2026,5,31),tblDaily[WardCode],"NICU")=0,"",SUMIFS(tblDaily[Discharges],tblDaily[EntryDate],DATE(2026,5,31),tblDaily[WardCode],"NICU")),"")</f>
        <v/>
      </c>
      <c r="D193" s="5" t="str">
        <f>IFERROR(IF(SUMIFS(tblDaily[Deaths],tblDaily[EntryDate],DATE(2026,5,31),tblDaily[WardCode],"NICU")=0,"",SUMIFS(tblDaily[Deaths],tblDaily[EntryDate],DATE(2026,5,31),tblDaily[WardCode],"NICU")),"")</f>
        <v/>
      </c>
      <c r="E193" s="5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5" t="str">
        <f>IFERROR(IF(SUMIFS(tblDaily[TransfersIn],tblDaily[EntryDate],DATE(2026,5,31),tblDaily[WardCode],"NICU")=0,"",SUMIFS(tblDaily[TransfersIn],tblDaily[EntryDate],DATE(2026,5,31),tblDaily[WardCode],"NICU")),"")</f>
        <v/>
      </c>
      <c r="G193" s="5" t="str">
        <f>IFERROR(IF(SUMIFS(tblDaily[TransfersOut],tblDaily[EntryDate],DATE(2026,5,31),tblDaily[WardCode],"NICU")=0,"",SUMIFS(tblDaily[TransfersOut],tblDaily[EntryDate],DATE(2026,5,31),tblDaily[WardCode],"NICU")),"")</f>
        <v/>
      </c>
      <c r="H193" s="5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95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101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89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IFERROR(IF(SUMIFS(tblDaily[Admissions],tblDaily[EntryDate],DATE(2026,6,1),tblDaily[WardCode],"NICU")=0,"",SUMIFS(tblDaily[Admissions],tblDaily[EntryDate],DATE(2026,6,1),tblDaily[WardCode],"NICU")),"")</f>
        <v/>
      </c>
      <c r="C202" s="5" t="str">
        <f>IFERROR(IF(SUMIFS(tblDaily[Discharges],tblDaily[EntryDate],DATE(2026,6,1),tblDaily[WardCode],"NICU")=0,"",SUMIFS(tblDaily[Discharges],tblDaily[EntryDate],DATE(2026,6,1),tblDaily[WardCode],"NICU")),"")</f>
        <v/>
      </c>
      <c r="D202" s="5" t="str">
        <f>IFERROR(IF(SUMIFS(tblDaily[Deaths],tblDaily[EntryDate],DATE(2026,6,1),tblDaily[WardCode],"NICU")=0,"",SUMIFS(tblDaily[Deaths],tblDaily[EntryDate],DATE(2026,6,1),tblDaily[WardCode],"NICU")),"")</f>
        <v/>
      </c>
      <c r="E202" s="5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5" t="str">
        <f>IFERROR(IF(SUMIFS(tblDaily[TransfersIn],tblDaily[EntryDate],DATE(2026,6,1),tblDaily[WardCode],"NICU")=0,"",SUMIFS(tblDaily[TransfersIn],tblDaily[EntryDate],DATE(2026,6,1),tblDaily[WardCode],"NICU")),"")</f>
        <v/>
      </c>
      <c r="G202" s="5" t="str">
        <f>IFERROR(IF(SUMIFS(tblDaily[TransfersOut],tblDaily[EntryDate],DATE(2026,6,1),tblDaily[WardCode],"NICU")=0,"",SUMIFS(tblDaily[TransfersOut],tblDaily[EntryDate],DATE(2026,6,1),tblDaily[WardCode],"NICU")),"")</f>
        <v/>
      </c>
      <c r="H202" s="5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IFERROR(IF(SUMIFS(tblDaily[Admissions],tblDaily[EntryDate],DATE(2026,6,2),tblDaily[WardCode],"NICU")=0,"",SUMIFS(tblDaily[Admissions],tblDaily[EntryDate],DATE(2026,6,2),tblDaily[WardCode],"NICU")),"")</f>
        <v/>
      </c>
      <c r="C203" s="5" t="str">
        <f>IFERROR(IF(SUMIFS(tblDaily[Discharges],tblDaily[EntryDate],DATE(2026,6,2),tblDaily[WardCode],"NICU")=0,"",SUMIFS(tblDaily[Discharges],tblDaily[EntryDate],DATE(2026,6,2),tblDaily[WardCode],"NICU")),"")</f>
        <v/>
      </c>
      <c r="D203" s="5" t="str">
        <f>IFERROR(IF(SUMIFS(tblDaily[Deaths],tblDaily[EntryDate],DATE(2026,6,2),tblDaily[WardCode],"NICU")=0,"",SUMIFS(tblDaily[Deaths],tblDaily[EntryDate],DATE(2026,6,2),tblDaily[WardCode],"NICU")),"")</f>
        <v/>
      </c>
      <c r="E203" s="5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5" t="str">
        <f>IFERROR(IF(SUMIFS(tblDaily[TransfersIn],tblDaily[EntryDate],DATE(2026,6,2),tblDaily[WardCode],"NICU")=0,"",SUMIFS(tblDaily[TransfersIn],tblDaily[EntryDate],DATE(2026,6,2),tblDaily[WardCode],"NICU")),"")</f>
        <v/>
      </c>
      <c r="G203" s="5" t="str">
        <f>IFERROR(IF(SUMIFS(tblDaily[TransfersOut],tblDaily[EntryDate],DATE(2026,6,2),tblDaily[WardCode],"NICU")=0,"",SUMIFS(tblDaily[TransfersOut],tblDaily[EntryDate],DATE(2026,6,2),tblDaily[WardCode],"NICU")),"")</f>
        <v/>
      </c>
      <c r="H203" s="5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IFERROR(IF(SUMIFS(tblDaily[Admissions],tblDaily[EntryDate],DATE(2026,6,3),tblDaily[WardCode],"NICU")=0,"",SUMIFS(tblDaily[Admissions],tblDaily[EntryDate],DATE(2026,6,3),tblDaily[WardCode],"NICU")),"")</f>
        <v/>
      </c>
      <c r="C204" s="5" t="str">
        <f>IFERROR(IF(SUMIFS(tblDaily[Discharges],tblDaily[EntryDate],DATE(2026,6,3),tblDaily[WardCode],"NICU")=0,"",SUMIFS(tblDaily[Discharges],tblDaily[EntryDate],DATE(2026,6,3),tblDaily[WardCode],"NICU")),"")</f>
        <v/>
      </c>
      <c r="D204" s="5" t="str">
        <f>IFERROR(IF(SUMIFS(tblDaily[Deaths],tblDaily[EntryDate],DATE(2026,6,3),tblDaily[WardCode],"NICU")=0,"",SUMIFS(tblDaily[Deaths],tblDaily[EntryDate],DATE(2026,6,3),tblDaily[WardCode],"NICU")),"")</f>
        <v/>
      </c>
      <c r="E204" s="5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5" t="str">
        <f>IFERROR(IF(SUMIFS(tblDaily[TransfersIn],tblDaily[EntryDate],DATE(2026,6,3),tblDaily[WardCode],"NICU")=0,"",SUMIFS(tblDaily[TransfersIn],tblDaily[EntryDate],DATE(2026,6,3),tblDaily[WardCode],"NICU")),"")</f>
        <v/>
      </c>
      <c r="G204" s="5" t="str">
        <f>IFERROR(IF(SUMIFS(tblDaily[TransfersOut],tblDaily[EntryDate],DATE(2026,6,3),tblDaily[WardCode],"NICU")=0,"",SUMIFS(tblDaily[TransfersOut],tblDaily[EntryDate],DATE(2026,6,3),tblDaily[WardCode],"NICU")),"")</f>
        <v/>
      </c>
      <c r="H204" s="5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IFERROR(IF(SUMIFS(tblDaily[Admissions],tblDaily[EntryDate],DATE(2026,6,4),tblDaily[WardCode],"NICU")=0,"",SUMIFS(tblDaily[Admissions],tblDaily[EntryDate],DATE(2026,6,4),tblDaily[WardCode],"NICU")),"")</f>
        <v/>
      </c>
      <c r="C205" s="5" t="str">
        <f>IFERROR(IF(SUMIFS(tblDaily[Discharges],tblDaily[EntryDate],DATE(2026,6,4),tblDaily[WardCode],"NICU")=0,"",SUMIFS(tblDaily[Discharges],tblDaily[EntryDate],DATE(2026,6,4),tblDaily[WardCode],"NICU")),"")</f>
        <v/>
      </c>
      <c r="D205" s="5" t="str">
        <f>IFERROR(IF(SUMIFS(tblDaily[Deaths],tblDaily[EntryDate],DATE(2026,6,4),tblDaily[WardCode],"NICU")=0,"",SUMIFS(tblDaily[Deaths],tblDaily[EntryDate],DATE(2026,6,4),tblDaily[WardCode],"NICU")),"")</f>
        <v/>
      </c>
      <c r="E205" s="5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5" t="str">
        <f>IFERROR(IF(SUMIFS(tblDaily[TransfersIn],tblDaily[EntryDate],DATE(2026,6,4),tblDaily[WardCode],"NICU")=0,"",SUMIFS(tblDaily[TransfersIn],tblDaily[EntryDate],DATE(2026,6,4),tblDaily[WardCode],"NICU")),"")</f>
        <v/>
      </c>
      <c r="G205" s="5" t="str">
        <f>IFERROR(IF(SUMIFS(tblDaily[TransfersOut],tblDaily[EntryDate],DATE(2026,6,4),tblDaily[WardCode],"NICU")=0,"",SUMIFS(tblDaily[TransfersOut],tblDaily[EntryDate],DATE(2026,6,4),tblDaily[WardCode],"NICU")),"")</f>
        <v/>
      </c>
      <c r="H205" s="5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IFERROR(IF(SUMIFS(tblDaily[Admissions],tblDaily[EntryDate],DATE(2026,6,5),tblDaily[WardCode],"NICU")=0,"",SUMIFS(tblDaily[Admissions],tblDaily[EntryDate],DATE(2026,6,5),tblDaily[WardCode],"NICU")),"")</f>
        <v/>
      </c>
      <c r="C206" s="5" t="str">
        <f>IFERROR(IF(SUMIFS(tblDaily[Discharges],tblDaily[EntryDate],DATE(2026,6,5),tblDaily[WardCode],"NICU")=0,"",SUMIFS(tblDaily[Discharges],tblDaily[EntryDate],DATE(2026,6,5),tblDaily[WardCode],"NICU")),"")</f>
        <v/>
      </c>
      <c r="D206" s="5" t="str">
        <f>IFERROR(IF(SUMIFS(tblDaily[Deaths],tblDaily[EntryDate],DATE(2026,6,5),tblDaily[WardCode],"NICU")=0,"",SUMIFS(tblDaily[Deaths],tblDaily[EntryDate],DATE(2026,6,5),tblDaily[WardCode],"NICU")),"")</f>
        <v/>
      </c>
      <c r="E206" s="5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5" t="str">
        <f>IFERROR(IF(SUMIFS(tblDaily[TransfersIn],tblDaily[EntryDate],DATE(2026,6,5),tblDaily[WardCode],"NICU")=0,"",SUMIFS(tblDaily[TransfersIn],tblDaily[EntryDate],DATE(2026,6,5),tblDaily[WardCode],"NICU")),"")</f>
        <v/>
      </c>
      <c r="G206" s="5" t="str">
        <f>IFERROR(IF(SUMIFS(tblDaily[TransfersOut],tblDaily[EntryDate],DATE(2026,6,5),tblDaily[WardCode],"NICU")=0,"",SUMIFS(tblDaily[TransfersOut],tblDaily[EntryDate],DATE(2026,6,5),tblDaily[WardCode],"NICU")),"")</f>
        <v/>
      </c>
      <c r="H206" s="5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IFERROR(IF(SUMIFS(tblDaily[Admissions],tblDaily[EntryDate],DATE(2026,6,6),tblDaily[WardCode],"NICU")=0,"",SUMIFS(tblDaily[Admissions],tblDaily[EntryDate],DATE(2026,6,6),tblDaily[WardCode],"NICU")),"")</f>
        <v/>
      </c>
      <c r="C207" s="5" t="str">
        <f>IFERROR(IF(SUMIFS(tblDaily[Discharges],tblDaily[EntryDate],DATE(2026,6,6),tblDaily[WardCode],"NICU")=0,"",SUMIFS(tblDaily[Discharges],tblDaily[EntryDate],DATE(2026,6,6),tblDaily[WardCode],"NICU")),"")</f>
        <v/>
      </c>
      <c r="D207" s="5" t="str">
        <f>IFERROR(IF(SUMIFS(tblDaily[Deaths],tblDaily[EntryDate],DATE(2026,6,6),tblDaily[WardCode],"NICU")=0,"",SUMIFS(tblDaily[Deaths],tblDaily[EntryDate],DATE(2026,6,6),tblDaily[WardCode],"NICU")),"")</f>
        <v/>
      </c>
      <c r="E207" s="5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5" t="str">
        <f>IFERROR(IF(SUMIFS(tblDaily[TransfersIn],tblDaily[EntryDate],DATE(2026,6,6),tblDaily[WardCode],"NICU")=0,"",SUMIFS(tblDaily[TransfersIn],tblDaily[EntryDate],DATE(2026,6,6),tblDaily[WardCode],"NICU")),"")</f>
        <v/>
      </c>
      <c r="G207" s="5" t="str">
        <f>IFERROR(IF(SUMIFS(tblDaily[TransfersOut],tblDaily[EntryDate],DATE(2026,6,6),tblDaily[WardCode],"NICU")=0,"",SUMIFS(tblDaily[TransfersOut],tblDaily[EntryDate],DATE(2026,6,6),tblDaily[WardCode],"NICU")),"")</f>
        <v/>
      </c>
      <c r="H207" s="5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IFERROR(IF(SUMIFS(tblDaily[Admissions],tblDaily[EntryDate],DATE(2026,6,7),tblDaily[WardCode],"NICU")=0,"",SUMIFS(tblDaily[Admissions],tblDaily[EntryDate],DATE(2026,6,7),tblDaily[WardCode],"NICU")),"")</f>
        <v/>
      </c>
      <c r="C208" s="5" t="str">
        <f>IFERROR(IF(SUMIFS(tblDaily[Discharges],tblDaily[EntryDate],DATE(2026,6,7),tblDaily[WardCode],"NICU")=0,"",SUMIFS(tblDaily[Discharges],tblDaily[EntryDate],DATE(2026,6,7),tblDaily[WardCode],"NICU")),"")</f>
        <v/>
      </c>
      <c r="D208" s="5" t="str">
        <f>IFERROR(IF(SUMIFS(tblDaily[Deaths],tblDaily[EntryDate],DATE(2026,6,7),tblDaily[WardCode],"NICU")=0,"",SUMIFS(tblDaily[Deaths],tblDaily[EntryDate],DATE(2026,6,7),tblDaily[WardCode],"NICU")),"")</f>
        <v/>
      </c>
      <c r="E208" s="5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5" t="str">
        <f>IFERROR(IF(SUMIFS(tblDaily[TransfersIn],tblDaily[EntryDate],DATE(2026,6,7),tblDaily[WardCode],"NICU")=0,"",SUMIFS(tblDaily[TransfersIn],tblDaily[EntryDate],DATE(2026,6,7),tblDaily[WardCode],"NICU")),"")</f>
        <v/>
      </c>
      <c r="G208" s="5" t="str">
        <f>IFERROR(IF(SUMIFS(tblDaily[TransfersOut],tblDaily[EntryDate],DATE(2026,6,7),tblDaily[WardCode],"NICU")=0,"",SUMIFS(tblDaily[TransfersOut],tblDaily[EntryDate],DATE(2026,6,7),tblDaily[WardCode],"NICU")),"")</f>
        <v/>
      </c>
      <c r="H208" s="5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IFERROR(IF(SUMIFS(tblDaily[Admissions],tblDaily[EntryDate],DATE(2026,6,8),tblDaily[WardCode],"NICU")=0,"",SUMIFS(tblDaily[Admissions],tblDaily[EntryDate],DATE(2026,6,8),tblDaily[WardCode],"NICU")),"")</f>
        <v/>
      </c>
      <c r="C209" s="5" t="str">
        <f>IFERROR(IF(SUMIFS(tblDaily[Discharges],tblDaily[EntryDate],DATE(2026,6,8),tblDaily[WardCode],"NICU")=0,"",SUMIFS(tblDaily[Discharges],tblDaily[EntryDate],DATE(2026,6,8),tblDaily[WardCode],"NICU")),"")</f>
        <v/>
      </c>
      <c r="D209" s="5" t="str">
        <f>IFERROR(IF(SUMIFS(tblDaily[Deaths],tblDaily[EntryDate],DATE(2026,6,8),tblDaily[WardCode],"NICU")=0,"",SUMIFS(tblDaily[Deaths],tblDaily[EntryDate],DATE(2026,6,8),tblDaily[WardCode],"NICU")),"")</f>
        <v/>
      </c>
      <c r="E209" s="5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5" t="str">
        <f>IFERROR(IF(SUMIFS(tblDaily[TransfersIn],tblDaily[EntryDate],DATE(2026,6,8),tblDaily[WardCode],"NICU")=0,"",SUMIFS(tblDaily[TransfersIn],tblDaily[EntryDate],DATE(2026,6,8),tblDaily[WardCode],"NICU")),"")</f>
        <v/>
      </c>
      <c r="G209" s="5" t="str">
        <f>IFERROR(IF(SUMIFS(tblDaily[TransfersOut],tblDaily[EntryDate],DATE(2026,6,8),tblDaily[WardCode],"NICU")=0,"",SUMIFS(tblDaily[TransfersOut],tblDaily[EntryDate],DATE(2026,6,8),tblDaily[WardCode],"NICU")),"")</f>
        <v/>
      </c>
      <c r="H209" s="5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IFERROR(IF(SUMIFS(tblDaily[Admissions],tblDaily[EntryDate],DATE(2026,6,9),tblDaily[WardCode],"NICU")=0,"",SUMIFS(tblDaily[Admissions],tblDaily[EntryDate],DATE(2026,6,9),tblDaily[WardCode],"NICU")),"")</f>
        <v/>
      </c>
      <c r="C210" s="5" t="str">
        <f>IFERROR(IF(SUMIFS(tblDaily[Discharges],tblDaily[EntryDate],DATE(2026,6,9),tblDaily[WardCode],"NICU")=0,"",SUMIFS(tblDaily[Discharges],tblDaily[EntryDate],DATE(2026,6,9),tblDaily[WardCode],"NICU")),"")</f>
        <v/>
      </c>
      <c r="D210" s="5" t="str">
        <f>IFERROR(IF(SUMIFS(tblDaily[Deaths],tblDaily[EntryDate],DATE(2026,6,9),tblDaily[WardCode],"NICU")=0,"",SUMIFS(tblDaily[Deaths],tblDaily[EntryDate],DATE(2026,6,9),tblDaily[WardCode],"NICU")),"")</f>
        <v/>
      </c>
      <c r="E210" s="5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5" t="str">
        <f>IFERROR(IF(SUMIFS(tblDaily[TransfersIn],tblDaily[EntryDate],DATE(2026,6,9),tblDaily[WardCode],"NICU")=0,"",SUMIFS(tblDaily[TransfersIn],tblDaily[EntryDate],DATE(2026,6,9),tblDaily[WardCode],"NICU")),"")</f>
        <v/>
      </c>
      <c r="G210" s="5" t="str">
        <f>IFERROR(IF(SUMIFS(tblDaily[TransfersOut],tblDaily[EntryDate],DATE(2026,6,9),tblDaily[WardCode],"NICU")=0,"",SUMIFS(tblDaily[TransfersOut],tblDaily[EntryDate],DATE(2026,6,9),tblDaily[WardCode],"NICU")),"")</f>
        <v/>
      </c>
      <c r="H210" s="5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IFERROR(IF(SUMIFS(tblDaily[Admissions],tblDaily[EntryDate],DATE(2026,6,10),tblDaily[WardCode],"NICU")=0,"",SUMIFS(tblDaily[Admissions],tblDaily[EntryDate],DATE(2026,6,10),tblDaily[WardCode],"NICU")),"")</f>
        <v/>
      </c>
      <c r="C211" s="5" t="str">
        <f>IFERROR(IF(SUMIFS(tblDaily[Discharges],tblDaily[EntryDate],DATE(2026,6,10),tblDaily[WardCode],"NICU")=0,"",SUMIFS(tblDaily[Discharges],tblDaily[EntryDate],DATE(2026,6,10),tblDaily[WardCode],"NICU")),"")</f>
        <v/>
      </c>
      <c r="D211" s="5" t="str">
        <f>IFERROR(IF(SUMIFS(tblDaily[Deaths],tblDaily[EntryDate],DATE(2026,6,10),tblDaily[WardCode],"NICU")=0,"",SUMIFS(tblDaily[Deaths],tblDaily[EntryDate],DATE(2026,6,10),tblDaily[WardCode],"NICU")),"")</f>
        <v/>
      </c>
      <c r="E211" s="5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5" t="str">
        <f>IFERROR(IF(SUMIFS(tblDaily[TransfersIn],tblDaily[EntryDate],DATE(2026,6,10),tblDaily[WardCode],"NICU")=0,"",SUMIFS(tblDaily[TransfersIn],tblDaily[EntryDate],DATE(2026,6,10),tblDaily[WardCode],"NICU")),"")</f>
        <v/>
      </c>
      <c r="G211" s="5" t="str">
        <f>IFERROR(IF(SUMIFS(tblDaily[TransfersOut],tblDaily[EntryDate],DATE(2026,6,10),tblDaily[WardCode],"NICU")=0,"",SUMIFS(tblDaily[TransfersOut],tblDaily[EntryDate],DATE(2026,6,10),tblDaily[WardCode],"NICU")),"")</f>
        <v/>
      </c>
      <c r="H211" s="5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IFERROR(IF(SUMIFS(tblDaily[Admissions],tblDaily[EntryDate],DATE(2026,6,11),tblDaily[WardCode],"NICU")=0,"",SUMIFS(tblDaily[Admissions],tblDaily[EntryDate],DATE(2026,6,11),tblDaily[WardCode],"NICU")),"")</f>
        <v/>
      </c>
      <c r="C212" s="5" t="str">
        <f>IFERROR(IF(SUMIFS(tblDaily[Discharges],tblDaily[EntryDate],DATE(2026,6,11),tblDaily[WardCode],"NICU")=0,"",SUMIFS(tblDaily[Discharges],tblDaily[EntryDate],DATE(2026,6,11),tblDaily[WardCode],"NICU")),"")</f>
        <v/>
      </c>
      <c r="D212" s="5" t="str">
        <f>IFERROR(IF(SUMIFS(tblDaily[Deaths],tblDaily[EntryDate],DATE(2026,6,11),tblDaily[WardCode],"NICU")=0,"",SUMIFS(tblDaily[Deaths],tblDaily[EntryDate],DATE(2026,6,11),tblDaily[WardCode],"NICU")),"")</f>
        <v/>
      </c>
      <c r="E212" s="5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5" t="str">
        <f>IFERROR(IF(SUMIFS(tblDaily[TransfersIn],tblDaily[EntryDate],DATE(2026,6,11),tblDaily[WardCode],"NICU")=0,"",SUMIFS(tblDaily[TransfersIn],tblDaily[EntryDate],DATE(2026,6,11),tblDaily[WardCode],"NICU")),"")</f>
        <v/>
      </c>
      <c r="G212" s="5" t="str">
        <f>IFERROR(IF(SUMIFS(tblDaily[TransfersOut],tblDaily[EntryDate],DATE(2026,6,11),tblDaily[WardCode],"NICU")=0,"",SUMIFS(tblDaily[TransfersOut],tblDaily[EntryDate],DATE(2026,6,11),tblDaily[WardCode],"NICU")),"")</f>
        <v/>
      </c>
      <c r="H212" s="5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IFERROR(IF(SUMIFS(tblDaily[Admissions],tblDaily[EntryDate],DATE(2026,6,12),tblDaily[WardCode],"NICU")=0,"",SUMIFS(tblDaily[Admissions],tblDaily[EntryDate],DATE(2026,6,12),tblDaily[WardCode],"NICU")),"")</f>
        <v/>
      </c>
      <c r="C213" s="5" t="str">
        <f>IFERROR(IF(SUMIFS(tblDaily[Discharges],tblDaily[EntryDate],DATE(2026,6,12),tblDaily[WardCode],"NICU")=0,"",SUMIFS(tblDaily[Discharges],tblDaily[EntryDate],DATE(2026,6,12),tblDaily[WardCode],"NICU")),"")</f>
        <v/>
      </c>
      <c r="D213" s="5" t="str">
        <f>IFERROR(IF(SUMIFS(tblDaily[Deaths],tblDaily[EntryDate],DATE(2026,6,12),tblDaily[WardCode],"NICU")=0,"",SUMIFS(tblDaily[Deaths],tblDaily[EntryDate],DATE(2026,6,12),tblDaily[WardCode],"NICU")),"")</f>
        <v/>
      </c>
      <c r="E213" s="5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5" t="str">
        <f>IFERROR(IF(SUMIFS(tblDaily[TransfersIn],tblDaily[EntryDate],DATE(2026,6,12),tblDaily[WardCode],"NICU")=0,"",SUMIFS(tblDaily[TransfersIn],tblDaily[EntryDate],DATE(2026,6,12),tblDaily[WardCode],"NICU")),"")</f>
        <v/>
      </c>
      <c r="G213" s="5" t="str">
        <f>IFERROR(IF(SUMIFS(tblDaily[TransfersOut],tblDaily[EntryDate],DATE(2026,6,12),tblDaily[WardCode],"NICU")=0,"",SUMIFS(tblDaily[TransfersOut],tblDaily[EntryDate],DATE(2026,6,12),tblDaily[WardCode],"NICU")),"")</f>
        <v/>
      </c>
      <c r="H213" s="5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IFERROR(IF(SUMIFS(tblDaily[Admissions],tblDaily[EntryDate],DATE(2026,6,13),tblDaily[WardCode],"NICU")=0,"",SUMIFS(tblDaily[Admissions],tblDaily[EntryDate],DATE(2026,6,13),tblDaily[WardCode],"NICU")),"")</f>
        <v/>
      </c>
      <c r="C214" s="5" t="str">
        <f>IFERROR(IF(SUMIFS(tblDaily[Discharges],tblDaily[EntryDate],DATE(2026,6,13),tblDaily[WardCode],"NICU")=0,"",SUMIFS(tblDaily[Discharges],tblDaily[EntryDate],DATE(2026,6,13),tblDaily[WardCode],"NICU")),"")</f>
        <v/>
      </c>
      <c r="D214" s="5" t="str">
        <f>IFERROR(IF(SUMIFS(tblDaily[Deaths],tblDaily[EntryDate],DATE(2026,6,13),tblDaily[WardCode],"NICU")=0,"",SUMIFS(tblDaily[Deaths],tblDaily[EntryDate],DATE(2026,6,13),tblDaily[WardCode],"NICU")),"")</f>
        <v/>
      </c>
      <c r="E214" s="5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5" t="str">
        <f>IFERROR(IF(SUMIFS(tblDaily[TransfersIn],tblDaily[EntryDate],DATE(2026,6,13),tblDaily[WardCode],"NICU")=0,"",SUMIFS(tblDaily[TransfersIn],tblDaily[EntryDate],DATE(2026,6,13),tblDaily[WardCode],"NICU")),"")</f>
        <v/>
      </c>
      <c r="G214" s="5" t="str">
        <f>IFERROR(IF(SUMIFS(tblDaily[TransfersOut],tblDaily[EntryDate],DATE(2026,6,13),tblDaily[WardCode],"NICU")=0,"",SUMIFS(tblDaily[TransfersOut],tblDaily[EntryDate],DATE(2026,6,13),tblDaily[WardCode],"NICU")),"")</f>
        <v/>
      </c>
      <c r="H214" s="5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IFERROR(IF(SUMIFS(tblDaily[Admissions],tblDaily[EntryDate],DATE(2026,6,14),tblDaily[WardCode],"NICU")=0,"",SUMIFS(tblDaily[Admissions],tblDaily[EntryDate],DATE(2026,6,14),tblDaily[WardCode],"NICU")),"")</f>
        <v/>
      </c>
      <c r="C215" s="5" t="str">
        <f>IFERROR(IF(SUMIFS(tblDaily[Discharges],tblDaily[EntryDate],DATE(2026,6,14),tblDaily[WardCode],"NICU")=0,"",SUMIFS(tblDaily[Discharges],tblDaily[EntryDate],DATE(2026,6,14),tblDaily[WardCode],"NICU")),"")</f>
        <v/>
      </c>
      <c r="D215" s="5" t="str">
        <f>IFERROR(IF(SUMIFS(tblDaily[Deaths],tblDaily[EntryDate],DATE(2026,6,14),tblDaily[WardCode],"NICU")=0,"",SUMIFS(tblDaily[Deaths],tblDaily[EntryDate],DATE(2026,6,14),tblDaily[WardCode],"NICU")),"")</f>
        <v/>
      </c>
      <c r="E215" s="5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5" t="str">
        <f>IFERROR(IF(SUMIFS(tblDaily[TransfersIn],tblDaily[EntryDate],DATE(2026,6,14),tblDaily[WardCode],"NICU")=0,"",SUMIFS(tblDaily[TransfersIn],tblDaily[EntryDate],DATE(2026,6,14),tblDaily[WardCode],"NICU")),"")</f>
        <v/>
      </c>
      <c r="G215" s="5" t="str">
        <f>IFERROR(IF(SUMIFS(tblDaily[TransfersOut],tblDaily[EntryDate],DATE(2026,6,14),tblDaily[WardCode],"NICU")=0,"",SUMIFS(tblDaily[TransfersOut],tblDaily[EntryDate],DATE(2026,6,14),tblDaily[WardCode],"NICU")),"")</f>
        <v/>
      </c>
      <c r="H215" s="5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IFERROR(IF(SUMIFS(tblDaily[Admissions],tblDaily[EntryDate],DATE(2026,6,15),tblDaily[WardCode],"NICU")=0,"",SUMIFS(tblDaily[Admissions],tblDaily[EntryDate],DATE(2026,6,15),tblDaily[WardCode],"NICU")),"")</f>
        <v/>
      </c>
      <c r="C216" s="5" t="str">
        <f>IFERROR(IF(SUMIFS(tblDaily[Discharges],tblDaily[EntryDate],DATE(2026,6,15),tblDaily[WardCode],"NICU")=0,"",SUMIFS(tblDaily[Discharges],tblDaily[EntryDate],DATE(2026,6,15),tblDaily[WardCode],"NICU")),"")</f>
        <v/>
      </c>
      <c r="D216" s="5" t="str">
        <f>IFERROR(IF(SUMIFS(tblDaily[Deaths],tblDaily[EntryDate],DATE(2026,6,15),tblDaily[WardCode],"NICU")=0,"",SUMIFS(tblDaily[Deaths],tblDaily[EntryDate],DATE(2026,6,15),tblDaily[WardCode],"NICU")),"")</f>
        <v/>
      </c>
      <c r="E216" s="5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5" t="str">
        <f>IFERROR(IF(SUMIFS(tblDaily[TransfersIn],tblDaily[EntryDate],DATE(2026,6,15),tblDaily[WardCode],"NICU")=0,"",SUMIFS(tblDaily[TransfersIn],tblDaily[EntryDate],DATE(2026,6,15),tblDaily[WardCode],"NICU")),"")</f>
        <v/>
      </c>
      <c r="G216" s="5" t="str">
        <f>IFERROR(IF(SUMIFS(tblDaily[TransfersOut],tblDaily[EntryDate],DATE(2026,6,15),tblDaily[WardCode],"NICU")=0,"",SUMIFS(tblDaily[TransfersOut],tblDaily[EntryDate],DATE(2026,6,15),tblDaily[WardCode],"NICU")),"")</f>
        <v/>
      </c>
      <c r="H216" s="5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IFERROR(IF(SUMIFS(tblDaily[Admissions],tblDaily[EntryDate],DATE(2026,6,16),tblDaily[WardCode],"NICU")=0,"",SUMIFS(tblDaily[Admissions],tblDaily[EntryDate],DATE(2026,6,16),tblDaily[WardCode],"NICU")),"")</f>
        <v/>
      </c>
      <c r="C217" s="5" t="str">
        <f>IFERROR(IF(SUMIFS(tblDaily[Discharges],tblDaily[EntryDate],DATE(2026,6,16),tblDaily[WardCode],"NICU")=0,"",SUMIFS(tblDaily[Discharges],tblDaily[EntryDate],DATE(2026,6,16),tblDaily[WardCode],"NICU")),"")</f>
        <v/>
      </c>
      <c r="D217" s="5" t="str">
        <f>IFERROR(IF(SUMIFS(tblDaily[Deaths],tblDaily[EntryDate],DATE(2026,6,16),tblDaily[WardCode],"NICU")=0,"",SUMIFS(tblDaily[Deaths],tblDaily[EntryDate],DATE(2026,6,16),tblDaily[WardCode],"NICU")),"")</f>
        <v/>
      </c>
      <c r="E217" s="5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5" t="str">
        <f>IFERROR(IF(SUMIFS(tblDaily[TransfersIn],tblDaily[EntryDate],DATE(2026,6,16),tblDaily[WardCode],"NICU")=0,"",SUMIFS(tblDaily[TransfersIn],tblDaily[EntryDate],DATE(2026,6,16),tblDaily[WardCode],"NICU")),"")</f>
        <v/>
      </c>
      <c r="G217" s="5" t="str">
        <f>IFERROR(IF(SUMIFS(tblDaily[TransfersOut],tblDaily[EntryDate],DATE(2026,6,16),tblDaily[WardCode],"NICU")=0,"",SUMIFS(tblDaily[TransfersOut],tblDaily[EntryDate],DATE(2026,6,16),tblDaily[WardCode],"NICU")),"")</f>
        <v/>
      </c>
      <c r="H217" s="5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IFERROR(IF(SUMIFS(tblDaily[Admissions],tblDaily[EntryDate],DATE(2026,6,17),tblDaily[WardCode],"NICU")=0,"",SUMIFS(tblDaily[Admissions],tblDaily[EntryDate],DATE(2026,6,17),tblDaily[WardCode],"NICU")),"")</f>
        <v/>
      </c>
      <c r="C218" s="5" t="str">
        <f>IFERROR(IF(SUMIFS(tblDaily[Discharges],tblDaily[EntryDate],DATE(2026,6,17),tblDaily[WardCode],"NICU")=0,"",SUMIFS(tblDaily[Discharges],tblDaily[EntryDate],DATE(2026,6,17),tblDaily[WardCode],"NICU")),"")</f>
        <v/>
      </c>
      <c r="D218" s="5" t="str">
        <f>IFERROR(IF(SUMIFS(tblDaily[Deaths],tblDaily[EntryDate],DATE(2026,6,17),tblDaily[WardCode],"NICU")=0,"",SUMIFS(tblDaily[Deaths],tblDaily[EntryDate],DATE(2026,6,17),tblDaily[WardCode],"NICU")),"")</f>
        <v/>
      </c>
      <c r="E218" s="5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5" t="str">
        <f>IFERROR(IF(SUMIFS(tblDaily[TransfersIn],tblDaily[EntryDate],DATE(2026,6,17),tblDaily[WardCode],"NICU")=0,"",SUMIFS(tblDaily[TransfersIn],tblDaily[EntryDate],DATE(2026,6,17),tblDaily[WardCode],"NICU")),"")</f>
        <v/>
      </c>
      <c r="G218" s="5" t="str">
        <f>IFERROR(IF(SUMIFS(tblDaily[TransfersOut],tblDaily[EntryDate],DATE(2026,6,17),tblDaily[WardCode],"NICU")=0,"",SUMIFS(tblDaily[TransfersOut],tblDaily[EntryDate],DATE(2026,6,17),tblDaily[WardCode],"NICU")),"")</f>
        <v/>
      </c>
      <c r="H218" s="5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IFERROR(IF(SUMIFS(tblDaily[Admissions],tblDaily[EntryDate],DATE(2026,6,18),tblDaily[WardCode],"NICU")=0,"",SUMIFS(tblDaily[Admissions],tblDaily[EntryDate],DATE(2026,6,18),tblDaily[WardCode],"NICU")),"")</f>
        <v/>
      </c>
      <c r="C219" s="5" t="str">
        <f>IFERROR(IF(SUMIFS(tblDaily[Discharges],tblDaily[EntryDate],DATE(2026,6,18),tblDaily[WardCode],"NICU")=0,"",SUMIFS(tblDaily[Discharges],tblDaily[EntryDate],DATE(2026,6,18),tblDaily[WardCode],"NICU")),"")</f>
        <v/>
      </c>
      <c r="D219" s="5" t="str">
        <f>IFERROR(IF(SUMIFS(tblDaily[Deaths],tblDaily[EntryDate],DATE(2026,6,18),tblDaily[WardCode],"NICU")=0,"",SUMIFS(tblDaily[Deaths],tblDaily[EntryDate],DATE(2026,6,18),tblDaily[WardCode],"NICU")),"")</f>
        <v/>
      </c>
      <c r="E219" s="5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5" t="str">
        <f>IFERROR(IF(SUMIFS(tblDaily[TransfersIn],tblDaily[EntryDate],DATE(2026,6,18),tblDaily[WardCode],"NICU")=0,"",SUMIFS(tblDaily[TransfersIn],tblDaily[EntryDate],DATE(2026,6,18),tblDaily[WardCode],"NICU")),"")</f>
        <v/>
      </c>
      <c r="G219" s="5" t="str">
        <f>IFERROR(IF(SUMIFS(tblDaily[TransfersOut],tblDaily[EntryDate],DATE(2026,6,18),tblDaily[WardCode],"NICU")=0,"",SUMIFS(tblDaily[TransfersOut],tblDaily[EntryDate],DATE(2026,6,18),tblDaily[WardCode],"NICU")),"")</f>
        <v/>
      </c>
      <c r="H219" s="5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IFERROR(IF(SUMIFS(tblDaily[Admissions],tblDaily[EntryDate],DATE(2026,6,19),tblDaily[WardCode],"NICU")=0,"",SUMIFS(tblDaily[Admissions],tblDaily[EntryDate],DATE(2026,6,19),tblDaily[WardCode],"NICU")),"")</f>
        <v/>
      </c>
      <c r="C220" s="5" t="str">
        <f>IFERROR(IF(SUMIFS(tblDaily[Discharges],tblDaily[EntryDate],DATE(2026,6,19),tblDaily[WardCode],"NICU")=0,"",SUMIFS(tblDaily[Discharges],tblDaily[EntryDate],DATE(2026,6,19),tblDaily[WardCode],"NICU")),"")</f>
        <v/>
      </c>
      <c r="D220" s="5" t="str">
        <f>IFERROR(IF(SUMIFS(tblDaily[Deaths],tblDaily[EntryDate],DATE(2026,6,19),tblDaily[WardCode],"NICU")=0,"",SUMIFS(tblDaily[Deaths],tblDaily[EntryDate],DATE(2026,6,19),tblDaily[WardCode],"NICU")),"")</f>
        <v/>
      </c>
      <c r="E220" s="5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5" t="str">
        <f>IFERROR(IF(SUMIFS(tblDaily[TransfersIn],tblDaily[EntryDate],DATE(2026,6,19),tblDaily[WardCode],"NICU")=0,"",SUMIFS(tblDaily[TransfersIn],tblDaily[EntryDate],DATE(2026,6,19),tblDaily[WardCode],"NICU")),"")</f>
        <v/>
      </c>
      <c r="G220" s="5" t="str">
        <f>IFERROR(IF(SUMIFS(tblDaily[TransfersOut],tblDaily[EntryDate],DATE(2026,6,19),tblDaily[WardCode],"NICU")=0,"",SUMIFS(tblDaily[TransfersOut],tblDaily[EntryDate],DATE(2026,6,19),tblDaily[WardCode],"NICU")),"")</f>
        <v/>
      </c>
      <c r="H220" s="5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IFERROR(IF(SUMIFS(tblDaily[Admissions],tblDaily[EntryDate],DATE(2026,6,20),tblDaily[WardCode],"NICU")=0,"",SUMIFS(tblDaily[Admissions],tblDaily[EntryDate],DATE(2026,6,20),tblDaily[WardCode],"NICU")),"")</f>
        <v/>
      </c>
      <c r="C221" s="5" t="str">
        <f>IFERROR(IF(SUMIFS(tblDaily[Discharges],tblDaily[EntryDate],DATE(2026,6,20),tblDaily[WardCode],"NICU")=0,"",SUMIFS(tblDaily[Discharges],tblDaily[EntryDate],DATE(2026,6,20),tblDaily[WardCode],"NICU")),"")</f>
        <v/>
      </c>
      <c r="D221" s="5" t="str">
        <f>IFERROR(IF(SUMIFS(tblDaily[Deaths],tblDaily[EntryDate],DATE(2026,6,20),tblDaily[WardCode],"NICU")=0,"",SUMIFS(tblDaily[Deaths],tblDaily[EntryDate],DATE(2026,6,20),tblDaily[WardCode],"NICU")),"")</f>
        <v/>
      </c>
      <c r="E221" s="5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5" t="str">
        <f>IFERROR(IF(SUMIFS(tblDaily[TransfersIn],tblDaily[EntryDate],DATE(2026,6,20),tblDaily[WardCode],"NICU")=0,"",SUMIFS(tblDaily[TransfersIn],tblDaily[EntryDate],DATE(2026,6,20),tblDaily[WardCode],"NICU")),"")</f>
        <v/>
      </c>
      <c r="G221" s="5" t="str">
        <f>IFERROR(IF(SUMIFS(tblDaily[TransfersOut],tblDaily[EntryDate],DATE(2026,6,20),tblDaily[WardCode],"NICU")=0,"",SUMIFS(tblDaily[TransfersOut],tblDaily[EntryDate],DATE(2026,6,20),tblDaily[WardCode],"NICU")),"")</f>
        <v/>
      </c>
      <c r="H221" s="5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IFERROR(IF(SUMIFS(tblDaily[Admissions],tblDaily[EntryDate],DATE(2026,6,21),tblDaily[WardCode],"NICU")=0,"",SUMIFS(tblDaily[Admissions],tblDaily[EntryDate],DATE(2026,6,21),tblDaily[WardCode],"NICU")),"")</f>
        <v/>
      </c>
      <c r="C222" s="5" t="str">
        <f>IFERROR(IF(SUMIFS(tblDaily[Discharges],tblDaily[EntryDate],DATE(2026,6,21),tblDaily[WardCode],"NICU")=0,"",SUMIFS(tblDaily[Discharges],tblDaily[EntryDate],DATE(2026,6,21),tblDaily[WardCode],"NICU")),"")</f>
        <v/>
      </c>
      <c r="D222" s="5" t="str">
        <f>IFERROR(IF(SUMIFS(tblDaily[Deaths],tblDaily[EntryDate],DATE(2026,6,21),tblDaily[WardCode],"NICU")=0,"",SUMIFS(tblDaily[Deaths],tblDaily[EntryDate],DATE(2026,6,21),tblDaily[WardCode],"NICU")),"")</f>
        <v/>
      </c>
      <c r="E222" s="5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5" t="str">
        <f>IFERROR(IF(SUMIFS(tblDaily[TransfersIn],tblDaily[EntryDate],DATE(2026,6,21),tblDaily[WardCode],"NICU")=0,"",SUMIFS(tblDaily[TransfersIn],tblDaily[EntryDate],DATE(2026,6,21),tblDaily[WardCode],"NICU")),"")</f>
        <v/>
      </c>
      <c r="G222" s="5" t="str">
        <f>IFERROR(IF(SUMIFS(tblDaily[TransfersOut],tblDaily[EntryDate],DATE(2026,6,21),tblDaily[WardCode],"NICU")=0,"",SUMIFS(tblDaily[TransfersOut],tblDaily[EntryDate],DATE(2026,6,21),tblDaily[WardCode],"NICU")),"")</f>
        <v/>
      </c>
      <c r="H222" s="5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IFERROR(IF(SUMIFS(tblDaily[Admissions],tblDaily[EntryDate],DATE(2026,6,22),tblDaily[WardCode],"NICU")=0,"",SUMIFS(tblDaily[Admissions],tblDaily[EntryDate],DATE(2026,6,22),tblDaily[WardCode],"NICU")),"")</f>
        <v/>
      </c>
      <c r="C223" s="5" t="str">
        <f>IFERROR(IF(SUMIFS(tblDaily[Discharges],tblDaily[EntryDate],DATE(2026,6,22),tblDaily[WardCode],"NICU")=0,"",SUMIFS(tblDaily[Discharges],tblDaily[EntryDate],DATE(2026,6,22),tblDaily[WardCode],"NICU")),"")</f>
        <v/>
      </c>
      <c r="D223" s="5" t="str">
        <f>IFERROR(IF(SUMIFS(tblDaily[Deaths],tblDaily[EntryDate],DATE(2026,6,22),tblDaily[WardCode],"NICU")=0,"",SUMIFS(tblDaily[Deaths],tblDaily[EntryDate],DATE(2026,6,22),tblDaily[WardCode],"NICU")),"")</f>
        <v/>
      </c>
      <c r="E223" s="5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5" t="str">
        <f>IFERROR(IF(SUMIFS(tblDaily[TransfersIn],tblDaily[EntryDate],DATE(2026,6,22),tblDaily[WardCode],"NICU")=0,"",SUMIFS(tblDaily[TransfersIn],tblDaily[EntryDate],DATE(2026,6,22),tblDaily[WardCode],"NICU")),"")</f>
        <v/>
      </c>
      <c r="G223" s="5" t="str">
        <f>IFERROR(IF(SUMIFS(tblDaily[TransfersOut],tblDaily[EntryDate],DATE(2026,6,22),tblDaily[WardCode],"NICU")=0,"",SUMIFS(tblDaily[TransfersOut],tblDaily[EntryDate],DATE(2026,6,22),tblDaily[WardCode],"NICU")),"")</f>
        <v/>
      </c>
      <c r="H223" s="5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IFERROR(IF(SUMIFS(tblDaily[Admissions],tblDaily[EntryDate],DATE(2026,6,23),tblDaily[WardCode],"NICU")=0,"",SUMIFS(tblDaily[Admissions],tblDaily[EntryDate],DATE(2026,6,23),tblDaily[WardCode],"NICU")),"")</f>
        <v/>
      </c>
      <c r="C224" s="5" t="str">
        <f>IFERROR(IF(SUMIFS(tblDaily[Discharges],tblDaily[EntryDate],DATE(2026,6,23),tblDaily[WardCode],"NICU")=0,"",SUMIFS(tblDaily[Discharges],tblDaily[EntryDate],DATE(2026,6,23),tblDaily[WardCode],"NICU")),"")</f>
        <v/>
      </c>
      <c r="D224" s="5" t="str">
        <f>IFERROR(IF(SUMIFS(tblDaily[Deaths],tblDaily[EntryDate],DATE(2026,6,23),tblDaily[WardCode],"NICU")=0,"",SUMIFS(tblDaily[Deaths],tblDaily[EntryDate],DATE(2026,6,23),tblDaily[WardCode],"NICU")),"")</f>
        <v/>
      </c>
      <c r="E224" s="5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5" t="str">
        <f>IFERROR(IF(SUMIFS(tblDaily[TransfersIn],tblDaily[EntryDate],DATE(2026,6,23),tblDaily[WardCode],"NICU")=0,"",SUMIFS(tblDaily[TransfersIn],tblDaily[EntryDate],DATE(2026,6,23),tblDaily[WardCode],"NICU")),"")</f>
        <v/>
      </c>
      <c r="G224" s="5" t="str">
        <f>IFERROR(IF(SUMIFS(tblDaily[TransfersOut],tblDaily[EntryDate],DATE(2026,6,23),tblDaily[WardCode],"NICU")=0,"",SUMIFS(tblDaily[TransfersOut],tblDaily[EntryDate],DATE(2026,6,23),tblDaily[WardCode],"NICU")),"")</f>
        <v/>
      </c>
      <c r="H224" s="5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IFERROR(IF(SUMIFS(tblDaily[Admissions],tblDaily[EntryDate],DATE(2026,6,24),tblDaily[WardCode],"NICU")=0,"",SUMIFS(tblDaily[Admissions],tblDaily[EntryDate],DATE(2026,6,24),tblDaily[WardCode],"NICU")),"")</f>
        <v/>
      </c>
      <c r="C225" s="5" t="str">
        <f>IFERROR(IF(SUMIFS(tblDaily[Discharges],tblDaily[EntryDate],DATE(2026,6,24),tblDaily[WardCode],"NICU")=0,"",SUMIFS(tblDaily[Discharges],tblDaily[EntryDate],DATE(2026,6,24),tblDaily[WardCode],"NICU")),"")</f>
        <v/>
      </c>
      <c r="D225" s="5" t="str">
        <f>IFERROR(IF(SUMIFS(tblDaily[Deaths],tblDaily[EntryDate],DATE(2026,6,24),tblDaily[WardCode],"NICU")=0,"",SUMIFS(tblDaily[Deaths],tblDaily[EntryDate],DATE(2026,6,24),tblDaily[WardCode],"NICU")),"")</f>
        <v/>
      </c>
      <c r="E225" s="5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5" t="str">
        <f>IFERROR(IF(SUMIFS(tblDaily[TransfersIn],tblDaily[EntryDate],DATE(2026,6,24),tblDaily[WardCode],"NICU")=0,"",SUMIFS(tblDaily[TransfersIn],tblDaily[EntryDate],DATE(2026,6,24),tblDaily[WardCode],"NICU")),"")</f>
        <v/>
      </c>
      <c r="G225" s="5" t="str">
        <f>IFERROR(IF(SUMIFS(tblDaily[TransfersOut],tblDaily[EntryDate],DATE(2026,6,24),tblDaily[WardCode],"NICU")=0,"",SUMIFS(tblDaily[TransfersOut],tblDaily[EntryDate],DATE(2026,6,24),tblDaily[WardCode],"NICU")),"")</f>
        <v/>
      </c>
      <c r="H225" s="5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IFERROR(IF(SUMIFS(tblDaily[Admissions],tblDaily[EntryDate],DATE(2026,6,25),tblDaily[WardCode],"NICU")=0,"",SUMIFS(tblDaily[Admissions],tblDaily[EntryDate],DATE(2026,6,25),tblDaily[WardCode],"NICU")),"")</f>
        <v/>
      </c>
      <c r="C226" s="5" t="str">
        <f>IFERROR(IF(SUMIFS(tblDaily[Discharges],tblDaily[EntryDate],DATE(2026,6,25),tblDaily[WardCode],"NICU")=0,"",SUMIFS(tblDaily[Discharges],tblDaily[EntryDate],DATE(2026,6,25),tblDaily[WardCode],"NICU")),"")</f>
        <v/>
      </c>
      <c r="D226" s="5" t="str">
        <f>IFERROR(IF(SUMIFS(tblDaily[Deaths],tblDaily[EntryDate],DATE(2026,6,25),tblDaily[WardCode],"NICU")=0,"",SUMIFS(tblDaily[Deaths],tblDaily[EntryDate],DATE(2026,6,25),tblDaily[WardCode],"NICU")),"")</f>
        <v/>
      </c>
      <c r="E226" s="5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5" t="str">
        <f>IFERROR(IF(SUMIFS(tblDaily[TransfersIn],tblDaily[EntryDate],DATE(2026,6,25),tblDaily[WardCode],"NICU")=0,"",SUMIFS(tblDaily[TransfersIn],tblDaily[EntryDate],DATE(2026,6,25),tblDaily[WardCode],"NICU")),"")</f>
        <v/>
      </c>
      <c r="G226" s="5" t="str">
        <f>IFERROR(IF(SUMIFS(tblDaily[TransfersOut],tblDaily[EntryDate],DATE(2026,6,25),tblDaily[WardCode],"NICU")=0,"",SUMIFS(tblDaily[TransfersOut],tblDaily[EntryDate],DATE(2026,6,25),tblDaily[WardCode],"NICU")),"")</f>
        <v/>
      </c>
      <c r="H226" s="5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IFERROR(IF(SUMIFS(tblDaily[Admissions],tblDaily[EntryDate],DATE(2026,6,26),tblDaily[WardCode],"NICU")=0,"",SUMIFS(tblDaily[Admissions],tblDaily[EntryDate],DATE(2026,6,26),tblDaily[WardCode],"NICU")),"")</f>
        <v/>
      </c>
      <c r="C227" s="5" t="str">
        <f>IFERROR(IF(SUMIFS(tblDaily[Discharges],tblDaily[EntryDate],DATE(2026,6,26),tblDaily[WardCode],"NICU")=0,"",SUMIFS(tblDaily[Discharges],tblDaily[EntryDate],DATE(2026,6,26),tblDaily[WardCode],"NICU")),"")</f>
        <v/>
      </c>
      <c r="D227" s="5" t="str">
        <f>IFERROR(IF(SUMIFS(tblDaily[Deaths],tblDaily[EntryDate],DATE(2026,6,26),tblDaily[WardCode],"NICU")=0,"",SUMIFS(tblDaily[Deaths],tblDaily[EntryDate],DATE(2026,6,26),tblDaily[WardCode],"NICU")),"")</f>
        <v/>
      </c>
      <c r="E227" s="5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5" t="str">
        <f>IFERROR(IF(SUMIFS(tblDaily[TransfersIn],tblDaily[EntryDate],DATE(2026,6,26),tblDaily[WardCode],"NICU")=0,"",SUMIFS(tblDaily[TransfersIn],tblDaily[EntryDate],DATE(2026,6,26),tblDaily[WardCode],"NICU")),"")</f>
        <v/>
      </c>
      <c r="G227" s="5" t="str">
        <f>IFERROR(IF(SUMIFS(tblDaily[TransfersOut],tblDaily[EntryDate],DATE(2026,6,26),tblDaily[WardCode],"NICU")=0,"",SUMIFS(tblDaily[TransfersOut],tblDaily[EntryDate],DATE(2026,6,26),tblDaily[WardCode],"NICU")),"")</f>
        <v/>
      </c>
      <c r="H227" s="5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IFERROR(IF(SUMIFS(tblDaily[Admissions],tblDaily[EntryDate],DATE(2026,6,27),tblDaily[WardCode],"NICU")=0,"",SUMIFS(tblDaily[Admissions],tblDaily[EntryDate],DATE(2026,6,27),tblDaily[WardCode],"NICU")),"")</f>
        <v/>
      </c>
      <c r="C228" s="5" t="str">
        <f>IFERROR(IF(SUMIFS(tblDaily[Discharges],tblDaily[EntryDate],DATE(2026,6,27),tblDaily[WardCode],"NICU")=0,"",SUMIFS(tblDaily[Discharges],tblDaily[EntryDate],DATE(2026,6,27),tblDaily[WardCode],"NICU")),"")</f>
        <v/>
      </c>
      <c r="D228" s="5" t="str">
        <f>IFERROR(IF(SUMIFS(tblDaily[Deaths],tblDaily[EntryDate],DATE(2026,6,27),tblDaily[WardCode],"NICU")=0,"",SUMIFS(tblDaily[Deaths],tblDaily[EntryDate],DATE(2026,6,27),tblDaily[WardCode],"NICU")),"")</f>
        <v/>
      </c>
      <c r="E228" s="5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5" t="str">
        <f>IFERROR(IF(SUMIFS(tblDaily[TransfersIn],tblDaily[EntryDate],DATE(2026,6,27),tblDaily[WardCode],"NICU")=0,"",SUMIFS(tblDaily[TransfersIn],tblDaily[EntryDate],DATE(2026,6,27),tblDaily[WardCode],"NICU")),"")</f>
        <v/>
      </c>
      <c r="G228" s="5" t="str">
        <f>IFERROR(IF(SUMIFS(tblDaily[TransfersOut],tblDaily[EntryDate],DATE(2026,6,27),tblDaily[WardCode],"NICU")=0,"",SUMIFS(tblDaily[TransfersOut],tblDaily[EntryDate],DATE(2026,6,27),tblDaily[WardCode],"NICU")),"")</f>
        <v/>
      </c>
      <c r="H228" s="5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IFERROR(IF(SUMIFS(tblDaily[Admissions],tblDaily[EntryDate],DATE(2026,6,28),tblDaily[WardCode],"NICU")=0,"",SUMIFS(tblDaily[Admissions],tblDaily[EntryDate],DATE(2026,6,28),tblDaily[WardCode],"NICU")),"")</f>
        <v/>
      </c>
      <c r="C229" s="5" t="str">
        <f>IFERROR(IF(SUMIFS(tblDaily[Discharges],tblDaily[EntryDate],DATE(2026,6,28),tblDaily[WardCode],"NICU")=0,"",SUMIFS(tblDaily[Discharges],tblDaily[EntryDate],DATE(2026,6,28),tblDaily[WardCode],"NICU")),"")</f>
        <v/>
      </c>
      <c r="D229" s="5" t="str">
        <f>IFERROR(IF(SUMIFS(tblDaily[Deaths],tblDaily[EntryDate],DATE(2026,6,28),tblDaily[WardCode],"NICU")=0,"",SUMIFS(tblDaily[Deaths],tblDaily[EntryDate],DATE(2026,6,28),tblDaily[WardCode],"NICU")),"")</f>
        <v/>
      </c>
      <c r="E229" s="5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5" t="str">
        <f>IFERROR(IF(SUMIFS(tblDaily[TransfersIn],tblDaily[EntryDate],DATE(2026,6,28),tblDaily[WardCode],"NICU")=0,"",SUMIFS(tblDaily[TransfersIn],tblDaily[EntryDate],DATE(2026,6,28),tblDaily[WardCode],"NICU")),"")</f>
        <v/>
      </c>
      <c r="G229" s="5" t="str">
        <f>IFERROR(IF(SUMIFS(tblDaily[TransfersOut],tblDaily[EntryDate],DATE(2026,6,28),tblDaily[WardCode],"NICU")=0,"",SUMIFS(tblDaily[TransfersOut],tblDaily[EntryDate],DATE(2026,6,28),tblDaily[WardCode],"NICU")),"")</f>
        <v/>
      </c>
      <c r="H229" s="5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IFERROR(IF(SUMIFS(tblDaily[Admissions],tblDaily[EntryDate],DATE(2026,6,29),tblDaily[WardCode],"NICU")=0,"",SUMIFS(tblDaily[Admissions],tblDaily[EntryDate],DATE(2026,6,29),tblDaily[WardCode],"NICU")),"")</f>
        <v/>
      </c>
      <c r="C230" s="5" t="str">
        <f>IFERROR(IF(SUMIFS(tblDaily[Discharges],tblDaily[EntryDate],DATE(2026,6,29),tblDaily[WardCode],"NICU")=0,"",SUMIFS(tblDaily[Discharges],tblDaily[EntryDate],DATE(2026,6,29),tblDaily[WardCode],"NICU")),"")</f>
        <v/>
      </c>
      <c r="D230" s="5" t="str">
        <f>IFERROR(IF(SUMIFS(tblDaily[Deaths],tblDaily[EntryDate],DATE(2026,6,29),tblDaily[WardCode],"NICU")=0,"",SUMIFS(tblDaily[Deaths],tblDaily[EntryDate],DATE(2026,6,29),tblDaily[WardCode],"NICU")),"")</f>
        <v/>
      </c>
      <c r="E230" s="5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5" t="str">
        <f>IFERROR(IF(SUMIFS(tblDaily[TransfersIn],tblDaily[EntryDate],DATE(2026,6,29),tblDaily[WardCode],"NICU")=0,"",SUMIFS(tblDaily[TransfersIn],tblDaily[EntryDate],DATE(2026,6,29),tblDaily[WardCode],"NICU")),"")</f>
        <v/>
      </c>
      <c r="G230" s="5" t="str">
        <f>IFERROR(IF(SUMIFS(tblDaily[TransfersOut],tblDaily[EntryDate],DATE(2026,6,29),tblDaily[WardCode],"NICU")=0,"",SUMIFS(tblDaily[TransfersOut],tblDaily[EntryDate],DATE(2026,6,29),tblDaily[WardCode],"NICU")),"")</f>
        <v/>
      </c>
      <c r="H230" s="5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IFERROR(IF(SUMIFS(tblDaily[Admissions],tblDaily[EntryDate],DATE(2026,6,30),tblDaily[WardCode],"NICU")=0,"",SUMIFS(tblDaily[Admissions],tblDaily[EntryDate],DATE(2026,6,30),tblDaily[WardCode],"NICU")),"")</f>
        <v/>
      </c>
      <c r="C231" s="5" t="str">
        <f>IFERROR(IF(SUMIFS(tblDaily[Discharges],tblDaily[EntryDate],DATE(2026,6,30),tblDaily[WardCode],"NICU")=0,"",SUMIFS(tblDaily[Discharges],tblDaily[EntryDate],DATE(2026,6,30),tblDaily[WardCode],"NICU")),"")</f>
        <v/>
      </c>
      <c r="D231" s="5" t="str">
        <f>IFERROR(IF(SUMIFS(tblDaily[Deaths],tblDaily[EntryDate],DATE(2026,6,30),tblDaily[WardCode],"NICU")=0,"",SUMIFS(tblDaily[Deaths],tblDaily[EntryDate],DATE(2026,6,30),tblDaily[WardCode],"NICU")),"")</f>
        <v/>
      </c>
      <c r="E231" s="5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5" t="str">
        <f>IFERROR(IF(SUMIFS(tblDaily[TransfersIn],tblDaily[EntryDate],DATE(2026,6,30),tblDaily[WardCode],"NICU")=0,"",SUMIFS(tblDaily[TransfersIn],tblDaily[EntryDate],DATE(2026,6,30),tblDaily[WardCode],"NICU")),"")</f>
        <v/>
      </c>
      <c r="G231" s="5" t="str">
        <f>IFERROR(IF(SUMIFS(tblDaily[TransfersOut],tblDaily[EntryDate],DATE(2026,6,30),tblDaily[WardCode],"NICU")=0,"",SUMIFS(tblDaily[TransfersOut],tblDaily[EntryDate],DATE(2026,6,30),tblDaily[WardCode],"NICU")),"")</f>
        <v/>
      </c>
      <c r="H231" s="5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101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89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IFERROR(IF(SUMIFS(tblDaily[Admissions],tblDaily[EntryDate],DATE(2026,7,1),tblDaily[WardCode],"NICU")=0,"",SUMIFS(tblDaily[Admissions],tblDaily[EntryDate],DATE(2026,7,1),tblDaily[WardCode],"NICU")),"")</f>
        <v/>
      </c>
      <c r="C241" s="5" t="str">
        <f>IFERROR(IF(SUMIFS(tblDaily[Discharges],tblDaily[EntryDate],DATE(2026,7,1),tblDaily[WardCode],"NICU")=0,"",SUMIFS(tblDaily[Discharges],tblDaily[EntryDate],DATE(2026,7,1),tblDaily[WardCode],"NICU")),"")</f>
        <v/>
      </c>
      <c r="D241" s="5" t="str">
        <f>IFERROR(IF(SUMIFS(tblDaily[Deaths],tblDaily[EntryDate],DATE(2026,7,1),tblDaily[WardCode],"NICU")=0,"",SUMIFS(tblDaily[Deaths],tblDaily[EntryDate],DATE(2026,7,1),tblDaily[WardCode],"NICU")),"")</f>
        <v/>
      </c>
      <c r="E241" s="5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5" t="str">
        <f>IFERROR(IF(SUMIFS(tblDaily[TransfersIn],tblDaily[EntryDate],DATE(2026,7,1),tblDaily[WardCode],"NICU")=0,"",SUMIFS(tblDaily[TransfersIn],tblDaily[EntryDate],DATE(2026,7,1),tblDaily[WardCode],"NICU")),"")</f>
        <v/>
      </c>
      <c r="G241" s="5" t="str">
        <f>IFERROR(IF(SUMIFS(tblDaily[TransfersOut],tblDaily[EntryDate],DATE(2026,7,1),tblDaily[WardCode],"NICU")=0,"",SUMIFS(tblDaily[TransfersOut],tblDaily[EntryDate],DATE(2026,7,1),tblDaily[WardCode],"NICU")),"")</f>
        <v/>
      </c>
      <c r="H241" s="5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IFERROR(IF(SUMIFS(tblDaily[Admissions],tblDaily[EntryDate],DATE(2026,7,2),tblDaily[WardCode],"NICU")=0,"",SUMIFS(tblDaily[Admissions],tblDaily[EntryDate],DATE(2026,7,2),tblDaily[WardCode],"NICU")),"")</f>
        <v/>
      </c>
      <c r="C242" s="5" t="str">
        <f>IFERROR(IF(SUMIFS(tblDaily[Discharges],tblDaily[EntryDate],DATE(2026,7,2),tblDaily[WardCode],"NICU")=0,"",SUMIFS(tblDaily[Discharges],tblDaily[EntryDate],DATE(2026,7,2),tblDaily[WardCode],"NICU")),"")</f>
        <v/>
      </c>
      <c r="D242" s="5" t="str">
        <f>IFERROR(IF(SUMIFS(tblDaily[Deaths],tblDaily[EntryDate],DATE(2026,7,2),tblDaily[WardCode],"NICU")=0,"",SUMIFS(tblDaily[Deaths],tblDaily[EntryDate],DATE(2026,7,2),tblDaily[WardCode],"NICU")),"")</f>
        <v/>
      </c>
      <c r="E242" s="5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5" t="str">
        <f>IFERROR(IF(SUMIFS(tblDaily[TransfersIn],tblDaily[EntryDate],DATE(2026,7,2),tblDaily[WardCode],"NICU")=0,"",SUMIFS(tblDaily[TransfersIn],tblDaily[EntryDate],DATE(2026,7,2),tblDaily[WardCode],"NICU")),"")</f>
        <v/>
      </c>
      <c r="G242" s="5" t="str">
        <f>IFERROR(IF(SUMIFS(tblDaily[TransfersOut],tblDaily[EntryDate],DATE(2026,7,2),tblDaily[WardCode],"NICU")=0,"",SUMIFS(tblDaily[TransfersOut],tblDaily[EntryDate],DATE(2026,7,2),tblDaily[WardCode],"NICU")),"")</f>
        <v/>
      </c>
      <c r="H242" s="5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IFERROR(IF(SUMIFS(tblDaily[Admissions],tblDaily[EntryDate],DATE(2026,7,3),tblDaily[WardCode],"NICU")=0,"",SUMIFS(tblDaily[Admissions],tblDaily[EntryDate],DATE(2026,7,3),tblDaily[WardCode],"NICU")),"")</f>
        <v/>
      </c>
      <c r="C243" s="5" t="str">
        <f>IFERROR(IF(SUMIFS(tblDaily[Discharges],tblDaily[EntryDate],DATE(2026,7,3),tblDaily[WardCode],"NICU")=0,"",SUMIFS(tblDaily[Discharges],tblDaily[EntryDate],DATE(2026,7,3),tblDaily[WardCode],"NICU")),"")</f>
        <v/>
      </c>
      <c r="D243" s="5" t="str">
        <f>IFERROR(IF(SUMIFS(tblDaily[Deaths],tblDaily[EntryDate],DATE(2026,7,3),tblDaily[WardCode],"NICU")=0,"",SUMIFS(tblDaily[Deaths],tblDaily[EntryDate],DATE(2026,7,3),tblDaily[WardCode],"NICU")),"")</f>
        <v/>
      </c>
      <c r="E243" s="5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5" t="str">
        <f>IFERROR(IF(SUMIFS(tblDaily[TransfersIn],tblDaily[EntryDate],DATE(2026,7,3),tblDaily[WardCode],"NICU")=0,"",SUMIFS(tblDaily[TransfersIn],tblDaily[EntryDate],DATE(2026,7,3),tblDaily[WardCode],"NICU")),"")</f>
        <v/>
      </c>
      <c r="G243" s="5" t="str">
        <f>IFERROR(IF(SUMIFS(tblDaily[TransfersOut],tblDaily[EntryDate],DATE(2026,7,3),tblDaily[WardCode],"NICU")=0,"",SUMIFS(tblDaily[TransfersOut],tblDaily[EntryDate],DATE(2026,7,3),tblDaily[WardCode],"NICU")),"")</f>
        <v/>
      </c>
      <c r="H243" s="5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IFERROR(IF(SUMIFS(tblDaily[Admissions],tblDaily[EntryDate],DATE(2026,7,4),tblDaily[WardCode],"NICU")=0,"",SUMIFS(tblDaily[Admissions],tblDaily[EntryDate],DATE(2026,7,4),tblDaily[WardCode],"NICU")),"")</f>
        <v/>
      </c>
      <c r="C244" s="5" t="str">
        <f>IFERROR(IF(SUMIFS(tblDaily[Discharges],tblDaily[EntryDate],DATE(2026,7,4),tblDaily[WardCode],"NICU")=0,"",SUMIFS(tblDaily[Discharges],tblDaily[EntryDate],DATE(2026,7,4),tblDaily[WardCode],"NICU")),"")</f>
        <v/>
      </c>
      <c r="D244" s="5" t="str">
        <f>IFERROR(IF(SUMIFS(tblDaily[Deaths],tblDaily[EntryDate],DATE(2026,7,4),tblDaily[WardCode],"NICU")=0,"",SUMIFS(tblDaily[Deaths],tblDaily[EntryDate],DATE(2026,7,4),tblDaily[WardCode],"NICU")),"")</f>
        <v/>
      </c>
      <c r="E244" s="5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5" t="str">
        <f>IFERROR(IF(SUMIFS(tblDaily[TransfersIn],tblDaily[EntryDate],DATE(2026,7,4),tblDaily[WardCode],"NICU")=0,"",SUMIFS(tblDaily[TransfersIn],tblDaily[EntryDate],DATE(2026,7,4),tblDaily[WardCode],"NICU")),"")</f>
        <v/>
      </c>
      <c r="G244" s="5" t="str">
        <f>IFERROR(IF(SUMIFS(tblDaily[TransfersOut],tblDaily[EntryDate],DATE(2026,7,4),tblDaily[WardCode],"NICU")=0,"",SUMIFS(tblDaily[TransfersOut],tblDaily[EntryDate],DATE(2026,7,4),tblDaily[WardCode],"NICU")),"")</f>
        <v/>
      </c>
      <c r="H244" s="5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IFERROR(IF(SUMIFS(tblDaily[Admissions],tblDaily[EntryDate],DATE(2026,7,5),tblDaily[WardCode],"NICU")=0,"",SUMIFS(tblDaily[Admissions],tblDaily[EntryDate],DATE(2026,7,5),tblDaily[WardCode],"NICU")),"")</f>
        <v/>
      </c>
      <c r="C245" s="5" t="str">
        <f>IFERROR(IF(SUMIFS(tblDaily[Discharges],tblDaily[EntryDate],DATE(2026,7,5),tblDaily[WardCode],"NICU")=0,"",SUMIFS(tblDaily[Discharges],tblDaily[EntryDate],DATE(2026,7,5),tblDaily[WardCode],"NICU")),"")</f>
        <v/>
      </c>
      <c r="D245" s="5" t="str">
        <f>IFERROR(IF(SUMIFS(tblDaily[Deaths],tblDaily[EntryDate],DATE(2026,7,5),tblDaily[WardCode],"NICU")=0,"",SUMIFS(tblDaily[Deaths],tblDaily[EntryDate],DATE(2026,7,5),tblDaily[WardCode],"NICU")),"")</f>
        <v/>
      </c>
      <c r="E245" s="5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5" t="str">
        <f>IFERROR(IF(SUMIFS(tblDaily[TransfersIn],tblDaily[EntryDate],DATE(2026,7,5),tblDaily[WardCode],"NICU")=0,"",SUMIFS(tblDaily[TransfersIn],tblDaily[EntryDate],DATE(2026,7,5),tblDaily[WardCode],"NICU")),"")</f>
        <v/>
      </c>
      <c r="G245" s="5" t="str">
        <f>IFERROR(IF(SUMIFS(tblDaily[TransfersOut],tblDaily[EntryDate],DATE(2026,7,5),tblDaily[WardCode],"NICU")=0,"",SUMIFS(tblDaily[TransfersOut],tblDaily[EntryDate],DATE(2026,7,5),tblDaily[WardCode],"NICU")),"")</f>
        <v/>
      </c>
      <c r="H245" s="5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IFERROR(IF(SUMIFS(tblDaily[Admissions],tblDaily[EntryDate],DATE(2026,7,6),tblDaily[WardCode],"NICU")=0,"",SUMIFS(tblDaily[Admissions],tblDaily[EntryDate],DATE(2026,7,6),tblDaily[WardCode],"NICU")),"")</f>
        <v/>
      </c>
      <c r="C246" s="5" t="str">
        <f>IFERROR(IF(SUMIFS(tblDaily[Discharges],tblDaily[EntryDate],DATE(2026,7,6),tblDaily[WardCode],"NICU")=0,"",SUMIFS(tblDaily[Discharges],tblDaily[EntryDate],DATE(2026,7,6),tblDaily[WardCode],"NICU")),"")</f>
        <v/>
      </c>
      <c r="D246" s="5" t="str">
        <f>IFERROR(IF(SUMIFS(tblDaily[Deaths],tblDaily[EntryDate],DATE(2026,7,6),tblDaily[WardCode],"NICU")=0,"",SUMIFS(tblDaily[Deaths],tblDaily[EntryDate],DATE(2026,7,6),tblDaily[WardCode],"NICU")),"")</f>
        <v/>
      </c>
      <c r="E246" s="5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5" t="str">
        <f>IFERROR(IF(SUMIFS(tblDaily[TransfersIn],tblDaily[EntryDate],DATE(2026,7,6),tblDaily[WardCode],"NICU")=0,"",SUMIFS(tblDaily[TransfersIn],tblDaily[EntryDate],DATE(2026,7,6),tblDaily[WardCode],"NICU")),"")</f>
        <v/>
      </c>
      <c r="G246" s="5" t="str">
        <f>IFERROR(IF(SUMIFS(tblDaily[TransfersOut],tblDaily[EntryDate],DATE(2026,7,6),tblDaily[WardCode],"NICU")=0,"",SUMIFS(tblDaily[TransfersOut],tblDaily[EntryDate],DATE(2026,7,6),tblDaily[WardCode],"NICU")),"")</f>
        <v/>
      </c>
      <c r="H246" s="5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IFERROR(IF(SUMIFS(tblDaily[Admissions],tblDaily[EntryDate],DATE(2026,7,7),tblDaily[WardCode],"NICU")=0,"",SUMIFS(tblDaily[Admissions],tblDaily[EntryDate],DATE(2026,7,7),tblDaily[WardCode],"NICU")),"")</f>
        <v/>
      </c>
      <c r="C247" s="5" t="str">
        <f>IFERROR(IF(SUMIFS(tblDaily[Discharges],tblDaily[EntryDate],DATE(2026,7,7),tblDaily[WardCode],"NICU")=0,"",SUMIFS(tblDaily[Discharges],tblDaily[EntryDate],DATE(2026,7,7),tblDaily[WardCode],"NICU")),"")</f>
        <v/>
      </c>
      <c r="D247" s="5" t="str">
        <f>IFERROR(IF(SUMIFS(tblDaily[Deaths],tblDaily[EntryDate],DATE(2026,7,7),tblDaily[WardCode],"NICU")=0,"",SUMIFS(tblDaily[Deaths],tblDaily[EntryDate],DATE(2026,7,7),tblDaily[WardCode],"NICU")),"")</f>
        <v/>
      </c>
      <c r="E247" s="5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5" t="str">
        <f>IFERROR(IF(SUMIFS(tblDaily[TransfersIn],tblDaily[EntryDate],DATE(2026,7,7),tblDaily[WardCode],"NICU")=0,"",SUMIFS(tblDaily[TransfersIn],tblDaily[EntryDate],DATE(2026,7,7),tblDaily[WardCode],"NICU")),"")</f>
        <v/>
      </c>
      <c r="G247" s="5" t="str">
        <f>IFERROR(IF(SUMIFS(tblDaily[TransfersOut],tblDaily[EntryDate],DATE(2026,7,7),tblDaily[WardCode],"NICU")=0,"",SUMIFS(tblDaily[TransfersOut],tblDaily[EntryDate],DATE(2026,7,7),tblDaily[WardCode],"NICU")),"")</f>
        <v/>
      </c>
      <c r="H247" s="5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IFERROR(IF(SUMIFS(tblDaily[Admissions],tblDaily[EntryDate],DATE(2026,7,8),tblDaily[WardCode],"NICU")=0,"",SUMIFS(tblDaily[Admissions],tblDaily[EntryDate],DATE(2026,7,8),tblDaily[WardCode],"NICU")),"")</f>
        <v/>
      </c>
      <c r="C248" s="5" t="str">
        <f>IFERROR(IF(SUMIFS(tblDaily[Discharges],tblDaily[EntryDate],DATE(2026,7,8),tblDaily[WardCode],"NICU")=0,"",SUMIFS(tblDaily[Discharges],tblDaily[EntryDate],DATE(2026,7,8),tblDaily[WardCode],"NICU")),"")</f>
        <v/>
      </c>
      <c r="D248" s="5" t="str">
        <f>IFERROR(IF(SUMIFS(tblDaily[Deaths],tblDaily[EntryDate],DATE(2026,7,8),tblDaily[WardCode],"NICU")=0,"",SUMIFS(tblDaily[Deaths],tblDaily[EntryDate],DATE(2026,7,8),tblDaily[WardCode],"NICU")),"")</f>
        <v/>
      </c>
      <c r="E248" s="5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5" t="str">
        <f>IFERROR(IF(SUMIFS(tblDaily[TransfersIn],tblDaily[EntryDate],DATE(2026,7,8),tblDaily[WardCode],"NICU")=0,"",SUMIFS(tblDaily[TransfersIn],tblDaily[EntryDate],DATE(2026,7,8),tblDaily[WardCode],"NICU")),"")</f>
        <v/>
      </c>
      <c r="G248" s="5" t="str">
        <f>IFERROR(IF(SUMIFS(tblDaily[TransfersOut],tblDaily[EntryDate],DATE(2026,7,8),tblDaily[WardCode],"NICU")=0,"",SUMIFS(tblDaily[TransfersOut],tblDaily[EntryDate],DATE(2026,7,8),tblDaily[WardCode],"NICU")),"")</f>
        <v/>
      </c>
      <c r="H248" s="5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IFERROR(IF(SUMIFS(tblDaily[Admissions],tblDaily[EntryDate],DATE(2026,7,9),tblDaily[WardCode],"NICU")=0,"",SUMIFS(tblDaily[Admissions],tblDaily[EntryDate],DATE(2026,7,9),tblDaily[WardCode],"NICU")),"")</f>
        <v/>
      </c>
      <c r="C249" s="5" t="str">
        <f>IFERROR(IF(SUMIFS(tblDaily[Discharges],tblDaily[EntryDate],DATE(2026,7,9),tblDaily[WardCode],"NICU")=0,"",SUMIFS(tblDaily[Discharges],tblDaily[EntryDate],DATE(2026,7,9),tblDaily[WardCode],"NICU")),"")</f>
        <v/>
      </c>
      <c r="D249" s="5" t="str">
        <f>IFERROR(IF(SUMIFS(tblDaily[Deaths],tblDaily[EntryDate],DATE(2026,7,9),tblDaily[WardCode],"NICU")=0,"",SUMIFS(tblDaily[Deaths],tblDaily[EntryDate],DATE(2026,7,9),tblDaily[WardCode],"NICU")),"")</f>
        <v/>
      </c>
      <c r="E249" s="5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5" t="str">
        <f>IFERROR(IF(SUMIFS(tblDaily[TransfersIn],tblDaily[EntryDate],DATE(2026,7,9),tblDaily[WardCode],"NICU")=0,"",SUMIFS(tblDaily[TransfersIn],tblDaily[EntryDate],DATE(2026,7,9),tblDaily[WardCode],"NICU")),"")</f>
        <v/>
      </c>
      <c r="G249" s="5" t="str">
        <f>IFERROR(IF(SUMIFS(tblDaily[TransfersOut],tblDaily[EntryDate],DATE(2026,7,9),tblDaily[WardCode],"NICU")=0,"",SUMIFS(tblDaily[TransfersOut],tblDaily[EntryDate],DATE(2026,7,9),tblDaily[WardCode],"NICU")),"")</f>
        <v/>
      </c>
      <c r="H249" s="5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IFERROR(IF(SUMIFS(tblDaily[Admissions],tblDaily[EntryDate],DATE(2026,7,10),tblDaily[WardCode],"NICU")=0,"",SUMIFS(tblDaily[Admissions],tblDaily[EntryDate],DATE(2026,7,10),tblDaily[WardCode],"NICU")),"")</f>
        <v/>
      </c>
      <c r="C250" s="5" t="str">
        <f>IFERROR(IF(SUMIFS(tblDaily[Discharges],tblDaily[EntryDate],DATE(2026,7,10),tblDaily[WardCode],"NICU")=0,"",SUMIFS(tblDaily[Discharges],tblDaily[EntryDate],DATE(2026,7,10),tblDaily[WardCode],"NICU")),"")</f>
        <v/>
      </c>
      <c r="D250" s="5" t="str">
        <f>IFERROR(IF(SUMIFS(tblDaily[Deaths],tblDaily[EntryDate],DATE(2026,7,10),tblDaily[WardCode],"NICU")=0,"",SUMIFS(tblDaily[Deaths],tblDaily[EntryDate],DATE(2026,7,10),tblDaily[WardCode],"NICU")),"")</f>
        <v/>
      </c>
      <c r="E250" s="5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5" t="str">
        <f>IFERROR(IF(SUMIFS(tblDaily[TransfersIn],tblDaily[EntryDate],DATE(2026,7,10),tblDaily[WardCode],"NICU")=0,"",SUMIFS(tblDaily[TransfersIn],tblDaily[EntryDate],DATE(2026,7,10),tblDaily[WardCode],"NICU")),"")</f>
        <v/>
      </c>
      <c r="G250" s="5" t="str">
        <f>IFERROR(IF(SUMIFS(tblDaily[TransfersOut],tblDaily[EntryDate],DATE(2026,7,10),tblDaily[WardCode],"NICU")=0,"",SUMIFS(tblDaily[TransfersOut],tblDaily[EntryDate],DATE(2026,7,10),tblDaily[WardCode],"NICU")),"")</f>
        <v/>
      </c>
      <c r="H250" s="5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IFERROR(IF(SUMIFS(tblDaily[Admissions],tblDaily[EntryDate],DATE(2026,7,11),tblDaily[WardCode],"NICU")=0,"",SUMIFS(tblDaily[Admissions],tblDaily[EntryDate],DATE(2026,7,11),tblDaily[WardCode],"NICU")),"")</f>
        <v/>
      </c>
      <c r="C251" s="5" t="str">
        <f>IFERROR(IF(SUMIFS(tblDaily[Discharges],tblDaily[EntryDate],DATE(2026,7,11),tblDaily[WardCode],"NICU")=0,"",SUMIFS(tblDaily[Discharges],tblDaily[EntryDate],DATE(2026,7,11),tblDaily[WardCode],"NICU")),"")</f>
        <v/>
      </c>
      <c r="D251" s="5" t="str">
        <f>IFERROR(IF(SUMIFS(tblDaily[Deaths],tblDaily[EntryDate],DATE(2026,7,11),tblDaily[WardCode],"NICU")=0,"",SUMIFS(tblDaily[Deaths],tblDaily[EntryDate],DATE(2026,7,11),tblDaily[WardCode],"NICU")),"")</f>
        <v/>
      </c>
      <c r="E251" s="5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5" t="str">
        <f>IFERROR(IF(SUMIFS(tblDaily[TransfersIn],tblDaily[EntryDate],DATE(2026,7,11),tblDaily[WardCode],"NICU")=0,"",SUMIFS(tblDaily[TransfersIn],tblDaily[EntryDate],DATE(2026,7,11),tblDaily[WardCode],"NICU")),"")</f>
        <v/>
      </c>
      <c r="G251" s="5" t="str">
        <f>IFERROR(IF(SUMIFS(tblDaily[TransfersOut],tblDaily[EntryDate],DATE(2026,7,11),tblDaily[WardCode],"NICU")=0,"",SUMIFS(tblDaily[TransfersOut],tblDaily[EntryDate],DATE(2026,7,11),tblDaily[WardCode],"NICU")),"")</f>
        <v/>
      </c>
      <c r="H251" s="5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IFERROR(IF(SUMIFS(tblDaily[Admissions],tblDaily[EntryDate],DATE(2026,7,12),tblDaily[WardCode],"NICU")=0,"",SUMIFS(tblDaily[Admissions],tblDaily[EntryDate],DATE(2026,7,12),tblDaily[WardCode],"NICU")),"")</f>
        <v/>
      </c>
      <c r="C252" s="5" t="str">
        <f>IFERROR(IF(SUMIFS(tblDaily[Discharges],tblDaily[EntryDate],DATE(2026,7,12),tblDaily[WardCode],"NICU")=0,"",SUMIFS(tblDaily[Discharges],tblDaily[EntryDate],DATE(2026,7,12),tblDaily[WardCode],"NICU")),"")</f>
        <v/>
      </c>
      <c r="D252" s="5" t="str">
        <f>IFERROR(IF(SUMIFS(tblDaily[Deaths],tblDaily[EntryDate],DATE(2026,7,12),tblDaily[WardCode],"NICU")=0,"",SUMIFS(tblDaily[Deaths],tblDaily[EntryDate],DATE(2026,7,12),tblDaily[WardCode],"NICU")),"")</f>
        <v/>
      </c>
      <c r="E252" s="5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5" t="str">
        <f>IFERROR(IF(SUMIFS(tblDaily[TransfersIn],tblDaily[EntryDate],DATE(2026,7,12),tblDaily[WardCode],"NICU")=0,"",SUMIFS(tblDaily[TransfersIn],tblDaily[EntryDate],DATE(2026,7,12),tblDaily[WardCode],"NICU")),"")</f>
        <v/>
      </c>
      <c r="G252" s="5" t="str">
        <f>IFERROR(IF(SUMIFS(tblDaily[TransfersOut],tblDaily[EntryDate],DATE(2026,7,12),tblDaily[WardCode],"NICU")=0,"",SUMIFS(tblDaily[TransfersOut],tblDaily[EntryDate],DATE(2026,7,12),tblDaily[WardCode],"NICU")),"")</f>
        <v/>
      </c>
      <c r="H252" s="5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IFERROR(IF(SUMIFS(tblDaily[Admissions],tblDaily[EntryDate],DATE(2026,7,13),tblDaily[WardCode],"NICU")=0,"",SUMIFS(tblDaily[Admissions],tblDaily[EntryDate],DATE(2026,7,13),tblDaily[WardCode],"NICU")),"")</f>
        <v/>
      </c>
      <c r="C253" s="5" t="str">
        <f>IFERROR(IF(SUMIFS(tblDaily[Discharges],tblDaily[EntryDate],DATE(2026,7,13),tblDaily[WardCode],"NICU")=0,"",SUMIFS(tblDaily[Discharges],tblDaily[EntryDate],DATE(2026,7,13),tblDaily[WardCode],"NICU")),"")</f>
        <v/>
      </c>
      <c r="D253" s="5" t="str">
        <f>IFERROR(IF(SUMIFS(tblDaily[Deaths],tblDaily[EntryDate],DATE(2026,7,13),tblDaily[WardCode],"NICU")=0,"",SUMIFS(tblDaily[Deaths],tblDaily[EntryDate],DATE(2026,7,13),tblDaily[WardCode],"NICU")),"")</f>
        <v/>
      </c>
      <c r="E253" s="5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5" t="str">
        <f>IFERROR(IF(SUMIFS(tblDaily[TransfersIn],tblDaily[EntryDate],DATE(2026,7,13),tblDaily[WardCode],"NICU")=0,"",SUMIFS(tblDaily[TransfersIn],tblDaily[EntryDate],DATE(2026,7,13),tblDaily[WardCode],"NICU")),"")</f>
        <v/>
      </c>
      <c r="G253" s="5" t="str">
        <f>IFERROR(IF(SUMIFS(tblDaily[TransfersOut],tblDaily[EntryDate],DATE(2026,7,13),tblDaily[WardCode],"NICU")=0,"",SUMIFS(tblDaily[TransfersOut],tblDaily[EntryDate],DATE(2026,7,13),tblDaily[WardCode],"NICU")),"")</f>
        <v/>
      </c>
      <c r="H253" s="5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IFERROR(IF(SUMIFS(tblDaily[Admissions],tblDaily[EntryDate],DATE(2026,7,14),tblDaily[WardCode],"NICU")=0,"",SUMIFS(tblDaily[Admissions],tblDaily[EntryDate],DATE(2026,7,14),tblDaily[WardCode],"NICU")),"")</f>
        <v/>
      </c>
      <c r="C254" s="5" t="str">
        <f>IFERROR(IF(SUMIFS(tblDaily[Discharges],tblDaily[EntryDate],DATE(2026,7,14),tblDaily[WardCode],"NICU")=0,"",SUMIFS(tblDaily[Discharges],tblDaily[EntryDate],DATE(2026,7,14),tblDaily[WardCode],"NICU")),"")</f>
        <v/>
      </c>
      <c r="D254" s="5" t="str">
        <f>IFERROR(IF(SUMIFS(tblDaily[Deaths],tblDaily[EntryDate],DATE(2026,7,14),tblDaily[WardCode],"NICU")=0,"",SUMIFS(tblDaily[Deaths],tblDaily[EntryDate],DATE(2026,7,14),tblDaily[WardCode],"NICU")),"")</f>
        <v/>
      </c>
      <c r="E254" s="5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5" t="str">
        <f>IFERROR(IF(SUMIFS(tblDaily[TransfersIn],tblDaily[EntryDate],DATE(2026,7,14),tblDaily[WardCode],"NICU")=0,"",SUMIFS(tblDaily[TransfersIn],tblDaily[EntryDate],DATE(2026,7,14),tblDaily[WardCode],"NICU")),"")</f>
        <v/>
      </c>
      <c r="G254" s="5" t="str">
        <f>IFERROR(IF(SUMIFS(tblDaily[TransfersOut],tblDaily[EntryDate],DATE(2026,7,14),tblDaily[WardCode],"NICU")=0,"",SUMIFS(tblDaily[TransfersOut],tblDaily[EntryDate],DATE(2026,7,14),tblDaily[WardCode],"NICU")),"")</f>
        <v/>
      </c>
      <c r="H254" s="5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IFERROR(IF(SUMIFS(tblDaily[Admissions],tblDaily[EntryDate],DATE(2026,7,15),tblDaily[WardCode],"NICU")=0,"",SUMIFS(tblDaily[Admissions],tblDaily[EntryDate],DATE(2026,7,15),tblDaily[WardCode],"NICU")),"")</f>
        <v/>
      </c>
      <c r="C255" s="5" t="str">
        <f>IFERROR(IF(SUMIFS(tblDaily[Discharges],tblDaily[EntryDate],DATE(2026,7,15),tblDaily[WardCode],"NICU")=0,"",SUMIFS(tblDaily[Discharges],tblDaily[EntryDate],DATE(2026,7,15),tblDaily[WardCode],"NICU")),"")</f>
        <v/>
      </c>
      <c r="D255" s="5" t="str">
        <f>IFERROR(IF(SUMIFS(tblDaily[Deaths],tblDaily[EntryDate],DATE(2026,7,15),tblDaily[WardCode],"NICU")=0,"",SUMIFS(tblDaily[Deaths],tblDaily[EntryDate],DATE(2026,7,15),tblDaily[WardCode],"NICU")),"")</f>
        <v/>
      </c>
      <c r="E255" s="5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5" t="str">
        <f>IFERROR(IF(SUMIFS(tblDaily[TransfersIn],tblDaily[EntryDate],DATE(2026,7,15),tblDaily[WardCode],"NICU")=0,"",SUMIFS(tblDaily[TransfersIn],tblDaily[EntryDate],DATE(2026,7,15),tblDaily[WardCode],"NICU")),"")</f>
        <v/>
      </c>
      <c r="G255" s="5" t="str">
        <f>IFERROR(IF(SUMIFS(tblDaily[TransfersOut],tblDaily[EntryDate],DATE(2026,7,15),tblDaily[WardCode],"NICU")=0,"",SUMIFS(tblDaily[TransfersOut],tblDaily[EntryDate],DATE(2026,7,15),tblDaily[WardCode],"NICU")),"")</f>
        <v/>
      </c>
      <c r="H255" s="5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IFERROR(IF(SUMIFS(tblDaily[Admissions],tblDaily[EntryDate],DATE(2026,7,16),tblDaily[WardCode],"NICU")=0,"",SUMIFS(tblDaily[Admissions],tblDaily[EntryDate],DATE(2026,7,16),tblDaily[WardCode],"NICU")),"")</f>
        <v/>
      </c>
      <c r="C256" s="5" t="str">
        <f>IFERROR(IF(SUMIFS(tblDaily[Discharges],tblDaily[EntryDate],DATE(2026,7,16),tblDaily[WardCode],"NICU")=0,"",SUMIFS(tblDaily[Discharges],tblDaily[EntryDate],DATE(2026,7,16),tblDaily[WardCode],"NICU")),"")</f>
        <v/>
      </c>
      <c r="D256" s="5" t="str">
        <f>IFERROR(IF(SUMIFS(tblDaily[Deaths],tblDaily[EntryDate],DATE(2026,7,16),tblDaily[WardCode],"NICU")=0,"",SUMIFS(tblDaily[Deaths],tblDaily[EntryDate],DATE(2026,7,16),tblDaily[WardCode],"NICU")),"")</f>
        <v/>
      </c>
      <c r="E256" s="5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5" t="str">
        <f>IFERROR(IF(SUMIFS(tblDaily[TransfersIn],tblDaily[EntryDate],DATE(2026,7,16),tblDaily[WardCode],"NICU")=0,"",SUMIFS(tblDaily[TransfersIn],tblDaily[EntryDate],DATE(2026,7,16),tblDaily[WardCode],"NICU")),"")</f>
        <v/>
      </c>
      <c r="G256" s="5" t="str">
        <f>IFERROR(IF(SUMIFS(tblDaily[TransfersOut],tblDaily[EntryDate],DATE(2026,7,16),tblDaily[WardCode],"NICU")=0,"",SUMIFS(tblDaily[TransfersOut],tblDaily[EntryDate],DATE(2026,7,16),tblDaily[WardCode],"NICU")),"")</f>
        <v/>
      </c>
      <c r="H256" s="5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IFERROR(IF(SUMIFS(tblDaily[Admissions],tblDaily[EntryDate],DATE(2026,7,17),tblDaily[WardCode],"NICU")=0,"",SUMIFS(tblDaily[Admissions],tblDaily[EntryDate],DATE(2026,7,17),tblDaily[WardCode],"NICU")),"")</f>
        <v/>
      </c>
      <c r="C257" s="5" t="str">
        <f>IFERROR(IF(SUMIFS(tblDaily[Discharges],tblDaily[EntryDate],DATE(2026,7,17),tblDaily[WardCode],"NICU")=0,"",SUMIFS(tblDaily[Discharges],tblDaily[EntryDate],DATE(2026,7,17),tblDaily[WardCode],"NICU")),"")</f>
        <v/>
      </c>
      <c r="D257" s="5" t="str">
        <f>IFERROR(IF(SUMIFS(tblDaily[Deaths],tblDaily[EntryDate],DATE(2026,7,17),tblDaily[WardCode],"NICU")=0,"",SUMIFS(tblDaily[Deaths],tblDaily[EntryDate],DATE(2026,7,17),tblDaily[WardCode],"NICU")),"")</f>
        <v/>
      </c>
      <c r="E257" s="5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5" t="str">
        <f>IFERROR(IF(SUMIFS(tblDaily[TransfersIn],tblDaily[EntryDate],DATE(2026,7,17),tblDaily[WardCode],"NICU")=0,"",SUMIFS(tblDaily[TransfersIn],tblDaily[EntryDate],DATE(2026,7,17),tblDaily[WardCode],"NICU")),"")</f>
        <v/>
      </c>
      <c r="G257" s="5" t="str">
        <f>IFERROR(IF(SUMIFS(tblDaily[TransfersOut],tblDaily[EntryDate],DATE(2026,7,17),tblDaily[WardCode],"NICU")=0,"",SUMIFS(tblDaily[TransfersOut],tblDaily[EntryDate],DATE(2026,7,17),tblDaily[WardCode],"NICU")),"")</f>
        <v/>
      </c>
      <c r="H257" s="5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IFERROR(IF(SUMIFS(tblDaily[Admissions],tblDaily[EntryDate],DATE(2026,7,18),tblDaily[WardCode],"NICU")=0,"",SUMIFS(tblDaily[Admissions],tblDaily[EntryDate],DATE(2026,7,18),tblDaily[WardCode],"NICU")),"")</f>
        <v/>
      </c>
      <c r="C258" s="5" t="str">
        <f>IFERROR(IF(SUMIFS(tblDaily[Discharges],tblDaily[EntryDate],DATE(2026,7,18),tblDaily[WardCode],"NICU")=0,"",SUMIFS(tblDaily[Discharges],tblDaily[EntryDate],DATE(2026,7,18),tblDaily[WardCode],"NICU")),"")</f>
        <v/>
      </c>
      <c r="D258" s="5" t="str">
        <f>IFERROR(IF(SUMIFS(tblDaily[Deaths],tblDaily[EntryDate],DATE(2026,7,18),tblDaily[WardCode],"NICU")=0,"",SUMIFS(tblDaily[Deaths],tblDaily[EntryDate],DATE(2026,7,18),tblDaily[WardCode],"NICU")),"")</f>
        <v/>
      </c>
      <c r="E258" s="5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5" t="str">
        <f>IFERROR(IF(SUMIFS(tblDaily[TransfersIn],tblDaily[EntryDate],DATE(2026,7,18),tblDaily[WardCode],"NICU")=0,"",SUMIFS(tblDaily[TransfersIn],tblDaily[EntryDate],DATE(2026,7,18),tblDaily[WardCode],"NICU")),"")</f>
        <v/>
      </c>
      <c r="G258" s="5" t="str">
        <f>IFERROR(IF(SUMIFS(tblDaily[TransfersOut],tblDaily[EntryDate],DATE(2026,7,18),tblDaily[WardCode],"NICU")=0,"",SUMIFS(tblDaily[TransfersOut],tblDaily[EntryDate],DATE(2026,7,18),tblDaily[WardCode],"NICU")),"")</f>
        <v/>
      </c>
      <c r="H258" s="5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IFERROR(IF(SUMIFS(tblDaily[Admissions],tblDaily[EntryDate],DATE(2026,7,19),tblDaily[WardCode],"NICU")=0,"",SUMIFS(tblDaily[Admissions],tblDaily[EntryDate],DATE(2026,7,19),tblDaily[WardCode],"NICU")),"")</f>
        <v/>
      </c>
      <c r="C259" s="5" t="str">
        <f>IFERROR(IF(SUMIFS(tblDaily[Discharges],tblDaily[EntryDate],DATE(2026,7,19),tblDaily[WardCode],"NICU")=0,"",SUMIFS(tblDaily[Discharges],tblDaily[EntryDate],DATE(2026,7,19),tblDaily[WardCode],"NICU")),"")</f>
        <v/>
      </c>
      <c r="D259" s="5" t="str">
        <f>IFERROR(IF(SUMIFS(tblDaily[Deaths],tblDaily[EntryDate],DATE(2026,7,19),tblDaily[WardCode],"NICU")=0,"",SUMIFS(tblDaily[Deaths],tblDaily[EntryDate],DATE(2026,7,19),tblDaily[WardCode],"NICU")),"")</f>
        <v/>
      </c>
      <c r="E259" s="5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5" t="str">
        <f>IFERROR(IF(SUMIFS(tblDaily[TransfersIn],tblDaily[EntryDate],DATE(2026,7,19),tblDaily[WardCode],"NICU")=0,"",SUMIFS(tblDaily[TransfersIn],tblDaily[EntryDate],DATE(2026,7,19),tblDaily[WardCode],"NICU")),"")</f>
        <v/>
      </c>
      <c r="G259" s="5" t="str">
        <f>IFERROR(IF(SUMIFS(tblDaily[TransfersOut],tblDaily[EntryDate],DATE(2026,7,19),tblDaily[WardCode],"NICU")=0,"",SUMIFS(tblDaily[TransfersOut],tblDaily[EntryDate],DATE(2026,7,19),tblDaily[WardCode],"NICU")),"")</f>
        <v/>
      </c>
      <c r="H259" s="5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IFERROR(IF(SUMIFS(tblDaily[Admissions],tblDaily[EntryDate],DATE(2026,7,20),tblDaily[WardCode],"NICU")=0,"",SUMIFS(tblDaily[Admissions],tblDaily[EntryDate],DATE(2026,7,20),tblDaily[WardCode],"NICU")),"")</f>
        <v/>
      </c>
      <c r="C260" s="5" t="str">
        <f>IFERROR(IF(SUMIFS(tblDaily[Discharges],tblDaily[EntryDate],DATE(2026,7,20),tblDaily[WardCode],"NICU")=0,"",SUMIFS(tblDaily[Discharges],tblDaily[EntryDate],DATE(2026,7,20),tblDaily[WardCode],"NICU")),"")</f>
        <v/>
      </c>
      <c r="D260" s="5" t="str">
        <f>IFERROR(IF(SUMIFS(tblDaily[Deaths],tblDaily[EntryDate],DATE(2026,7,20),tblDaily[WardCode],"NICU")=0,"",SUMIFS(tblDaily[Deaths],tblDaily[EntryDate],DATE(2026,7,20),tblDaily[WardCode],"NICU")),"")</f>
        <v/>
      </c>
      <c r="E260" s="5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5" t="str">
        <f>IFERROR(IF(SUMIFS(tblDaily[TransfersIn],tblDaily[EntryDate],DATE(2026,7,20),tblDaily[WardCode],"NICU")=0,"",SUMIFS(tblDaily[TransfersIn],tblDaily[EntryDate],DATE(2026,7,20),tblDaily[WardCode],"NICU")),"")</f>
        <v/>
      </c>
      <c r="G260" s="5" t="str">
        <f>IFERROR(IF(SUMIFS(tblDaily[TransfersOut],tblDaily[EntryDate],DATE(2026,7,20),tblDaily[WardCode],"NICU")=0,"",SUMIFS(tblDaily[TransfersOut],tblDaily[EntryDate],DATE(2026,7,20),tblDaily[WardCode],"NICU")),"")</f>
        <v/>
      </c>
      <c r="H260" s="5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IFERROR(IF(SUMIFS(tblDaily[Admissions],tblDaily[EntryDate],DATE(2026,7,21),tblDaily[WardCode],"NICU")=0,"",SUMIFS(tblDaily[Admissions],tblDaily[EntryDate],DATE(2026,7,21),tblDaily[WardCode],"NICU")),"")</f>
        <v/>
      </c>
      <c r="C261" s="5" t="str">
        <f>IFERROR(IF(SUMIFS(tblDaily[Discharges],tblDaily[EntryDate],DATE(2026,7,21),tblDaily[WardCode],"NICU")=0,"",SUMIFS(tblDaily[Discharges],tblDaily[EntryDate],DATE(2026,7,21),tblDaily[WardCode],"NICU")),"")</f>
        <v/>
      </c>
      <c r="D261" s="5" t="str">
        <f>IFERROR(IF(SUMIFS(tblDaily[Deaths],tblDaily[EntryDate],DATE(2026,7,21),tblDaily[WardCode],"NICU")=0,"",SUMIFS(tblDaily[Deaths],tblDaily[EntryDate],DATE(2026,7,21),tblDaily[WardCode],"NICU")),"")</f>
        <v/>
      </c>
      <c r="E261" s="5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5" t="str">
        <f>IFERROR(IF(SUMIFS(tblDaily[TransfersIn],tblDaily[EntryDate],DATE(2026,7,21),tblDaily[WardCode],"NICU")=0,"",SUMIFS(tblDaily[TransfersIn],tblDaily[EntryDate],DATE(2026,7,21),tblDaily[WardCode],"NICU")),"")</f>
        <v/>
      </c>
      <c r="G261" s="5" t="str">
        <f>IFERROR(IF(SUMIFS(tblDaily[TransfersOut],tblDaily[EntryDate],DATE(2026,7,21),tblDaily[WardCode],"NICU")=0,"",SUMIFS(tblDaily[TransfersOut],tblDaily[EntryDate],DATE(2026,7,21),tblDaily[WardCode],"NICU")),"")</f>
        <v/>
      </c>
      <c r="H261" s="5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IFERROR(IF(SUMIFS(tblDaily[Admissions],tblDaily[EntryDate],DATE(2026,7,22),tblDaily[WardCode],"NICU")=0,"",SUMIFS(tblDaily[Admissions],tblDaily[EntryDate],DATE(2026,7,22),tblDaily[WardCode],"NICU")),"")</f>
        <v/>
      </c>
      <c r="C262" s="5" t="str">
        <f>IFERROR(IF(SUMIFS(tblDaily[Discharges],tblDaily[EntryDate],DATE(2026,7,22),tblDaily[WardCode],"NICU")=0,"",SUMIFS(tblDaily[Discharges],tblDaily[EntryDate],DATE(2026,7,22),tblDaily[WardCode],"NICU")),"")</f>
        <v/>
      </c>
      <c r="D262" s="5" t="str">
        <f>IFERROR(IF(SUMIFS(tblDaily[Deaths],tblDaily[EntryDate],DATE(2026,7,22),tblDaily[WardCode],"NICU")=0,"",SUMIFS(tblDaily[Deaths],tblDaily[EntryDate],DATE(2026,7,22),tblDaily[WardCode],"NICU")),"")</f>
        <v/>
      </c>
      <c r="E262" s="5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5" t="str">
        <f>IFERROR(IF(SUMIFS(tblDaily[TransfersIn],tblDaily[EntryDate],DATE(2026,7,22),tblDaily[WardCode],"NICU")=0,"",SUMIFS(tblDaily[TransfersIn],tblDaily[EntryDate],DATE(2026,7,22),tblDaily[WardCode],"NICU")),"")</f>
        <v/>
      </c>
      <c r="G262" s="5" t="str">
        <f>IFERROR(IF(SUMIFS(tblDaily[TransfersOut],tblDaily[EntryDate],DATE(2026,7,22),tblDaily[WardCode],"NICU")=0,"",SUMIFS(tblDaily[TransfersOut],tblDaily[EntryDate],DATE(2026,7,22),tblDaily[WardCode],"NICU")),"")</f>
        <v/>
      </c>
      <c r="H262" s="5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IFERROR(IF(SUMIFS(tblDaily[Admissions],tblDaily[EntryDate],DATE(2026,7,23),tblDaily[WardCode],"NICU")=0,"",SUMIFS(tblDaily[Admissions],tblDaily[EntryDate],DATE(2026,7,23),tblDaily[WardCode],"NICU")),"")</f>
        <v/>
      </c>
      <c r="C263" s="5" t="str">
        <f>IFERROR(IF(SUMIFS(tblDaily[Discharges],tblDaily[EntryDate],DATE(2026,7,23),tblDaily[WardCode],"NICU")=0,"",SUMIFS(tblDaily[Discharges],tblDaily[EntryDate],DATE(2026,7,23),tblDaily[WardCode],"NICU")),"")</f>
        <v/>
      </c>
      <c r="D263" s="5" t="str">
        <f>IFERROR(IF(SUMIFS(tblDaily[Deaths],tblDaily[EntryDate],DATE(2026,7,23),tblDaily[WardCode],"NICU")=0,"",SUMIFS(tblDaily[Deaths],tblDaily[EntryDate],DATE(2026,7,23),tblDaily[WardCode],"NICU")),"")</f>
        <v/>
      </c>
      <c r="E263" s="5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5" t="str">
        <f>IFERROR(IF(SUMIFS(tblDaily[TransfersIn],tblDaily[EntryDate],DATE(2026,7,23),tblDaily[WardCode],"NICU")=0,"",SUMIFS(tblDaily[TransfersIn],tblDaily[EntryDate],DATE(2026,7,23),tblDaily[WardCode],"NICU")),"")</f>
        <v/>
      </c>
      <c r="G263" s="5" t="str">
        <f>IFERROR(IF(SUMIFS(tblDaily[TransfersOut],tblDaily[EntryDate],DATE(2026,7,23),tblDaily[WardCode],"NICU")=0,"",SUMIFS(tblDaily[TransfersOut],tblDaily[EntryDate],DATE(2026,7,23),tblDaily[WardCode],"NICU")),"")</f>
        <v/>
      </c>
      <c r="H263" s="5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IFERROR(IF(SUMIFS(tblDaily[Admissions],tblDaily[EntryDate],DATE(2026,7,24),tblDaily[WardCode],"NICU")=0,"",SUMIFS(tblDaily[Admissions],tblDaily[EntryDate],DATE(2026,7,24),tblDaily[WardCode],"NICU")),"")</f>
        <v/>
      </c>
      <c r="C264" s="5" t="str">
        <f>IFERROR(IF(SUMIFS(tblDaily[Discharges],tblDaily[EntryDate],DATE(2026,7,24),tblDaily[WardCode],"NICU")=0,"",SUMIFS(tblDaily[Discharges],tblDaily[EntryDate],DATE(2026,7,24),tblDaily[WardCode],"NICU")),"")</f>
        <v/>
      </c>
      <c r="D264" s="5" t="str">
        <f>IFERROR(IF(SUMIFS(tblDaily[Deaths],tblDaily[EntryDate],DATE(2026,7,24),tblDaily[WardCode],"NICU")=0,"",SUMIFS(tblDaily[Deaths],tblDaily[EntryDate],DATE(2026,7,24),tblDaily[WardCode],"NICU")),"")</f>
        <v/>
      </c>
      <c r="E264" s="5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5" t="str">
        <f>IFERROR(IF(SUMIFS(tblDaily[TransfersIn],tblDaily[EntryDate],DATE(2026,7,24),tblDaily[WardCode],"NICU")=0,"",SUMIFS(tblDaily[TransfersIn],tblDaily[EntryDate],DATE(2026,7,24),tblDaily[WardCode],"NICU")),"")</f>
        <v/>
      </c>
      <c r="G264" s="5" t="str">
        <f>IFERROR(IF(SUMIFS(tblDaily[TransfersOut],tblDaily[EntryDate],DATE(2026,7,24),tblDaily[WardCode],"NICU")=0,"",SUMIFS(tblDaily[TransfersOut],tblDaily[EntryDate],DATE(2026,7,24),tblDaily[WardCode],"NICU")),"")</f>
        <v/>
      </c>
      <c r="H264" s="5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IFERROR(IF(SUMIFS(tblDaily[Admissions],tblDaily[EntryDate],DATE(2026,7,25),tblDaily[WardCode],"NICU")=0,"",SUMIFS(tblDaily[Admissions],tblDaily[EntryDate],DATE(2026,7,25),tblDaily[WardCode],"NICU")),"")</f>
        <v/>
      </c>
      <c r="C265" s="5" t="str">
        <f>IFERROR(IF(SUMIFS(tblDaily[Discharges],tblDaily[EntryDate],DATE(2026,7,25),tblDaily[WardCode],"NICU")=0,"",SUMIFS(tblDaily[Discharges],tblDaily[EntryDate],DATE(2026,7,25),tblDaily[WardCode],"NICU")),"")</f>
        <v/>
      </c>
      <c r="D265" s="5" t="str">
        <f>IFERROR(IF(SUMIFS(tblDaily[Deaths],tblDaily[EntryDate],DATE(2026,7,25),tblDaily[WardCode],"NICU")=0,"",SUMIFS(tblDaily[Deaths],tblDaily[EntryDate],DATE(2026,7,25),tblDaily[WardCode],"NICU")),"")</f>
        <v/>
      </c>
      <c r="E265" s="5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5" t="str">
        <f>IFERROR(IF(SUMIFS(tblDaily[TransfersIn],tblDaily[EntryDate],DATE(2026,7,25),tblDaily[WardCode],"NICU")=0,"",SUMIFS(tblDaily[TransfersIn],tblDaily[EntryDate],DATE(2026,7,25),tblDaily[WardCode],"NICU")),"")</f>
        <v/>
      </c>
      <c r="G265" s="5" t="str">
        <f>IFERROR(IF(SUMIFS(tblDaily[TransfersOut],tblDaily[EntryDate],DATE(2026,7,25),tblDaily[WardCode],"NICU")=0,"",SUMIFS(tblDaily[TransfersOut],tblDaily[EntryDate],DATE(2026,7,25),tblDaily[WardCode],"NICU")),"")</f>
        <v/>
      </c>
      <c r="H265" s="5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IFERROR(IF(SUMIFS(tblDaily[Admissions],tblDaily[EntryDate],DATE(2026,7,26),tblDaily[WardCode],"NICU")=0,"",SUMIFS(tblDaily[Admissions],tblDaily[EntryDate],DATE(2026,7,26),tblDaily[WardCode],"NICU")),"")</f>
        <v/>
      </c>
      <c r="C266" s="5" t="str">
        <f>IFERROR(IF(SUMIFS(tblDaily[Discharges],tblDaily[EntryDate],DATE(2026,7,26),tblDaily[WardCode],"NICU")=0,"",SUMIFS(tblDaily[Discharges],tblDaily[EntryDate],DATE(2026,7,26),tblDaily[WardCode],"NICU")),"")</f>
        <v/>
      </c>
      <c r="D266" s="5" t="str">
        <f>IFERROR(IF(SUMIFS(tblDaily[Deaths],tblDaily[EntryDate],DATE(2026,7,26),tblDaily[WardCode],"NICU")=0,"",SUMIFS(tblDaily[Deaths],tblDaily[EntryDate],DATE(2026,7,26),tblDaily[WardCode],"NICU")),"")</f>
        <v/>
      </c>
      <c r="E266" s="5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5" t="str">
        <f>IFERROR(IF(SUMIFS(tblDaily[TransfersIn],tblDaily[EntryDate],DATE(2026,7,26),tblDaily[WardCode],"NICU")=0,"",SUMIFS(tblDaily[TransfersIn],tblDaily[EntryDate],DATE(2026,7,26),tblDaily[WardCode],"NICU")),"")</f>
        <v/>
      </c>
      <c r="G266" s="5" t="str">
        <f>IFERROR(IF(SUMIFS(tblDaily[TransfersOut],tblDaily[EntryDate],DATE(2026,7,26),tblDaily[WardCode],"NICU")=0,"",SUMIFS(tblDaily[TransfersOut],tblDaily[EntryDate],DATE(2026,7,26),tblDaily[WardCode],"NICU")),"")</f>
        <v/>
      </c>
      <c r="H266" s="5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IFERROR(IF(SUMIFS(tblDaily[Admissions],tblDaily[EntryDate],DATE(2026,7,27),tblDaily[WardCode],"NICU")=0,"",SUMIFS(tblDaily[Admissions],tblDaily[EntryDate],DATE(2026,7,27),tblDaily[WardCode],"NICU")),"")</f>
        <v/>
      </c>
      <c r="C267" s="5" t="str">
        <f>IFERROR(IF(SUMIFS(tblDaily[Discharges],tblDaily[EntryDate],DATE(2026,7,27),tblDaily[WardCode],"NICU")=0,"",SUMIFS(tblDaily[Discharges],tblDaily[EntryDate],DATE(2026,7,27),tblDaily[WardCode],"NICU")),"")</f>
        <v/>
      </c>
      <c r="D267" s="5" t="str">
        <f>IFERROR(IF(SUMIFS(tblDaily[Deaths],tblDaily[EntryDate],DATE(2026,7,27),tblDaily[WardCode],"NICU")=0,"",SUMIFS(tblDaily[Deaths],tblDaily[EntryDate],DATE(2026,7,27),tblDaily[WardCode],"NICU")),"")</f>
        <v/>
      </c>
      <c r="E267" s="5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5" t="str">
        <f>IFERROR(IF(SUMIFS(tblDaily[TransfersIn],tblDaily[EntryDate],DATE(2026,7,27),tblDaily[WardCode],"NICU")=0,"",SUMIFS(tblDaily[TransfersIn],tblDaily[EntryDate],DATE(2026,7,27),tblDaily[WardCode],"NICU")),"")</f>
        <v/>
      </c>
      <c r="G267" s="5" t="str">
        <f>IFERROR(IF(SUMIFS(tblDaily[TransfersOut],tblDaily[EntryDate],DATE(2026,7,27),tblDaily[WardCode],"NICU")=0,"",SUMIFS(tblDaily[TransfersOut],tblDaily[EntryDate],DATE(2026,7,27),tblDaily[WardCode],"NICU")),"")</f>
        <v/>
      </c>
      <c r="H267" s="5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IFERROR(IF(SUMIFS(tblDaily[Admissions],tblDaily[EntryDate],DATE(2026,7,28),tblDaily[WardCode],"NICU")=0,"",SUMIFS(tblDaily[Admissions],tblDaily[EntryDate],DATE(2026,7,28),tblDaily[WardCode],"NICU")),"")</f>
        <v/>
      </c>
      <c r="C268" s="5" t="str">
        <f>IFERROR(IF(SUMIFS(tblDaily[Discharges],tblDaily[EntryDate],DATE(2026,7,28),tblDaily[WardCode],"NICU")=0,"",SUMIFS(tblDaily[Discharges],tblDaily[EntryDate],DATE(2026,7,28),tblDaily[WardCode],"NICU")),"")</f>
        <v/>
      </c>
      <c r="D268" s="5" t="str">
        <f>IFERROR(IF(SUMIFS(tblDaily[Deaths],tblDaily[EntryDate],DATE(2026,7,28),tblDaily[WardCode],"NICU")=0,"",SUMIFS(tblDaily[Deaths],tblDaily[EntryDate],DATE(2026,7,28),tblDaily[WardCode],"NICU")),"")</f>
        <v/>
      </c>
      <c r="E268" s="5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5" t="str">
        <f>IFERROR(IF(SUMIFS(tblDaily[TransfersIn],tblDaily[EntryDate],DATE(2026,7,28),tblDaily[WardCode],"NICU")=0,"",SUMIFS(tblDaily[TransfersIn],tblDaily[EntryDate],DATE(2026,7,28),tblDaily[WardCode],"NICU")),"")</f>
        <v/>
      </c>
      <c r="G268" s="5" t="str">
        <f>IFERROR(IF(SUMIFS(tblDaily[TransfersOut],tblDaily[EntryDate],DATE(2026,7,28),tblDaily[WardCode],"NICU")=0,"",SUMIFS(tblDaily[TransfersOut],tblDaily[EntryDate],DATE(2026,7,28),tblDaily[WardCode],"NICU")),"")</f>
        <v/>
      </c>
      <c r="H268" s="5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IFERROR(IF(SUMIFS(tblDaily[Admissions],tblDaily[EntryDate],DATE(2026,7,29),tblDaily[WardCode],"NICU")=0,"",SUMIFS(tblDaily[Admissions],tblDaily[EntryDate],DATE(2026,7,29),tblDaily[WardCode],"NICU")),"")</f>
        <v/>
      </c>
      <c r="C269" s="5" t="str">
        <f>IFERROR(IF(SUMIFS(tblDaily[Discharges],tblDaily[EntryDate],DATE(2026,7,29),tblDaily[WardCode],"NICU")=0,"",SUMIFS(tblDaily[Discharges],tblDaily[EntryDate],DATE(2026,7,29),tblDaily[WardCode],"NICU")),"")</f>
        <v/>
      </c>
      <c r="D269" s="5" t="str">
        <f>IFERROR(IF(SUMIFS(tblDaily[Deaths],tblDaily[EntryDate],DATE(2026,7,29),tblDaily[WardCode],"NICU")=0,"",SUMIFS(tblDaily[Deaths],tblDaily[EntryDate],DATE(2026,7,29),tblDaily[WardCode],"NICU")),"")</f>
        <v/>
      </c>
      <c r="E269" s="5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5" t="str">
        <f>IFERROR(IF(SUMIFS(tblDaily[TransfersIn],tblDaily[EntryDate],DATE(2026,7,29),tblDaily[WardCode],"NICU")=0,"",SUMIFS(tblDaily[TransfersIn],tblDaily[EntryDate],DATE(2026,7,29),tblDaily[WardCode],"NICU")),"")</f>
        <v/>
      </c>
      <c r="G269" s="5" t="str">
        <f>IFERROR(IF(SUMIFS(tblDaily[TransfersOut],tblDaily[EntryDate],DATE(2026,7,29),tblDaily[WardCode],"NICU")=0,"",SUMIFS(tblDaily[TransfersOut],tblDaily[EntryDate],DATE(2026,7,29),tblDaily[WardCode],"NICU")),"")</f>
        <v/>
      </c>
      <c r="H269" s="5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IFERROR(IF(SUMIFS(tblDaily[Admissions],tblDaily[EntryDate],DATE(2026,7,30),tblDaily[WardCode],"NICU")=0,"",SUMIFS(tblDaily[Admissions],tblDaily[EntryDate],DATE(2026,7,30),tblDaily[WardCode],"NICU")),"")</f>
        <v/>
      </c>
      <c r="C270" s="5" t="str">
        <f>IFERROR(IF(SUMIFS(tblDaily[Discharges],tblDaily[EntryDate],DATE(2026,7,30),tblDaily[WardCode],"NICU")=0,"",SUMIFS(tblDaily[Discharges],tblDaily[EntryDate],DATE(2026,7,30),tblDaily[WardCode],"NICU")),"")</f>
        <v/>
      </c>
      <c r="D270" s="5" t="str">
        <f>IFERROR(IF(SUMIFS(tblDaily[Deaths],tblDaily[EntryDate],DATE(2026,7,30),tblDaily[WardCode],"NICU")=0,"",SUMIFS(tblDaily[Deaths],tblDaily[EntryDate],DATE(2026,7,30),tblDaily[WardCode],"NICU")),"")</f>
        <v/>
      </c>
      <c r="E270" s="5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5" t="str">
        <f>IFERROR(IF(SUMIFS(tblDaily[TransfersIn],tblDaily[EntryDate],DATE(2026,7,30),tblDaily[WardCode],"NICU")=0,"",SUMIFS(tblDaily[TransfersIn],tblDaily[EntryDate],DATE(2026,7,30),tblDaily[WardCode],"NICU")),"")</f>
        <v/>
      </c>
      <c r="G270" s="5" t="str">
        <f>IFERROR(IF(SUMIFS(tblDaily[TransfersOut],tblDaily[EntryDate],DATE(2026,7,30),tblDaily[WardCode],"NICU")=0,"",SUMIFS(tblDaily[TransfersOut],tblDaily[EntryDate],DATE(2026,7,30),tblDaily[WardCode],"NICU")),"")</f>
        <v/>
      </c>
      <c r="H270" s="5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IFERROR(IF(SUMIFS(tblDaily[Admissions],tblDaily[EntryDate],DATE(2026,7,31),tblDaily[WardCode],"NICU")=0,"",SUMIFS(tblDaily[Admissions],tblDaily[EntryDate],DATE(2026,7,31),tblDaily[WardCode],"NICU")),"")</f>
        <v/>
      </c>
      <c r="C271" s="5" t="str">
        <f>IFERROR(IF(SUMIFS(tblDaily[Discharges],tblDaily[EntryDate],DATE(2026,7,31),tblDaily[WardCode],"NICU")=0,"",SUMIFS(tblDaily[Discharges],tblDaily[EntryDate],DATE(2026,7,31),tblDaily[WardCode],"NICU")),"")</f>
        <v/>
      </c>
      <c r="D271" s="5" t="str">
        <f>IFERROR(IF(SUMIFS(tblDaily[Deaths],tblDaily[EntryDate],DATE(2026,7,31),tblDaily[WardCode],"NICU")=0,"",SUMIFS(tblDaily[Deaths],tblDaily[EntryDate],DATE(2026,7,31),tblDaily[WardCode],"NICU")),"")</f>
        <v/>
      </c>
      <c r="E271" s="5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5" t="str">
        <f>IFERROR(IF(SUMIFS(tblDaily[TransfersIn],tblDaily[EntryDate],DATE(2026,7,31),tblDaily[WardCode],"NICU")=0,"",SUMIFS(tblDaily[TransfersIn],tblDaily[EntryDate],DATE(2026,7,31),tblDaily[WardCode],"NICU")),"")</f>
        <v/>
      </c>
      <c r="G271" s="5" t="str">
        <f>IFERROR(IF(SUMIFS(tblDaily[TransfersOut],tblDaily[EntryDate],DATE(2026,7,31),tblDaily[WardCode],"NICU")=0,"",SUMIFS(tblDaily[TransfersOut],tblDaily[EntryDate],DATE(2026,7,31),tblDaily[WardCode],"NICU")),"")</f>
        <v/>
      </c>
      <c r="H271" s="5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95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101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89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IFERROR(IF(SUMIFS(tblDaily[Admissions],tblDaily[EntryDate],DATE(2026,8,1),tblDaily[WardCode],"NICU")=0,"",SUMIFS(tblDaily[Admissions],tblDaily[EntryDate],DATE(2026,8,1),tblDaily[WardCode],"NICU")),"")</f>
        <v/>
      </c>
      <c r="C280" s="5" t="str">
        <f>IFERROR(IF(SUMIFS(tblDaily[Discharges],tblDaily[EntryDate],DATE(2026,8,1),tblDaily[WardCode],"NICU")=0,"",SUMIFS(tblDaily[Discharges],tblDaily[EntryDate],DATE(2026,8,1),tblDaily[WardCode],"NICU")),"")</f>
        <v/>
      </c>
      <c r="D280" s="5" t="str">
        <f>IFERROR(IF(SUMIFS(tblDaily[Deaths],tblDaily[EntryDate],DATE(2026,8,1),tblDaily[WardCode],"NICU")=0,"",SUMIFS(tblDaily[Deaths],tblDaily[EntryDate],DATE(2026,8,1),tblDaily[WardCode],"NICU")),"")</f>
        <v/>
      </c>
      <c r="E280" s="5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5" t="str">
        <f>IFERROR(IF(SUMIFS(tblDaily[TransfersIn],tblDaily[EntryDate],DATE(2026,8,1),tblDaily[WardCode],"NICU")=0,"",SUMIFS(tblDaily[TransfersIn],tblDaily[EntryDate],DATE(2026,8,1),tblDaily[WardCode],"NICU")),"")</f>
        <v/>
      </c>
      <c r="G280" s="5" t="str">
        <f>IFERROR(IF(SUMIFS(tblDaily[TransfersOut],tblDaily[EntryDate],DATE(2026,8,1),tblDaily[WardCode],"NICU")=0,"",SUMIFS(tblDaily[TransfersOut],tblDaily[EntryDate],DATE(2026,8,1),tblDaily[WardCode],"NICU")),"")</f>
        <v/>
      </c>
      <c r="H280" s="5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IFERROR(IF(SUMIFS(tblDaily[Admissions],tblDaily[EntryDate],DATE(2026,8,2),tblDaily[WardCode],"NICU")=0,"",SUMIFS(tblDaily[Admissions],tblDaily[EntryDate],DATE(2026,8,2),tblDaily[WardCode],"NICU")),"")</f>
        <v/>
      </c>
      <c r="C281" s="5" t="str">
        <f>IFERROR(IF(SUMIFS(tblDaily[Discharges],tblDaily[EntryDate],DATE(2026,8,2),tblDaily[WardCode],"NICU")=0,"",SUMIFS(tblDaily[Discharges],tblDaily[EntryDate],DATE(2026,8,2),tblDaily[WardCode],"NICU")),"")</f>
        <v/>
      </c>
      <c r="D281" s="5" t="str">
        <f>IFERROR(IF(SUMIFS(tblDaily[Deaths],tblDaily[EntryDate],DATE(2026,8,2),tblDaily[WardCode],"NICU")=0,"",SUMIFS(tblDaily[Deaths],tblDaily[EntryDate],DATE(2026,8,2),tblDaily[WardCode],"NICU")),"")</f>
        <v/>
      </c>
      <c r="E281" s="5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5" t="str">
        <f>IFERROR(IF(SUMIFS(tblDaily[TransfersIn],tblDaily[EntryDate],DATE(2026,8,2),tblDaily[WardCode],"NICU")=0,"",SUMIFS(tblDaily[TransfersIn],tblDaily[EntryDate],DATE(2026,8,2),tblDaily[WardCode],"NICU")),"")</f>
        <v/>
      </c>
      <c r="G281" s="5" t="str">
        <f>IFERROR(IF(SUMIFS(tblDaily[TransfersOut],tblDaily[EntryDate],DATE(2026,8,2),tblDaily[WardCode],"NICU")=0,"",SUMIFS(tblDaily[TransfersOut],tblDaily[EntryDate],DATE(2026,8,2),tblDaily[WardCode],"NICU")),"")</f>
        <v/>
      </c>
      <c r="H281" s="5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IFERROR(IF(SUMIFS(tblDaily[Admissions],tblDaily[EntryDate],DATE(2026,8,3),tblDaily[WardCode],"NICU")=0,"",SUMIFS(tblDaily[Admissions],tblDaily[EntryDate],DATE(2026,8,3),tblDaily[WardCode],"NICU")),"")</f>
        <v/>
      </c>
      <c r="C282" s="5" t="str">
        <f>IFERROR(IF(SUMIFS(tblDaily[Discharges],tblDaily[EntryDate],DATE(2026,8,3),tblDaily[WardCode],"NICU")=0,"",SUMIFS(tblDaily[Discharges],tblDaily[EntryDate],DATE(2026,8,3),tblDaily[WardCode],"NICU")),"")</f>
        <v/>
      </c>
      <c r="D282" s="5" t="str">
        <f>IFERROR(IF(SUMIFS(tblDaily[Deaths],tblDaily[EntryDate],DATE(2026,8,3),tblDaily[WardCode],"NICU")=0,"",SUMIFS(tblDaily[Deaths],tblDaily[EntryDate],DATE(2026,8,3),tblDaily[WardCode],"NICU")),"")</f>
        <v/>
      </c>
      <c r="E282" s="5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5" t="str">
        <f>IFERROR(IF(SUMIFS(tblDaily[TransfersIn],tblDaily[EntryDate],DATE(2026,8,3),tblDaily[WardCode],"NICU")=0,"",SUMIFS(tblDaily[TransfersIn],tblDaily[EntryDate],DATE(2026,8,3),tblDaily[WardCode],"NICU")),"")</f>
        <v/>
      </c>
      <c r="G282" s="5" t="str">
        <f>IFERROR(IF(SUMIFS(tblDaily[TransfersOut],tblDaily[EntryDate],DATE(2026,8,3),tblDaily[WardCode],"NICU")=0,"",SUMIFS(tblDaily[TransfersOut],tblDaily[EntryDate],DATE(2026,8,3),tblDaily[WardCode],"NICU")),"")</f>
        <v/>
      </c>
      <c r="H282" s="5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IFERROR(IF(SUMIFS(tblDaily[Admissions],tblDaily[EntryDate],DATE(2026,8,4),tblDaily[WardCode],"NICU")=0,"",SUMIFS(tblDaily[Admissions],tblDaily[EntryDate],DATE(2026,8,4),tblDaily[WardCode],"NICU")),"")</f>
        <v/>
      </c>
      <c r="C283" s="5" t="str">
        <f>IFERROR(IF(SUMIFS(tblDaily[Discharges],tblDaily[EntryDate],DATE(2026,8,4),tblDaily[WardCode],"NICU")=0,"",SUMIFS(tblDaily[Discharges],tblDaily[EntryDate],DATE(2026,8,4),tblDaily[WardCode],"NICU")),"")</f>
        <v/>
      </c>
      <c r="D283" s="5" t="str">
        <f>IFERROR(IF(SUMIFS(tblDaily[Deaths],tblDaily[EntryDate],DATE(2026,8,4),tblDaily[WardCode],"NICU")=0,"",SUMIFS(tblDaily[Deaths],tblDaily[EntryDate],DATE(2026,8,4),tblDaily[WardCode],"NICU")),"")</f>
        <v/>
      </c>
      <c r="E283" s="5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5" t="str">
        <f>IFERROR(IF(SUMIFS(tblDaily[TransfersIn],tblDaily[EntryDate],DATE(2026,8,4),tblDaily[WardCode],"NICU")=0,"",SUMIFS(tblDaily[TransfersIn],tblDaily[EntryDate],DATE(2026,8,4),tblDaily[WardCode],"NICU")),"")</f>
        <v/>
      </c>
      <c r="G283" s="5" t="str">
        <f>IFERROR(IF(SUMIFS(tblDaily[TransfersOut],tblDaily[EntryDate],DATE(2026,8,4),tblDaily[WardCode],"NICU")=0,"",SUMIFS(tblDaily[TransfersOut],tblDaily[EntryDate],DATE(2026,8,4),tblDaily[WardCode],"NICU")),"")</f>
        <v/>
      </c>
      <c r="H283" s="5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IFERROR(IF(SUMIFS(tblDaily[Admissions],tblDaily[EntryDate],DATE(2026,8,5),tblDaily[WardCode],"NICU")=0,"",SUMIFS(tblDaily[Admissions],tblDaily[EntryDate],DATE(2026,8,5),tblDaily[WardCode],"NICU")),"")</f>
        <v/>
      </c>
      <c r="C284" s="5" t="str">
        <f>IFERROR(IF(SUMIFS(tblDaily[Discharges],tblDaily[EntryDate],DATE(2026,8,5),tblDaily[WardCode],"NICU")=0,"",SUMIFS(tblDaily[Discharges],tblDaily[EntryDate],DATE(2026,8,5),tblDaily[WardCode],"NICU")),"")</f>
        <v/>
      </c>
      <c r="D284" s="5" t="str">
        <f>IFERROR(IF(SUMIFS(tblDaily[Deaths],tblDaily[EntryDate],DATE(2026,8,5),tblDaily[WardCode],"NICU")=0,"",SUMIFS(tblDaily[Deaths],tblDaily[EntryDate],DATE(2026,8,5),tblDaily[WardCode],"NICU")),"")</f>
        <v/>
      </c>
      <c r="E284" s="5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5" t="str">
        <f>IFERROR(IF(SUMIFS(tblDaily[TransfersIn],tblDaily[EntryDate],DATE(2026,8,5),tblDaily[WardCode],"NICU")=0,"",SUMIFS(tblDaily[TransfersIn],tblDaily[EntryDate],DATE(2026,8,5),tblDaily[WardCode],"NICU")),"")</f>
        <v/>
      </c>
      <c r="G284" s="5" t="str">
        <f>IFERROR(IF(SUMIFS(tblDaily[TransfersOut],tblDaily[EntryDate],DATE(2026,8,5),tblDaily[WardCode],"NICU")=0,"",SUMIFS(tblDaily[TransfersOut],tblDaily[EntryDate],DATE(2026,8,5),tblDaily[WardCode],"NICU")),"")</f>
        <v/>
      </c>
      <c r="H284" s="5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IFERROR(IF(SUMIFS(tblDaily[Admissions],tblDaily[EntryDate],DATE(2026,8,6),tblDaily[WardCode],"NICU")=0,"",SUMIFS(tblDaily[Admissions],tblDaily[EntryDate],DATE(2026,8,6),tblDaily[WardCode],"NICU")),"")</f>
        <v/>
      </c>
      <c r="C285" s="5" t="str">
        <f>IFERROR(IF(SUMIFS(tblDaily[Discharges],tblDaily[EntryDate],DATE(2026,8,6),tblDaily[WardCode],"NICU")=0,"",SUMIFS(tblDaily[Discharges],tblDaily[EntryDate],DATE(2026,8,6),tblDaily[WardCode],"NICU")),"")</f>
        <v/>
      </c>
      <c r="D285" s="5" t="str">
        <f>IFERROR(IF(SUMIFS(tblDaily[Deaths],tblDaily[EntryDate],DATE(2026,8,6),tblDaily[WardCode],"NICU")=0,"",SUMIFS(tblDaily[Deaths],tblDaily[EntryDate],DATE(2026,8,6),tblDaily[WardCode],"NICU")),"")</f>
        <v/>
      </c>
      <c r="E285" s="5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5" t="str">
        <f>IFERROR(IF(SUMIFS(tblDaily[TransfersIn],tblDaily[EntryDate],DATE(2026,8,6),tblDaily[WardCode],"NICU")=0,"",SUMIFS(tblDaily[TransfersIn],tblDaily[EntryDate],DATE(2026,8,6),tblDaily[WardCode],"NICU")),"")</f>
        <v/>
      </c>
      <c r="G285" s="5" t="str">
        <f>IFERROR(IF(SUMIFS(tblDaily[TransfersOut],tblDaily[EntryDate],DATE(2026,8,6),tblDaily[WardCode],"NICU")=0,"",SUMIFS(tblDaily[TransfersOut],tblDaily[EntryDate],DATE(2026,8,6),tblDaily[WardCode],"NICU")),"")</f>
        <v/>
      </c>
      <c r="H285" s="5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IFERROR(IF(SUMIFS(tblDaily[Admissions],tblDaily[EntryDate],DATE(2026,8,7),tblDaily[WardCode],"NICU")=0,"",SUMIFS(tblDaily[Admissions],tblDaily[EntryDate],DATE(2026,8,7),tblDaily[WardCode],"NICU")),"")</f>
        <v/>
      </c>
      <c r="C286" s="5" t="str">
        <f>IFERROR(IF(SUMIFS(tblDaily[Discharges],tblDaily[EntryDate],DATE(2026,8,7),tblDaily[WardCode],"NICU")=0,"",SUMIFS(tblDaily[Discharges],tblDaily[EntryDate],DATE(2026,8,7),tblDaily[WardCode],"NICU")),"")</f>
        <v/>
      </c>
      <c r="D286" s="5" t="str">
        <f>IFERROR(IF(SUMIFS(tblDaily[Deaths],tblDaily[EntryDate],DATE(2026,8,7),tblDaily[WardCode],"NICU")=0,"",SUMIFS(tblDaily[Deaths],tblDaily[EntryDate],DATE(2026,8,7),tblDaily[WardCode],"NICU")),"")</f>
        <v/>
      </c>
      <c r="E286" s="5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5" t="str">
        <f>IFERROR(IF(SUMIFS(tblDaily[TransfersIn],tblDaily[EntryDate],DATE(2026,8,7),tblDaily[WardCode],"NICU")=0,"",SUMIFS(tblDaily[TransfersIn],tblDaily[EntryDate],DATE(2026,8,7),tblDaily[WardCode],"NICU")),"")</f>
        <v/>
      </c>
      <c r="G286" s="5" t="str">
        <f>IFERROR(IF(SUMIFS(tblDaily[TransfersOut],tblDaily[EntryDate],DATE(2026,8,7),tblDaily[WardCode],"NICU")=0,"",SUMIFS(tblDaily[TransfersOut],tblDaily[EntryDate],DATE(2026,8,7),tblDaily[WardCode],"NICU")),"")</f>
        <v/>
      </c>
      <c r="H286" s="5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IFERROR(IF(SUMIFS(tblDaily[Admissions],tblDaily[EntryDate],DATE(2026,8,8),tblDaily[WardCode],"NICU")=0,"",SUMIFS(tblDaily[Admissions],tblDaily[EntryDate],DATE(2026,8,8),tblDaily[WardCode],"NICU")),"")</f>
        <v/>
      </c>
      <c r="C287" s="5" t="str">
        <f>IFERROR(IF(SUMIFS(tblDaily[Discharges],tblDaily[EntryDate],DATE(2026,8,8),tblDaily[WardCode],"NICU")=0,"",SUMIFS(tblDaily[Discharges],tblDaily[EntryDate],DATE(2026,8,8),tblDaily[WardCode],"NICU")),"")</f>
        <v/>
      </c>
      <c r="D287" s="5" t="str">
        <f>IFERROR(IF(SUMIFS(tblDaily[Deaths],tblDaily[EntryDate],DATE(2026,8,8),tblDaily[WardCode],"NICU")=0,"",SUMIFS(tblDaily[Deaths],tblDaily[EntryDate],DATE(2026,8,8),tblDaily[WardCode],"NICU")),"")</f>
        <v/>
      </c>
      <c r="E287" s="5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5" t="str">
        <f>IFERROR(IF(SUMIFS(tblDaily[TransfersIn],tblDaily[EntryDate],DATE(2026,8,8),tblDaily[WardCode],"NICU")=0,"",SUMIFS(tblDaily[TransfersIn],tblDaily[EntryDate],DATE(2026,8,8),tblDaily[WardCode],"NICU")),"")</f>
        <v/>
      </c>
      <c r="G287" s="5" t="str">
        <f>IFERROR(IF(SUMIFS(tblDaily[TransfersOut],tblDaily[EntryDate],DATE(2026,8,8),tblDaily[WardCode],"NICU")=0,"",SUMIFS(tblDaily[TransfersOut],tblDaily[EntryDate],DATE(2026,8,8),tblDaily[WardCode],"NICU")),"")</f>
        <v/>
      </c>
      <c r="H287" s="5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IFERROR(IF(SUMIFS(tblDaily[Admissions],tblDaily[EntryDate],DATE(2026,8,9),tblDaily[WardCode],"NICU")=0,"",SUMIFS(tblDaily[Admissions],tblDaily[EntryDate],DATE(2026,8,9),tblDaily[WardCode],"NICU")),"")</f>
        <v/>
      </c>
      <c r="C288" s="5" t="str">
        <f>IFERROR(IF(SUMIFS(tblDaily[Discharges],tblDaily[EntryDate],DATE(2026,8,9),tblDaily[WardCode],"NICU")=0,"",SUMIFS(tblDaily[Discharges],tblDaily[EntryDate],DATE(2026,8,9),tblDaily[WardCode],"NICU")),"")</f>
        <v/>
      </c>
      <c r="D288" s="5" t="str">
        <f>IFERROR(IF(SUMIFS(tblDaily[Deaths],tblDaily[EntryDate],DATE(2026,8,9),tblDaily[WardCode],"NICU")=0,"",SUMIFS(tblDaily[Deaths],tblDaily[EntryDate],DATE(2026,8,9),tblDaily[WardCode],"NICU")),"")</f>
        <v/>
      </c>
      <c r="E288" s="5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5" t="str">
        <f>IFERROR(IF(SUMIFS(tblDaily[TransfersIn],tblDaily[EntryDate],DATE(2026,8,9),tblDaily[WardCode],"NICU")=0,"",SUMIFS(tblDaily[TransfersIn],tblDaily[EntryDate],DATE(2026,8,9),tblDaily[WardCode],"NICU")),"")</f>
        <v/>
      </c>
      <c r="G288" s="5" t="str">
        <f>IFERROR(IF(SUMIFS(tblDaily[TransfersOut],tblDaily[EntryDate],DATE(2026,8,9),tblDaily[WardCode],"NICU")=0,"",SUMIFS(tblDaily[TransfersOut],tblDaily[EntryDate],DATE(2026,8,9),tblDaily[WardCode],"NICU")),"")</f>
        <v/>
      </c>
      <c r="H288" s="5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IFERROR(IF(SUMIFS(tblDaily[Admissions],tblDaily[EntryDate],DATE(2026,8,10),tblDaily[WardCode],"NICU")=0,"",SUMIFS(tblDaily[Admissions],tblDaily[EntryDate],DATE(2026,8,10),tblDaily[WardCode],"NICU")),"")</f>
        <v/>
      </c>
      <c r="C289" s="5" t="str">
        <f>IFERROR(IF(SUMIFS(tblDaily[Discharges],tblDaily[EntryDate],DATE(2026,8,10),tblDaily[WardCode],"NICU")=0,"",SUMIFS(tblDaily[Discharges],tblDaily[EntryDate],DATE(2026,8,10),tblDaily[WardCode],"NICU")),"")</f>
        <v/>
      </c>
      <c r="D289" s="5" t="str">
        <f>IFERROR(IF(SUMIFS(tblDaily[Deaths],tblDaily[EntryDate],DATE(2026,8,10),tblDaily[WardCode],"NICU")=0,"",SUMIFS(tblDaily[Deaths],tblDaily[EntryDate],DATE(2026,8,10),tblDaily[WardCode],"NICU")),"")</f>
        <v/>
      </c>
      <c r="E289" s="5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5" t="str">
        <f>IFERROR(IF(SUMIFS(tblDaily[TransfersIn],tblDaily[EntryDate],DATE(2026,8,10),tblDaily[WardCode],"NICU")=0,"",SUMIFS(tblDaily[TransfersIn],tblDaily[EntryDate],DATE(2026,8,10),tblDaily[WardCode],"NICU")),"")</f>
        <v/>
      </c>
      <c r="G289" s="5" t="str">
        <f>IFERROR(IF(SUMIFS(tblDaily[TransfersOut],tblDaily[EntryDate],DATE(2026,8,10),tblDaily[WardCode],"NICU")=0,"",SUMIFS(tblDaily[TransfersOut],tblDaily[EntryDate],DATE(2026,8,10),tblDaily[WardCode],"NICU")),"")</f>
        <v/>
      </c>
      <c r="H289" s="5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IFERROR(IF(SUMIFS(tblDaily[Admissions],tblDaily[EntryDate],DATE(2026,8,11),tblDaily[WardCode],"NICU")=0,"",SUMIFS(tblDaily[Admissions],tblDaily[EntryDate],DATE(2026,8,11),tblDaily[WardCode],"NICU")),"")</f>
        <v/>
      </c>
      <c r="C290" s="5" t="str">
        <f>IFERROR(IF(SUMIFS(tblDaily[Discharges],tblDaily[EntryDate],DATE(2026,8,11),tblDaily[WardCode],"NICU")=0,"",SUMIFS(tblDaily[Discharges],tblDaily[EntryDate],DATE(2026,8,11),tblDaily[WardCode],"NICU")),"")</f>
        <v/>
      </c>
      <c r="D290" s="5" t="str">
        <f>IFERROR(IF(SUMIFS(tblDaily[Deaths],tblDaily[EntryDate],DATE(2026,8,11),tblDaily[WardCode],"NICU")=0,"",SUMIFS(tblDaily[Deaths],tblDaily[EntryDate],DATE(2026,8,11),tblDaily[WardCode],"NICU")),"")</f>
        <v/>
      </c>
      <c r="E290" s="5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5" t="str">
        <f>IFERROR(IF(SUMIFS(tblDaily[TransfersIn],tblDaily[EntryDate],DATE(2026,8,11),tblDaily[WardCode],"NICU")=0,"",SUMIFS(tblDaily[TransfersIn],tblDaily[EntryDate],DATE(2026,8,11),tblDaily[WardCode],"NICU")),"")</f>
        <v/>
      </c>
      <c r="G290" s="5" t="str">
        <f>IFERROR(IF(SUMIFS(tblDaily[TransfersOut],tblDaily[EntryDate],DATE(2026,8,11),tblDaily[WardCode],"NICU")=0,"",SUMIFS(tblDaily[TransfersOut],tblDaily[EntryDate],DATE(2026,8,11),tblDaily[WardCode],"NICU")),"")</f>
        <v/>
      </c>
      <c r="H290" s="5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IFERROR(IF(SUMIFS(tblDaily[Admissions],tblDaily[EntryDate],DATE(2026,8,12),tblDaily[WardCode],"NICU")=0,"",SUMIFS(tblDaily[Admissions],tblDaily[EntryDate],DATE(2026,8,12),tblDaily[WardCode],"NICU")),"")</f>
        <v/>
      </c>
      <c r="C291" s="5" t="str">
        <f>IFERROR(IF(SUMIFS(tblDaily[Discharges],tblDaily[EntryDate],DATE(2026,8,12),tblDaily[WardCode],"NICU")=0,"",SUMIFS(tblDaily[Discharges],tblDaily[EntryDate],DATE(2026,8,12),tblDaily[WardCode],"NICU")),"")</f>
        <v/>
      </c>
      <c r="D291" s="5" t="str">
        <f>IFERROR(IF(SUMIFS(tblDaily[Deaths],tblDaily[EntryDate],DATE(2026,8,12),tblDaily[WardCode],"NICU")=0,"",SUMIFS(tblDaily[Deaths],tblDaily[EntryDate],DATE(2026,8,12),tblDaily[WardCode],"NICU")),"")</f>
        <v/>
      </c>
      <c r="E291" s="5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5" t="str">
        <f>IFERROR(IF(SUMIFS(tblDaily[TransfersIn],tblDaily[EntryDate],DATE(2026,8,12),tblDaily[WardCode],"NICU")=0,"",SUMIFS(tblDaily[TransfersIn],tblDaily[EntryDate],DATE(2026,8,12),tblDaily[WardCode],"NICU")),"")</f>
        <v/>
      </c>
      <c r="G291" s="5" t="str">
        <f>IFERROR(IF(SUMIFS(tblDaily[TransfersOut],tblDaily[EntryDate],DATE(2026,8,12),tblDaily[WardCode],"NICU")=0,"",SUMIFS(tblDaily[TransfersOut],tblDaily[EntryDate],DATE(2026,8,12),tblDaily[WardCode],"NICU")),"")</f>
        <v/>
      </c>
      <c r="H291" s="5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IFERROR(IF(SUMIFS(tblDaily[Admissions],tblDaily[EntryDate],DATE(2026,8,13),tblDaily[WardCode],"NICU")=0,"",SUMIFS(tblDaily[Admissions],tblDaily[EntryDate],DATE(2026,8,13),tblDaily[WardCode],"NICU")),"")</f>
        <v/>
      </c>
      <c r="C292" s="5" t="str">
        <f>IFERROR(IF(SUMIFS(tblDaily[Discharges],tblDaily[EntryDate],DATE(2026,8,13),tblDaily[WardCode],"NICU")=0,"",SUMIFS(tblDaily[Discharges],tblDaily[EntryDate],DATE(2026,8,13),tblDaily[WardCode],"NICU")),"")</f>
        <v/>
      </c>
      <c r="D292" s="5" t="str">
        <f>IFERROR(IF(SUMIFS(tblDaily[Deaths],tblDaily[EntryDate],DATE(2026,8,13),tblDaily[WardCode],"NICU")=0,"",SUMIFS(tblDaily[Deaths],tblDaily[EntryDate],DATE(2026,8,13),tblDaily[WardCode],"NICU")),"")</f>
        <v/>
      </c>
      <c r="E292" s="5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5" t="str">
        <f>IFERROR(IF(SUMIFS(tblDaily[TransfersIn],tblDaily[EntryDate],DATE(2026,8,13),tblDaily[WardCode],"NICU")=0,"",SUMIFS(tblDaily[TransfersIn],tblDaily[EntryDate],DATE(2026,8,13),tblDaily[WardCode],"NICU")),"")</f>
        <v/>
      </c>
      <c r="G292" s="5" t="str">
        <f>IFERROR(IF(SUMIFS(tblDaily[TransfersOut],tblDaily[EntryDate],DATE(2026,8,13),tblDaily[WardCode],"NICU")=0,"",SUMIFS(tblDaily[TransfersOut],tblDaily[EntryDate],DATE(2026,8,13),tblDaily[WardCode],"NICU")),"")</f>
        <v/>
      </c>
      <c r="H292" s="5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IFERROR(IF(SUMIFS(tblDaily[Admissions],tblDaily[EntryDate],DATE(2026,8,14),tblDaily[WardCode],"NICU")=0,"",SUMIFS(tblDaily[Admissions],tblDaily[EntryDate],DATE(2026,8,14),tblDaily[WardCode],"NICU")),"")</f>
        <v/>
      </c>
      <c r="C293" s="5" t="str">
        <f>IFERROR(IF(SUMIFS(tblDaily[Discharges],tblDaily[EntryDate],DATE(2026,8,14),tblDaily[WardCode],"NICU")=0,"",SUMIFS(tblDaily[Discharges],tblDaily[EntryDate],DATE(2026,8,14),tblDaily[WardCode],"NICU")),"")</f>
        <v/>
      </c>
      <c r="D293" s="5" t="str">
        <f>IFERROR(IF(SUMIFS(tblDaily[Deaths],tblDaily[EntryDate],DATE(2026,8,14),tblDaily[WardCode],"NICU")=0,"",SUMIFS(tblDaily[Deaths],tblDaily[EntryDate],DATE(2026,8,14),tblDaily[WardCode],"NICU")),"")</f>
        <v/>
      </c>
      <c r="E293" s="5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5" t="str">
        <f>IFERROR(IF(SUMIFS(tblDaily[TransfersIn],tblDaily[EntryDate],DATE(2026,8,14),tblDaily[WardCode],"NICU")=0,"",SUMIFS(tblDaily[TransfersIn],tblDaily[EntryDate],DATE(2026,8,14),tblDaily[WardCode],"NICU")),"")</f>
        <v/>
      </c>
      <c r="G293" s="5" t="str">
        <f>IFERROR(IF(SUMIFS(tblDaily[TransfersOut],tblDaily[EntryDate],DATE(2026,8,14),tblDaily[WardCode],"NICU")=0,"",SUMIFS(tblDaily[TransfersOut],tblDaily[EntryDate],DATE(2026,8,14),tblDaily[WardCode],"NICU")),"")</f>
        <v/>
      </c>
      <c r="H293" s="5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IFERROR(IF(SUMIFS(tblDaily[Admissions],tblDaily[EntryDate],DATE(2026,8,15),tblDaily[WardCode],"NICU")=0,"",SUMIFS(tblDaily[Admissions],tblDaily[EntryDate],DATE(2026,8,15),tblDaily[WardCode],"NICU")),"")</f>
        <v/>
      </c>
      <c r="C294" s="5" t="str">
        <f>IFERROR(IF(SUMIFS(tblDaily[Discharges],tblDaily[EntryDate],DATE(2026,8,15),tblDaily[WardCode],"NICU")=0,"",SUMIFS(tblDaily[Discharges],tblDaily[EntryDate],DATE(2026,8,15),tblDaily[WardCode],"NICU")),"")</f>
        <v/>
      </c>
      <c r="D294" s="5" t="str">
        <f>IFERROR(IF(SUMIFS(tblDaily[Deaths],tblDaily[EntryDate],DATE(2026,8,15),tblDaily[WardCode],"NICU")=0,"",SUMIFS(tblDaily[Deaths],tblDaily[EntryDate],DATE(2026,8,15),tblDaily[WardCode],"NICU")),"")</f>
        <v/>
      </c>
      <c r="E294" s="5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5" t="str">
        <f>IFERROR(IF(SUMIFS(tblDaily[TransfersIn],tblDaily[EntryDate],DATE(2026,8,15),tblDaily[WardCode],"NICU")=0,"",SUMIFS(tblDaily[TransfersIn],tblDaily[EntryDate],DATE(2026,8,15),tblDaily[WardCode],"NICU")),"")</f>
        <v/>
      </c>
      <c r="G294" s="5" t="str">
        <f>IFERROR(IF(SUMIFS(tblDaily[TransfersOut],tblDaily[EntryDate],DATE(2026,8,15),tblDaily[WardCode],"NICU")=0,"",SUMIFS(tblDaily[TransfersOut],tblDaily[EntryDate],DATE(2026,8,15),tblDaily[WardCode],"NICU")),"")</f>
        <v/>
      </c>
      <c r="H294" s="5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IFERROR(IF(SUMIFS(tblDaily[Admissions],tblDaily[EntryDate],DATE(2026,8,16),tblDaily[WardCode],"NICU")=0,"",SUMIFS(tblDaily[Admissions],tblDaily[EntryDate],DATE(2026,8,16),tblDaily[WardCode],"NICU")),"")</f>
        <v/>
      </c>
      <c r="C295" s="5" t="str">
        <f>IFERROR(IF(SUMIFS(tblDaily[Discharges],tblDaily[EntryDate],DATE(2026,8,16),tblDaily[WardCode],"NICU")=0,"",SUMIFS(tblDaily[Discharges],tblDaily[EntryDate],DATE(2026,8,16),tblDaily[WardCode],"NICU")),"")</f>
        <v/>
      </c>
      <c r="D295" s="5" t="str">
        <f>IFERROR(IF(SUMIFS(tblDaily[Deaths],tblDaily[EntryDate],DATE(2026,8,16),tblDaily[WardCode],"NICU")=0,"",SUMIFS(tblDaily[Deaths],tblDaily[EntryDate],DATE(2026,8,16),tblDaily[WardCode],"NICU")),"")</f>
        <v/>
      </c>
      <c r="E295" s="5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5" t="str">
        <f>IFERROR(IF(SUMIFS(tblDaily[TransfersIn],tblDaily[EntryDate],DATE(2026,8,16),tblDaily[WardCode],"NICU")=0,"",SUMIFS(tblDaily[TransfersIn],tblDaily[EntryDate],DATE(2026,8,16),tblDaily[WardCode],"NICU")),"")</f>
        <v/>
      </c>
      <c r="G295" s="5" t="str">
        <f>IFERROR(IF(SUMIFS(tblDaily[TransfersOut],tblDaily[EntryDate],DATE(2026,8,16),tblDaily[WardCode],"NICU")=0,"",SUMIFS(tblDaily[TransfersOut],tblDaily[EntryDate],DATE(2026,8,16),tblDaily[WardCode],"NICU")),"")</f>
        <v/>
      </c>
      <c r="H295" s="5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IFERROR(IF(SUMIFS(tblDaily[Admissions],tblDaily[EntryDate],DATE(2026,8,17),tblDaily[WardCode],"NICU")=0,"",SUMIFS(tblDaily[Admissions],tblDaily[EntryDate],DATE(2026,8,17),tblDaily[WardCode],"NICU")),"")</f>
        <v/>
      </c>
      <c r="C296" s="5" t="str">
        <f>IFERROR(IF(SUMIFS(tblDaily[Discharges],tblDaily[EntryDate],DATE(2026,8,17),tblDaily[WardCode],"NICU")=0,"",SUMIFS(tblDaily[Discharges],tblDaily[EntryDate],DATE(2026,8,17),tblDaily[WardCode],"NICU")),"")</f>
        <v/>
      </c>
      <c r="D296" s="5" t="str">
        <f>IFERROR(IF(SUMIFS(tblDaily[Deaths],tblDaily[EntryDate],DATE(2026,8,17),tblDaily[WardCode],"NICU")=0,"",SUMIFS(tblDaily[Deaths],tblDaily[EntryDate],DATE(2026,8,17),tblDaily[WardCode],"NICU")),"")</f>
        <v/>
      </c>
      <c r="E296" s="5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5" t="str">
        <f>IFERROR(IF(SUMIFS(tblDaily[TransfersIn],tblDaily[EntryDate],DATE(2026,8,17),tblDaily[WardCode],"NICU")=0,"",SUMIFS(tblDaily[TransfersIn],tblDaily[EntryDate],DATE(2026,8,17),tblDaily[WardCode],"NICU")),"")</f>
        <v/>
      </c>
      <c r="G296" s="5" t="str">
        <f>IFERROR(IF(SUMIFS(tblDaily[TransfersOut],tblDaily[EntryDate],DATE(2026,8,17),tblDaily[WardCode],"NICU")=0,"",SUMIFS(tblDaily[TransfersOut],tblDaily[EntryDate],DATE(2026,8,17),tblDaily[WardCode],"NICU")),"")</f>
        <v/>
      </c>
      <c r="H296" s="5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IFERROR(IF(SUMIFS(tblDaily[Admissions],tblDaily[EntryDate],DATE(2026,8,18),tblDaily[WardCode],"NICU")=0,"",SUMIFS(tblDaily[Admissions],tblDaily[EntryDate],DATE(2026,8,18),tblDaily[WardCode],"NICU")),"")</f>
        <v/>
      </c>
      <c r="C297" s="5" t="str">
        <f>IFERROR(IF(SUMIFS(tblDaily[Discharges],tblDaily[EntryDate],DATE(2026,8,18),tblDaily[WardCode],"NICU")=0,"",SUMIFS(tblDaily[Discharges],tblDaily[EntryDate],DATE(2026,8,18),tblDaily[WardCode],"NICU")),"")</f>
        <v/>
      </c>
      <c r="D297" s="5" t="str">
        <f>IFERROR(IF(SUMIFS(tblDaily[Deaths],tblDaily[EntryDate],DATE(2026,8,18),tblDaily[WardCode],"NICU")=0,"",SUMIFS(tblDaily[Deaths],tblDaily[EntryDate],DATE(2026,8,18),tblDaily[WardCode],"NICU")),"")</f>
        <v/>
      </c>
      <c r="E297" s="5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5" t="str">
        <f>IFERROR(IF(SUMIFS(tblDaily[TransfersIn],tblDaily[EntryDate],DATE(2026,8,18),tblDaily[WardCode],"NICU")=0,"",SUMIFS(tblDaily[TransfersIn],tblDaily[EntryDate],DATE(2026,8,18),tblDaily[WardCode],"NICU")),"")</f>
        <v/>
      </c>
      <c r="G297" s="5" t="str">
        <f>IFERROR(IF(SUMIFS(tblDaily[TransfersOut],tblDaily[EntryDate],DATE(2026,8,18),tblDaily[WardCode],"NICU")=0,"",SUMIFS(tblDaily[TransfersOut],tblDaily[EntryDate],DATE(2026,8,18),tblDaily[WardCode],"NICU")),"")</f>
        <v/>
      </c>
      <c r="H297" s="5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IFERROR(IF(SUMIFS(tblDaily[Admissions],tblDaily[EntryDate],DATE(2026,8,19),tblDaily[WardCode],"NICU")=0,"",SUMIFS(tblDaily[Admissions],tblDaily[EntryDate],DATE(2026,8,19),tblDaily[WardCode],"NICU")),"")</f>
        <v/>
      </c>
      <c r="C298" s="5" t="str">
        <f>IFERROR(IF(SUMIFS(tblDaily[Discharges],tblDaily[EntryDate],DATE(2026,8,19),tblDaily[WardCode],"NICU")=0,"",SUMIFS(tblDaily[Discharges],tblDaily[EntryDate],DATE(2026,8,19),tblDaily[WardCode],"NICU")),"")</f>
        <v/>
      </c>
      <c r="D298" s="5" t="str">
        <f>IFERROR(IF(SUMIFS(tblDaily[Deaths],tblDaily[EntryDate],DATE(2026,8,19),tblDaily[WardCode],"NICU")=0,"",SUMIFS(tblDaily[Deaths],tblDaily[EntryDate],DATE(2026,8,19),tblDaily[WardCode],"NICU")),"")</f>
        <v/>
      </c>
      <c r="E298" s="5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5" t="str">
        <f>IFERROR(IF(SUMIFS(tblDaily[TransfersIn],tblDaily[EntryDate],DATE(2026,8,19),tblDaily[WardCode],"NICU")=0,"",SUMIFS(tblDaily[TransfersIn],tblDaily[EntryDate],DATE(2026,8,19),tblDaily[WardCode],"NICU")),"")</f>
        <v/>
      </c>
      <c r="G298" s="5" t="str">
        <f>IFERROR(IF(SUMIFS(tblDaily[TransfersOut],tblDaily[EntryDate],DATE(2026,8,19),tblDaily[WardCode],"NICU")=0,"",SUMIFS(tblDaily[TransfersOut],tblDaily[EntryDate],DATE(2026,8,19),tblDaily[WardCode],"NICU")),"")</f>
        <v/>
      </c>
      <c r="H298" s="5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IFERROR(IF(SUMIFS(tblDaily[Admissions],tblDaily[EntryDate],DATE(2026,8,20),tblDaily[WardCode],"NICU")=0,"",SUMIFS(tblDaily[Admissions],tblDaily[EntryDate],DATE(2026,8,20),tblDaily[WardCode],"NICU")),"")</f>
        <v/>
      </c>
      <c r="C299" s="5" t="str">
        <f>IFERROR(IF(SUMIFS(tblDaily[Discharges],tblDaily[EntryDate],DATE(2026,8,20),tblDaily[WardCode],"NICU")=0,"",SUMIFS(tblDaily[Discharges],tblDaily[EntryDate],DATE(2026,8,20),tblDaily[WardCode],"NICU")),"")</f>
        <v/>
      </c>
      <c r="D299" s="5" t="str">
        <f>IFERROR(IF(SUMIFS(tblDaily[Deaths],tblDaily[EntryDate],DATE(2026,8,20),tblDaily[WardCode],"NICU")=0,"",SUMIFS(tblDaily[Deaths],tblDaily[EntryDate],DATE(2026,8,20),tblDaily[WardCode],"NICU")),"")</f>
        <v/>
      </c>
      <c r="E299" s="5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5" t="str">
        <f>IFERROR(IF(SUMIFS(tblDaily[TransfersIn],tblDaily[EntryDate],DATE(2026,8,20),tblDaily[WardCode],"NICU")=0,"",SUMIFS(tblDaily[TransfersIn],tblDaily[EntryDate],DATE(2026,8,20),tblDaily[WardCode],"NICU")),"")</f>
        <v/>
      </c>
      <c r="G299" s="5" t="str">
        <f>IFERROR(IF(SUMIFS(tblDaily[TransfersOut],tblDaily[EntryDate],DATE(2026,8,20),tblDaily[WardCode],"NICU")=0,"",SUMIFS(tblDaily[TransfersOut],tblDaily[EntryDate],DATE(2026,8,20),tblDaily[WardCode],"NICU")),"")</f>
        <v/>
      </c>
      <c r="H299" s="5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IFERROR(IF(SUMIFS(tblDaily[Admissions],tblDaily[EntryDate],DATE(2026,8,21),tblDaily[WardCode],"NICU")=0,"",SUMIFS(tblDaily[Admissions],tblDaily[EntryDate],DATE(2026,8,21),tblDaily[WardCode],"NICU")),"")</f>
        <v/>
      </c>
      <c r="C300" s="5" t="str">
        <f>IFERROR(IF(SUMIFS(tblDaily[Discharges],tblDaily[EntryDate],DATE(2026,8,21),tblDaily[WardCode],"NICU")=0,"",SUMIFS(tblDaily[Discharges],tblDaily[EntryDate],DATE(2026,8,21),tblDaily[WardCode],"NICU")),"")</f>
        <v/>
      </c>
      <c r="D300" s="5" t="str">
        <f>IFERROR(IF(SUMIFS(tblDaily[Deaths],tblDaily[EntryDate],DATE(2026,8,21),tblDaily[WardCode],"NICU")=0,"",SUMIFS(tblDaily[Deaths],tblDaily[EntryDate],DATE(2026,8,21),tblDaily[WardCode],"NICU")),"")</f>
        <v/>
      </c>
      <c r="E300" s="5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5" t="str">
        <f>IFERROR(IF(SUMIFS(tblDaily[TransfersIn],tblDaily[EntryDate],DATE(2026,8,21),tblDaily[WardCode],"NICU")=0,"",SUMIFS(tblDaily[TransfersIn],tblDaily[EntryDate],DATE(2026,8,21),tblDaily[WardCode],"NICU")),"")</f>
        <v/>
      </c>
      <c r="G300" s="5" t="str">
        <f>IFERROR(IF(SUMIFS(tblDaily[TransfersOut],tblDaily[EntryDate],DATE(2026,8,21),tblDaily[WardCode],"NICU")=0,"",SUMIFS(tblDaily[TransfersOut],tblDaily[EntryDate],DATE(2026,8,21),tblDaily[WardCode],"NICU")),"")</f>
        <v/>
      </c>
      <c r="H300" s="5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IFERROR(IF(SUMIFS(tblDaily[Admissions],tblDaily[EntryDate],DATE(2026,8,22),tblDaily[WardCode],"NICU")=0,"",SUMIFS(tblDaily[Admissions],tblDaily[EntryDate],DATE(2026,8,22),tblDaily[WardCode],"NICU")),"")</f>
        <v/>
      </c>
      <c r="C301" s="5" t="str">
        <f>IFERROR(IF(SUMIFS(tblDaily[Discharges],tblDaily[EntryDate],DATE(2026,8,22),tblDaily[WardCode],"NICU")=0,"",SUMIFS(tblDaily[Discharges],tblDaily[EntryDate],DATE(2026,8,22),tblDaily[WardCode],"NICU")),"")</f>
        <v/>
      </c>
      <c r="D301" s="5" t="str">
        <f>IFERROR(IF(SUMIFS(tblDaily[Deaths],tblDaily[EntryDate],DATE(2026,8,22),tblDaily[WardCode],"NICU")=0,"",SUMIFS(tblDaily[Deaths],tblDaily[EntryDate],DATE(2026,8,22),tblDaily[WardCode],"NICU")),"")</f>
        <v/>
      </c>
      <c r="E301" s="5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5" t="str">
        <f>IFERROR(IF(SUMIFS(tblDaily[TransfersIn],tblDaily[EntryDate],DATE(2026,8,22),tblDaily[WardCode],"NICU")=0,"",SUMIFS(tblDaily[TransfersIn],tblDaily[EntryDate],DATE(2026,8,22),tblDaily[WardCode],"NICU")),"")</f>
        <v/>
      </c>
      <c r="G301" s="5" t="str">
        <f>IFERROR(IF(SUMIFS(tblDaily[TransfersOut],tblDaily[EntryDate],DATE(2026,8,22),tblDaily[WardCode],"NICU")=0,"",SUMIFS(tblDaily[TransfersOut],tblDaily[EntryDate],DATE(2026,8,22),tblDaily[WardCode],"NICU")),"")</f>
        <v/>
      </c>
      <c r="H301" s="5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IFERROR(IF(SUMIFS(tblDaily[Admissions],tblDaily[EntryDate],DATE(2026,8,23),tblDaily[WardCode],"NICU")=0,"",SUMIFS(tblDaily[Admissions],tblDaily[EntryDate],DATE(2026,8,23),tblDaily[WardCode],"NICU")),"")</f>
        <v/>
      </c>
      <c r="C302" s="5" t="str">
        <f>IFERROR(IF(SUMIFS(tblDaily[Discharges],tblDaily[EntryDate],DATE(2026,8,23),tblDaily[WardCode],"NICU")=0,"",SUMIFS(tblDaily[Discharges],tblDaily[EntryDate],DATE(2026,8,23),tblDaily[WardCode],"NICU")),"")</f>
        <v/>
      </c>
      <c r="D302" s="5" t="str">
        <f>IFERROR(IF(SUMIFS(tblDaily[Deaths],tblDaily[EntryDate],DATE(2026,8,23),tblDaily[WardCode],"NICU")=0,"",SUMIFS(tblDaily[Deaths],tblDaily[EntryDate],DATE(2026,8,23),tblDaily[WardCode],"NICU")),"")</f>
        <v/>
      </c>
      <c r="E302" s="5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5" t="str">
        <f>IFERROR(IF(SUMIFS(tblDaily[TransfersIn],tblDaily[EntryDate],DATE(2026,8,23),tblDaily[WardCode],"NICU")=0,"",SUMIFS(tblDaily[TransfersIn],tblDaily[EntryDate],DATE(2026,8,23),tblDaily[WardCode],"NICU")),"")</f>
        <v/>
      </c>
      <c r="G302" s="5" t="str">
        <f>IFERROR(IF(SUMIFS(tblDaily[TransfersOut],tblDaily[EntryDate],DATE(2026,8,23),tblDaily[WardCode],"NICU")=0,"",SUMIFS(tblDaily[TransfersOut],tblDaily[EntryDate],DATE(2026,8,23),tblDaily[WardCode],"NICU")),"")</f>
        <v/>
      </c>
      <c r="H302" s="5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IFERROR(IF(SUMIFS(tblDaily[Admissions],tblDaily[EntryDate],DATE(2026,8,24),tblDaily[WardCode],"NICU")=0,"",SUMIFS(tblDaily[Admissions],tblDaily[EntryDate],DATE(2026,8,24),tblDaily[WardCode],"NICU")),"")</f>
        <v/>
      </c>
      <c r="C303" s="5" t="str">
        <f>IFERROR(IF(SUMIFS(tblDaily[Discharges],tblDaily[EntryDate],DATE(2026,8,24),tblDaily[WardCode],"NICU")=0,"",SUMIFS(tblDaily[Discharges],tblDaily[EntryDate],DATE(2026,8,24),tblDaily[WardCode],"NICU")),"")</f>
        <v/>
      </c>
      <c r="D303" s="5" t="str">
        <f>IFERROR(IF(SUMIFS(tblDaily[Deaths],tblDaily[EntryDate],DATE(2026,8,24),tblDaily[WardCode],"NICU")=0,"",SUMIFS(tblDaily[Deaths],tblDaily[EntryDate],DATE(2026,8,24),tblDaily[WardCode],"NICU")),"")</f>
        <v/>
      </c>
      <c r="E303" s="5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5" t="str">
        <f>IFERROR(IF(SUMIFS(tblDaily[TransfersIn],tblDaily[EntryDate],DATE(2026,8,24),tblDaily[WardCode],"NICU")=0,"",SUMIFS(tblDaily[TransfersIn],tblDaily[EntryDate],DATE(2026,8,24),tblDaily[WardCode],"NICU")),"")</f>
        <v/>
      </c>
      <c r="G303" s="5" t="str">
        <f>IFERROR(IF(SUMIFS(tblDaily[TransfersOut],tblDaily[EntryDate],DATE(2026,8,24),tblDaily[WardCode],"NICU")=0,"",SUMIFS(tblDaily[TransfersOut],tblDaily[EntryDate],DATE(2026,8,24),tblDaily[WardCode],"NICU")),"")</f>
        <v/>
      </c>
      <c r="H303" s="5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IFERROR(IF(SUMIFS(tblDaily[Admissions],tblDaily[EntryDate],DATE(2026,8,25),tblDaily[WardCode],"NICU")=0,"",SUMIFS(tblDaily[Admissions],tblDaily[EntryDate],DATE(2026,8,25),tblDaily[WardCode],"NICU")),"")</f>
        <v/>
      </c>
      <c r="C304" s="5" t="str">
        <f>IFERROR(IF(SUMIFS(tblDaily[Discharges],tblDaily[EntryDate],DATE(2026,8,25),tblDaily[WardCode],"NICU")=0,"",SUMIFS(tblDaily[Discharges],tblDaily[EntryDate],DATE(2026,8,25),tblDaily[WardCode],"NICU")),"")</f>
        <v/>
      </c>
      <c r="D304" s="5" t="str">
        <f>IFERROR(IF(SUMIFS(tblDaily[Deaths],tblDaily[EntryDate],DATE(2026,8,25),tblDaily[WardCode],"NICU")=0,"",SUMIFS(tblDaily[Deaths],tblDaily[EntryDate],DATE(2026,8,25),tblDaily[WardCode],"NICU")),"")</f>
        <v/>
      </c>
      <c r="E304" s="5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5" t="str">
        <f>IFERROR(IF(SUMIFS(tblDaily[TransfersIn],tblDaily[EntryDate],DATE(2026,8,25),tblDaily[WardCode],"NICU")=0,"",SUMIFS(tblDaily[TransfersIn],tblDaily[EntryDate],DATE(2026,8,25),tblDaily[WardCode],"NICU")),"")</f>
        <v/>
      </c>
      <c r="G304" s="5" t="str">
        <f>IFERROR(IF(SUMIFS(tblDaily[TransfersOut],tblDaily[EntryDate],DATE(2026,8,25),tblDaily[WardCode],"NICU")=0,"",SUMIFS(tblDaily[TransfersOut],tblDaily[EntryDate],DATE(2026,8,25),tblDaily[WardCode],"NICU")),"")</f>
        <v/>
      </c>
      <c r="H304" s="5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IFERROR(IF(SUMIFS(tblDaily[Admissions],tblDaily[EntryDate],DATE(2026,8,26),tblDaily[WardCode],"NICU")=0,"",SUMIFS(tblDaily[Admissions],tblDaily[EntryDate],DATE(2026,8,26),tblDaily[WardCode],"NICU")),"")</f>
        <v/>
      </c>
      <c r="C305" s="5" t="str">
        <f>IFERROR(IF(SUMIFS(tblDaily[Discharges],tblDaily[EntryDate],DATE(2026,8,26),tblDaily[WardCode],"NICU")=0,"",SUMIFS(tblDaily[Discharges],tblDaily[EntryDate],DATE(2026,8,26),tblDaily[WardCode],"NICU")),"")</f>
        <v/>
      </c>
      <c r="D305" s="5" t="str">
        <f>IFERROR(IF(SUMIFS(tblDaily[Deaths],tblDaily[EntryDate],DATE(2026,8,26),tblDaily[WardCode],"NICU")=0,"",SUMIFS(tblDaily[Deaths],tblDaily[EntryDate],DATE(2026,8,26),tblDaily[WardCode],"NICU")),"")</f>
        <v/>
      </c>
      <c r="E305" s="5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5" t="str">
        <f>IFERROR(IF(SUMIFS(tblDaily[TransfersIn],tblDaily[EntryDate],DATE(2026,8,26),tblDaily[WardCode],"NICU")=0,"",SUMIFS(tblDaily[TransfersIn],tblDaily[EntryDate],DATE(2026,8,26),tblDaily[WardCode],"NICU")),"")</f>
        <v/>
      </c>
      <c r="G305" s="5" t="str">
        <f>IFERROR(IF(SUMIFS(tblDaily[TransfersOut],tblDaily[EntryDate],DATE(2026,8,26),tblDaily[WardCode],"NICU")=0,"",SUMIFS(tblDaily[TransfersOut],tblDaily[EntryDate],DATE(2026,8,26),tblDaily[WardCode],"NICU")),"")</f>
        <v/>
      </c>
      <c r="H305" s="5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IFERROR(IF(SUMIFS(tblDaily[Admissions],tblDaily[EntryDate],DATE(2026,8,27),tblDaily[WardCode],"NICU")=0,"",SUMIFS(tblDaily[Admissions],tblDaily[EntryDate],DATE(2026,8,27),tblDaily[WardCode],"NICU")),"")</f>
        <v/>
      </c>
      <c r="C306" s="5" t="str">
        <f>IFERROR(IF(SUMIFS(tblDaily[Discharges],tblDaily[EntryDate],DATE(2026,8,27),tblDaily[WardCode],"NICU")=0,"",SUMIFS(tblDaily[Discharges],tblDaily[EntryDate],DATE(2026,8,27),tblDaily[WardCode],"NICU")),"")</f>
        <v/>
      </c>
      <c r="D306" s="5" t="str">
        <f>IFERROR(IF(SUMIFS(tblDaily[Deaths],tblDaily[EntryDate],DATE(2026,8,27),tblDaily[WardCode],"NICU")=0,"",SUMIFS(tblDaily[Deaths],tblDaily[EntryDate],DATE(2026,8,27),tblDaily[WardCode],"NICU")),"")</f>
        <v/>
      </c>
      <c r="E306" s="5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5" t="str">
        <f>IFERROR(IF(SUMIFS(tblDaily[TransfersIn],tblDaily[EntryDate],DATE(2026,8,27),tblDaily[WardCode],"NICU")=0,"",SUMIFS(tblDaily[TransfersIn],tblDaily[EntryDate],DATE(2026,8,27),tblDaily[WardCode],"NICU")),"")</f>
        <v/>
      </c>
      <c r="G306" s="5" t="str">
        <f>IFERROR(IF(SUMIFS(tblDaily[TransfersOut],tblDaily[EntryDate],DATE(2026,8,27),tblDaily[WardCode],"NICU")=0,"",SUMIFS(tblDaily[TransfersOut],tblDaily[EntryDate],DATE(2026,8,27),tblDaily[WardCode],"NICU")),"")</f>
        <v/>
      </c>
      <c r="H306" s="5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IFERROR(IF(SUMIFS(tblDaily[Admissions],tblDaily[EntryDate],DATE(2026,8,28),tblDaily[WardCode],"NICU")=0,"",SUMIFS(tblDaily[Admissions],tblDaily[EntryDate],DATE(2026,8,28),tblDaily[WardCode],"NICU")),"")</f>
        <v/>
      </c>
      <c r="C307" s="5" t="str">
        <f>IFERROR(IF(SUMIFS(tblDaily[Discharges],tblDaily[EntryDate],DATE(2026,8,28),tblDaily[WardCode],"NICU")=0,"",SUMIFS(tblDaily[Discharges],tblDaily[EntryDate],DATE(2026,8,28),tblDaily[WardCode],"NICU")),"")</f>
        <v/>
      </c>
      <c r="D307" s="5" t="str">
        <f>IFERROR(IF(SUMIFS(tblDaily[Deaths],tblDaily[EntryDate],DATE(2026,8,28),tblDaily[WardCode],"NICU")=0,"",SUMIFS(tblDaily[Deaths],tblDaily[EntryDate],DATE(2026,8,28),tblDaily[WardCode],"NICU")),"")</f>
        <v/>
      </c>
      <c r="E307" s="5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5" t="str">
        <f>IFERROR(IF(SUMIFS(tblDaily[TransfersIn],tblDaily[EntryDate],DATE(2026,8,28),tblDaily[WardCode],"NICU")=0,"",SUMIFS(tblDaily[TransfersIn],tblDaily[EntryDate],DATE(2026,8,28),tblDaily[WardCode],"NICU")),"")</f>
        <v/>
      </c>
      <c r="G307" s="5" t="str">
        <f>IFERROR(IF(SUMIFS(tblDaily[TransfersOut],tblDaily[EntryDate],DATE(2026,8,28),tblDaily[WardCode],"NICU")=0,"",SUMIFS(tblDaily[TransfersOut],tblDaily[EntryDate],DATE(2026,8,28),tblDaily[WardCode],"NICU")),"")</f>
        <v/>
      </c>
      <c r="H307" s="5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IFERROR(IF(SUMIFS(tblDaily[Admissions],tblDaily[EntryDate],DATE(2026,8,29),tblDaily[WardCode],"NICU")=0,"",SUMIFS(tblDaily[Admissions],tblDaily[EntryDate],DATE(2026,8,29),tblDaily[WardCode],"NICU")),"")</f>
        <v/>
      </c>
      <c r="C308" s="5" t="str">
        <f>IFERROR(IF(SUMIFS(tblDaily[Discharges],tblDaily[EntryDate],DATE(2026,8,29),tblDaily[WardCode],"NICU")=0,"",SUMIFS(tblDaily[Discharges],tblDaily[EntryDate],DATE(2026,8,29),tblDaily[WardCode],"NICU")),"")</f>
        <v/>
      </c>
      <c r="D308" s="5" t="str">
        <f>IFERROR(IF(SUMIFS(tblDaily[Deaths],tblDaily[EntryDate],DATE(2026,8,29),tblDaily[WardCode],"NICU")=0,"",SUMIFS(tblDaily[Deaths],tblDaily[EntryDate],DATE(2026,8,29),tblDaily[WardCode],"NICU")),"")</f>
        <v/>
      </c>
      <c r="E308" s="5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5" t="str">
        <f>IFERROR(IF(SUMIFS(tblDaily[TransfersIn],tblDaily[EntryDate],DATE(2026,8,29),tblDaily[WardCode],"NICU")=0,"",SUMIFS(tblDaily[TransfersIn],tblDaily[EntryDate],DATE(2026,8,29),tblDaily[WardCode],"NICU")),"")</f>
        <v/>
      </c>
      <c r="G308" s="5" t="str">
        <f>IFERROR(IF(SUMIFS(tblDaily[TransfersOut],tblDaily[EntryDate],DATE(2026,8,29),tblDaily[WardCode],"NICU")=0,"",SUMIFS(tblDaily[TransfersOut],tblDaily[EntryDate],DATE(2026,8,29),tblDaily[WardCode],"NICU")),"")</f>
        <v/>
      </c>
      <c r="H308" s="5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IFERROR(IF(SUMIFS(tblDaily[Admissions],tblDaily[EntryDate],DATE(2026,8,30),tblDaily[WardCode],"NICU")=0,"",SUMIFS(tblDaily[Admissions],tblDaily[EntryDate],DATE(2026,8,30),tblDaily[WardCode],"NICU")),"")</f>
        <v/>
      </c>
      <c r="C309" s="5" t="str">
        <f>IFERROR(IF(SUMIFS(tblDaily[Discharges],tblDaily[EntryDate],DATE(2026,8,30),tblDaily[WardCode],"NICU")=0,"",SUMIFS(tblDaily[Discharges],tblDaily[EntryDate],DATE(2026,8,30),tblDaily[WardCode],"NICU")),"")</f>
        <v/>
      </c>
      <c r="D309" s="5" t="str">
        <f>IFERROR(IF(SUMIFS(tblDaily[Deaths],tblDaily[EntryDate],DATE(2026,8,30),tblDaily[WardCode],"NICU")=0,"",SUMIFS(tblDaily[Deaths],tblDaily[EntryDate],DATE(2026,8,30),tblDaily[WardCode],"NICU")),"")</f>
        <v/>
      </c>
      <c r="E309" s="5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5" t="str">
        <f>IFERROR(IF(SUMIFS(tblDaily[TransfersIn],tblDaily[EntryDate],DATE(2026,8,30),tblDaily[WardCode],"NICU")=0,"",SUMIFS(tblDaily[TransfersIn],tblDaily[EntryDate],DATE(2026,8,30),tblDaily[WardCode],"NICU")),"")</f>
        <v/>
      </c>
      <c r="G309" s="5" t="str">
        <f>IFERROR(IF(SUMIFS(tblDaily[TransfersOut],tblDaily[EntryDate],DATE(2026,8,30),tblDaily[WardCode],"NICU")=0,"",SUMIFS(tblDaily[TransfersOut],tblDaily[EntryDate],DATE(2026,8,30),tblDaily[WardCode],"NICU")),"")</f>
        <v/>
      </c>
      <c r="H309" s="5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IFERROR(IF(SUMIFS(tblDaily[Admissions],tblDaily[EntryDate],DATE(2026,8,31),tblDaily[WardCode],"NICU")=0,"",SUMIFS(tblDaily[Admissions],tblDaily[EntryDate],DATE(2026,8,31),tblDaily[WardCode],"NICU")),"")</f>
        <v/>
      </c>
      <c r="C310" s="5" t="str">
        <f>IFERROR(IF(SUMIFS(tblDaily[Discharges],tblDaily[EntryDate],DATE(2026,8,31),tblDaily[WardCode],"NICU")=0,"",SUMIFS(tblDaily[Discharges],tblDaily[EntryDate],DATE(2026,8,31),tblDaily[WardCode],"NICU")),"")</f>
        <v/>
      </c>
      <c r="D310" s="5" t="str">
        <f>IFERROR(IF(SUMIFS(tblDaily[Deaths],tblDaily[EntryDate],DATE(2026,8,31),tblDaily[WardCode],"NICU")=0,"",SUMIFS(tblDaily[Deaths],tblDaily[EntryDate],DATE(2026,8,31),tblDaily[WardCode],"NICU")),"")</f>
        <v/>
      </c>
      <c r="E310" s="5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5" t="str">
        <f>IFERROR(IF(SUMIFS(tblDaily[TransfersIn],tblDaily[EntryDate],DATE(2026,8,31),tblDaily[WardCode],"NICU")=0,"",SUMIFS(tblDaily[TransfersIn],tblDaily[EntryDate],DATE(2026,8,31),tblDaily[WardCode],"NICU")),"")</f>
        <v/>
      </c>
      <c r="G310" s="5" t="str">
        <f>IFERROR(IF(SUMIFS(tblDaily[TransfersOut],tblDaily[EntryDate],DATE(2026,8,31),tblDaily[WardCode],"NICU")=0,"",SUMIFS(tblDaily[TransfersOut],tblDaily[EntryDate],DATE(2026,8,31),tblDaily[WardCode],"NICU")),"")</f>
        <v/>
      </c>
      <c r="H310" s="5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95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101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89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IFERROR(IF(SUMIFS(tblDaily[Admissions],tblDaily[EntryDate],DATE(2026,9,1),tblDaily[WardCode],"NICU")=0,"",SUMIFS(tblDaily[Admissions],tblDaily[EntryDate],DATE(2026,9,1),tblDaily[WardCode],"NICU")),"")</f>
        <v/>
      </c>
      <c r="C319" s="5" t="str">
        <f>IFERROR(IF(SUMIFS(tblDaily[Discharges],tblDaily[EntryDate],DATE(2026,9,1),tblDaily[WardCode],"NICU")=0,"",SUMIFS(tblDaily[Discharges],tblDaily[EntryDate],DATE(2026,9,1),tblDaily[WardCode],"NICU")),"")</f>
        <v/>
      </c>
      <c r="D319" s="5" t="str">
        <f>IFERROR(IF(SUMIFS(tblDaily[Deaths],tblDaily[EntryDate],DATE(2026,9,1),tblDaily[WardCode],"NICU")=0,"",SUMIFS(tblDaily[Deaths],tblDaily[EntryDate],DATE(2026,9,1),tblDaily[WardCode],"NICU")),"")</f>
        <v/>
      </c>
      <c r="E319" s="5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5" t="str">
        <f>IFERROR(IF(SUMIFS(tblDaily[TransfersIn],tblDaily[EntryDate],DATE(2026,9,1),tblDaily[WardCode],"NICU")=0,"",SUMIFS(tblDaily[TransfersIn],tblDaily[EntryDate],DATE(2026,9,1),tblDaily[WardCode],"NICU")),"")</f>
        <v/>
      </c>
      <c r="G319" s="5" t="str">
        <f>IFERROR(IF(SUMIFS(tblDaily[TransfersOut],tblDaily[EntryDate],DATE(2026,9,1),tblDaily[WardCode],"NICU")=0,"",SUMIFS(tblDaily[TransfersOut],tblDaily[EntryDate],DATE(2026,9,1),tblDaily[WardCode],"NICU")),"")</f>
        <v/>
      </c>
      <c r="H319" s="5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IFERROR(IF(SUMIFS(tblDaily[Admissions],tblDaily[EntryDate],DATE(2026,9,2),tblDaily[WardCode],"NICU")=0,"",SUMIFS(tblDaily[Admissions],tblDaily[EntryDate],DATE(2026,9,2),tblDaily[WardCode],"NICU")),"")</f>
        <v/>
      </c>
      <c r="C320" s="5" t="str">
        <f>IFERROR(IF(SUMIFS(tblDaily[Discharges],tblDaily[EntryDate],DATE(2026,9,2),tblDaily[WardCode],"NICU")=0,"",SUMIFS(tblDaily[Discharges],tblDaily[EntryDate],DATE(2026,9,2),tblDaily[WardCode],"NICU")),"")</f>
        <v/>
      </c>
      <c r="D320" s="5" t="str">
        <f>IFERROR(IF(SUMIFS(tblDaily[Deaths],tblDaily[EntryDate],DATE(2026,9,2),tblDaily[WardCode],"NICU")=0,"",SUMIFS(tblDaily[Deaths],tblDaily[EntryDate],DATE(2026,9,2),tblDaily[WardCode],"NICU")),"")</f>
        <v/>
      </c>
      <c r="E320" s="5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5" t="str">
        <f>IFERROR(IF(SUMIFS(tblDaily[TransfersIn],tblDaily[EntryDate],DATE(2026,9,2),tblDaily[WardCode],"NICU")=0,"",SUMIFS(tblDaily[TransfersIn],tblDaily[EntryDate],DATE(2026,9,2),tblDaily[WardCode],"NICU")),"")</f>
        <v/>
      </c>
      <c r="G320" s="5" t="str">
        <f>IFERROR(IF(SUMIFS(tblDaily[TransfersOut],tblDaily[EntryDate],DATE(2026,9,2),tblDaily[WardCode],"NICU")=0,"",SUMIFS(tblDaily[TransfersOut],tblDaily[EntryDate],DATE(2026,9,2),tblDaily[WardCode],"NICU")),"")</f>
        <v/>
      </c>
      <c r="H320" s="5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IFERROR(IF(SUMIFS(tblDaily[Admissions],tblDaily[EntryDate],DATE(2026,9,3),tblDaily[WardCode],"NICU")=0,"",SUMIFS(tblDaily[Admissions],tblDaily[EntryDate],DATE(2026,9,3),tblDaily[WardCode],"NICU")),"")</f>
        <v/>
      </c>
      <c r="C321" s="5" t="str">
        <f>IFERROR(IF(SUMIFS(tblDaily[Discharges],tblDaily[EntryDate],DATE(2026,9,3),tblDaily[WardCode],"NICU")=0,"",SUMIFS(tblDaily[Discharges],tblDaily[EntryDate],DATE(2026,9,3),tblDaily[WardCode],"NICU")),"")</f>
        <v/>
      </c>
      <c r="D321" s="5" t="str">
        <f>IFERROR(IF(SUMIFS(tblDaily[Deaths],tblDaily[EntryDate],DATE(2026,9,3),tblDaily[WardCode],"NICU")=0,"",SUMIFS(tblDaily[Deaths],tblDaily[EntryDate],DATE(2026,9,3),tblDaily[WardCode],"NICU")),"")</f>
        <v/>
      </c>
      <c r="E321" s="5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5" t="str">
        <f>IFERROR(IF(SUMIFS(tblDaily[TransfersIn],tblDaily[EntryDate],DATE(2026,9,3),tblDaily[WardCode],"NICU")=0,"",SUMIFS(tblDaily[TransfersIn],tblDaily[EntryDate],DATE(2026,9,3),tblDaily[WardCode],"NICU")),"")</f>
        <v/>
      </c>
      <c r="G321" s="5" t="str">
        <f>IFERROR(IF(SUMIFS(tblDaily[TransfersOut],tblDaily[EntryDate],DATE(2026,9,3),tblDaily[WardCode],"NICU")=0,"",SUMIFS(tblDaily[TransfersOut],tblDaily[EntryDate],DATE(2026,9,3),tblDaily[WardCode],"NICU")),"")</f>
        <v/>
      </c>
      <c r="H321" s="5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IFERROR(IF(SUMIFS(tblDaily[Admissions],tblDaily[EntryDate],DATE(2026,9,4),tblDaily[WardCode],"NICU")=0,"",SUMIFS(tblDaily[Admissions],tblDaily[EntryDate],DATE(2026,9,4),tblDaily[WardCode],"NICU")),"")</f>
        <v/>
      </c>
      <c r="C322" s="5" t="str">
        <f>IFERROR(IF(SUMIFS(tblDaily[Discharges],tblDaily[EntryDate],DATE(2026,9,4),tblDaily[WardCode],"NICU")=0,"",SUMIFS(tblDaily[Discharges],tblDaily[EntryDate],DATE(2026,9,4),tblDaily[WardCode],"NICU")),"")</f>
        <v/>
      </c>
      <c r="D322" s="5" t="str">
        <f>IFERROR(IF(SUMIFS(tblDaily[Deaths],tblDaily[EntryDate],DATE(2026,9,4),tblDaily[WardCode],"NICU")=0,"",SUMIFS(tblDaily[Deaths],tblDaily[EntryDate],DATE(2026,9,4),tblDaily[WardCode],"NICU")),"")</f>
        <v/>
      </c>
      <c r="E322" s="5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5" t="str">
        <f>IFERROR(IF(SUMIFS(tblDaily[TransfersIn],tblDaily[EntryDate],DATE(2026,9,4),tblDaily[WardCode],"NICU")=0,"",SUMIFS(tblDaily[TransfersIn],tblDaily[EntryDate],DATE(2026,9,4),tblDaily[WardCode],"NICU")),"")</f>
        <v/>
      </c>
      <c r="G322" s="5" t="str">
        <f>IFERROR(IF(SUMIFS(tblDaily[TransfersOut],tblDaily[EntryDate],DATE(2026,9,4),tblDaily[WardCode],"NICU")=0,"",SUMIFS(tblDaily[TransfersOut],tblDaily[EntryDate],DATE(2026,9,4),tblDaily[WardCode],"NICU")),"")</f>
        <v/>
      </c>
      <c r="H322" s="5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IFERROR(IF(SUMIFS(tblDaily[Admissions],tblDaily[EntryDate],DATE(2026,9,5),tblDaily[WardCode],"NICU")=0,"",SUMIFS(tblDaily[Admissions],tblDaily[EntryDate],DATE(2026,9,5),tblDaily[WardCode],"NICU")),"")</f>
        <v/>
      </c>
      <c r="C323" s="5" t="str">
        <f>IFERROR(IF(SUMIFS(tblDaily[Discharges],tblDaily[EntryDate],DATE(2026,9,5),tblDaily[WardCode],"NICU")=0,"",SUMIFS(tblDaily[Discharges],tblDaily[EntryDate],DATE(2026,9,5),tblDaily[WardCode],"NICU")),"")</f>
        <v/>
      </c>
      <c r="D323" s="5" t="str">
        <f>IFERROR(IF(SUMIFS(tblDaily[Deaths],tblDaily[EntryDate],DATE(2026,9,5),tblDaily[WardCode],"NICU")=0,"",SUMIFS(tblDaily[Deaths],tblDaily[EntryDate],DATE(2026,9,5),tblDaily[WardCode],"NICU")),"")</f>
        <v/>
      </c>
      <c r="E323" s="5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5" t="str">
        <f>IFERROR(IF(SUMIFS(tblDaily[TransfersIn],tblDaily[EntryDate],DATE(2026,9,5),tblDaily[WardCode],"NICU")=0,"",SUMIFS(tblDaily[TransfersIn],tblDaily[EntryDate],DATE(2026,9,5),tblDaily[WardCode],"NICU")),"")</f>
        <v/>
      </c>
      <c r="G323" s="5" t="str">
        <f>IFERROR(IF(SUMIFS(tblDaily[TransfersOut],tblDaily[EntryDate],DATE(2026,9,5),tblDaily[WardCode],"NICU")=0,"",SUMIFS(tblDaily[TransfersOut],tblDaily[EntryDate],DATE(2026,9,5),tblDaily[WardCode],"NICU")),"")</f>
        <v/>
      </c>
      <c r="H323" s="5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IFERROR(IF(SUMIFS(tblDaily[Admissions],tblDaily[EntryDate],DATE(2026,9,6),tblDaily[WardCode],"NICU")=0,"",SUMIFS(tblDaily[Admissions],tblDaily[EntryDate],DATE(2026,9,6),tblDaily[WardCode],"NICU")),"")</f>
        <v/>
      </c>
      <c r="C324" s="5" t="str">
        <f>IFERROR(IF(SUMIFS(tblDaily[Discharges],tblDaily[EntryDate],DATE(2026,9,6),tblDaily[WardCode],"NICU")=0,"",SUMIFS(tblDaily[Discharges],tblDaily[EntryDate],DATE(2026,9,6),tblDaily[WardCode],"NICU")),"")</f>
        <v/>
      </c>
      <c r="D324" s="5" t="str">
        <f>IFERROR(IF(SUMIFS(tblDaily[Deaths],tblDaily[EntryDate],DATE(2026,9,6),tblDaily[WardCode],"NICU")=0,"",SUMIFS(tblDaily[Deaths],tblDaily[EntryDate],DATE(2026,9,6),tblDaily[WardCode],"NICU")),"")</f>
        <v/>
      </c>
      <c r="E324" s="5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5" t="str">
        <f>IFERROR(IF(SUMIFS(tblDaily[TransfersIn],tblDaily[EntryDate],DATE(2026,9,6),tblDaily[WardCode],"NICU")=0,"",SUMIFS(tblDaily[TransfersIn],tblDaily[EntryDate],DATE(2026,9,6),tblDaily[WardCode],"NICU")),"")</f>
        <v/>
      </c>
      <c r="G324" s="5" t="str">
        <f>IFERROR(IF(SUMIFS(tblDaily[TransfersOut],tblDaily[EntryDate],DATE(2026,9,6),tblDaily[WardCode],"NICU")=0,"",SUMIFS(tblDaily[TransfersOut],tblDaily[EntryDate],DATE(2026,9,6),tblDaily[WardCode],"NICU")),"")</f>
        <v/>
      </c>
      <c r="H324" s="5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IFERROR(IF(SUMIFS(tblDaily[Admissions],tblDaily[EntryDate],DATE(2026,9,7),tblDaily[WardCode],"NICU")=0,"",SUMIFS(tblDaily[Admissions],tblDaily[EntryDate],DATE(2026,9,7),tblDaily[WardCode],"NICU")),"")</f>
        <v/>
      </c>
      <c r="C325" s="5" t="str">
        <f>IFERROR(IF(SUMIFS(tblDaily[Discharges],tblDaily[EntryDate],DATE(2026,9,7),tblDaily[WardCode],"NICU")=0,"",SUMIFS(tblDaily[Discharges],tblDaily[EntryDate],DATE(2026,9,7),tblDaily[WardCode],"NICU")),"")</f>
        <v/>
      </c>
      <c r="D325" s="5" t="str">
        <f>IFERROR(IF(SUMIFS(tblDaily[Deaths],tblDaily[EntryDate],DATE(2026,9,7),tblDaily[WardCode],"NICU")=0,"",SUMIFS(tblDaily[Deaths],tblDaily[EntryDate],DATE(2026,9,7),tblDaily[WardCode],"NICU")),"")</f>
        <v/>
      </c>
      <c r="E325" s="5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5" t="str">
        <f>IFERROR(IF(SUMIFS(tblDaily[TransfersIn],tblDaily[EntryDate],DATE(2026,9,7),tblDaily[WardCode],"NICU")=0,"",SUMIFS(tblDaily[TransfersIn],tblDaily[EntryDate],DATE(2026,9,7),tblDaily[WardCode],"NICU")),"")</f>
        <v/>
      </c>
      <c r="G325" s="5" t="str">
        <f>IFERROR(IF(SUMIFS(tblDaily[TransfersOut],tblDaily[EntryDate],DATE(2026,9,7),tblDaily[WardCode],"NICU")=0,"",SUMIFS(tblDaily[TransfersOut],tblDaily[EntryDate],DATE(2026,9,7),tblDaily[WardCode],"NICU")),"")</f>
        <v/>
      </c>
      <c r="H325" s="5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IFERROR(IF(SUMIFS(tblDaily[Admissions],tblDaily[EntryDate],DATE(2026,9,8),tblDaily[WardCode],"NICU")=0,"",SUMIFS(tblDaily[Admissions],tblDaily[EntryDate],DATE(2026,9,8),tblDaily[WardCode],"NICU")),"")</f>
        <v/>
      </c>
      <c r="C326" s="5" t="str">
        <f>IFERROR(IF(SUMIFS(tblDaily[Discharges],tblDaily[EntryDate],DATE(2026,9,8),tblDaily[WardCode],"NICU")=0,"",SUMIFS(tblDaily[Discharges],tblDaily[EntryDate],DATE(2026,9,8),tblDaily[WardCode],"NICU")),"")</f>
        <v/>
      </c>
      <c r="D326" s="5" t="str">
        <f>IFERROR(IF(SUMIFS(tblDaily[Deaths],tblDaily[EntryDate],DATE(2026,9,8),tblDaily[WardCode],"NICU")=0,"",SUMIFS(tblDaily[Deaths],tblDaily[EntryDate],DATE(2026,9,8),tblDaily[WardCode],"NICU")),"")</f>
        <v/>
      </c>
      <c r="E326" s="5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5" t="str">
        <f>IFERROR(IF(SUMIFS(tblDaily[TransfersIn],tblDaily[EntryDate],DATE(2026,9,8),tblDaily[WardCode],"NICU")=0,"",SUMIFS(tblDaily[TransfersIn],tblDaily[EntryDate],DATE(2026,9,8),tblDaily[WardCode],"NICU")),"")</f>
        <v/>
      </c>
      <c r="G326" s="5" t="str">
        <f>IFERROR(IF(SUMIFS(tblDaily[TransfersOut],tblDaily[EntryDate],DATE(2026,9,8),tblDaily[WardCode],"NICU")=0,"",SUMIFS(tblDaily[TransfersOut],tblDaily[EntryDate],DATE(2026,9,8),tblDaily[WardCode],"NICU")),"")</f>
        <v/>
      </c>
      <c r="H326" s="5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IFERROR(IF(SUMIFS(tblDaily[Admissions],tblDaily[EntryDate],DATE(2026,9,9),tblDaily[WardCode],"NICU")=0,"",SUMIFS(tblDaily[Admissions],tblDaily[EntryDate],DATE(2026,9,9),tblDaily[WardCode],"NICU")),"")</f>
        <v/>
      </c>
      <c r="C327" s="5" t="str">
        <f>IFERROR(IF(SUMIFS(tblDaily[Discharges],tblDaily[EntryDate],DATE(2026,9,9),tblDaily[WardCode],"NICU")=0,"",SUMIFS(tblDaily[Discharges],tblDaily[EntryDate],DATE(2026,9,9),tblDaily[WardCode],"NICU")),"")</f>
        <v/>
      </c>
      <c r="D327" s="5" t="str">
        <f>IFERROR(IF(SUMIFS(tblDaily[Deaths],tblDaily[EntryDate],DATE(2026,9,9),tblDaily[WardCode],"NICU")=0,"",SUMIFS(tblDaily[Deaths],tblDaily[EntryDate],DATE(2026,9,9),tblDaily[WardCode],"NICU")),"")</f>
        <v/>
      </c>
      <c r="E327" s="5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5" t="str">
        <f>IFERROR(IF(SUMIFS(tblDaily[TransfersIn],tblDaily[EntryDate],DATE(2026,9,9),tblDaily[WardCode],"NICU")=0,"",SUMIFS(tblDaily[TransfersIn],tblDaily[EntryDate],DATE(2026,9,9),tblDaily[WardCode],"NICU")),"")</f>
        <v/>
      </c>
      <c r="G327" s="5" t="str">
        <f>IFERROR(IF(SUMIFS(tblDaily[TransfersOut],tblDaily[EntryDate],DATE(2026,9,9),tblDaily[WardCode],"NICU")=0,"",SUMIFS(tblDaily[TransfersOut],tblDaily[EntryDate],DATE(2026,9,9),tblDaily[WardCode],"NICU")),"")</f>
        <v/>
      </c>
      <c r="H327" s="5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IFERROR(IF(SUMIFS(tblDaily[Admissions],tblDaily[EntryDate],DATE(2026,9,10),tblDaily[WardCode],"NICU")=0,"",SUMIFS(tblDaily[Admissions],tblDaily[EntryDate],DATE(2026,9,10),tblDaily[WardCode],"NICU")),"")</f>
        <v/>
      </c>
      <c r="C328" s="5" t="str">
        <f>IFERROR(IF(SUMIFS(tblDaily[Discharges],tblDaily[EntryDate],DATE(2026,9,10),tblDaily[WardCode],"NICU")=0,"",SUMIFS(tblDaily[Discharges],tblDaily[EntryDate],DATE(2026,9,10),tblDaily[WardCode],"NICU")),"")</f>
        <v/>
      </c>
      <c r="D328" s="5" t="str">
        <f>IFERROR(IF(SUMIFS(tblDaily[Deaths],tblDaily[EntryDate],DATE(2026,9,10),tblDaily[WardCode],"NICU")=0,"",SUMIFS(tblDaily[Deaths],tblDaily[EntryDate],DATE(2026,9,10),tblDaily[WardCode],"NICU")),"")</f>
        <v/>
      </c>
      <c r="E328" s="5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5" t="str">
        <f>IFERROR(IF(SUMIFS(tblDaily[TransfersIn],tblDaily[EntryDate],DATE(2026,9,10),tblDaily[WardCode],"NICU")=0,"",SUMIFS(tblDaily[TransfersIn],tblDaily[EntryDate],DATE(2026,9,10),tblDaily[WardCode],"NICU")),"")</f>
        <v/>
      </c>
      <c r="G328" s="5" t="str">
        <f>IFERROR(IF(SUMIFS(tblDaily[TransfersOut],tblDaily[EntryDate],DATE(2026,9,10),tblDaily[WardCode],"NICU")=0,"",SUMIFS(tblDaily[TransfersOut],tblDaily[EntryDate],DATE(2026,9,10),tblDaily[WardCode],"NICU")),"")</f>
        <v/>
      </c>
      <c r="H328" s="5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IFERROR(IF(SUMIFS(tblDaily[Admissions],tblDaily[EntryDate],DATE(2026,9,11),tblDaily[WardCode],"NICU")=0,"",SUMIFS(tblDaily[Admissions],tblDaily[EntryDate],DATE(2026,9,11),tblDaily[WardCode],"NICU")),"")</f>
        <v/>
      </c>
      <c r="C329" s="5" t="str">
        <f>IFERROR(IF(SUMIFS(tblDaily[Discharges],tblDaily[EntryDate],DATE(2026,9,11),tblDaily[WardCode],"NICU")=0,"",SUMIFS(tblDaily[Discharges],tblDaily[EntryDate],DATE(2026,9,11),tblDaily[WardCode],"NICU")),"")</f>
        <v/>
      </c>
      <c r="D329" s="5" t="str">
        <f>IFERROR(IF(SUMIFS(tblDaily[Deaths],tblDaily[EntryDate],DATE(2026,9,11),tblDaily[WardCode],"NICU")=0,"",SUMIFS(tblDaily[Deaths],tblDaily[EntryDate],DATE(2026,9,11),tblDaily[WardCode],"NICU")),"")</f>
        <v/>
      </c>
      <c r="E329" s="5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5" t="str">
        <f>IFERROR(IF(SUMIFS(tblDaily[TransfersIn],tblDaily[EntryDate],DATE(2026,9,11),tblDaily[WardCode],"NICU")=0,"",SUMIFS(tblDaily[TransfersIn],tblDaily[EntryDate],DATE(2026,9,11),tblDaily[WardCode],"NICU")),"")</f>
        <v/>
      </c>
      <c r="G329" s="5" t="str">
        <f>IFERROR(IF(SUMIFS(tblDaily[TransfersOut],tblDaily[EntryDate],DATE(2026,9,11),tblDaily[WardCode],"NICU")=0,"",SUMIFS(tblDaily[TransfersOut],tblDaily[EntryDate],DATE(2026,9,11),tblDaily[WardCode],"NICU")),"")</f>
        <v/>
      </c>
      <c r="H329" s="5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IFERROR(IF(SUMIFS(tblDaily[Admissions],tblDaily[EntryDate],DATE(2026,9,12),tblDaily[WardCode],"NICU")=0,"",SUMIFS(tblDaily[Admissions],tblDaily[EntryDate],DATE(2026,9,12),tblDaily[WardCode],"NICU")),"")</f>
        <v/>
      </c>
      <c r="C330" s="5" t="str">
        <f>IFERROR(IF(SUMIFS(tblDaily[Discharges],tblDaily[EntryDate],DATE(2026,9,12),tblDaily[WardCode],"NICU")=0,"",SUMIFS(tblDaily[Discharges],tblDaily[EntryDate],DATE(2026,9,12),tblDaily[WardCode],"NICU")),"")</f>
        <v/>
      </c>
      <c r="D330" s="5" t="str">
        <f>IFERROR(IF(SUMIFS(tblDaily[Deaths],tblDaily[EntryDate],DATE(2026,9,12),tblDaily[WardCode],"NICU")=0,"",SUMIFS(tblDaily[Deaths],tblDaily[EntryDate],DATE(2026,9,12),tblDaily[WardCode],"NICU")),"")</f>
        <v/>
      </c>
      <c r="E330" s="5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5" t="str">
        <f>IFERROR(IF(SUMIFS(tblDaily[TransfersIn],tblDaily[EntryDate],DATE(2026,9,12),tblDaily[WardCode],"NICU")=0,"",SUMIFS(tblDaily[TransfersIn],tblDaily[EntryDate],DATE(2026,9,12),tblDaily[WardCode],"NICU")),"")</f>
        <v/>
      </c>
      <c r="G330" s="5" t="str">
        <f>IFERROR(IF(SUMIFS(tblDaily[TransfersOut],tblDaily[EntryDate],DATE(2026,9,12),tblDaily[WardCode],"NICU")=0,"",SUMIFS(tblDaily[TransfersOut],tblDaily[EntryDate],DATE(2026,9,12),tblDaily[WardCode],"NICU")),"")</f>
        <v/>
      </c>
      <c r="H330" s="5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IFERROR(IF(SUMIFS(tblDaily[Admissions],tblDaily[EntryDate],DATE(2026,9,13),tblDaily[WardCode],"NICU")=0,"",SUMIFS(tblDaily[Admissions],tblDaily[EntryDate],DATE(2026,9,13),tblDaily[WardCode],"NICU")),"")</f>
        <v/>
      </c>
      <c r="C331" s="5" t="str">
        <f>IFERROR(IF(SUMIFS(tblDaily[Discharges],tblDaily[EntryDate],DATE(2026,9,13),tblDaily[WardCode],"NICU")=0,"",SUMIFS(tblDaily[Discharges],tblDaily[EntryDate],DATE(2026,9,13),tblDaily[WardCode],"NICU")),"")</f>
        <v/>
      </c>
      <c r="D331" s="5" t="str">
        <f>IFERROR(IF(SUMIFS(tblDaily[Deaths],tblDaily[EntryDate],DATE(2026,9,13),tblDaily[WardCode],"NICU")=0,"",SUMIFS(tblDaily[Deaths],tblDaily[EntryDate],DATE(2026,9,13),tblDaily[WardCode],"NICU")),"")</f>
        <v/>
      </c>
      <c r="E331" s="5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5" t="str">
        <f>IFERROR(IF(SUMIFS(tblDaily[TransfersIn],tblDaily[EntryDate],DATE(2026,9,13),tblDaily[WardCode],"NICU")=0,"",SUMIFS(tblDaily[TransfersIn],tblDaily[EntryDate],DATE(2026,9,13),tblDaily[WardCode],"NICU")),"")</f>
        <v/>
      </c>
      <c r="G331" s="5" t="str">
        <f>IFERROR(IF(SUMIFS(tblDaily[TransfersOut],tblDaily[EntryDate],DATE(2026,9,13),tblDaily[WardCode],"NICU")=0,"",SUMIFS(tblDaily[TransfersOut],tblDaily[EntryDate],DATE(2026,9,13),tblDaily[WardCode],"NICU")),"")</f>
        <v/>
      </c>
      <c r="H331" s="5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IFERROR(IF(SUMIFS(tblDaily[Admissions],tblDaily[EntryDate],DATE(2026,9,14),tblDaily[WardCode],"NICU")=0,"",SUMIFS(tblDaily[Admissions],tblDaily[EntryDate],DATE(2026,9,14),tblDaily[WardCode],"NICU")),"")</f>
        <v/>
      </c>
      <c r="C332" s="5" t="str">
        <f>IFERROR(IF(SUMIFS(tblDaily[Discharges],tblDaily[EntryDate],DATE(2026,9,14),tblDaily[WardCode],"NICU")=0,"",SUMIFS(tblDaily[Discharges],tblDaily[EntryDate],DATE(2026,9,14),tblDaily[WardCode],"NICU")),"")</f>
        <v/>
      </c>
      <c r="D332" s="5" t="str">
        <f>IFERROR(IF(SUMIFS(tblDaily[Deaths],tblDaily[EntryDate],DATE(2026,9,14),tblDaily[WardCode],"NICU")=0,"",SUMIFS(tblDaily[Deaths],tblDaily[EntryDate],DATE(2026,9,14),tblDaily[WardCode],"NICU")),"")</f>
        <v/>
      </c>
      <c r="E332" s="5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5" t="str">
        <f>IFERROR(IF(SUMIFS(tblDaily[TransfersIn],tblDaily[EntryDate],DATE(2026,9,14),tblDaily[WardCode],"NICU")=0,"",SUMIFS(tblDaily[TransfersIn],tblDaily[EntryDate],DATE(2026,9,14),tblDaily[WardCode],"NICU")),"")</f>
        <v/>
      </c>
      <c r="G332" s="5" t="str">
        <f>IFERROR(IF(SUMIFS(tblDaily[TransfersOut],tblDaily[EntryDate],DATE(2026,9,14),tblDaily[WardCode],"NICU")=0,"",SUMIFS(tblDaily[TransfersOut],tblDaily[EntryDate],DATE(2026,9,14),tblDaily[WardCode],"NICU")),"")</f>
        <v/>
      </c>
      <c r="H332" s="5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IFERROR(IF(SUMIFS(tblDaily[Admissions],tblDaily[EntryDate],DATE(2026,9,15),tblDaily[WardCode],"NICU")=0,"",SUMIFS(tblDaily[Admissions],tblDaily[EntryDate],DATE(2026,9,15),tblDaily[WardCode],"NICU")),"")</f>
        <v/>
      </c>
      <c r="C333" s="5" t="str">
        <f>IFERROR(IF(SUMIFS(tblDaily[Discharges],tblDaily[EntryDate],DATE(2026,9,15),tblDaily[WardCode],"NICU")=0,"",SUMIFS(tblDaily[Discharges],tblDaily[EntryDate],DATE(2026,9,15),tblDaily[WardCode],"NICU")),"")</f>
        <v/>
      </c>
      <c r="D333" s="5" t="str">
        <f>IFERROR(IF(SUMIFS(tblDaily[Deaths],tblDaily[EntryDate],DATE(2026,9,15),tblDaily[WardCode],"NICU")=0,"",SUMIFS(tblDaily[Deaths],tblDaily[EntryDate],DATE(2026,9,15),tblDaily[WardCode],"NICU")),"")</f>
        <v/>
      </c>
      <c r="E333" s="5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5" t="str">
        <f>IFERROR(IF(SUMIFS(tblDaily[TransfersIn],tblDaily[EntryDate],DATE(2026,9,15),tblDaily[WardCode],"NICU")=0,"",SUMIFS(tblDaily[TransfersIn],tblDaily[EntryDate],DATE(2026,9,15),tblDaily[WardCode],"NICU")),"")</f>
        <v/>
      </c>
      <c r="G333" s="5" t="str">
        <f>IFERROR(IF(SUMIFS(tblDaily[TransfersOut],tblDaily[EntryDate],DATE(2026,9,15),tblDaily[WardCode],"NICU")=0,"",SUMIFS(tblDaily[TransfersOut],tblDaily[EntryDate],DATE(2026,9,15),tblDaily[WardCode],"NICU")),"")</f>
        <v/>
      </c>
      <c r="H333" s="5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IFERROR(IF(SUMIFS(tblDaily[Admissions],tblDaily[EntryDate],DATE(2026,9,16),tblDaily[WardCode],"NICU")=0,"",SUMIFS(tblDaily[Admissions],tblDaily[EntryDate],DATE(2026,9,16),tblDaily[WardCode],"NICU")),"")</f>
        <v/>
      </c>
      <c r="C334" s="5" t="str">
        <f>IFERROR(IF(SUMIFS(tblDaily[Discharges],tblDaily[EntryDate],DATE(2026,9,16),tblDaily[WardCode],"NICU")=0,"",SUMIFS(tblDaily[Discharges],tblDaily[EntryDate],DATE(2026,9,16),tblDaily[WardCode],"NICU")),"")</f>
        <v/>
      </c>
      <c r="D334" s="5" t="str">
        <f>IFERROR(IF(SUMIFS(tblDaily[Deaths],tblDaily[EntryDate],DATE(2026,9,16),tblDaily[WardCode],"NICU")=0,"",SUMIFS(tblDaily[Deaths],tblDaily[EntryDate],DATE(2026,9,16),tblDaily[WardCode],"NICU")),"")</f>
        <v/>
      </c>
      <c r="E334" s="5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5" t="str">
        <f>IFERROR(IF(SUMIFS(tblDaily[TransfersIn],tblDaily[EntryDate],DATE(2026,9,16),tblDaily[WardCode],"NICU")=0,"",SUMIFS(tblDaily[TransfersIn],tblDaily[EntryDate],DATE(2026,9,16),tblDaily[WardCode],"NICU")),"")</f>
        <v/>
      </c>
      <c r="G334" s="5" t="str">
        <f>IFERROR(IF(SUMIFS(tblDaily[TransfersOut],tblDaily[EntryDate],DATE(2026,9,16),tblDaily[WardCode],"NICU")=0,"",SUMIFS(tblDaily[TransfersOut],tblDaily[EntryDate],DATE(2026,9,16),tblDaily[WardCode],"NICU")),"")</f>
        <v/>
      </c>
      <c r="H334" s="5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IFERROR(IF(SUMIFS(tblDaily[Admissions],tblDaily[EntryDate],DATE(2026,9,17),tblDaily[WardCode],"NICU")=0,"",SUMIFS(tblDaily[Admissions],tblDaily[EntryDate],DATE(2026,9,17),tblDaily[WardCode],"NICU")),"")</f>
        <v/>
      </c>
      <c r="C335" s="5" t="str">
        <f>IFERROR(IF(SUMIFS(tblDaily[Discharges],tblDaily[EntryDate],DATE(2026,9,17),tblDaily[WardCode],"NICU")=0,"",SUMIFS(tblDaily[Discharges],tblDaily[EntryDate],DATE(2026,9,17),tblDaily[WardCode],"NICU")),"")</f>
        <v/>
      </c>
      <c r="D335" s="5" t="str">
        <f>IFERROR(IF(SUMIFS(tblDaily[Deaths],tblDaily[EntryDate],DATE(2026,9,17),tblDaily[WardCode],"NICU")=0,"",SUMIFS(tblDaily[Deaths],tblDaily[EntryDate],DATE(2026,9,17),tblDaily[WardCode],"NICU")),"")</f>
        <v/>
      </c>
      <c r="E335" s="5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5" t="str">
        <f>IFERROR(IF(SUMIFS(tblDaily[TransfersIn],tblDaily[EntryDate],DATE(2026,9,17),tblDaily[WardCode],"NICU")=0,"",SUMIFS(tblDaily[TransfersIn],tblDaily[EntryDate],DATE(2026,9,17),tblDaily[WardCode],"NICU")),"")</f>
        <v/>
      </c>
      <c r="G335" s="5" t="str">
        <f>IFERROR(IF(SUMIFS(tblDaily[TransfersOut],tblDaily[EntryDate],DATE(2026,9,17),tblDaily[WardCode],"NICU")=0,"",SUMIFS(tblDaily[TransfersOut],tblDaily[EntryDate],DATE(2026,9,17),tblDaily[WardCode],"NICU")),"")</f>
        <v/>
      </c>
      <c r="H335" s="5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IFERROR(IF(SUMIFS(tblDaily[Admissions],tblDaily[EntryDate],DATE(2026,9,18),tblDaily[WardCode],"NICU")=0,"",SUMIFS(tblDaily[Admissions],tblDaily[EntryDate],DATE(2026,9,18),tblDaily[WardCode],"NICU")),"")</f>
        <v/>
      </c>
      <c r="C336" s="5" t="str">
        <f>IFERROR(IF(SUMIFS(tblDaily[Discharges],tblDaily[EntryDate],DATE(2026,9,18),tblDaily[WardCode],"NICU")=0,"",SUMIFS(tblDaily[Discharges],tblDaily[EntryDate],DATE(2026,9,18),tblDaily[WardCode],"NICU")),"")</f>
        <v/>
      </c>
      <c r="D336" s="5" t="str">
        <f>IFERROR(IF(SUMIFS(tblDaily[Deaths],tblDaily[EntryDate],DATE(2026,9,18),tblDaily[WardCode],"NICU")=0,"",SUMIFS(tblDaily[Deaths],tblDaily[EntryDate],DATE(2026,9,18),tblDaily[WardCode],"NICU")),"")</f>
        <v/>
      </c>
      <c r="E336" s="5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5" t="str">
        <f>IFERROR(IF(SUMIFS(tblDaily[TransfersIn],tblDaily[EntryDate],DATE(2026,9,18),tblDaily[WardCode],"NICU")=0,"",SUMIFS(tblDaily[TransfersIn],tblDaily[EntryDate],DATE(2026,9,18),tblDaily[WardCode],"NICU")),"")</f>
        <v/>
      </c>
      <c r="G336" s="5" t="str">
        <f>IFERROR(IF(SUMIFS(tblDaily[TransfersOut],tblDaily[EntryDate],DATE(2026,9,18),tblDaily[WardCode],"NICU")=0,"",SUMIFS(tblDaily[TransfersOut],tblDaily[EntryDate],DATE(2026,9,18),tblDaily[WardCode],"NICU")),"")</f>
        <v/>
      </c>
      <c r="H336" s="5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IFERROR(IF(SUMIFS(tblDaily[Admissions],tblDaily[EntryDate],DATE(2026,9,19),tblDaily[WardCode],"NICU")=0,"",SUMIFS(tblDaily[Admissions],tblDaily[EntryDate],DATE(2026,9,19),tblDaily[WardCode],"NICU")),"")</f>
        <v/>
      </c>
      <c r="C337" s="5" t="str">
        <f>IFERROR(IF(SUMIFS(tblDaily[Discharges],tblDaily[EntryDate],DATE(2026,9,19),tblDaily[WardCode],"NICU")=0,"",SUMIFS(tblDaily[Discharges],tblDaily[EntryDate],DATE(2026,9,19),tblDaily[WardCode],"NICU")),"")</f>
        <v/>
      </c>
      <c r="D337" s="5" t="str">
        <f>IFERROR(IF(SUMIFS(tblDaily[Deaths],tblDaily[EntryDate],DATE(2026,9,19),tblDaily[WardCode],"NICU")=0,"",SUMIFS(tblDaily[Deaths],tblDaily[EntryDate],DATE(2026,9,19),tblDaily[WardCode],"NICU")),"")</f>
        <v/>
      </c>
      <c r="E337" s="5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5" t="str">
        <f>IFERROR(IF(SUMIFS(tblDaily[TransfersIn],tblDaily[EntryDate],DATE(2026,9,19),tblDaily[WardCode],"NICU")=0,"",SUMIFS(tblDaily[TransfersIn],tblDaily[EntryDate],DATE(2026,9,19),tblDaily[WardCode],"NICU")),"")</f>
        <v/>
      </c>
      <c r="G337" s="5" t="str">
        <f>IFERROR(IF(SUMIFS(tblDaily[TransfersOut],tblDaily[EntryDate],DATE(2026,9,19),tblDaily[WardCode],"NICU")=0,"",SUMIFS(tblDaily[TransfersOut],tblDaily[EntryDate],DATE(2026,9,19),tblDaily[WardCode],"NICU")),"")</f>
        <v/>
      </c>
      <c r="H337" s="5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IFERROR(IF(SUMIFS(tblDaily[Admissions],tblDaily[EntryDate],DATE(2026,9,20),tblDaily[WardCode],"NICU")=0,"",SUMIFS(tblDaily[Admissions],tblDaily[EntryDate],DATE(2026,9,20),tblDaily[WardCode],"NICU")),"")</f>
        <v/>
      </c>
      <c r="C338" s="5" t="str">
        <f>IFERROR(IF(SUMIFS(tblDaily[Discharges],tblDaily[EntryDate],DATE(2026,9,20),tblDaily[WardCode],"NICU")=0,"",SUMIFS(tblDaily[Discharges],tblDaily[EntryDate],DATE(2026,9,20),tblDaily[WardCode],"NICU")),"")</f>
        <v/>
      </c>
      <c r="D338" s="5" t="str">
        <f>IFERROR(IF(SUMIFS(tblDaily[Deaths],tblDaily[EntryDate],DATE(2026,9,20),tblDaily[WardCode],"NICU")=0,"",SUMIFS(tblDaily[Deaths],tblDaily[EntryDate],DATE(2026,9,20),tblDaily[WardCode],"NICU")),"")</f>
        <v/>
      </c>
      <c r="E338" s="5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5" t="str">
        <f>IFERROR(IF(SUMIFS(tblDaily[TransfersIn],tblDaily[EntryDate],DATE(2026,9,20),tblDaily[WardCode],"NICU")=0,"",SUMIFS(tblDaily[TransfersIn],tblDaily[EntryDate],DATE(2026,9,20),tblDaily[WardCode],"NICU")),"")</f>
        <v/>
      </c>
      <c r="G338" s="5" t="str">
        <f>IFERROR(IF(SUMIFS(tblDaily[TransfersOut],tblDaily[EntryDate],DATE(2026,9,20),tblDaily[WardCode],"NICU")=0,"",SUMIFS(tblDaily[TransfersOut],tblDaily[EntryDate],DATE(2026,9,20),tblDaily[WardCode],"NICU")),"")</f>
        <v/>
      </c>
      <c r="H338" s="5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IFERROR(IF(SUMIFS(tblDaily[Admissions],tblDaily[EntryDate],DATE(2026,9,21),tblDaily[WardCode],"NICU")=0,"",SUMIFS(tblDaily[Admissions],tblDaily[EntryDate],DATE(2026,9,21),tblDaily[WardCode],"NICU")),"")</f>
        <v/>
      </c>
      <c r="C339" s="5" t="str">
        <f>IFERROR(IF(SUMIFS(tblDaily[Discharges],tblDaily[EntryDate],DATE(2026,9,21),tblDaily[WardCode],"NICU")=0,"",SUMIFS(tblDaily[Discharges],tblDaily[EntryDate],DATE(2026,9,21),tblDaily[WardCode],"NICU")),"")</f>
        <v/>
      </c>
      <c r="D339" s="5" t="str">
        <f>IFERROR(IF(SUMIFS(tblDaily[Deaths],tblDaily[EntryDate],DATE(2026,9,21),tblDaily[WardCode],"NICU")=0,"",SUMIFS(tblDaily[Deaths],tblDaily[EntryDate],DATE(2026,9,21),tblDaily[WardCode],"NICU")),"")</f>
        <v/>
      </c>
      <c r="E339" s="5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5" t="str">
        <f>IFERROR(IF(SUMIFS(tblDaily[TransfersIn],tblDaily[EntryDate],DATE(2026,9,21),tblDaily[WardCode],"NICU")=0,"",SUMIFS(tblDaily[TransfersIn],tblDaily[EntryDate],DATE(2026,9,21),tblDaily[WardCode],"NICU")),"")</f>
        <v/>
      </c>
      <c r="G339" s="5" t="str">
        <f>IFERROR(IF(SUMIFS(tblDaily[TransfersOut],tblDaily[EntryDate],DATE(2026,9,21),tblDaily[WardCode],"NICU")=0,"",SUMIFS(tblDaily[TransfersOut],tblDaily[EntryDate],DATE(2026,9,21),tblDaily[WardCode],"NICU")),"")</f>
        <v/>
      </c>
      <c r="H339" s="5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IFERROR(IF(SUMIFS(tblDaily[Admissions],tblDaily[EntryDate],DATE(2026,9,22),tblDaily[WardCode],"NICU")=0,"",SUMIFS(tblDaily[Admissions],tblDaily[EntryDate],DATE(2026,9,22),tblDaily[WardCode],"NICU")),"")</f>
        <v/>
      </c>
      <c r="C340" s="5" t="str">
        <f>IFERROR(IF(SUMIFS(tblDaily[Discharges],tblDaily[EntryDate],DATE(2026,9,22),tblDaily[WardCode],"NICU")=0,"",SUMIFS(tblDaily[Discharges],tblDaily[EntryDate],DATE(2026,9,22),tblDaily[WardCode],"NICU")),"")</f>
        <v/>
      </c>
      <c r="D340" s="5" t="str">
        <f>IFERROR(IF(SUMIFS(tblDaily[Deaths],tblDaily[EntryDate],DATE(2026,9,22),tblDaily[WardCode],"NICU")=0,"",SUMIFS(tblDaily[Deaths],tblDaily[EntryDate],DATE(2026,9,22),tblDaily[WardCode],"NICU")),"")</f>
        <v/>
      </c>
      <c r="E340" s="5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5" t="str">
        <f>IFERROR(IF(SUMIFS(tblDaily[TransfersIn],tblDaily[EntryDate],DATE(2026,9,22),tblDaily[WardCode],"NICU")=0,"",SUMIFS(tblDaily[TransfersIn],tblDaily[EntryDate],DATE(2026,9,22),tblDaily[WardCode],"NICU")),"")</f>
        <v/>
      </c>
      <c r="G340" s="5" t="str">
        <f>IFERROR(IF(SUMIFS(tblDaily[TransfersOut],tblDaily[EntryDate],DATE(2026,9,22),tblDaily[WardCode],"NICU")=0,"",SUMIFS(tblDaily[TransfersOut],tblDaily[EntryDate],DATE(2026,9,22),tblDaily[WardCode],"NICU")),"")</f>
        <v/>
      </c>
      <c r="H340" s="5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IFERROR(IF(SUMIFS(tblDaily[Admissions],tblDaily[EntryDate],DATE(2026,9,23),tblDaily[WardCode],"NICU")=0,"",SUMIFS(tblDaily[Admissions],tblDaily[EntryDate],DATE(2026,9,23),tblDaily[WardCode],"NICU")),"")</f>
        <v/>
      </c>
      <c r="C341" s="5" t="str">
        <f>IFERROR(IF(SUMIFS(tblDaily[Discharges],tblDaily[EntryDate],DATE(2026,9,23),tblDaily[WardCode],"NICU")=0,"",SUMIFS(tblDaily[Discharges],tblDaily[EntryDate],DATE(2026,9,23),tblDaily[WardCode],"NICU")),"")</f>
        <v/>
      </c>
      <c r="D341" s="5" t="str">
        <f>IFERROR(IF(SUMIFS(tblDaily[Deaths],tblDaily[EntryDate],DATE(2026,9,23),tblDaily[WardCode],"NICU")=0,"",SUMIFS(tblDaily[Deaths],tblDaily[EntryDate],DATE(2026,9,23),tblDaily[WardCode],"NICU")),"")</f>
        <v/>
      </c>
      <c r="E341" s="5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5" t="str">
        <f>IFERROR(IF(SUMIFS(tblDaily[TransfersIn],tblDaily[EntryDate],DATE(2026,9,23),tblDaily[WardCode],"NICU")=0,"",SUMIFS(tblDaily[TransfersIn],tblDaily[EntryDate],DATE(2026,9,23),tblDaily[WardCode],"NICU")),"")</f>
        <v/>
      </c>
      <c r="G341" s="5" t="str">
        <f>IFERROR(IF(SUMIFS(tblDaily[TransfersOut],tblDaily[EntryDate],DATE(2026,9,23),tblDaily[WardCode],"NICU")=0,"",SUMIFS(tblDaily[TransfersOut],tblDaily[EntryDate],DATE(2026,9,23),tblDaily[WardCode],"NICU")),"")</f>
        <v/>
      </c>
      <c r="H341" s="5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IFERROR(IF(SUMIFS(tblDaily[Admissions],tblDaily[EntryDate],DATE(2026,9,24),tblDaily[WardCode],"NICU")=0,"",SUMIFS(tblDaily[Admissions],tblDaily[EntryDate],DATE(2026,9,24),tblDaily[WardCode],"NICU")),"")</f>
        <v/>
      </c>
      <c r="C342" s="5" t="str">
        <f>IFERROR(IF(SUMIFS(tblDaily[Discharges],tblDaily[EntryDate],DATE(2026,9,24),tblDaily[WardCode],"NICU")=0,"",SUMIFS(tblDaily[Discharges],tblDaily[EntryDate],DATE(2026,9,24),tblDaily[WardCode],"NICU")),"")</f>
        <v/>
      </c>
      <c r="D342" s="5" t="str">
        <f>IFERROR(IF(SUMIFS(tblDaily[Deaths],tblDaily[EntryDate],DATE(2026,9,24),tblDaily[WardCode],"NICU")=0,"",SUMIFS(tblDaily[Deaths],tblDaily[EntryDate],DATE(2026,9,24),tblDaily[WardCode],"NICU")),"")</f>
        <v/>
      </c>
      <c r="E342" s="5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5" t="str">
        <f>IFERROR(IF(SUMIFS(tblDaily[TransfersIn],tblDaily[EntryDate],DATE(2026,9,24),tblDaily[WardCode],"NICU")=0,"",SUMIFS(tblDaily[TransfersIn],tblDaily[EntryDate],DATE(2026,9,24),tblDaily[WardCode],"NICU")),"")</f>
        <v/>
      </c>
      <c r="G342" s="5" t="str">
        <f>IFERROR(IF(SUMIFS(tblDaily[TransfersOut],tblDaily[EntryDate],DATE(2026,9,24),tblDaily[WardCode],"NICU")=0,"",SUMIFS(tblDaily[TransfersOut],tblDaily[EntryDate],DATE(2026,9,24),tblDaily[WardCode],"NICU")),"")</f>
        <v/>
      </c>
      <c r="H342" s="5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IFERROR(IF(SUMIFS(tblDaily[Admissions],tblDaily[EntryDate],DATE(2026,9,25),tblDaily[WardCode],"NICU")=0,"",SUMIFS(tblDaily[Admissions],tblDaily[EntryDate],DATE(2026,9,25),tblDaily[WardCode],"NICU")),"")</f>
        <v/>
      </c>
      <c r="C343" s="5" t="str">
        <f>IFERROR(IF(SUMIFS(tblDaily[Discharges],tblDaily[EntryDate],DATE(2026,9,25),tblDaily[WardCode],"NICU")=0,"",SUMIFS(tblDaily[Discharges],tblDaily[EntryDate],DATE(2026,9,25),tblDaily[WardCode],"NICU")),"")</f>
        <v/>
      </c>
      <c r="D343" s="5" t="str">
        <f>IFERROR(IF(SUMIFS(tblDaily[Deaths],tblDaily[EntryDate],DATE(2026,9,25),tblDaily[WardCode],"NICU")=0,"",SUMIFS(tblDaily[Deaths],tblDaily[EntryDate],DATE(2026,9,25),tblDaily[WardCode],"NICU")),"")</f>
        <v/>
      </c>
      <c r="E343" s="5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5" t="str">
        <f>IFERROR(IF(SUMIFS(tblDaily[TransfersIn],tblDaily[EntryDate],DATE(2026,9,25),tblDaily[WardCode],"NICU")=0,"",SUMIFS(tblDaily[TransfersIn],tblDaily[EntryDate],DATE(2026,9,25),tblDaily[WardCode],"NICU")),"")</f>
        <v/>
      </c>
      <c r="G343" s="5" t="str">
        <f>IFERROR(IF(SUMIFS(tblDaily[TransfersOut],tblDaily[EntryDate],DATE(2026,9,25),tblDaily[WardCode],"NICU")=0,"",SUMIFS(tblDaily[TransfersOut],tblDaily[EntryDate],DATE(2026,9,25),tblDaily[WardCode],"NICU")),"")</f>
        <v/>
      </c>
      <c r="H343" s="5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IFERROR(IF(SUMIFS(tblDaily[Admissions],tblDaily[EntryDate],DATE(2026,9,26),tblDaily[WardCode],"NICU")=0,"",SUMIFS(tblDaily[Admissions],tblDaily[EntryDate],DATE(2026,9,26),tblDaily[WardCode],"NICU")),"")</f>
        <v/>
      </c>
      <c r="C344" s="5" t="str">
        <f>IFERROR(IF(SUMIFS(tblDaily[Discharges],tblDaily[EntryDate],DATE(2026,9,26),tblDaily[WardCode],"NICU")=0,"",SUMIFS(tblDaily[Discharges],tblDaily[EntryDate],DATE(2026,9,26),tblDaily[WardCode],"NICU")),"")</f>
        <v/>
      </c>
      <c r="D344" s="5" t="str">
        <f>IFERROR(IF(SUMIFS(tblDaily[Deaths],tblDaily[EntryDate],DATE(2026,9,26),tblDaily[WardCode],"NICU")=0,"",SUMIFS(tblDaily[Deaths],tblDaily[EntryDate],DATE(2026,9,26),tblDaily[WardCode],"NICU")),"")</f>
        <v/>
      </c>
      <c r="E344" s="5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5" t="str">
        <f>IFERROR(IF(SUMIFS(tblDaily[TransfersIn],tblDaily[EntryDate],DATE(2026,9,26),tblDaily[WardCode],"NICU")=0,"",SUMIFS(tblDaily[TransfersIn],tblDaily[EntryDate],DATE(2026,9,26),tblDaily[WardCode],"NICU")),"")</f>
        <v/>
      </c>
      <c r="G344" s="5" t="str">
        <f>IFERROR(IF(SUMIFS(tblDaily[TransfersOut],tblDaily[EntryDate],DATE(2026,9,26),tblDaily[WardCode],"NICU")=0,"",SUMIFS(tblDaily[TransfersOut],tblDaily[EntryDate],DATE(2026,9,26),tblDaily[WardCode],"NICU")),"")</f>
        <v/>
      </c>
      <c r="H344" s="5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IFERROR(IF(SUMIFS(tblDaily[Admissions],tblDaily[EntryDate],DATE(2026,9,27),tblDaily[WardCode],"NICU")=0,"",SUMIFS(tblDaily[Admissions],tblDaily[EntryDate],DATE(2026,9,27),tblDaily[WardCode],"NICU")),"")</f>
        <v/>
      </c>
      <c r="C345" s="5" t="str">
        <f>IFERROR(IF(SUMIFS(tblDaily[Discharges],tblDaily[EntryDate],DATE(2026,9,27),tblDaily[WardCode],"NICU")=0,"",SUMIFS(tblDaily[Discharges],tblDaily[EntryDate],DATE(2026,9,27),tblDaily[WardCode],"NICU")),"")</f>
        <v/>
      </c>
      <c r="D345" s="5" t="str">
        <f>IFERROR(IF(SUMIFS(tblDaily[Deaths],tblDaily[EntryDate],DATE(2026,9,27),tblDaily[WardCode],"NICU")=0,"",SUMIFS(tblDaily[Deaths],tblDaily[EntryDate],DATE(2026,9,27),tblDaily[WardCode],"NICU")),"")</f>
        <v/>
      </c>
      <c r="E345" s="5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5" t="str">
        <f>IFERROR(IF(SUMIFS(tblDaily[TransfersIn],tblDaily[EntryDate],DATE(2026,9,27),tblDaily[WardCode],"NICU")=0,"",SUMIFS(tblDaily[TransfersIn],tblDaily[EntryDate],DATE(2026,9,27),tblDaily[WardCode],"NICU")),"")</f>
        <v/>
      </c>
      <c r="G345" s="5" t="str">
        <f>IFERROR(IF(SUMIFS(tblDaily[TransfersOut],tblDaily[EntryDate],DATE(2026,9,27),tblDaily[WardCode],"NICU")=0,"",SUMIFS(tblDaily[TransfersOut],tblDaily[EntryDate],DATE(2026,9,27),tblDaily[WardCode],"NICU")),"")</f>
        <v/>
      </c>
      <c r="H345" s="5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IFERROR(IF(SUMIFS(tblDaily[Admissions],tblDaily[EntryDate],DATE(2026,9,28),tblDaily[WardCode],"NICU")=0,"",SUMIFS(tblDaily[Admissions],tblDaily[EntryDate],DATE(2026,9,28),tblDaily[WardCode],"NICU")),"")</f>
        <v/>
      </c>
      <c r="C346" s="5" t="str">
        <f>IFERROR(IF(SUMIFS(tblDaily[Discharges],tblDaily[EntryDate],DATE(2026,9,28),tblDaily[WardCode],"NICU")=0,"",SUMIFS(tblDaily[Discharges],tblDaily[EntryDate],DATE(2026,9,28),tblDaily[WardCode],"NICU")),"")</f>
        <v/>
      </c>
      <c r="D346" s="5" t="str">
        <f>IFERROR(IF(SUMIFS(tblDaily[Deaths],tblDaily[EntryDate],DATE(2026,9,28),tblDaily[WardCode],"NICU")=0,"",SUMIFS(tblDaily[Deaths],tblDaily[EntryDate],DATE(2026,9,28),tblDaily[WardCode],"NICU")),"")</f>
        <v/>
      </c>
      <c r="E346" s="5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5" t="str">
        <f>IFERROR(IF(SUMIFS(tblDaily[TransfersIn],tblDaily[EntryDate],DATE(2026,9,28),tblDaily[WardCode],"NICU")=0,"",SUMIFS(tblDaily[TransfersIn],tblDaily[EntryDate],DATE(2026,9,28),tblDaily[WardCode],"NICU")),"")</f>
        <v/>
      </c>
      <c r="G346" s="5" t="str">
        <f>IFERROR(IF(SUMIFS(tblDaily[TransfersOut],tblDaily[EntryDate],DATE(2026,9,28),tblDaily[WardCode],"NICU")=0,"",SUMIFS(tblDaily[TransfersOut],tblDaily[EntryDate],DATE(2026,9,28),tblDaily[WardCode],"NICU")),"")</f>
        <v/>
      </c>
      <c r="H346" s="5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IFERROR(IF(SUMIFS(tblDaily[Admissions],tblDaily[EntryDate],DATE(2026,9,29),tblDaily[WardCode],"NICU")=0,"",SUMIFS(tblDaily[Admissions],tblDaily[EntryDate],DATE(2026,9,29),tblDaily[WardCode],"NICU")),"")</f>
        <v/>
      </c>
      <c r="C347" s="5" t="str">
        <f>IFERROR(IF(SUMIFS(tblDaily[Discharges],tblDaily[EntryDate],DATE(2026,9,29),tblDaily[WardCode],"NICU")=0,"",SUMIFS(tblDaily[Discharges],tblDaily[EntryDate],DATE(2026,9,29),tblDaily[WardCode],"NICU")),"")</f>
        <v/>
      </c>
      <c r="D347" s="5" t="str">
        <f>IFERROR(IF(SUMIFS(tblDaily[Deaths],tblDaily[EntryDate],DATE(2026,9,29),tblDaily[WardCode],"NICU")=0,"",SUMIFS(tblDaily[Deaths],tblDaily[EntryDate],DATE(2026,9,29),tblDaily[WardCode],"NICU")),"")</f>
        <v/>
      </c>
      <c r="E347" s="5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5" t="str">
        <f>IFERROR(IF(SUMIFS(tblDaily[TransfersIn],tblDaily[EntryDate],DATE(2026,9,29),tblDaily[WardCode],"NICU")=0,"",SUMIFS(tblDaily[TransfersIn],tblDaily[EntryDate],DATE(2026,9,29),tblDaily[WardCode],"NICU")),"")</f>
        <v/>
      </c>
      <c r="G347" s="5" t="str">
        <f>IFERROR(IF(SUMIFS(tblDaily[TransfersOut],tblDaily[EntryDate],DATE(2026,9,29),tblDaily[WardCode],"NICU")=0,"",SUMIFS(tblDaily[TransfersOut],tblDaily[EntryDate],DATE(2026,9,29),tblDaily[WardCode],"NICU")),"")</f>
        <v/>
      </c>
      <c r="H347" s="5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IFERROR(IF(SUMIFS(tblDaily[Admissions],tblDaily[EntryDate],DATE(2026,9,30),tblDaily[WardCode],"NICU")=0,"",SUMIFS(tblDaily[Admissions],tblDaily[EntryDate],DATE(2026,9,30),tblDaily[WardCode],"NICU")),"")</f>
        <v/>
      </c>
      <c r="C348" s="5" t="str">
        <f>IFERROR(IF(SUMIFS(tblDaily[Discharges],tblDaily[EntryDate],DATE(2026,9,30),tblDaily[WardCode],"NICU")=0,"",SUMIFS(tblDaily[Discharges],tblDaily[EntryDate],DATE(2026,9,30),tblDaily[WardCode],"NICU")),"")</f>
        <v/>
      </c>
      <c r="D348" s="5" t="str">
        <f>IFERROR(IF(SUMIFS(tblDaily[Deaths],tblDaily[EntryDate],DATE(2026,9,30),tblDaily[WardCode],"NICU")=0,"",SUMIFS(tblDaily[Deaths],tblDaily[EntryDate],DATE(2026,9,30),tblDaily[WardCode],"NICU")),"")</f>
        <v/>
      </c>
      <c r="E348" s="5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5" t="str">
        <f>IFERROR(IF(SUMIFS(tblDaily[TransfersIn],tblDaily[EntryDate],DATE(2026,9,30),tblDaily[WardCode],"NICU")=0,"",SUMIFS(tblDaily[TransfersIn],tblDaily[EntryDate],DATE(2026,9,30),tblDaily[WardCode],"NICU")),"")</f>
        <v/>
      </c>
      <c r="G348" s="5" t="str">
        <f>IFERROR(IF(SUMIFS(tblDaily[TransfersOut],tblDaily[EntryDate],DATE(2026,9,30),tblDaily[WardCode],"NICU")=0,"",SUMIFS(tblDaily[TransfersOut],tblDaily[EntryDate],DATE(2026,9,30),tblDaily[WardCode],"NICU")),"")</f>
        <v/>
      </c>
      <c r="H348" s="5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101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89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IFERROR(IF(SUMIFS(tblDaily[Admissions],tblDaily[EntryDate],DATE(2026,10,1),tblDaily[WardCode],"NICU")=0,"",SUMIFS(tblDaily[Admissions],tblDaily[EntryDate],DATE(2026,10,1),tblDaily[WardCode],"NICU")),"")</f>
        <v/>
      </c>
      <c r="C358" s="5" t="str">
        <f>IFERROR(IF(SUMIFS(tblDaily[Discharges],tblDaily[EntryDate],DATE(2026,10,1),tblDaily[WardCode],"NICU")=0,"",SUMIFS(tblDaily[Discharges],tblDaily[EntryDate],DATE(2026,10,1),tblDaily[WardCode],"NICU")),"")</f>
        <v/>
      </c>
      <c r="D358" s="5" t="str">
        <f>IFERROR(IF(SUMIFS(tblDaily[Deaths],tblDaily[EntryDate],DATE(2026,10,1),tblDaily[WardCode],"NICU")=0,"",SUMIFS(tblDaily[Deaths],tblDaily[EntryDate],DATE(2026,10,1),tblDaily[WardCode],"NICU")),"")</f>
        <v/>
      </c>
      <c r="E358" s="5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5" t="str">
        <f>IFERROR(IF(SUMIFS(tblDaily[TransfersIn],tblDaily[EntryDate],DATE(2026,10,1),tblDaily[WardCode],"NICU")=0,"",SUMIFS(tblDaily[TransfersIn],tblDaily[EntryDate],DATE(2026,10,1),tblDaily[WardCode],"NICU")),"")</f>
        <v/>
      </c>
      <c r="G358" s="5" t="str">
        <f>IFERROR(IF(SUMIFS(tblDaily[TransfersOut],tblDaily[EntryDate],DATE(2026,10,1),tblDaily[WardCode],"NICU")=0,"",SUMIFS(tblDaily[TransfersOut],tblDaily[EntryDate],DATE(2026,10,1),tblDaily[WardCode],"NICU")),"")</f>
        <v/>
      </c>
      <c r="H358" s="5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IFERROR(IF(SUMIFS(tblDaily[Admissions],tblDaily[EntryDate],DATE(2026,10,2),tblDaily[WardCode],"NICU")=0,"",SUMIFS(tblDaily[Admissions],tblDaily[EntryDate],DATE(2026,10,2),tblDaily[WardCode],"NICU")),"")</f>
        <v/>
      </c>
      <c r="C359" s="5" t="str">
        <f>IFERROR(IF(SUMIFS(tblDaily[Discharges],tblDaily[EntryDate],DATE(2026,10,2),tblDaily[WardCode],"NICU")=0,"",SUMIFS(tblDaily[Discharges],tblDaily[EntryDate],DATE(2026,10,2),tblDaily[WardCode],"NICU")),"")</f>
        <v/>
      </c>
      <c r="D359" s="5" t="str">
        <f>IFERROR(IF(SUMIFS(tblDaily[Deaths],tblDaily[EntryDate],DATE(2026,10,2),tblDaily[WardCode],"NICU")=0,"",SUMIFS(tblDaily[Deaths],tblDaily[EntryDate],DATE(2026,10,2),tblDaily[WardCode],"NICU")),"")</f>
        <v/>
      </c>
      <c r="E359" s="5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5" t="str">
        <f>IFERROR(IF(SUMIFS(tblDaily[TransfersIn],tblDaily[EntryDate],DATE(2026,10,2),tblDaily[WardCode],"NICU")=0,"",SUMIFS(tblDaily[TransfersIn],tblDaily[EntryDate],DATE(2026,10,2),tblDaily[WardCode],"NICU")),"")</f>
        <v/>
      </c>
      <c r="G359" s="5" t="str">
        <f>IFERROR(IF(SUMIFS(tblDaily[TransfersOut],tblDaily[EntryDate],DATE(2026,10,2),tblDaily[WardCode],"NICU")=0,"",SUMIFS(tblDaily[TransfersOut],tblDaily[EntryDate],DATE(2026,10,2),tblDaily[WardCode],"NICU")),"")</f>
        <v/>
      </c>
      <c r="H359" s="5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IFERROR(IF(SUMIFS(tblDaily[Admissions],tblDaily[EntryDate],DATE(2026,10,3),tblDaily[WardCode],"NICU")=0,"",SUMIFS(tblDaily[Admissions],tblDaily[EntryDate],DATE(2026,10,3),tblDaily[WardCode],"NICU")),"")</f>
        <v/>
      </c>
      <c r="C360" s="5" t="str">
        <f>IFERROR(IF(SUMIFS(tblDaily[Discharges],tblDaily[EntryDate],DATE(2026,10,3),tblDaily[WardCode],"NICU")=0,"",SUMIFS(tblDaily[Discharges],tblDaily[EntryDate],DATE(2026,10,3),tblDaily[WardCode],"NICU")),"")</f>
        <v/>
      </c>
      <c r="D360" s="5" t="str">
        <f>IFERROR(IF(SUMIFS(tblDaily[Deaths],tblDaily[EntryDate],DATE(2026,10,3),tblDaily[WardCode],"NICU")=0,"",SUMIFS(tblDaily[Deaths],tblDaily[EntryDate],DATE(2026,10,3),tblDaily[WardCode],"NICU")),"")</f>
        <v/>
      </c>
      <c r="E360" s="5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5" t="str">
        <f>IFERROR(IF(SUMIFS(tblDaily[TransfersIn],tblDaily[EntryDate],DATE(2026,10,3),tblDaily[WardCode],"NICU")=0,"",SUMIFS(tblDaily[TransfersIn],tblDaily[EntryDate],DATE(2026,10,3),tblDaily[WardCode],"NICU")),"")</f>
        <v/>
      </c>
      <c r="G360" s="5" t="str">
        <f>IFERROR(IF(SUMIFS(tblDaily[TransfersOut],tblDaily[EntryDate],DATE(2026,10,3),tblDaily[WardCode],"NICU")=0,"",SUMIFS(tblDaily[TransfersOut],tblDaily[EntryDate],DATE(2026,10,3),tblDaily[WardCode],"NICU")),"")</f>
        <v/>
      </c>
      <c r="H360" s="5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IFERROR(IF(SUMIFS(tblDaily[Admissions],tblDaily[EntryDate],DATE(2026,10,4),tblDaily[WardCode],"NICU")=0,"",SUMIFS(tblDaily[Admissions],tblDaily[EntryDate],DATE(2026,10,4),tblDaily[WardCode],"NICU")),"")</f>
        <v/>
      </c>
      <c r="C361" s="5" t="str">
        <f>IFERROR(IF(SUMIFS(tblDaily[Discharges],tblDaily[EntryDate],DATE(2026,10,4),tblDaily[WardCode],"NICU")=0,"",SUMIFS(tblDaily[Discharges],tblDaily[EntryDate],DATE(2026,10,4),tblDaily[WardCode],"NICU")),"")</f>
        <v/>
      </c>
      <c r="D361" s="5" t="str">
        <f>IFERROR(IF(SUMIFS(tblDaily[Deaths],tblDaily[EntryDate],DATE(2026,10,4),tblDaily[WardCode],"NICU")=0,"",SUMIFS(tblDaily[Deaths],tblDaily[EntryDate],DATE(2026,10,4),tblDaily[WardCode],"NICU")),"")</f>
        <v/>
      </c>
      <c r="E361" s="5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5" t="str">
        <f>IFERROR(IF(SUMIFS(tblDaily[TransfersIn],tblDaily[EntryDate],DATE(2026,10,4),tblDaily[WardCode],"NICU")=0,"",SUMIFS(tblDaily[TransfersIn],tblDaily[EntryDate],DATE(2026,10,4),tblDaily[WardCode],"NICU")),"")</f>
        <v/>
      </c>
      <c r="G361" s="5" t="str">
        <f>IFERROR(IF(SUMIFS(tblDaily[TransfersOut],tblDaily[EntryDate],DATE(2026,10,4),tblDaily[WardCode],"NICU")=0,"",SUMIFS(tblDaily[TransfersOut],tblDaily[EntryDate],DATE(2026,10,4),tblDaily[WardCode],"NICU")),"")</f>
        <v/>
      </c>
      <c r="H361" s="5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IFERROR(IF(SUMIFS(tblDaily[Admissions],tblDaily[EntryDate],DATE(2026,10,5),tblDaily[WardCode],"NICU")=0,"",SUMIFS(tblDaily[Admissions],tblDaily[EntryDate],DATE(2026,10,5),tblDaily[WardCode],"NICU")),"")</f>
        <v/>
      </c>
      <c r="C362" s="5" t="str">
        <f>IFERROR(IF(SUMIFS(tblDaily[Discharges],tblDaily[EntryDate],DATE(2026,10,5),tblDaily[WardCode],"NICU")=0,"",SUMIFS(tblDaily[Discharges],tblDaily[EntryDate],DATE(2026,10,5),tblDaily[WardCode],"NICU")),"")</f>
        <v/>
      </c>
      <c r="D362" s="5" t="str">
        <f>IFERROR(IF(SUMIFS(tblDaily[Deaths],tblDaily[EntryDate],DATE(2026,10,5),tblDaily[WardCode],"NICU")=0,"",SUMIFS(tblDaily[Deaths],tblDaily[EntryDate],DATE(2026,10,5),tblDaily[WardCode],"NICU")),"")</f>
        <v/>
      </c>
      <c r="E362" s="5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5" t="str">
        <f>IFERROR(IF(SUMIFS(tblDaily[TransfersIn],tblDaily[EntryDate],DATE(2026,10,5),tblDaily[WardCode],"NICU")=0,"",SUMIFS(tblDaily[TransfersIn],tblDaily[EntryDate],DATE(2026,10,5),tblDaily[WardCode],"NICU")),"")</f>
        <v/>
      </c>
      <c r="G362" s="5" t="str">
        <f>IFERROR(IF(SUMIFS(tblDaily[TransfersOut],tblDaily[EntryDate],DATE(2026,10,5),tblDaily[WardCode],"NICU")=0,"",SUMIFS(tblDaily[TransfersOut],tblDaily[EntryDate],DATE(2026,10,5),tblDaily[WardCode],"NICU")),"")</f>
        <v/>
      </c>
      <c r="H362" s="5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IFERROR(IF(SUMIFS(tblDaily[Admissions],tblDaily[EntryDate],DATE(2026,10,6),tblDaily[WardCode],"NICU")=0,"",SUMIFS(tblDaily[Admissions],tblDaily[EntryDate],DATE(2026,10,6),tblDaily[WardCode],"NICU")),"")</f>
        <v/>
      </c>
      <c r="C363" s="5" t="str">
        <f>IFERROR(IF(SUMIFS(tblDaily[Discharges],tblDaily[EntryDate],DATE(2026,10,6),tblDaily[WardCode],"NICU")=0,"",SUMIFS(tblDaily[Discharges],tblDaily[EntryDate],DATE(2026,10,6),tblDaily[WardCode],"NICU")),"")</f>
        <v/>
      </c>
      <c r="D363" s="5" t="str">
        <f>IFERROR(IF(SUMIFS(tblDaily[Deaths],tblDaily[EntryDate],DATE(2026,10,6),tblDaily[WardCode],"NICU")=0,"",SUMIFS(tblDaily[Deaths],tblDaily[EntryDate],DATE(2026,10,6),tblDaily[WardCode],"NICU")),"")</f>
        <v/>
      </c>
      <c r="E363" s="5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5" t="str">
        <f>IFERROR(IF(SUMIFS(tblDaily[TransfersIn],tblDaily[EntryDate],DATE(2026,10,6),tblDaily[WardCode],"NICU")=0,"",SUMIFS(tblDaily[TransfersIn],tblDaily[EntryDate],DATE(2026,10,6),tblDaily[WardCode],"NICU")),"")</f>
        <v/>
      </c>
      <c r="G363" s="5" t="str">
        <f>IFERROR(IF(SUMIFS(tblDaily[TransfersOut],tblDaily[EntryDate],DATE(2026,10,6),tblDaily[WardCode],"NICU")=0,"",SUMIFS(tblDaily[TransfersOut],tblDaily[EntryDate],DATE(2026,10,6),tblDaily[WardCode],"NICU")),"")</f>
        <v/>
      </c>
      <c r="H363" s="5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IFERROR(IF(SUMIFS(tblDaily[Admissions],tblDaily[EntryDate],DATE(2026,10,7),tblDaily[WardCode],"NICU")=0,"",SUMIFS(tblDaily[Admissions],tblDaily[EntryDate],DATE(2026,10,7),tblDaily[WardCode],"NICU")),"")</f>
        <v/>
      </c>
      <c r="C364" s="5" t="str">
        <f>IFERROR(IF(SUMIFS(tblDaily[Discharges],tblDaily[EntryDate],DATE(2026,10,7),tblDaily[WardCode],"NICU")=0,"",SUMIFS(tblDaily[Discharges],tblDaily[EntryDate],DATE(2026,10,7),tblDaily[WardCode],"NICU")),"")</f>
        <v/>
      </c>
      <c r="D364" s="5" t="str">
        <f>IFERROR(IF(SUMIFS(tblDaily[Deaths],tblDaily[EntryDate],DATE(2026,10,7),tblDaily[WardCode],"NICU")=0,"",SUMIFS(tblDaily[Deaths],tblDaily[EntryDate],DATE(2026,10,7),tblDaily[WardCode],"NICU")),"")</f>
        <v/>
      </c>
      <c r="E364" s="5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5" t="str">
        <f>IFERROR(IF(SUMIFS(tblDaily[TransfersIn],tblDaily[EntryDate],DATE(2026,10,7),tblDaily[WardCode],"NICU")=0,"",SUMIFS(tblDaily[TransfersIn],tblDaily[EntryDate],DATE(2026,10,7),tblDaily[WardCode],"NICU")),"")</f>
        <v/>
      </c>
      <c r="G364" s="5" t="str">
        <f>IFERROR(IF(SUMIFS(tblDaily[TransfersOut],tblDaily[EntryDate],DATE(2026,10,7),tblDaily[WardCode],"NICU")=0,"",SUMIFS(tblDaily[TransfersOut],tblDaily[EntryDate],DATE(2026,10,7),tblDaily[WardCode],"NICU")),"")</f>
        <v/>
      </c>
      <c r="H364" s="5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IFERROR(IF(SUMIFS(tblDaily[Admissions],tblDaily[EntryDate],DATE(2026,10,8),tblDaily[WardCode],"NICU")=0,"",SUMIFS(tblDaily[Admissions],tblDaily[EntryDate],DATE(2026,10,8),tblDaily[WardCode],"NICU")),"")</f>
        <v/>
      </c>
      <c r="C365" s="5" t="str">
        <f>IFERROR(IF(SUMIFS(tblDaily[Discharges],tblDaily[EntryDate],DATE(2026,10,8),tblDaily[WardCode],"NICU")=0,"",SUMIFS(tblDaily[Discharges],tblDaily[EntryDate],DATE(2026,10,8),tblDaily[WardCode],"NICU")),"")</f>
        <v/>
      </c>
      <c r="D365" s="5" t="str">
        <f>IFERROR(IF(SUMIFS(tblDaily[Deaths],tblDaily[EntryDate],DATE(2026,10,8),tblDaily[WardCode],"NICU")=0,"",SUMIFS(tblDaily[Deaths],tblDaily[EntryDate],DATE(2026,10,8),tblDaily[WardCode],"NICU")),"")</f>
        <v/>
      </c>
      <c r="E365" s="5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5" t="str">
        <f>IFERROR(IF(SUMIFS(tblDaily[TransfersIn],tblDaily[EntryDate],DATE(2026,10,8),tblDaily[WardCode],"NICU")=0,"",SUMIFS(tblDaily[TransfersIn],tblDaily[EntryDate],DATE(2026,10,8),tblDaily[WardCode],"NICU")),"")</f>
        <v/>
      </c>
      <c r="G365" s="5" t="str">
        <f>IFERROR(IF(SUMIFS(tblDaily[TransfersOut],tblDaily[EntryDate],DATE(2026,10,8),tblDaily[WardCode],"NICU")=0,"",SUMIFS(tblDaily[TransfersOut],tblDaily[EntryDate],DATE(2026,10,8),tblDaily[WardCode],"NICU")),"")</f>
        <v/>
      </c>
      <c r="H365" s="5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IFERROR(IF(SUMIFS(tblDaily[Admissions],tblDaily[EntryDate],DATE(2026,10,9),tblDaily[WardCode],"NICU")=0,"",SUMIFS(tblDaily[Admissions],tblDaily[EntryDate],DATE(2026,10,9),tblDaily[WardCode],"NICU")),"")</f>
        <v/>
      </c>
      <c r="C366" s="5" t="str">
        <f>IFERROR(IF(SUMIFS(tblDaily[Discharges],tblDaily[EntryDate],DATE(2026,10,9),tblDaily[WardCode],"NICU")=0,"",SUMIFS(tblDaily[Discharges],tblDaily[EntryDate],DATE(2026,10,9),tblDaily[WardCode],"NICU")),"")</f>
        <v/>
      </c>
      <c r="D366" s="5" t="str">
        <f>IFERROR(IF(SUMIFS(tblDaily[Deaths],tblDaily[EntryDate],DATE(2026,10,9),tblDaily[WardCode],"NICU")=0,"",SUMIFS(tblDaily[Deaths],tblDaily[EntryDate],DATE(2026,10,9),tblDaily[WardCode],"NICU")),"")</f>
        <v/>
      </c>
      <c r="E366" s="5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5" t="str">
        <f>IFERROR(IF(SUMIFS(tblDaily[TransfersIn],tblDaily[EntryDate],DATE(2026,10,9),tblDaily[WardCode],"NICU")=0,"",SUMIFS(tblDaily[TransfersIn],tblDaily[EntryDate],DATE(2026,10,9),tblDaily[WardCode],"NICU")),"")</f>
        <v/>
      </c>
      <c r="G366" s="5" t="str">
        <f>IFERROR(IF(SUMIFS(tblDaily[TransfersOut],tblDaily[EntryDate],DATE(2026,10,9),tblDaily[WardCode],"NICU")=0,"",SUMIFS(tblDaily[TransfersOut],tblDaily[EntryDate],DATE(2026,10,9),tblDaily[WardCode],"NICU")),"")</f>
        <v/>
      </c>
      <c r="H366" s="5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IFERROR(IF(SUMIFS(tblDaily[Admissions],tblDaily[EntryDate],DATE(2026,10,10),tblDaily[WardCode],"NICU")=0,"",SUMIFS(tblDaily[Admissions],tblDaily[EntryDate],DATE(2026,10,10),tblDaily[WardCode],"NICU")),"")</f>
        <v/>
      </c>
      <c r="C367" s="5" t="str">
        <f>IFERROR(IF(SUMIFS(tblDaily[Discharges],tblDaily[EntryDate],DATE(2026,10,10),tblDaily[WardCode],"NICU")=0,"",SUMIFS(tblDaily[Discharges],tblDaily[EntryDate],DATE(2026,10,10),tblDaily[WardCode],"NICU")),"")</f>
        <v/>
      </c>
      <c r="D367" s="5" t="str">
        <f>IFERROR(IF(SUMIFS(tblDaily[Deaths],tblDaily[EntryDate],DATE(2026,10,10),tblDaily[WardCode],"NICU")=0,"",SUMIFS(tblDaily[Deaths],tblDaily[EntryDate],DATE(2026,10,10),tblDaily[WardCode],"NICU")),"")</f>
        <v/>
      </c>
      <c r="E367" s="5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5" t="str">
        <f>IFERROR(IF(SUMIFS(tblDaily[TransfersIn],tblDaily[EntryDate],DATE(2026,10,10),tblDaily[WardCode],"NICU")=0,"",SUMIFS(tblDaily[TransfersIn],tblDaily[EntryDate],DATE(2026,10,10),tblDaily[WardCode],"NICU")),"")</f>
        <v/>
      </c>
      <c r="G367" s="5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5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IFERROR(IF(SUMIFS(tblDaily[Admissions],tblDaily[EntryDate],DATE(2026,10,11),tblDaily[WardCode],"NICU")=0,"",SUMIFS(tblDaily[Admissions],tblDaily[EntryDate],DATE(2026,10,11),tblDaily[WardCode],"NICU")),"")</f>
        <v/>
      </c>
      <c r="C368" s="5" t="str">
        <f>IFERROR(IF(SUMIFS(tblDaily[Discharges],tblDaily[EntryDate],DATE(2026,10,11),tblDaily[WardCode],"NICU")=0,"",SUMIFS(tblDaily[Discharges],tblDaily[EntryDate],DATE(2026,10,11),tblDaily[WardCode],"NICU")),"")</f>
        <v/>
      </c>
      <c r="D368" s="5" t="str">
        <f>IFERROR(IF(SUMIFS(tblDaily[Deaths],tblDaily[EntryDate],DATE(2026,10,11),tblDaily[WardCode],"NICU")=0,"",SUMIFS(tblDaily[Deaths],tblDaily[EntryDate],DATE(2026,10,11),tblDaily[WardCode],"NICU")),"")</f>
        <v/>
      </c>
      <c r="E368" s="5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5" t="str">
        <f>IFERROR(IF(SUMIFS(tblDaily[TransfersIn],tblDaily[EntryDate],DATE(2026,10,11),tblDaily[WardCode],"NICU")=0,"",SUMIFS(tblDaily[TransfersIn],tblDaily[EntryDate],DATE(2026,10,11),tblDaily[WardCode],"NICU")),"")</f>
        <v/>
      </c>
      <c r="G368" s="5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5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IFERROR(IF(SUMIFS(tblDaily[Admissions],tblDaily[EntryDate],DATE(2026,10,12),tblDaily[WardCode],"NICU")=0,"",SUMIFS(tblDaily[Admissions],tblDaily[EntryDate],DATE(2026,10,12),tblDaily[WardCode],"NICU")),"")</f>
        <v/>
      </c>
      <c r="C369" s="5" t="str">
        <f>IFERROR(IF(SUMIFS(tblDaily[Discharges],tblDaily[EntryDate],DATE(2026,10,12),tblDaily[WardCode],"NICU")=0,"",SUMIFS(tblDaily[Discharges],tblDaily[EntryDate],DATE(2026,10,12),tblDaily[WardCode],"NICU")),"")</f>
        <v/>
      </c>
      <c r="D369" s="5" t="str">
        <f>IFERROR(IF(SUMIFS(tblDaily[Deaths],tblDaily[EntryDate],DATE(2026,10,12),tblDaily[WardCode],"NICU")=0,"",SUMIFS(tblDaily[Deaths],tblDaily[EntryDate],DATE(2026,10,12),tblDaily[WardCode],"NICU")),"")</f>
        <v/>
      </c>
      <c r="E369" s="5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5" t="str">
        <f>IFERROR(IF(SUMIFS(tblDaily[TransfersIn],tblDaily[EntryDate],DATE(2026,10,12),tblDaily[WardCode],"NICU")=0,"",SUMIFS(tblDaily[TransfersIn],tblDaily[EntryDate],DATE(2026,10,12),tblDaily[WardCode],"NICU")),"")</f>
        <v/>
      </c>
      <c r="G369" s="5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5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IFERROR(IF(SUMIFS(tblDaily[Admissions],tblDaily[EntryDate],DATE(2026,10,13),tblDaily[WardCode],"NICU")=0,"",SUMIFS(tblDaily[Admissions],tblDaily[EntryDate],DATE(2026,10,13),tblDaily[WardCode],"NICU")),"")</f>
        <v/>
      </c>
      <c r="C370" s="5" t="str">
        <f>IFERROR(IF(SUMIFS(tblDaily[Discharges],tblDaily[EntryDate],DATE(2026,10,13),tblDaily[WardCode],"NICU")=0,"",SUMIFS(tblDaily[Discharges],tblDaily[EntryDate],DATE(2026,10,13),tblDaily[WardCode],"NICU")),"")</f>
        <v/>
      </c>
      <c r="D370" s="5" t="str">
        <f>IFERROR(IF(SUMIFS(tblDaily[Deaths],tblDaily[EntryDate],DATE(2026,10,13),tblDaily[WardCode],"NICU")=0,"",SUMIFS(tblDaily[Deaths],tblDaily[EntryDate],DATE(2026,10,13),tblDaily[WardCode],"NICU")),"")</f>
        <v/>
      </c>
      <c r="E370" s="5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5" t="str">
        <f>IFERROR(IF(SUMIFS(tblDaily[TransfersIn],tblDaily[EntryDate],DATE(2026,10,13),tblDaily[WardCode],"NICU")=0,"",SUMIFS(tblDaily[TransfersIn],tblDaily[EntryDate],DATE(2026,10,13),tblDaily[WardCode],"NICU")),"")</f>
        <v/>
      </c>
      <c r="G370" s="5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5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IFERROR(IF(SUMIFS(tblDaily[Admissions],tblDaily[EntryDate],DATE(2026,10,14),tblDaily[WardCode],"NICU")=0,"",SUMIFS(tblDaily[Admissions],tblDaily[EntryDate],DATE(2026,10,14),tblDaily[WardCode],"NICU")),"")</f>
        <v/>
      </c>
      <c r="C371" s="5" t="str">
        <f>IFERROR(IF(SUMIFS(tblDaily[Discharges],tblDaily[EntryDate],DATE(2026,10,14),tblDaily[WardCode],"NICU")=0,"",SUMIFS(tblDaily[Discharges],tblDaily[EntryDate],DATE(2026,10,14),tblDaily[WardCode],"NICU")),"")</f>
        <v/>
      </c>
      <c r="D371" s="5" t="str">
        <f>IFERROR(IF(SUMIFS(tblDaily[Deaths],tblDaily[EntryDate],DATE(2026,10,14),tblDaily[WardCode],"NICU")=0,"",SUMIFS(tblDaily[Deaths],tblDaily[EntryDate],DATE(2026,10,14),tblDaily[WardCode],"NICU")),"")</f>
        <v/>
      </c>
      <c r="E371" s="5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5" t="str">
        <f>IFERROR(IF(SUMIFS(tblDaily[TransfersIn],tblDaily[EntryDate],DATE(2026,10,14),tblDaily[WardCode],"NICU")=0,"",SUMIFS(tblDaily[TransfersIn],tblDaily[EntryDate],DATE(2026,10,14),tblDaily[WardCode],"NICU")),"")</f>
        <v/>
      </c>
      <c r="G371" s="5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5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IFERROR(IF(SUMIFS(tblDaily[Admissions],tblDaily[EntryDate],DATE(2026,10,15),tblDaily[WardCode],"NICU")=0,"",SUMIFS(tblDaily[Admissions],tblDaily[EntryDate],DATE(2026,10,15),tblDaily[WardCode],"NICU")),"")</f>
        <v/>
      </c>
      <c r="C372" s="5" t="str">
        <f>IFERROR(IF(SUMIFS(tblDaily[Discharges],tblDaily[EntryDate],DATE(2026,10,15),tblDaily[WardCode],"NICU")=0,"",SUMIFS(tblDaily[Discharges],tblDaily[EntryDate],DATE(2026,10,15),tblDaily[WardCode],"NICU")),"")</f>
        <v/>
      </c>
      <c r="D372" s="5" t="str">
        <f>IFERROR(IF(SUMIFS(tblDaily[Deaths],tblDaily[EntryDate],DATE(2026,10,15),tblDaily[WardCode],"NICU")=0,"",SUMIFS(tblDaily[Deaths],tblDaily[EntryDate],DATE(2026,10,15),tblDaily[WardCode],"NICU")),"")</f>
        <v/>
      </c>
      <c r="E372" s="5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5" t="str">
        <f>IFERROR(IF(SUMIFS(tblDaily[TransfersIn],tblDaily[EntryDate],DATE(2026,10,15),tblDaily[WardCode],"NICU")=0,"",SUMIFS(tblDaily[TransfersIn],tblDaily[EntryDate],DATE(2026,10,15),tblDaily[WardCode],"NICU")),"")</f>
        <v/>
      </c>
      <c r="G372" s="5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5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IFERROR(IF(SUMIFS(tblDaily[Admissions],tblDaily[EntryDate],DATE(2026,10,16),tblDaily[WardCode],"NICU")=0,"",SUMIFS(tblDaily[Admissions],tblDaily[EntryDate],DATE(2026,10,16),tblDaily[WardCode],"NICU")),"")</f>
        <v/>
      </c>
      <c r="C373" s="5" t="str">
        <f>IFERROR(IF(SUMIFS(tblDaily[Discharges],tblDaily[EntryDate],DATE(2026,10,16),tblDaily[WardCode],"NICU")=0,"",SUMIFS(tblDaily[Discharges],tblDaily[EntryDate],DATE(2026,10,16),tblDaily[WardCode],"NICU")),"")</f>
        <v/>
      </c>
      <c r="D373" s="5" t="str">
        <f>IFERROR(IF(SUMIFS(tblDaily[Deaths],tblDaily[EntryDate],DATE(2026,10,16),tblDaily[WardCode],"NICU")=0,"",SUMIFS(tblDaily[Deaths],tblDaily[EntryDate],DATE(2026,10,16),tblDaily[WardCode],"NICU")),"")</f>
        <v/>
      </c>
      <c r="E373" s="5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5" t="str">
        <f>IFERROR(IF(SUMIFS(tblDaily[TransfersIn],tblDaily[EntryDate],DATE(2026,10,16),tblDaily[WardCode],"NICU")=0,"",SUMIFS(tblDaily[TransfersIn],tblDaily[EntryDate],DATE(2026,10,16),tblDaily[WardCode],"NICU")),"")</f>
        <v/>
      </c>
      <c r="G373" s="5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5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IFERROR(IF(SUMIFS(tblDaily[Admissions],tblDaily[EntryDate],DATE(2026,10,17),tblDaily[WardCode],"NICU")=0,"",SUMIFS(tblDaily[Admissions],tblDaily[EntryDate],DATE(2026,10,17),tblDaily[WardCode],"NICU")),"")</f>
        <v/>
      </c>
      <c r="C374" s="5" t="str">
        <f>IFERROR(IF(SUMIFS(tblDaily[Discharges],tblDaily[EntryDate],DATE(2026,10,17),tblDaily[WardCode],"NICU")=0,"",SUMIFS(tblDaily[Discharges],tblDaily[EntryDate],DATE(2026,10,17),tblDaily[WardCode],"NICU")),"")</f>
        <v/>
      </c>
      <c r="D374" s="5" t="str">
        <f>IFERROR(IF(SUMIFS(tblDaily[Deaths],tblDaily[EntryDate],DATE(2026,10,17),tblDaily[WardCode],"NICU")=0,"",SUMIFS(tblDaily[Deaths],tblDaily[EntryDate],DATE(2026,10,17),tblDaily[WardCode],"NICU")),"")</f>
        <v/>
      </c>
      <c r="E374" s="5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5" t="str">
        <f>IFERROR(IF(SUMIFS(tblDaily[TransfersIn],tblDaily[EntryDate],DATE(2026,10,17),tblDaily[WardCode],"NICU")=0,"",SUMIFS(tblDaily[TransfersIn],tblDaily[EntryDate],DATE(2026,10,17),tblDaily[WardCode],"NICU")),"")</f>
        <v/>
      </c>
      <c r="G374" s="5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5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IFERROR(IF(SUMIFS(tblDaily[Admissions],tblDaily[EntryDate],DATE(2026,10,18),tblDaily[WardCode],"NICU")=0,"",SUMIFS(tblDaily[Admissions],tblDaily[EntryDate],DATE(2026,10,18),tblDaily[WardCode],"NICU")),"")</f>
        <v/>
      </c>
      <c r="C375" s="5" t="str">
        <f>IFERROR(IF(SUMIFS(tblDaily[Discharges],tblDaily[EntryDate],DATE(2026,10,18),tblDaily[WardCode],"NICU")=0,"",SUMIFS(tblDaily[Discharges],tblDaily[EntryDate],DATE(2026,10,18),tblDaily[WardCode],"NICU")),"")</f>
        <v/>
      </c>
      <c r="D375" s="5" t="str">
        <f>IFERROR(IF(SUMIFS(tblDaily[Deaths],tblDaily[EntryDate],DATE(2026,10,18),tblDaily[WardCode],"NICU")=0,"",SUMIFS(tblDaily[Deaths],tblDaily[EntryDate],DATE(2026,10,18),tblDaily[WardCode],"NICU")),"")</f>
        <v/>
      </c>
      <c r="E375" s="5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5" t="str">
        <f>IFERROR(IF(SUMIFS(tblDaily[TransfersIn],tblDaily[EntryDate],DATE(2026,10,18),tblDaily[WardCode],"NICU")=0,"",SUMIFS(tblDaily[TransfersIn],tblDaily[EntryDate],DATE(2026,10,18),tblDaily[WardCode],"NICU")),"")</f>
        <v/>
      </c>
      <c r="G375" s="5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5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IFERROR(IF(SUMIFS(tblDaily[Admissions],tblDaily[EntryDate],DATE(2026,10,19),tblDaily[WardCode],"NICU")=0,"",SUMIFS(tblDaily[Admissions],tblDaily[EntryDate],DATE(2026,10,19),tblDaily[WardCode],"NICU")),"")</f>
        <v/>
      </c>
      <c r="C376" s="5" t="str">
        <f>IFERROR(IF(SUMIFS(tblDaily[Discharges],tblDaily[EntryDate],DATE(2026,10,19),tblDaily[WardCode],"NICU")=0,"",SUMIFS(tblDaily[Discharges],tblDaily[EntryDate],DATE(2026,10,19),tblDaily[WardCode],"NICU")),"")</f>
        <v/>
      </c>
      <c r="D376" s="5" t="str">
        <f>IFERROR(IF(SUMIFS(tblDaily[Deaths],tblDaily[EntryDate],DATE(2026,10,19),tblDaily[WardCode],"NICU")=0,"",SUMIFS(tblDaily[Deaths],tblDaily[EntryDate],DATE(2026,10,19),tblDaily[WardCode],"NICU")),"")</f>
        <v/>
      </c>
      <c r="E376" s="5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5" t="str">
        <f>IFERROR(IF(SUMIFS(tblDaily[TransfersIn],tblDaily[EntryDate],DATE(2026,10,19),tblDaily[WardCode],"NICU")=0,"",SUMIFS(tblDaily[TransfersIn],tblDaily[EntryDate],DATE(2026,10,19),tblDaily[WardCode],"NICU")),"")</f>
        <v/>
      </c>
      <c r="G376" s="5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5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IFERROR(IF(SUMIFS(tblDaily[Admissions],tblDaily[EntryDate],DATE(2026,10,20),tblDaily[WardCode],"NICU")=0,"",SUMIFS(tblDaily[Admissions],tblDaily[EntryDate],DATE(2026,10,20),tblDaily[WardCode],"NICU")),"")</f>
        <v/>
      </c>
      <c r="C377" s="5" t="str">
        <f>IFERROR(IF(SUMIFS(tblDaily[Discharges],tblDaily[EntryDate],DATE(2026,10,20),tblDaily[WardCode],"NICU")=0,"",SUMIFS(tblDaily[Discharges],tblDaily[EntryDate],DATE(2026,10,20),tblDaily[WardCode],"NICU")),"")</f>
        <v/>
      </c>
      <c r="D377" s="5" t="str">
        <f>IFERROR(IF(SUMIFS(tblDaily[Deaths],tblDaily[EntryDate],DATE(2026,10,20),tblDaily[WardCode],"NICU")=0,"",SUMIFS(tblDaily[Deaths],tblDaily[EntryDate],DATE(2026,10,20),tblDaily[WardCode],"NICU")),"")</f>
        <v/>
      </c>
      <c r="E377" s="5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5" t="str">
        <f>IFERROR(IF(SUMIFS(tblDaily[TransfersIn],tblDaily[EntryDate],DATE(2026,10,20),tblDaily[WardCode],"NICU")=0,"",SUMIFS(tblDaily[TransfersIn],tblDaily[EntryDate],DATE(2026,10,20),tblDaily[WardCode],"NICU")),"")</f>
        <v/>
      </c>
      <c r="G377" s="5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5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IFERROR(IF(SUMIFS(tblDaily[Admissions],tblDaily[EntryDate],DATE(2026,10,21),tblDaily[WardCode],"NICU")=0,"",SUMIFS(tblDaily[Admissions],tblDaily[EntryDate],DATE(2026,10,21),tblDaily[WardCode],"NICU")),"")</f>
        <v/>
      </c>
      <c r="C378" s="5" t="str">
        <f>IFERROR(IF(SUMIFS(tblDaily[Discharges],tblDaily[EntryDate],DATE(2026,10,21),tblDaily[WardCode],"NICU")=0,"",SUMIFS(tblDaily[Discharges],tblDaily[EntryDate],DATE(2026,10,21),tblDaily[WardCode],"NICU")),"")</f>
        <v/>
      </c>
      <c r="D378" s="5" t="str">
        <f>IFERROR(IF(SUMIFS(tblDaily[Deaths],tblDaily[EntryDate],DATE(2026,10,21),tblDaily[WardCode],"NICU")=0,"",SUMIFS(tblDaily[Deaths],tblDaily[EntryDate],DATE(2026,10,21),tblDaily[WardCode],"NICU")),"")</f>
        <v/>
      </c>
      <c r="E378" s="5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5" t="str">
        <f>IFERROR(IF(SUMIFS(tblDaily[TransfersIn],tblDaily[EntryDate],DATE(2026,10,21),tblDaily[WardCode],"NICU")=0,"",SUMIFS(tblDaily[TransfersIn],tblDaily[EntryDate],DATE(2026,10,21),tblDaily[WardCode],"NICU")),"")</f>
        <v/>
      </c>
      <c r="G378" s="5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5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IFERROR(IF(SUMIFS(tblDaily[Admissions],tblDaily[EntryDate],DATE(2026,10,22),tblDaily[WardCode],"NICU")=0,"",SUMIFS(tblDaily[Admissions],tblDaily[EntryDate],DATE(2026,10,22),tblDaily[WardCode],"NICU")),"")</f>
        <v/>
      </c>
      <c r="C379" s="5" t="str">
        <f>IFERROR(IF(SUMIFS(tblDaily[Discharges],tblDaily[EntryDate],DATE(2026,10,22),tblDaily[WardCode],"NICU")=0,"",SUMIFS(tblDaily[Discharges],tblDaily[EntryDate],DATE(2026,10,22),tblDaily[WardCode],"NICU")),"")</f>
        <v/>
      </c>
      <c r="D379" s="5" t="str">
        <f>IFERROR(IF(SUMIFS(tblDaily[Deaths],tblDaily[EntryDate],DATE(2026,10,22),tblDaily[WardCode],"NICU")=0,"",SUMIFS(tblDaily[Deaths],tblDaily[EntryDate],DATE(2026,10,22),tblDaily[WardCode],"NICU")),"")</f>
        <v/>
      </c>
      <c r="E379" s="5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5" t="str">
        <f>IFERROR(IF(SUMIFS(tblDaily[TransfersIn],tblDaily[EntryDate],DATE(2026,10,22),tblDaily[WardCode],"NICU")=0,"",SUMIFS(tblDaily[TransfersIn],tblDaily[EntryDate],DATE(2026,10,22),tblDaily[WardCode],"NICU")),"")</f>
        <v/>
      </c>
      <c r="G379" s="5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5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IFERROR(IF(SUMIFS(tblDaily[Admissions],tblDaily[EntryDate],DATE(2026,10,23),tblDaily[WardCode],"NICU")=0,"",SUMIFS(tblDaily[Admissions],tblDaily[EntryDate],DATE(2026,10,23),tblDaily[WardCode],"NICU")),"")</f>
        <v/>
      </c>
      <c r="C380" s="5" t="str">
        <f>IFERROR(IF(SUMIFS(tblDaily[Discharges],tblDaily[EntryDate],DATE(2026,10,23),tblDaily[WardCode],"NICU")=0,"",SUMIFS(tblDaily[Discharges],tblDaily[EntryDate],DATE(2026,10,23),tblDaily[WardCode],"NICU")),"")</f>
        <v/>
      </c>
      <c r="D380" s="5" t="str">
        <f>IFERROR(IF(SUMIFS(tblDaily[Deaths],tblDaily[EntryDate],DATE(2026,10,23),tblDaily[WardCode],"NICU")=0,"",SUMIFS(tblDaily[Deaths],tblDaily[EntryDate],DATE(2026,10,23),tblDaily[WardCode],"NICU")),"")</f>
        <v/>
      </c>
      <c r="E380" s="5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5" t="str">
        <f>IFERROR(IF(SUMIFS(tblDaily[TransfersIn],tblDaily[EntryDate],DATE(2026,10,23),tblDaily[WardCode],"NICU")=0,"",SUMIFS(tblDaily[TransfersIn],tblDaily[EntryDate],DATE(2026,10,23),tblDaily[WardCode],"NICU")),"")</f>
        <v/>
      </c>
      <c r="G380" s="5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5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IFERROR(IF(SUMIFS(tblDaily[Admissions],tblDaily[EntryDate],DATE(2026,10,24),tblDaily[WardCode],"NICU")=0,"",SUMIFS(tblDaily[Admissions],tblDaily[EntryDate],DATE(2026,10,24),tblDaily[WardCode],"NICU")),"")</f>
        <v/>
      </c>
      <c r="C381" s="5" t="str">
        <f>IFERROR(IF(SUMIFS(tblDaily[Discharges],tblDaily[EntryDate],DATE(2026,10,24),tblDaily[WardCode],"NICU")=0,"",SUMIFS(tblDaily[Discharges],tblDaily[EntryDate],DATE(2026,10,24),tblDaily[WardCode],"NICU")),"")</f>
        <v/>
      </c>
      <c r="D381" s="5" t="str">
        <f>IFERROR(IF(SUMIFS(tblDaily[Deaths],tblDaily[EntryDate],DATE(2026,10,24),tblDaily[WardCode],"NICU")=0,"",SUMIFS(tblDaily[Deaths],tblDaily[EntryDate],DATE(2026,10,24),tblDaily[WardCode],"NICU")),"")</f>
        <v/>
      </c>
      <c r="E381" s="5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5" t="str">
        <f>IFERROR(IF(SUMIFS(tblDaily[TransfersIn],tblDaily[EntryDate],DATE(2026,10,24),tblDaily[WardCode],"NICU")=0,"",SUMIFS(tblDaily[TransfersIn],tblDaily[EntryDate],DATE(2026,10,24),tblDaily[WardCode],"NICU")),"")</f>
        <v/>
      </c>
      <c r="G381" s="5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5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IFERROR(IF(SUMIFS(tblDaily[Admissions],tblDaily[EntryDate],DATE(2026,10,25),tblDaily[WardCode],"NICU")=0,"",SUMIFS(tblDaily[Admissions],tblDaily[EntryDate],DATE(2026,10,25),tblDaily[WardCode],"NICU")),"")</f>
        <v/>
      </c>
      <c r="C382" s="5" t="str">
        <f>IFERROR(IF(SUMIFS(tblDaily[Discharges],tblDaily[EntryDate],DATE(2026,10,25),tblDaily[WardCode],"NICU")=0,"",SUMIFS(tblDaily[Discharges],tblDaily[EntryDate],DATE(2026,10,25),tblDaily[WardCode],"NICU")),"")</f>
        <v/>
      </c>
      <c r="D382" s="5" t="str">
        <f>IFERROR(IF(SUMIFS(tblDaily[Deaths],tblDaily[EntryDate],DATE(2026,10,25),tblDaily[WardCode],"NICU")=0,"",SUMIFS(tblDaily[Deaths],tblDaily[EntryDate],DATE(2026,10,25),tblDaily[WardCode],"NICU")),"")</f>
        <v/>
      </c>
      <c r="E382" s="5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5" t="str">
        <f>IFERROR(IF(SUMIFS(tblDaily[TransfersIn],tblDaily[EntryDate],DATE(2026,10,25),tblDaily[WardCode],"NICU")=0,"",SUMIFS(tblDaily[TransfersIn],tblDaily[EntryDate],DATE(2026,10,25),tblDaily[WardCode],"NICU")),"")</f>
        <v/>
      </c>
      <c r="G382" s="5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5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IFERROR(IF(SUMIFS(tblDaily[Admissions],tblDaily[EntryDate],DATE(2026,10,26),tblDaily[WardCode],"NICU")=0,"",SUMIFS(tblDaily[Admissions],tblDaily[EntryDate],DATE(2026,10,26),tblDaily[WardCode],"NICU")),"")</f>
        <v/>
      </c>
      <c r="C383" s="5" t="str">
        <f>IFERROR(IF(SUMIFS(tblDaily[Discharges],tblDaily[EntryDate],DATE(2026,10,26),tblDaily[WardCode],"NICU")=0,"",SUMIFS(tblDaily[Discharges],tblDaily[EntryDate],DATE(2026,10,26),tblDaily[WardCode],"NICU")),"")</f>
        <v/>
      </c>
      <c r="D383" s="5" t="str">
        <f>IFERROR(IF(SUMIFS(tblDaily[Deaths],tblDaily[EntryDate],DATE(2026,10,26),tblDaily[WardCode],"NICU")=0,"",SUMIFS(tblDaily[Deaths],tblDaily[EntryDate],DATE(2026,10,26),tblDaily[WardCode],"NICU")),"")</f>
        <v/>
      </c>
      <c r="E383" s="5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5" t="str">
        <f>IFERROR(IF(SUMIFS(tblDaily[TransfersIn],tblDaily[EntryDate],DATE(2026,10,26),tblDaily[WardCode],"NICU")=0,"",SUMIFS(tblDaily[TransfersIn],tblDaily[EntryDate],DATE(2026,10,26),tblDaily[WardCode],"NICU")),"")</f>
        <v/>
      </c>
      <c r="G383" s="5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5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IFERROR(IF(SUMIFS(tblDaily[Admissions],tblDaily[EntryDate],DATE(2026,10,27),tblDaily[WardCode],"NICU")=0,"",SUMIFS(tblDaily[Admissions],tblDaily[EntryDate],DATE(2026,10,27),tblDaily[WardCode],"NICU")),"")</f>
        <v/>
      </c>
      <c r="C384" s="5" t="str">
        <f>IFERROR(IF(SUMIFS(tblDaily[Discharges],tblDaily[EntryDate],DATE(2026,10,27),tblDaily[WardCode],"NICU")=0,"",SUMIFS(tblDaily[Discharges],tblDaily[EntryDate],DATE(2026,10,27),tblDaily[WardCode],"NICU")),"")</f>
        <v/>
      </c>
      <c r="D384" s="5" t="str">
        <f>IFERROR(IF(SUMIFS(tblDaily[Deaths],tblDaily[EntryDate],DATE(2026,10,27),tblDaily[WardCode],"NICU")=0,"",SUMIFS(tblDaily[Deaths],tblDaily[EntryDate],DATE(2026,10,27),tblDaily[WardCode],"NICU")),"")</f>
        <v/>
      </c>
      <c r="E384" s="5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5" t="str">
        <f>IFERROR(IF(SUMIFS(tblDaily[TransfersIn],tblDaily[EntryDate],DATE(2026,10,27),tblDaily[WardCode],"NICU")=0,"",SUMIFS(tblDaily[TransfersIn],tblDaily[EntryDate],DATE(2026,10,27),tblDaily[WardCode],"NICU")),"")</f>
        <v/>
      </c>
      <c r="G384" s="5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5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IFERROR(IF(SUMIFS(tblDaily[Admissions],tblDaily[EntryDate],DATE(2026,10,28),tblDaily[WardCode],"NICU")=0,"",SUMIFS(tblDaily[Admissions],tblDaily[EntryDate],DATE(2026,10,28),tblDaily[WardCode],"NICU")),"")</f>
        <v/>
      </c>
      <c r="C385" s="5" t="str">
        <f>IFERROR(IF(SUMIFS(tblDaily[Discharges],tblDaily[EntryDate],DATE(2026,10,28),tblDaily[WardCode],"NICU")=0,"",SUMIFS(tblDaily[Discharges],tblDaily[EntryDate],DATE(2026,10,28),tblDaily[WardCode],"NICU")),"")</f>
        <v/>
      </c>
      <c r="D385" s="5" t="str">
        <f>IFERROR(IF(SUMIFS(tblDaily[Deaths],tblDaily[EntryDate],DATE(2026,10,28),tblDaily[WardCode],"NICU")=0,"",SUMIFS(tblDaily[Deaths],tblDaily[EntryDate],DATE(2026,10,28),tblDaily[WardCode],"NICU")),"")</f>
        <v/>
      </c>
      <c r="E385" s="5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5" t="str">
        <f>IFERROR(IF(SUMIFS(tblDaily[TransfersIn],tblDaily[EntryDate],DATE(2026,10,28),tblDaily[WardCode],"NICU")=0,"",SUMIFS(tblDaily[TransfersIn],tblDaily[EntryDate],DATE(2026,10,28),tblDaily[WardCode],"NICU")),"")</f>
        <v/>
      </c>
      <c r="G385" s="5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5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IFERROR(IF(SUMIFS(tblDaily[Admissions],tblDaily[EntryDate],DATE(2026,10,29),tblDaily[WardCode],"NICU")=0,"",SUMIFS(tblDaily[Admissions],tblDaily[EntryDate],DATE(2026,10,29),tblDaily[WardCode],"NICU")),"")</f>
        <v/>
      </c>
      <c r="C386" s="5" t="str">
        <f>IFERROR(IF(SUMIFS(tblDaily[Discharges],tblDaily[EntryDate],DATE(2026,10,29),tblDaily[WardCode],"NICU")=0,"",SUMIFS(tblDaily[Discharges],tblDaily[EntryDate],DATE(2026,10,29),tblDaily[WardCode],"NICU")),"")</f>
        <v/>
      </c>
      <c r="D386" s="5" t="str">
        <f>IFERROR(IF(SUMIFS(tblDaily[Deaths],tblDaily[EntryDate],DATE(2026,10,29),tblDaily[WardCode],"NICU")=0,"",SUMIFS(tblDaily[Deaths],tblDaily[EntryDate],DATE(2026,10,29),tblDaily[WardCode],"NICU")),"")</f>
        <v/>
      </c>
      <c r="E386" s="5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5" t="str">
        <f>IFERROR(IF(SUMIFS(tblDaily[TransfersIn],tblDaily[EntryDate],DATE(2026,10,29),tblDaily[WardCode],"NICU")=0,"",SUMIFS(tblDaily[TransfersIn],tblDaily[EntryDate],DATE(2026,10,29),tblDaily[WardCode],"NICU")),"")</f>
        <v/>
      </c>
      <c r="G386" s="5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5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IFERROR(IF(SUMIFS(tblDaily[Admissions],tblDaily[EntryDate],DATE(2026,10,30),tblDaily[WardCode],"NICU")=0,"",SUMIFS(tblDaily[Admissions],tblDaily[EntryDate],DATE(2026,10,30),tblDaily[WardCode],"NICU")),"")</f>
        <v/>
      </c>
      <c r="C387" s="5" t="str">
        <f>IFERROR(IF(SUMIFS(tblDaily[Discharges],tblDaily[EntryDate],DATE(2026,10,30),tblDaily[WardCode],"NICU")=0,"",SUMIFS(tblDaily[Discharges],tblDaily[EntryDate],DATE(2026,10,30),tblDaily[WardCode],"NICU")),"")</f>
        <v/>
      </c>
      <c r="D387" s="5" t="str">
        <f>IFERROR(IF(SUMIFS(tblDaily[Deaths],tblDaily[EntryDate],DATE(2026,10,30),tblDaily[WardCode],"NICU")=0,"",SUMIFS(tblDaily[Deaths],tblDaily[EntryDate],DATE(2026,10,30),tblDaily[WardCode],"NICU")),"")</f>
        <v/>
      </c>
      <c r="E387" s="5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5" t="str">
        <f>IFERROR(IF(SUMIFS(tblDaily[TransfersIn],tblDaily[EntryDate],DATE(2026,10,30),tblDaily[WardCode],"NICU")=0,"",SUMIFS(tblDaily[TransfersIn],tblDaily[EntryDate],DATE(2026,10,30),tblDaily[WardCode],"NICU")),"")</f>
        <v/>
      </c>
      <c r="G387" s="5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5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IFERROR(IF(SUMIFS(tblDaily[Admissions],tblDaily[EntryDate],DATE(2026,10,31),tblDaily[WardCode],"NICU")=0,"",SUMIFS(tblDaily[Admissions],tblDaily[EntryDate],DATE(2026,10,31),tblDaily[WardCode],"NICU")),"")</f>
        <v/>
      </c>
      <c r="C388" s="5" t="str">
        <f>IFERROR(IF(SUMIFS(tblDaily[Discharges],tblDaily[EntryDate],DATE(2026,10,31),tblDaily[WardCode],"NICU")=0,"",SUMIFS(tblDaily[Discharges],tblDaily[EntryDate],DATE(2026,10,31),tblDaily[WardCode],"NICU")),"")</f>
        <v/>
      </c>
      <c r="D388" s="5" t="str">
        <f>IFERROR(IF(SUMIFS(tblDaily[Deaths],tblDaily[EntryDate],DATE(2026,10,31),tblDaily[WardCode],"NICU")=0,"",SUMIFS(tblDaily[Deaths],tblDaily[EntryDate],DATE(2026,10,31),tblDaily[WardCode],"NICU")),"")</f>
        <v/>
      </c>
      <c r="E388" s="5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5" t="str">
        <f>IFERROR(IF(SUMIFS(tblDaily[TransfersIn],tblDaily[EntryDate],DATE(2026,10,31),tblDaily[WardCode],"NICU")=0,"",SUMIFS(tblDaily[TransfersIn],tblDaily[EntryDate],DATE(2026,10,31),tblDaily[WardCode],"NICU")),"")</f>
        <v/>
      </c>
      <c r="G388" s="5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5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95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101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89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IFERROR(IF(SUMIFS(tblDaily[Admissions],tblDaily[EntryDate],DATE(2026,11,1),tblDaily[WardCode],"NICU")=0,"",SUMIFS(tblDaily[Admissions],tblDaily[EntryDate],DATE(2026,11,1),tblDaily[WardCode],"NICU")),"")</f>
        <v/>
      </c>
      <c r="C397" s="5" t="str">
        <f>IFERROR(IF(SUMIFS(tblDaily[Discharges],tblDaily[EntryDate],DATE(2026,11,1),tblDaily[WardCode],"NICU")=0,"",SUMIFS(tblDaily[Discharges],tblDaily[EntryDate],DATE(2026,11,1),tblDaily[WardCode],"NICU")),"")</f>
        <v/>
      </c>
      <c r="D397" s="5" t="str">
        <f>IFERROR(IF(SUMIFS(tblDaily[Deaths],tblDaily[EntryDate],DATE(2026,11,1),tblDaily[WardCode],"NICU")=0,"",SUMIFS(tblDaily[Deaths],tblDaily[EntryDate],DATE(2026,11,1),tblDaily[WardCode],"NICU")),"")</f>
        <v/>
      </c>
      <c r="E397" s="5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5" t="str">
        <f>IFERROR(IF(SUMIFS(tblDaily[TransfersIn],tblDaily[EntryDate],DATE(2026,11,1),tblDaily[WardCode],"NICU")=0,"",SUMIFS(tblDaily[TransfersIn],tblDaily[EntryDate],DATE(2026,11,1),tblDaily[WardCode],"NICU")),"")</f>
        <v/>
      </c>
      <c r="G397" s="5" t="str">
        <f>IFERROR(IF(SUMIFS(tblDaily[TransfersOut],tblDaily[EntryDate],DATE(2026,11,1),tblDaily[WardCode],"NICU")=0,"",SUMIFS(tblDaily[TransfersOut],tblDaily[EntryDate],DATE(2026,11,1),tblDaily[WardCode],"NICU")),"")</f>
        <v/>
      </c>
      <c r="H397" s="5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IFERROR(IF(SUMIFS(tblDaily[Admissions],tblDaily[EntryDate],DATE(2026,11,2),tblDaily[WardCode],"NICU")=0,"",SUMIFS(tblDaily[Admissions],tblDaily[EntryDate],DATE(2026,11,2),tblDaily[WardCode],"NICU")),"")</f>
        <v/>
      </c>
      <c r="C398" s="5" t="str">
        <f>IFERROR(IF(SUMIFS(tblDaily[Discharges],tblDaily[EntryDate],DATE(2026,11,2),tblDaily[WardCode],"NICU")=0,"",SUMIFS(tblDaily[Discharges],tblDaily[EntryDate],DATE(2026,11,2),tblDaily[WardCode],"NICU")),"")</f>
        <v/>
      </c>
      <c r="D398" s="5" t="str">
        <f>IFERROR(IF(SUMIFS(tblDaily[Deaths],tblDaily[EntryDate],DATE(2026,11,2),tblDaily[WardCode],"NICU")=0,"",SUMIFS(tblDaily[Deaths],tblDaily[EntryDate],DATE(2026,11,2),tblDaily[WardCode],"NICU")),"")</f>
        <v/>
      </c>
      <c r="E398" s="5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5" t="str">
        <f>IFERROR(IF(SUMIFS(tblDaily[TransfersIn],tblDaily[EntryDate],DATE(2026,11,2),tblDaily[WardCode],"NICU")=0,"",SUMIFS(tblDaily[TransfersIn],tblDaily[EntryDate],DATE(2026,11,2),tblDaily[WardCode],"NICU")),"")</f>
        <v/>
      </c>
      <c r="G398" s="5" t="str">
        <f>IFERROR(IF(SUMIFS(tblDaily[TransfersOut],tblDaily[EntryDate],DATE(2026,11,2),tblDaily[WardCode],"NICU")=0,"",SUMIFS(tblDaily[TransfersOut],tblDaily[EntryDate],DATE(2026,11,2),tblDaily[WardCode],"NICU")),"")</f>
        <v/>
      </c>
      <c r="H398" s="5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IFERROR(IF(SUMIFS(tblDaily[Admissions],tblDaily[EntryDate],DATE(2026,11,3),tblDaily[WardCode],"NICU")=0,"",SUMIFS(tblDaily[Admissions],tblDaily[EntryDate],DATE(2026,11,3),tblDaily[WardCode],"NICU")),"")</f>
        <v/>
      </c>
      <c r="C399" s="5" t="str">
        <f>IFERROR(IF(SUMIFS(tblDaily[Discharges],tblDaily[EntryDate],DATE(2026,11,3),tblDaily[WardCode],"NICU")=0,"",SUMIFS(tblDaily[Discharges],tblDaily[EntryDate],DATE(2026,11,3),tblDaily[WardCode],"NICU")),"")</f>
        <v/>
      </c>
      <c r="D399" s="5" t="str">
        <f>IFERROR(IF(SUMIFS(tblDaily[Deaths],tblDaily[EntryDate],DATE(2026,11,3),tblDaily[WardCode],"NICU")=0,"",SUMIFS(tblDaily[Deaths],tblDaily[EntryDate],DATE(2026,11,3),tblDaily[WardCode],"NICU")),"")</f>
        <v/>
      </c>
      <c r="E399" s="5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5" t="str">
        <f>IFERROR(IF(SUMIFS(tblDaily[TransfersIn],tblDaily[EntryDate],DATE(2026,11,3),tblDaily[WardCode],"NICU")=0,"",SUMIFS(tblDaily[TransfersIn],tblDaily[EntryDate],DATE(2026,11,3),tblDaily[WardCode],"NICU")),"")</f>
        <v/>
      </c>
      <c r="G399" s="5" t="str">
        <f>IFERROR(IF(SUMIFS(tblDaily[TransfersOut],tblDaily[EntryDate],DATE(2026,11,3),tblDaily[WardCode],"NICU")=0,"",SUMIFS(tblDaily[TransfersOut],tblDaily[EntryDate],DATE(2026,11,3),tblDaily[WardCode],"NICU")),"")</f>
        <v/>
      </c>
      <c r="H399" s="5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IFERROR(IF(SUMIFS(tblDaily[Admissions],tblDaily[EntryDate],DATE(2026,11,4),tblDaily[WardCode],"NICU")=0,"",SUMIFS(tblDaily[Admissions],tblDaily[EntryDate],DATE(2026,11,4),tblDaily[WardCode],"NICU")),"")</f>
        <v/>
      </c>
      <c r="C400" s="5" t="str">
        <f>IFERROR(IF(SUMIFS(tblDaily[Discharges],tblDaily[EntryDate],DATE(2026,11,4),tblDaily[WardCode],"NICU")=0,"",SUMIFS(tblDaily[Discharges],tblDaily[EntryDate],DATE(2026,11,4),tblDaily[WardCode],"NICU")),"")</f>
        <v/>
      </c>
      <c r="D400" s="5" t="str">
        <f>IFERROR(IF(SUMIFS(tblDaily[Deaths],tblDaily[EntryDate],DATE(2026,11,4),tblDaily[WardCode],"NICU")=0,"",SUMIFS(tblDaily[Deaths],tblDaily[EntryDate],DATE(2026,11,4),tblDaily[WardCode],"NICU")),"")</f>
        <v/>
      </c>
      <c r="E400" s="5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5" t="str">
        <f>IFERROR(IF(SUMIFS(tblDaily[TransfersIn],tblDaily[EntryDate],DATE(2026,11,4),tblDaily[WardCode],"NICU")=0,"",SUMIFS(tblDaily[TransfersIn],tblDaily[EntryDate],DATE(2026,11,4),tblDaily[WardCode],"NICU")),"")</f>
        <v/>
      </c>
      <c r="G400" s="5" t="str">
        <f>IFERROR(IF(SUMIFS(tblDaily[TransfersOut],tblDaily[EntryDate],DATE(2026,11,4),tblDaily[WardCode],"NICU")=0,"",SUMIFS(tblDaily[TransfersOut],tblDaily[EntryDate],DATE(2026,11,4),tblDaily[WardCode],"NICU")),"")</f>
        <v/>
      </c>
      <c r="H400" s="5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IFERROR(IF(SUMIFS(tblDaily[Admissions],tblDaily[EntryDate],DATE(2026,11,5),tblDaily[WardCode],"NICU")=0,"",SUMIFS(tblDaily[Admissions],tblDaily[EntryDate],DATE(2026,11,5),tblDaily[WardCode],"NICU")),"")</f>
        <v/>
      </c>
      <c r="C401" s="5" t="str">
        <f>IFERROR(IF(SUMIFS(tblDaily[Discharges],tblDaily[EntryDate],DATE(2026,11,5),tblDaily[WardCode],"NICU")=0,"",SUMIFS(tblDaily[Discharges],tblDaily[EntryDate],DATE(2026,11,5),tblDaily[WardCode],"NICU")),"")</f>
        <v/>
      </c>
      <c r="D401" s="5" t="str">
        <f>IFERROR(IF(SUMIFS(tblDaily[Deaths],tblDaily[EntryDate],DATE(2026,11,5),tblDaily[WardCode],"NICU")=0,"",SUMIFS(tblDaily[Deaths],tblDaily[EntryDate],DATE(2026,11,5),tblDaily[WardCode],"NICU")),"")</f>
        <v/>
      </c>
      <c r="E401" s="5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5" t="str">
        <f>IFERROR(IF(SUMIFS(tblDaily[TransfersIn],tblDaily[EntryDate],DATE(2026,11,5),tblDaily[WardCode],"NICU")=0,"",SUMIFS(tblDaily[TransfersIn],tblDaily[EntryDate],DATE(2026,11,5),tblDaily[WardCode],"NICU")),"")</f>
        <v/>
      </c>
      <c r="G401" s="5" t="str">
        <f>IFERROR(IF(SUMIFS(tblDaily[TransfersOut],tblDaily[EntryDate],DATE(2026,11,5),tblDaily[WardCode],"NICU")=0,"",SUMIFS(tblDaily[TransfersOut],tblDaily[EntryDate],DATE(2026,11,5),tblDaily[WardCode],"NICU")),"")</f>
        <v/>
      </c>
      <c r="H401" s="5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IFERROR(IF(SUMIFS(tblDaily[Admissions],tblDaily[EntryDate],DATE(2026,11,6),tblDaily[WardCode],"NICU")=0,"",SUMIFS(tblDaily[Admissions],tblDaily[EntryDate],DATE(2026,11,6),tblDaily[WardCode],"NICU")),"")</f>
        <v/>
      </c>
      <c r="C402" s="5" t="str">
        <f>IFERROR(IF(SUMIFS(tblDaily[Discharges],tblDaily[EntryDate],DATE(2026,11,6),tblDaily[WardCode],"NICU")=0,"",SUMIFS(tblDaily[Discharges],tblDaily[EntryDate],DATE(2026,11,6),tblDaily[WardCode],"NICU")),"")</f>
        <v/>
      </c>
      <c r="D402" s="5" t="str">
        <f>IFERROR(IF(SUMIFS(tblDaily[Deaths],tblDaily[EntryDate],DATE(2026,11,6),tblDaily[WardCode],"NICU")=0,"",SUMIFS(tblDaily[Deaths],tblDaily[EntryDate],DATE(2026,11,6),tblDaily[WardCode],"NICU")),"")</f>
        <v/>
      </c>
      <c r="E402" s="5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5" t="str">
        <f>IFERROR(IF(SUMIFS(tblDaily[TransfersIn],tblDaily[EntryDate],DATE(2026,11,6),tblDaily[WardCode],"NICU")=0,"",SUMIFS(tblDaily[TransfersIn],tblDaily[EntryDate],DATE(2026,11,6),tblDaily[WardCode],"NICU")),"")</f>
        <v/>
      </c>
      <c r="G402" s="5" t="str">
        <f>IFERROR(IF(SUMIFS(tblDaily[TransfersOut],tblDaily[EntryDate],DATE(2026,11,6),tblDaily[WardCode],"NICU")=0,"",SUMIFS(tblDaily[TransfersOut],tblDaily[EntryDate],DATE(2026,11,6),tblDaily[WardCode],"NICU")),"")</f>
        <v/>
      </c>
      <c r="H402" s="5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IFERROR(IF(SUMIFS(tblDaily[Admissions],tblDaily[EntryDate],DATE(2026,11,7),tblDaily[WardCode],"NICU")=0,"",SUMIFS(tblDaily[Admissions],tblDaily[EntryDate],DATE(2026,11,7),tblDaily[WardCode],"NICU")),"")</f>
        <v/>
      </c>
      <c r="C403" s="5" t="str">
        <f>IFERROR(IF(SUMIFS(tblDaily[Discharges],tblDaily[EntryDate],DATE(2026,11,7),tblDaily[WardCode],"NICU")=0,"",SUMIFS(tblDaily[Discharges],tblDaily[EntryDate],DATE(2026,11,7),tblDaily[WardCode],"NICU")),"")</f>
        <v/>
      </c>
      <c r="D403" s="5" t="str">
        <f>IFERROR(IF(SUMIFS(tblDaily[Deaths],tblDaily[EntryDate],DATE(2026,11,7),tblDaily[WardCode],"NICU")=0,"",SUMIFS(tblDaily[Deaths],tblDaily[EntryDate],DATE(2026,11,7),tblDaily[WardCode],"NICU")),"")</f>
        <v/>
      </c>
      <c r="E403" s="5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5" t="str">
        <f>IFERROR(IF(SUMIFS(tblDaily[TransfersIn],tblDaily[EntryDate],DATE(2026,11,7),tblDaily[WardCode],"NICU")=0,"",SUMIFS(tblDaily[TransfersIn],tblDaily[EntryDate],DATE(2026,11,7),tblDaily[WardCode],"NICU")),"")</f>
        <v/>
      </c>
      <c r="G403" s="5" t="str">
        <f>IFERROR(IF(SUMIFS(tblDaily[TransfersOut],tblDaily[EntryDate],DATE(2026,11,7),tblDaily[WardCode],"NICU")=0,"",SUMIFS(tblDaily[TransfersOut],tblDaily[EntryDate],DATE(2026,11,7),tblDaily[WardCode],"NICU")),"")</f>
        <v/>
      </c>
      <c r="H403" s="5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IFERROR(IF(SUMIFS(tblDaily[Admissions],tblDaily[EntryDate],DATE(2026,11,8),tblDaily[WardCode],"NICU")=0,"",SUMIFS(tblDaily[Admissions],tblDaily[EntryDate],DATE(2026,11,8),tblDaily[WardCode],"NICU")),"")</f>
        <v/>
      </c>
      <c r="C404" s="5" t="str">
        <f>IFERROR(IF(SUMIFS(tblDaily[Discharges],tblDaily[EntryDate],DATE(2026,11,8),tblDaily[WardCode],"NICU")=0,"",SUMIFS(tblDaily[Discharges],tblDaily[EntryDate],DATE(2026,11,8),tblDaily[WardCode],"NICU")),"")</f>
        <v/>
      </c>
      <c r="D404" s="5" t="str">
        <f>IFERROR(IF(SUMIFS(tblDaily[Deaths],tblDaily[EntryDate],DATE(2026,11,8),tblDaily[WardCode],"NICU")=0,"",SUMIFS(tblDaily[Deaths],tblDaily[EntryDate],DATE(2026,11,8),tblDaily[WardCode],"NICU")),"")</f>
        <v/>
      </c>
      <c r="E404" s="5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5" t="str">
        <f>IFERROR(IF(SUMIFS(tblDaily[TransfersIn],tblDaily[EntryDate],DATE(2026,11,8),tblDaily[WardCode],"NICU")=0,"",SUMIFS(tblDaily[TransfersIn],tblDaily[EntryDate],DATE(2026,11,8),tblDaily[WardCode],"NICU")),"")</f>
        <v/>
      </c>
      <c r="G404" s="5" t="str">
        <f>IFERROR(IF(SUMIFS(tblDaily[TransfersOut],tblDaily[EntryDate],DATE(2026,11,8),tblDaily[WardCode],"NICU")=0,"",SUMIFS(tblDaily[TransfersOut],tblDaily[EntryDate],DATE(2026,11,8),tblDaily[WardCode],"NICU")),"")</f>
        <v/>
      </c>
      <c r="H404" s="5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IFERROR(IF(SUMIFS(tblDaily[Admissions],tblDaily[EntryDate],DATE(2026,11,9),tblDaily[WardCode],"NICU")=0,"",SUMIFS(tblDaily[Admissions],tblDaily[EntryDate],DATE(2026,11,9),tblDaily[WardCode],"NICU")),"")</f>
        <v/>
      </c>
      <c r="C405" s="5" t="str">
        <f>IFERROR(IF(SUMIFS(tblDaily[Discharges],tblDaily[EntryDate],DATE(2026,11,9),tblDaily[WardCode],"NICU")=0,"",SUMIFS(tblDaily[Discharges],tblDaily[EntryDate],DATE(2026,11,9),tblDaily[WardCode],"NICU")),"")</f>
        <v/>
      </c>
      <c r="D405" s="5" t="str">
        <f>IFERROR(IF(SUMIFS(tblDaily[Deaths],tblDaily[EntryDate],DATE(2026,11,9),tblDaily[WardCode],"NICU")=0,"",SUMIFS(tblDaily[Deaths],tblDaily[EntryDate],DATE(2026,11,9),tblDaily[WardCode],"NICU")),"")</f>
        <v/>
      </c>
      <c r="E405" s="5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5" t="str">
        <f>IFERROR(IF(SUMIFS(tblDaily[TransfersIn],tblDaily[EntryDate],DATE(2026,11,9),tblDaily[WardCode],"NICU")=0,"",SUMIFS(tblDaily[TransfersIn],tblDaily[EntryDate],DATE(2026,11,9),tblDaily[WardCode],"NICU")),"")</f>
        <v/>
      </c>
      <c r="G405" s="5" t="str">
        <f>IFERROR(IF(SUMIFS(tblDaily[TransfersOut],tblDaily[EntryDate],DATE(2026,11,9),tblDaily[WardCode],"NICU")=0,"",SUMIFS(tblDaily[TransfersOut],tblDaily[EntryDate],DATE(2026,11,9),tblDaily[WardCode],"NICU")),"")</f>
        <v/>
      </c>
      <c r="H405" s="5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IFERROR(IF(SUMIFS(tblDaily[Admissions],tblDaily[EntryDate],DATE(2026,11,10),tblDaily[WardCode],"NICU")=0,"",SUMIFS(tblDaily[Admissions],tblDaily[EntryDate],DATE(2026,11,10),tblDaily[WardCode],"NICU")),"")</f>
        <v/>
      </c>
      <c r="C406" s="5" t="str">
        <f>IFERROR(IF(SUMIFS(tblDaily[Discharges],tblDaily[EntryDate],DATE(2026,11,10),tblDaily[WardCode],"NICU")=0,"",SUMIFS(tblDaily[Discharges],tblDaily[EntryDate],DATE(2026,11,10),tblDaily[WardCode],"NICU")),"")</f>
        <v/>
      </c>
      <c r="D406" s="5" t="str">
        <f>IFERROR(IF(SUMIFS(tblDaily[Deaths],tblDaily[EntryDate],DATE(2026,11,10),tblDaily[WardCode],"NICU")=0,"",SUMIFS(tblDaily[Deaths],tblDaily[EntryDate],DATE(2026,11,10),tblDaily[WardCode],"NICU")),"")</f>
        <v/>
      </c>
      <c r="E406" s="5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5" t="str">
        <f>IFERROR(IF(SUMIFS(tblDaily[TransfersIn],tblDaily[EntryDate],DATE(2026,11,10),tblDaily[WardCode],"NICU")=0,"",SUMIFS(tblDaily[TransfersIn],tblDaily[EntryDate],DATE(2026,11,10),tblDaily[WardCode],"NICU")),"")</f>
        <v/>
      </c>
      <c r="G406" s="5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5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IFERROR(IF(SUMIFS(tblDaily[Admissions],tblDaily[EntryDate],DATE(2026,11,11),tblDaily[WardCode],"NICU")=0,"",SUMIFS(tblDaily[Admissions],tblDaily[EntryDate],DATE(2026,11,11),tblDaily[WardCode],"NICU")),"")</f>
        <v/>
      </c>
      <c r="C407" s="5" t="str">
        <f>IFERROR(IF(SUMIFS(tblDaily[Discharges],tblDaily[EntryDate],DATE(2026,11,11),tblDaily[WardCode],"NICU")=0,"",SUMIFS(tblDaily[Discharges],tblDaily[EntryDate],DATE(2026,11,11),tblDaily[WardCode],"NICU")),"")</f>
        <v/>
      </c>
      <c r="D407" s="5" t="str">
        <f>IFERROR(IF(SUMIFS(tblDaily[Deaths],tblDaily[EntryDate],DATE(2026,11,11),tblDaily[WardCode],"NICU")=0,"",SUMIFS(tblDaily[Deaths],tblDaily[EntryDate],DATE(2026,11,11),tblDaily[WardCode],"NICU")),"")</f>
        <v/>
      </c>
      <c r="E407" s="5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5" t="str">
        <f>IFERROR(IF(SUMIFS(tblDaily[TransfersIn],tblDaily[EntryDate],DATE(2026,11,11),tblDaily[WardCode],"NICU")=0,"",SUMIFS(tblDaily[TransfersIn],tblDaily[EntryDate],DATE(2026,11,11),tblDaily[WardCode],"NICU")),"")</f>
        <v/>
      </c>
      <c r="G407" s="5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5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IFERROR(IF(SUMIFS(tblDaily[Admissions],tblDaily[EntryDate],DATE(2026,11,12),tblDaily[WardCode],"NICU")=0,"",SUMIFS(tblDaily[Admissions],tblDaily[EntryDate],DATE(2026,11,12),tblDaily[WardCode],"NICU")),"")</f>
        <v/>
      </c>
      <c r="C408" s="5" t="str">
        <f>IFERROR(IF(SUMIFS(tblDaily[Discharges],tblDaily[EntryDate],DATE(2026,11,12),tblDaily[WardCode],"NICU")=0,"",SUMIFS(tblDaily[Discharges],tblDaily[EntryDate],DATE(2026,11,12),tblDaily[WardCode],"NICU")),"")</f>
        <v/>
      </c>
      <c r="D408" s="5" t="str">
        <f>IFERROR(IF(SUMIFS(tblDaily[Deaths],tblDaily[EntryDate],DATE(2026,11,12),tblDaily[WardCode],"NICU")=0,"",SUMIFS(tblDaily[Deaths],tblDaily[EntryDate],DATE(2026,11,12),tblDaily[WardCode],"NICU")),"")</f>
        <v/>
      </c>
      <c r="E408" s="5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5" t="str">
        <f>IFERROR(IF(SUMIFS(tblDaily[TransfersIn],tblDaily[EntryDate],DATE(2026,11,12),tblDaily[WardCode],"NICU")=0,"",SUMIFS(tblDaily[TransfersIn],tblDaily[EntryDate],DATE(2026,11,12),tblDaily[WardCode],"NICU")),"")</f>
        <v/>
      </c>
      <c r="G408" s="5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5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IFERROR(IF(SUMIFS(tblDaily[Admissions],tblDaily[EntryDate],DATE(2026,11,13),tblDaily[WardCode],"NICU")=0,"",SUMIFS(tblDaily[Admissions],tblDaily[EntryDate],DATE(2026,11,13),tblDaily[WardCode],"NICU")),"")</f>
        <v/>
      </c>
      <c r="C409" s="5" t="str">
        <f>IFERROR(IF(SUMIFS(tblDaily[Discharges],tblDaily[EntryDate],DATE(2026,11,13),tblDaily[WardCode],"NICU")=0,"",SUMIFS(tblDaily[Discharges],tblDaily[EntryDate],DATE(2026,11,13),tblDaily[WardCode],"NICU")),"")</f>
        <v/>
      </c>
      <c r="D409" s="5" t="str">
        <f>IFERROR(IF(SUMIFS(tblDaily[Deaths],tblDaily[EntryDate],DATE(2026,11,13),tblDaily[WardCode],"NICU")=0,"",SUMIFS(tblDaily[Deaths],tblDaily[EntryDate],DATE(2026,11,13),tblDaily[WardCode],"NICU")),"")</f>
        <v/>
      </c>
      <c r="E409" s="5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5" t="str">
        <f>IFERROR(IF(SUMIFS(tblDaily[TransfersIn],tblDaily[EntryDate],DATE(2026,11,13),tblDaily[WardCode],"NICU")=0,"",SUMIFS(tblDaily[TransfersIn],tblDaily[EntryDate],DATE(2026,11,13),tblDaily[WardCode],"NICU")),"")</f>
        <v/>
      </c>
      <c r="G409" s="5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5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IFERROR(IF(SUMIFS(tblDaily[Admissions],tblDaily[EntryDate],DATE(2026,11,14),tblDaily[WardCode],"NICU")=0,"",SUMIFS(tblDaily[Admissions],tblDaily[EntryDate],DATE(2026,11,14),tblDaily[WardCode],"NICU")),"")</f>
        <v/>
      </c>
      <c r="C410" s="5" t="str">
        <f>IFERROR(IF(SUMIFS(tblDaily[Discharges],tblDaily[EntryDate],DATE(2026,11,14),tblDaily[WardCode],"NICU")=0,"",SUMIFS(tblDaily[Discharges],tblDaily[EntryDate],DATE(2026,11,14),tblDaily[WardCode],"NICU")),"")</f>
        <v/>
      </c>
      <c r="D410" s="5" t="str">
        <f>IFERROR(IF(SUMIFS(tblDaily[Deaths],tblDaily[EntryDate],DATE(2026,11,14),tblDaily[WardCode],"NICU")=0,"",SUMIFS(tblDaily[Deaths],tblDaily[EntryDate],DATE(2026,11,14),tblDaily[WardCode],"NICU")),"")</f>
        <v/>
      </c>
      <c r="E410" s="5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5" t="str">
        <f>IFERROR(IF(SUMIFS(tblDaily[TransfersIn],tblDaily[EntryDate],DATE(2026,11,14),tblDaily[WardCode],"NICU")=0,"",SUMIFS(tblDaily[TransfersIn],tblDaily[EntryDate],DATE(2026,11,14),tblDaily[WardCode],"NICU")),"")</f>
        <v/>
      </c>
      <c r="G410" s="5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5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IFERROR(IF(SUMIFS(tblDaily[Admissions],tblDaily[EntryDate],DATE(2026,11,15),tblDaily[WardCode],"NICU")=0,"",SUMIFS(tblDaily[Admissions],tblDaily[EntryDate],DATE(2026,11,15),tblDaily[WardCode],"NICU")),"")</f>
        <v/>
      </c>
      <c r="C411" s="5" t="str">
        <f>IFERROR(IF(SUMIFS(tblDaily[Discharges],tblDaily[EntryDate],DATE(2026,11,15),tblDaily[WardCode],"NICU")=0,"",SUMIFS(tblDaily[Discharges],tblDaily[EntryDate],DATE(2026,11,15),tblDaily[WardCode],"NICU")),"")</f>
        <v/>
      </c>
      <c r="D411" s="5" t="str">
        <f>IFERROR(IF(SUMIFS(tblDaily[Deaths],tblDaily[EntryDate],DATE(2026,11,15),tblDaily[WardCode],"NICU")=0,"",SUMIFS(tblDaily[Deaths],tblDaily[EntryDate],DATE(2026,11,15),tblDaily[WardCode],"NICU")),"")</f>
        <v/>
      </c>
      <c r="E411" s="5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5" t="str">
        <f>IFERROR(IF(SUMIFS(tblDaily[TransfersIn],tblDaily[EntryDate],DATE(2026,11,15),tblDaily[WardCode],"NICU")=0,"",SUMIFS(tblDaily[TransfersIn],tblDaily[EntryDate],DATE(2026,11,15),tblDaily[WardCode],"NICU")),"")</f>
        <v/>
      </c>
      <c r="G411" s="5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5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IFERROR(IF(SUMIFS(tblDaily[Admissions],tblDaily[EntryDate],DATE(2026,11,16),tblDaily[WardCode],"NICU")=0,"",SUMIFS(tblDaily[Admissions],tblDaily[EntryDate],DATE(2026,11,16),tblDaily[WardCode],"NICU")),"")</f>
        <v/>
      </c>
      <c r="C412" s="5" t="str">
        <f>IFERROR(IF(SUMIFS(tblDaily[Discharges],tblDaily[EntryDate],DATE(2026,11,16),tblDaily[WardCode],"NICU")=0,"",SUMIFS(tblDaily[Discharges],tblDaily[EntryDate],DATE(2026,11,16),tblDaily[WardCode],"NICU")),"")</f>
        <v/>
      </c>
      <c r="D412" s="5" t="str">
        <f>IFERROR(IF(SUMIFS(tblDaily[Deaths],tblDaily[EntryDate],DATE(2026,11,16),tblDaily[WardCode],"NICU")=0,"",SUMIFS(tblDaily[Deaths],tblDaily[EntryDate],DATE(2026,11,16),tblDaily[WardCode],"NICU")),"")</f>
        <v/>
      </c>
      <c r="E412" s="5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5" t="str">
        <f>IFERROR(IF(SUMIFS(tblDaily[TransfersIn],tblDaily[EntryDate],DATE(2026,11,16),tblDaily[WardCode],"NICU")=0,"",SUMIFS(tblDaily[TransfersIn],tblDaily[EntryDate],DATE(2026,11,16),tblDaily[WardCode],"NICU")),"")</f>
        <v/>
      </c>
      <c r="G412" s="5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5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IFERROR(IF(SUMIFS(tblDaily[Admissions],tblDaily[EntryDate],DATE(2026,11,17),tblDaily[WardCode],"NICU")=0,"",SUMIFS(tblDaily[Admissions],tblDaily[EntryDate],DATE(2026,11,17),tblDaily[WardCode],"NICU")),"")</f>
        <v/>
      </c>
      <c r="C413" s="5" t="str">
        <f>IFERROR(IF(SUMIFS(tblDaily[Discharges],tblDaily[EntryDate],DATE(2026,11,17),tblDaily[WardCode],"NICU")=0,"",SUMIFS(tblDaily[Discharges],tblDaily[EntryDate],DATE(2026,11,17),tblDaily[WardCode],"NICU")),"")</f>
        <v/>
      </c>
      <c r="D413" s="5" t="str">
        <f>IFERROR(IF(SUMIFS(tblDaily[Deaths],tblDaily[EntryDate],DATE(2026,11,17),tblDaily[WardCode],"NICU")=0,"",SUMIFS(tblDaily[Deaths],tblDaily[EntryDate],DATE(2026,11,17),tblDaily[WardCode],"NICU")),"")</f>
        <v/>
      </c>
      <c r="E413" s="5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5" t="str">
        <f>IFERROR(IF(SUMIFS(tblDaily[TransfersIn],tblDaily[EntryDate],DATE(2026,11,17),tblDaily[WardCode],"NICU")=0,"",SUMIFS(tblDaily[TransfersIn],tblDaily[EntryDate],DATE(2026,11,17),tblDaily[WardCode],"NICU")),"")</f>
        <v/>
      </c>
      <c r="G413" s="5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5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IFERROR(IF(SUMIFS(tblDaily[Admissions],tblDaily[EntryDate],DATE(2026,11,18),tblDaily[WardCode],"NICU")=0,"",SUMIFS(tblDaily[Admissions],tblDaily[EntryDate],DATE(2026,11,18),tblDaily[WardCode],"NICU")),"")</f>
        <v/>
      </c>
      <c r="C414" s="5" t="str">
        <f>IFERROR(IF(SUMIFS(tblDaily[Discharges],tblDaily[EntryDate],DATE(2026,11,18),tblDaily[WardCode],"NICU")=0,"",SUMIFS(tblDaily[Discharges],tblDaily[EntryDate],DATE(2026,11,18),tblDaily[WardCode],"NICU")),"")</f>
        <v/>
      </c>
      <c r="D414" s="5" t="str">
        <f>IFERROR(IF(SUMIFS(tblDaily[Deaths],tblDaily[EntryDate],DATE(2026,11,18),tblDaily[WardCode],"NICU")=0,"",SUMIFS(tblDaily[Deaths],tblDaily[EntryDate],DATE(2026,11,18),tblDaily[WardCode],"NICU")),"")</f>
        <v/>
      </c>
      <c r="E414" s="5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5" t="str">
        <f>IFERROR(IF(SUMIFS(tblDaily[TransfersIn],tblDaily[EntryDate],DATE(2026,11,18),tblDaily[WardCode],"NICU")=0,"",SUMIFS(tblDaily[TransfersIn],tblDaily[EntryDate],DATE(2026,11,18),tblDaily[WardCode],"NICU")),"")</f>
        <v/>
      </c>
      <c r="G414" s="5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5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IFERROR(IF(SUMIFS(tblDaily[Admissions],tblDaily[EntryDate],DATE(2026,11,19),tblDaily[WardCode],"NICU")=0,"",SUMIFS(tblDaily[Admissions],tblDaily[EntryDate],DATE(2026,11,19),tblDaily[WardCode],"NICU")),"")</f>
        <v/>
      </c>
      <c r="C415" s="5" t="str">
        <f>IFERROR(IF(SUMIFS(tblDaily[Discharges],tblDaily[EntryDate],DATE(2026,11,19),tblDaily[WardCode],"NICU")=0,"",SUMIFS(tblDaily[Discharges],tblDaily[EntryDate],DATE(2026,11,19),tblDaily[WardCode],"NICU")),"")</f>
        <v/>
      </c>
      <c r="D415" s="5" t="str">
        <f>IFERROR(IF(SUMIFS(tblDaily[Deaths],tblDaily[EntryDate],DATE(2026,11,19),tblDaily[WardCode],"NICU")=0,"",SUMIFS(tblDaily[Deaths],tblDaily[EntryDate],DATE(2026,11,19),tblDaily[WardCode],"NICU")),"")</f>
        <v/>
      </c>
      <c r="E415" s="5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5" t="str">
        <f>IFERROR(IF(SUMIFS(tblDaily[TransfersIn],tblDaily[EntryDate],DATE(2026,11,19),tblDaily[WardCode],"NICU")=0,"",SUMIFS(tblDaily[TransfersIn],tblDaily[EntryDate],DATE(2026,11,19),tblDaily[WardCode],"NICU")),"")</f>
        <v/>
      </c>
      <c r="G415" s="5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5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IFERROR(IF(SUMIFS(tblDaily[Admissions],tblDaily[EntryDate],DATE(2026,11,20),tblDaily[WardCode],"NICU")=0,"",SUMIFS(tblDaily[Admissions],tblDaily[EntryDate],DATE(2026,11,20),tblDaily[WardCode],"NICU")),"")</f>
        <v/>
      </c>
      <c r="C416" s="5" t="str">
        <f>IFERROR(IF(SUMIFS(tblDaily[Discharges],tblDaily[EntryDate],DATE(2026,11,20),tblDaily[WardCode],"NICU")=0,"",SUMIFS(tblDaily[Discharges],tblDaily[EntryDate],DATE(2026,11,20),tblDaily[WardCode],"NICU")),"")</f>
        <v/>
      </c>
      <c r="D416" s="5" t="str">
        <f>IFERROR(IF(SUMIFS(tblDaily[Deaths],tblDaily[EntryDate],DATE(2026,11,20),tblDaily[WardCode],"NICU")=0,"",SUMIFS(tblDaily[Deaths],tblDaily[EntryDate],DATE(2026,11,20),tblDaily[WardCode],"NICU")),"")</f>
        <v/>
      </c>
      <c r="E416" s="5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5" t="str">
        <f>IFERROR(IF(SUMIFS(tblDaily[TransfersIn],tblDaily[EntryDate],DATE(2026,11,20),tblDaily[WardCode],"NICU")=0,"",SUMIFS(tblDaily[TransfersIn],tblDaily[EntryDate],DATE(2026,11,20),tblDaily[WardCode],"NICU")),"")</f>
        <v/>
      </c>
      <c r="G416" s="5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5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IFERROR(IF(SUMIFS(tblDaily[Admissions],tblDaily[EntryDate],DATE(2026,11,21),tblDaily[WardCode],"NICU")=0,"",SUMIFS(tblDaily[Admissions],tblDaily[EntryDate],DATE(2026,11,21),tblDaily[WardCode],"NICU")),"")</f>
        <v/>
      </c>
      <c r="C417" s="5" t="str">
        <f>IFERROR(IF(SUMIFS(tblDaily[Discharges],tblDaily[EntryDate],DATE(2026,11,21),tblDaily[WardCode],"NICU")=0,"",SUMIFS(tblDaily[Discharges],tblDaily[EntryDate],DATE(2026,11,21),tblDaily[WardCode],"NICU")),"")</f>
        <v/>
      </c>
      <c r="D417" s="5" t="str">
        <f>IFERROR(IF(SUMIFS(tblDaily[Deaths],tblDaily[EntryDate],DATE(2026,11,21),tblDaily[WardCode],"NICU")=0,"",SUMIFS(tblDaily[Deaths],tblDaily[EntryDate],DATE(2026,11,21),tblDaily[WardCode],"NICU")),"")</f>
        <v/>
      </c>
      <c r="E417" s="5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5" t="str">
        <f>IFERROR(IF(SUMIFS(tblDaily[TransfersIn],tblDaily[EntryDate],DATE(2026,11,21),tblDaily[WardCode],"NICU")=0,"",SUMIFS(tblDaily[TransfersIn],tblDaily[EntryDate],DATE(2026,11,21),tblDaily[WardCode],"NICU")),"")</f>
        <v/>
      </c>
      <c r="G417" s="5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5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IFERROR(IF(SUMIFS(tblDaily[Admissions],tblDaily[EntryDate],DATE(2026,11,22),tblDaily[WardCode],"NICU")=0,"",SUMIFS(tblDaily[Admissions],tblDaily[EntryDate],DATE(2026,11,22),tblDaily[WardCode],"NICU")),"")</f>
        <v/>
      </c>
      <c r="C418" s="5" t="str">
        <f>IFERROR(IF(SUMIFS(tblDaily[Discharges],tblDaily[EntryDate],DATE(2026,11,22),tblDaily[WardCode],"NICU")=0,"",SUMIFS(tblDaily[Discharges],tblDaily[EntryDate],DATE(2026,11,22),tblDaily[WardCode],"NICU")),"")</f>
        <v/>
      </c>
      <c r="D418" s="5" t="str">
        <f>IFERROR(IF(SUMIFS(tblDaily[Deaths],tblDaily[EntryDate],DATE(2026,11,22),tblDaily[WardCode],"NICU")=0,"",SUMIFS(tblDaily[Deaths],tblDaily[EntryDate],DATE(2026,11,22),tblDaily[WardCode],"NICU")),"")</f>
        <v/>
      </c>
      <c r="E418" s="5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5" t="str">
        <f>IFERROR(IF(SUMIFS(tblDaily[TransfersIn],tblDaily[EntryDate],DATE(2026,11,22),tblDaily[WardCode],"NICU")=0,"",SUMIFS(tblDaily[TransfersIn],tblDaily[EntryDate],DATE(2026,11,22),tblDaily[WardCode],"NICU")),"")</f>
        <v/>
      </c>
      <c r="G418" s="5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5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IFERROR(IF(SUMIFS(tblDaily[Admissions],tblDaily[EntryDate],DATE(2026,11,23),tblDaily[WardCode],"NICU")=0,"",SUMIFS(tblDaily[Admissions],tblDaily[EntryDate],DATE(2026,11,23),tblDaily[WardCode],"NICU")),"")</f>
        <v/>
      </c>
      <c r="C419" s="5" t="str">
        <f>IFERROR(IF(SUMIFS(tblDaily[Discharges],tblDaily[EntryDate],DATE(2026,11,23),tblDaily[WardCode],"NICU")=0,"",SUMIFS(tblDaily[Discharges],tblDaily[EntryDate],DATE(2026,11,23),tblDaily[WardCode],"NICU")),"")</f>
        <v/>
      </c>
      <c r="D419" s="5" t="str">
        <f>IFERROR(IF(SUMIFS(tblDaily[Deaths],tblDaily[EntryDate],DATE(2026,11,23),tblDaily[WardCode],"NICU")=0,"",SUMIFS(tblDaily[Deaths],tblDaily[EntryDate],DATE(2026,11,23),tblDaily[WardCode],"NICU")),"")</f>
        <v/>
      </c>
      <c r="E419" s="5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5" t="str">
        <f>IFERROR(IF(SUMIFS(tblDaily[TransfersIn],tblDaily[EntryDate],DATE(2026,11,23),tblDaily[WardCode],"NICU")=0,"",SUMIFS(tblDaily[TransfersIn],tblDaily[EntryDate],DATE(2026,11,23),tblDaily[WardCode],"NICU")),"")</f>
        <v/>
      </c>
      <c r="G419" s="5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5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IFERROR(IF(SUMIFS(tblDaily[Admissions],tblDaily[EntryDate],DATE(2026,11,24),tblDaily[WardCode],"NICU")=0,"",SUMIFS(tblDaily[Admissions],tblDaily[EntryDate],DATE(2026,11,24),tblDaily[WardCode],"NICU")),"")</f>
        <v/>
      </c>
      <c r="C420" s="5" t="str">
        <f>IFERROR(IF(SUMIFS(tblDaily[Discharges],tblDaily[EntryDate],DATE(2026,11,24),tblDaily[WardCode],"NICU")=0,"",SUMIFS(tblDaily[Discharges],tblDaily[EntryDate],DATE(2026,11,24),tblDaily[WardCode],"NICU")),"")</f>
        <v/>
      </c>
      <c r="D420" s="5" t="str">
        <f>IFERROR(IF(SUMIFS(tblDaily[Deaths],tblDaily[EntryDate],DATE(2026,11,24),tblDaily[WardCode],"NICU")=0,"",SUMIFS(tblDaily[Deaths],tblDaily[EntryDate],DATE(2026,11,24),tblDaily[WardCode],"NICU")),"")</f>
        <v/>
      </c>
      <c r="E420" s="5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5" t="str">
        <f>IFERROR(IF(SUMIFS(tblDaily[TransfersIn],tblDaily[EntryDate],DATE(2026,11,24),tblDaily[WardCode],"NICU")=0,"",SUMIFS(tblDaily[TransfersIn],tblDaily[EntryDate],DATE(2026,11,24),tblDaily[WardCode],"NICU")),"")</f>
        <v/>
      </c>
      <c r="G420" s="5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5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IFERROR(IF(SUMIFS(tblDaily[Admissions],tblDaily[EntryDate],DATE(2026,11,25),tblDaily[WardCode],"NICU")=0,"",SUMIFS(tblDaily[Admissions],tblDaily[EntryDate],DATE(2026,11,25),tblDaily[WardCode],"NICU")),"")</f>
        <v/>
      </c>
      <c r="C421" s="5" t="str">
        <f>IFERROR(IF(SUMIFS(tblDaily[Discharges],tblDaily[EntryDate],DATE(2026,11,25),tblDaily[WardCode],"NICU")=0,"",SUMIFS(tblDaily[Discharges],tblDaily[EntryDate],DATE(2026,11,25),tblDaily[WardCode],"NICU")),"")</f>
        <v/>
      </c>
      <c r="D421" s="5" t="str">
        <f>IFERROR(IF(SUMIFS(tblDaily[Deaths],tblDaily[EntryDate],DATE(2026,11,25),tblDaily[WardCode],"NICU")=0,"",SUMIFS(tblDaily[Deaths],tblDaily[EntryDate],DATE(2026,11,25),tblDaily[WardCode],"NICU")),"")</f>
        <v/>
      </c>
      <c r="E421" s="5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5" t="str">
        <f>IFERROR(IF(SUMIFS(tblDaily[TransfersIn],tblDaily[EntryDate],DATE(2026,11,25),tblDaily[WardCode],"NICU")=0,"",SUMIFS(tblDaily[TransfersIn],tblDaily[EntryDate],DATE(2026,11,25),tblDaily[WardCode],"NICU")),"")</f>
        <v/>
      </c>
      <c r="G421" s="5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5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IFERROR(IF(SUMIFS(tblDaily[Admissions],tblDaily[EntryDate],DATE(2026,11,26),tblDaily[WardCode],"NICU")=0,"",SUMIFS(tblDaily[Admissions],tblDaily[EntryDate],DATE(2026,11,26),tblDaily[WardCode],"NICU")),"")</f>
        <v/>
      </c>
      <c r="C422" s="5" t="str">
        <f>IFERROR(IF(SUMIFS(tblDaily[Discharges],tblDaily[EntryDate],DATE(2026,11,26),tblDaily[WardCode],"NICU")=0,"",SUMIFS(tblDaily[Discharges],tblDaily[EntryDate],DATE(2026,11,26),tblDaily[WardCode],"NICU")),"")</f>
        <v/>
      </c>
      <c r="D422" s="5" t="str">
        <f>IFERROR(IF(SUMIFS(tblDaily[Deaths],tblDaily[EntryDate],DATE(2026,11,26),tblDaily[WardCode],"NICU")=0,"",SUMIFS(tblDaily[Deaths],tblDaily[EntryDate],DATE(2026,11,26),tblDaily[WardCode],"NICU")),"")</f>
        <v/>
      </c>
      <c r="E422" s="5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5" t="str">
        <f>IFERROR(IF(SUMIFS(tblDaily[TransfersIn],tblDaily[EntryDate],DATE(2026,11,26),tblDaily[WardCode],"NICU")=0,"",SUMIFS(tblDaily[TransfersIn],tblDaily[EntryDate],DATE(2026,11,26),tblDaily[WardCode],"NICU")),"")</f>
        <v/>
      </c>
      <c r="G422" s="5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5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IFERROR(IF(SUMIFS(tblDaily[Admissions],tblDaily[EntryDate],DATE(2026,11,27),tblDaily[WardCode],"NICU")=0,"",SUMIFS(tblDaily[Admissions],tblDaily[EntryDate],DATE(2026,11,27),tblDaily[WardCode],"NICU")),"")</f>
        <v/>
      </c>
      <c r="C423" s="5" t="str">
        <f>IFERROR(IF(SUMIFS(tblDaily[Discharges],tblDaily[EntryDate],DATE(2026,11,27),tblDaily[WardCode],"NICU")=0,"",SUMIFS(tblDaily[Discharges],tblDaily[EntryDate],DATE(2026,11,27),tblDaily[WardCode],"NICU")),"")</f>
        <v/>
      </c>
      <c r="D423" s="5" t="str">
        <f>IFERROR(IF(SUMIFS(tblDaily[Deaths],tblDaily[EntryDate],DATE(2026,11,27),tblDaily[WardCode],"NICU")=0,"",SUMIFS(tblDaily[Deaths],tblDaily[EntryDate],DATE(2026,11,27),tblDaily[WardCode],"NICU")),"")</f>
        <v/>
      </c>
      <c r="E423" s="5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5" t="str">
        <f>IFERROR(IF(SUMIFS(tblDaily[TransfersIn],tblDaily[EntryDate],DATE(2026,11,27),tblDaily[WardCode],"NICU")=0,"",SUMIFS(tblDaily[TransfersIn],tblDaily[EntryDate],DATE(2026,11,27),tblDaily[WardCode],"NICU")),"")</f>
        <v/>
      </c>
      <c r="G423" s="5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5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IFERROR(IF(SUMIFS(tblDaily[Admissions],tblDaily[EntryDate],DATE(2026,11,28),tblDaily[WardCode],"NICU")=0,"",SUMIFS(tblDaily[Admissions],tblDaily[EntryDate],DATE(2026,11,28),tblDaily[WardCode],"NICU")),"")</f>
        <v/>
      </c>
      <c r="C424" s="5" t="str">
        <f>IFERROR(IF(SUMIFS(tblDaily[Discharges],tblDaily[EntryDate],DATE(2026,11,28),tblDaily[WardCode],"NICU")=0,"",SUMIFS(tblDaily[Discharges],tblDaily[EntryDate],DATE(2026,11,28),tblDaily[WardCode],"NICU")),"")</f>
        <v/>
      </c>
      <c r="D424" s="5" t="str">
        <f>IFERROR(IF(SUMIFS(tblDaily[Deaths],tblDaily[EntryDate],DATE(2026,11,28),tblDaily[WardCode],"NICU")=0,"",SUMIFS(tblDaily[Deaths],tblDaily[EntryDate],DATE(2026,11,28),tblDaily[WardCode],"NICU")),"")</f>
        <v/>
      </c>
      <c r="E424" s="5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5" t="str">
        <f>IFERROR(IF(SUMIFS(tblDaily[TransfersIn],tblDaily[EntryDate],DATE(2026,11,28),tblDaily[WardCode],"NICU")=0,"",SUMIFS(tblDaily[TransfersIn],tblDaily[EntryDate],DATE(2026,11,28),tblDaily[WardCode],"NICU")),"")</f>
        <v/>
      </c>
      <c r="G424" s="5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5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IFERROR(IF(SUMIFS(tblDaily[Admissions],tblDaily[EntryDate],DATE(2026,11,29),tblDaily[WardCode],"NICU")=0,"",SUMIFS(tblDaily[Admissions],tblDaily[EntryDate],DATE(2026,11,29),tblDaily[WardCode],"NICU")),"")</f>
        <v/>
      </c>
      <c r="C425" s="5" t="str">
        <f>IFERROR(IF(SUMIFS(tblDaily[Discharges],tblDaily[EntryDate],DATE(2026,11,29),tblDaily[WardCode],"NICU")=0,"",SUMIFS(tblDaily[Discharges],tblDaily[EntryDate],DATE(2026,11,29),tblDaily[WardCode],"NICU")),"")</f>
        <v/>
      </c>
      <c r="D425" s="5" t="str">
        <f>IFERROR(IF(SUMIFS(tblDaily[Deaths],tblDaily[EntryDate],DATE(2026,11,29),tblDaily[WardCode],"NICU")=0,"",SUMIFS(tblDaily[Deaths],tblDaily[EntryDate],DATE(2026,11,29),tblDaily[WardCode],"NICU")),"")</f>
        <v/>
      </c>
      <c r="E425" s="5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5" t="str">
        <f>IFERROR(IF(SUMIFS(tblDaily[TransfersIn],tblDaily[EntryDate],DATE(2026,11,29),tblDaily[WardCode],"NICU")=0,"",SUMIFS(tblDaily[TransfersIn],tblDaily[EntryDate],DATE(2026,11,29),tblDaily[WardCode],"NICU")),"")</f>
        <v/>
      </c>
      <c r="G425" s="5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5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IFERROR(IF(SUMIFS(tblDaily[Admissions],tblDaily[EntryDate],DATE(2026,11,30),tblDaily[WardCode],"NICU")=0,"",SUMIFS(tblDaily[Admissions],tblDaily[EntryDate],DATE(2026,11,30),tblDaily[WardCode],"NICU")),"")</f>
        <v/>
      </c>
      <c r="C426" s="5" t="str">
        <f>IFERROR(IF(SUMIFS(tblDaily[Discharges],tblDaily[EntryDate],DATE(2026,11,30),tblDaily[WardCode],"NICU")=0,"",SUMIFS(tblDaily[Discharges],tblDaily[EntryDate],DATE(2026,11,30),tblDaily[WardCode],"NICU")),"")</f>
        <v/>
      </c>
      <c r="D426" s="5" t="str">
        <f>IFERROR(IF(SUMIFS(tblDaily[Deaths],tblDaily[EntryDate],DATE(2026,11,30),tblDaily[WardCode],"NICU")=0,"",SUMIFS(tblDaily[Deaths],tblDaily[EntryDate],DATE(2026,11,30),tblDaily[WardCode],"NICU")),"")</f>
        <v/>
      </c>
      <c r="E426" s="5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5" t="str">
        <f>IFERROR(IF(SUMIFS(tblDaily[TransfersIn],tblDaily[EntryDate],DATE(2026,11,30),tblDaily[WardCode],"NICU")=0,"",SUMIFS(tblDaily[TransfersIn],tblDaily[EntryDate],DATE(2026,11,30),tblDaily[WardCode],"NICU")),"")</f>
        <v/>
      </c>
      <c r="G426" s="5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5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101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89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IFERROR(IF(SUMIFS(tblDaily[Admissions],tblDaily[EntryDate],DATE(2026,12,1),tblDaily[WardCode],"NICU")=0,"",SUMIFS(tblDaily[Admissions],tblDaily[EntryDate],DATE(2026,12,1),tblDaily[WardCode],"NICU")),"")</f>
        <v/>
      </c>
      <c r="C436" s="5" t="str">
        <f>IFERROR(IF(SUMIFS(tblDaily[Discharges],tblDaily[EntryDate],DATE(2026,12,1),tblDaily[WardCode],"NICU")=0,"",SUMIFS(tblDaily[Discharges],tblDaily[EntryDate],DATE(2026,12,1),tblDaily[WardCode],"NICU")),"")</f>
        <v/>
      </c>
      <c r="D436" s="5" t="str">
        <f>IFERROR(IF(SUMIFS(tblDaily[Deaths],tblDaily[EntryDate],DATE(2026,12,1),tblDaily[WardCode],"NICU")=0,"",SUMIFS(tblDaily[Deaths],tblDaily[EntryDate],DATE(2026,12,1),tblDaily[WardCode],"NICU")),"")</f>
        <v/>
      </c>
      <c r="E436" s="5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5" t="str">
        <f>IFERROR(IF(SUMIFS(tblDaily[TransfersIn],tblDaily[EntryDate],DATE(2026,12,1),tblDaily[WardCode],"NICU")=0,"",SUMIFS(tblDaily[TransfersIn],tblDaily[EntryDate],DATE(2026,12,1),tblDaily[WardCode],"NICU")),"")</f>
        <v/>
      </c>
      <c r="G436" s="5" t="str">
        <f>IFERROR(IF(SUMIFS(tblDaily[TransfersOut],tblDaily[EntryDate],DATE(2026,12,1),tblDaily[WardCode],"NICU")=0,"",SUMIFS(tblDaily[TransfersOut],tblDaily[EntryDate],DATE(2026,12,1),tblDaily[WardCode],"NICU")),"")</f>
        <v/>
      </c>
      <c r="H436" s="5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IFERROR(IF(SUMIFS(tblDaily[Admissions],tblDaily[EntryDate],DATE(2026,12,2),tblDaily[WardCode],"NICU")=0,"",SUMIFS(tblDaily[Admissions],tblDaily[EntryDate],DATE(2026,12,2),tblDaily[WardCode],"NICU")),"")</f>
        <v/>
      </c>
      <c r="C437" s="5" t="str">
        <f>IFERROR(IF(SUMIFS(tblDaily[Discharges],tblDaily[EntryDate],DATE(2026,12,2),tblDaily[WardCode],"NICU")=0,"",SUMIFS(tblDaily[Discharges],tblDaily[EntryDate],DATE(2026,12,2),tblDaily[WardCode],"NICU")),"")</f>
        <v/>
      </c>
      <c r="D437" s="5" t="str">
        <f>IFERROR(IF(SUMIFS(tblDaily[Deaths],tblDaily[EntryDate],DATE(2026,12,2),tblDaily[WardCode],"NICU")=0,"",SUMIFS(tblDaily[Deaths],tblDaily[EntryDate],DATE(2026,12,2),tblDaily[WardCode],"NICU")),"")</f>
        <v/>
      </c>
      <c r="E437" s="5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5" t="str">
        <f>IFERROR(IF(SUMIFS(tblDaily[TransfersIn],tblDaily[EntryDate],DATE(2026,12,2),tblDaily[WardCode],"NICU")=0,"",SUMIFS(tblDaily[TransfersIn],tblDaily[EntryDate],DATE(2026,12,2),tblDaily[WardCode],"NICU")),"")</f>
        <v/>
      </c>
      <c r="G437" s="5" t="str">
        <f>IFERROR(IF(SUMIFS(tblDaily[TransfersOut],tblDaily[EntryDate],DATE(2026,12,2),tblDaily[WardCode],"NICU")=0,"",SUMIFS(tblDaily[TransfersOut],tblDaily[EntryDate],DATE(2026,12,2),tblDaily[WardCode],"NICU")),"")</f>
        <v/>
      </c>
      <c r="H437" s="5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IFERROR(IF(SUMIFS(tblDaily[Admissions],tblDaily[EntryDate],DATE(2026,12,3),tblDaily[WardCode],"NICU")=0,"",SUMIFS(tblDaily[Admissions],tblDaily[EntryDate],DATE(2026,12,3),tblDaily[WardCode],"NICU")),"")</f>
        <v/>
      </c>
      <c r="C438" s="5" t="str">
        <f>IFERROR(IF(SUMIFS(tblDaily[Discharges],tblDaily[EntryDate],DATE(2026,12,3),tblDaily[WardCode],"NICU")=0,"",SUMIFS(tblDaily[Discharges],tblDaily[EntryDate],DATE(2026,12,3),tblDaily[WardCode],"NICU")),"")</f>
        <v/>
      </c>
      <c r="D438" s="5" t="str">
        <f>IFERROR(IF(SUMIFS(tblDaily[Deaths],tblDaily[EntryDate],DATE(2026,12,3),tblDaily[WardCode],"NICU")=0,"",SUMIFS(tblDaily[Deaths],tblDaily[EntryDate],DATE(2026,12,3),tblDaily[WardCode],"NICU")),"")</f>
        <v/>
      </c>
      <c r="E438" s="5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5" t="str">
        <f>IFERROR(IF(SUMIFS(tblDaily[TransfersIn],tblDaily[EntryDate],DATE(2026,12,3),tblDaily[WardCode],"NICU")=0,"",SUMIFS(tblDaily[TransfersIn],tblDaily[EntryDate],DATE(2026,12,3),tblDaily[WardCode],"NICU")),"")</f>
        <v/>
      </c>
      <c r="G438" s="5" t="str">
        <f>IFERROR(IF(SUMIFS(tblDaily[TransfersOut],tblDaily[EntryDate],DATE(2026,12,3),tblDaily[WardCode],"NICU")=0,"",SUMIFS(tblDaily[TransfersOut],tblDaily[EntryDate],DATE(2026,12,3),tblDaily[WardCode],"NICU")),"")</f>
        <v/>
      </c>
      <c r="H438" s="5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IFERROR(IF(SUMIFS(tblDaily[Admissions],tblDaily[EntryDate],DATE(2026,12,4),tblDaily[WardCode],"NICU")=0,"",SUMIFS(tblDaily[Admissions],tblDaily[EntryDate],DATE(2026,12,4),tblDaily[WardCode],"NICU")),"")</f>
        <v/>
      </c>
      <c r="C439" s="5" t="str">
        <f>IFERROR(IF(SUMIFS(tblDaily[Discharges],tblDaily[EntryDate],DATE(2026,12,4),tblDaily[WardCode],"NICU")=0,"",SUMIFS(tblDaily[Discharges],tblDaily[EntryDate],DATE(2026,12,4),tblDaily[WardCode],"NICU")),"")</f>
        <v/>
      </c>
      <c r="D439" s="5" t="str">
        <f>IFERROR(IF(SUMIFS(tblDaily[Deaths],tblDaily[EntryDate],DATE(2026,12,4),tblDaily[WardCode],"NICU")=0,"",SUMIFS(tblDaily[Deaths],tblDaily[EntryDate],DATE(2026,12,4),tblDaily[WardCode],"NICU")),"")</f>
        <v/>
      </c>
      <c r="E439" s="5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5" t="str">
        <f>IFERROR(IF(SUMIFS(tblDaily[TransfersIn],tblDaily[EntryDate],DATE(2026,12,4),tblDaily[WardCode],"NICU")=0,"",SUMIFS(tblDaily[TransfersIn],tblDaily[EntryDate],DATE(2026,12,4),tblDaily[WardCode],"NICU")),"")</f>
        <v/>
      </c>
      <c r="G439" s="5" t="str">
        <f>IFERROR(IF(SUMIFS(tblDaily[TransfersOut],tblDaily[EntryDate],DATE(2026,12,4),tblDaily[WardCode],"NICU")=0,"",SUMIFS(tblDaily[TransfersOut],tblDaily[EntryDate],DATE(2026,12,4),tblDaily[WardCode],"NICU")),"")</f>
        <v/>
      </c>
      <c r="H439" s="5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IFERROR(IF(SUMIFS(tblDaily[Admissions],tblDaily[EntryDate],DATE(2026,12,5),tblDaily[WardCode],"NICU")=0,"",SUMIFS(tblDaily[Admissions],tblDaily[EntryDate],DATE(2026,12,5),tblDaily[WardCode],"NICU")),"")</f>
        <v/>
      </c>
      <c r="C440" s="5" t="str">
        <f>IFERROR(IF(SUMIFS(tblDaily[Discharges],tblDaily[EntryDate],DATE(2026,12,5),tblDaily[WardCode],"NICU")=0,"",SUMIFS(tblDaily[Discharges],tblDaily[EntryDate],DATE(2026,12,5),tblDaily[WardCode],"NICU")),"")</f>
        <v/>
      </c>
      <c r="D440" s="5" t="str">
        <f>IFERROR(IF(SUMIFS(tblDaily[Deaths],tblDaily[EntryDate],DATE(2026,12,5),tblDaily[WardCode],"NICU")=0,"",SUMIFS(tblDaily[Deaths],tblDaily[EntryDate],DATE(2026,12,5),tblDaily[WardCode],"NICU")),"")</f>
        <v/>
      </c>
      <c r="E440" s="5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5" t="str">
        <f>IFERROR(IF(SUMIFS(tblDaily[TransfersIn],tblDaily[EntryDate],DATE(2026,12,5),tblDaily[WardCode],"NICU")=0,"",SUMIFS(tblDaily[TransfersIn],tblDaily[EntryDate],DATE(2026,12,5),tblDaily[WardCode],"NICU")),"")</f>
        <v/>
      </c>
      <c r="G440" s="5" t="str">
        <f>IFERROR(IF(SUMIFS(tblDaily[TransfersOut],tblDaily[EntryDate],DATE(2026,12,5),tblDaily[WardCode],"NICU")=0,"",SUMIFS(tblDaily[TransfersOut],tblDaily[EntryDate],DATE(2026,12,5),tblDaily[WardCode],"NICU")),"")</f>
        <v/>
      </c>
      <c r="H440" s="5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IFERROR(IF(SUMIFS(tblDaily[Admissions],tblDaily[EntryDate],DATE(2026,12,6),tblDaily[WardCode],"NICU")=0,"",SUMIFS(tblDaily[Admissions],tblDaily[EntryDate],DATE(2026,12,6),tblDaily[WardCode],"NICU")),"")</f>
        <v/>
      </c>
      <c r="C441" s="5" t="str">
        <f>IFERROR(IF(SUMIFS(tblDaily[Discharges],tblDaily[EntryDate],DATE(2026,12,6),tblDaily[WardCode],"NICU")=0,"",SUMIFS(tblDaily[Discharges],tblDaily[EntryDate],DATE(2026,12,6),tblDaily[WardCode],"NICU")),"")</f>
        <v/>
      </c>
      <c r="D441" s="5" t="str">
        <f>IFERROR(IF(SUMIFS(tblDaily[Deaths],tblDaily[EntryDate],DATE(2026,12,6),tblDaily[WardCode],"NICU")=0,"",SUMIFS(tblDaily[Deaths],tblDaily[EntryDate],DATE(2026,12,6),tblDaily[WardCode],"NICU")),"")</f>
        <v/>
      </c>
      <c r="E441" s="5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5" t="str">
        <f>IFERROR(IF(SUMIFS(tblDaily[TransfersIn],tblDaily[EntryDate],DATE(2026,12,6),tblDaily[WardCode],"NICU")=0,"",SUMIFS(tblDaily[TransfersIn],tblDaily[EntryDate],DATE(2026,12,6),tblDaily[WardCode],"NICU")),"")</f>
        <v/>
      </c>
      <c r="G441" s="5" t="str">
        <f>IFERROR(IF(SUMIFS(tblDaily[TransfersOut],tblDaily[EntryDate],DATE(2026,12,6),tblDaily[WardCode],"NICU")=0,"",SUMIFS(tblDaily[TransfersOut],tblDaily[EntryDate],DATE(2026,12,6),tblDaily[WardCode],"NICU")),"")</f>
        <v/>
      </c>
      <c r="H441" s="5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IFERROR(IF(SUMIFS(tblDaily[Admissions],tblDaily[EntryDate],DATE(2026,12,7),tblDaily[WardCode],"NICU")=0,"",SUMIFS(tblDaily[Admissions],tblDaily[EntryDate],DATE(2026,12,7),tblDaily[WardCode],"NICU")),"")</f>
        <v/>
      </c>
      <c r="C442" s="5" t="str">
        <f>IFERROR(IF(SUMIFS(tblDaily[Discharges],tblDaily[EntryDate],DATE(2026,12,7),tblDaily[WardCode],"NICU")=0,"",SUMIFS(tblDaily[Discharges],tblDaily[EntryDate],DATE(2026,12,7),tblDaily[WardCode],"NICU")),"")</f>
        <v/>
      </c>
      <c r="D442" s="5" t="str">
        <f>IFERROR(IF(SUMIFS(tblDaily[Deaths],tblDaily[EntryDate],DATE(2026,12,7),tblDaily[WardCode],"NICU")=0,"",SUMIFS(tblDaily[Deaths],tblDaily[EntryDate],DATE(2026,12,7),tblDaily[WardCode],"NICU")),"")</f>
        <v/>
      </c>
      <c r="E442" s="5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5" t="str">
        <f>IFERROR(IF(SUMIFS(tblDaily[TransfersIn],tblDaily[EntryDate],DATE(2026,12,7),tblDaily[WardCode],"NICU")=0,"",SUMIFS(tblDaily[TransfersIn],tblDaily[EntryDate],DATE(2026,12,7),tblDaily[WardCode],"NICU")),"")</f>
        <v/>
      </c>
      <c r="G442" s="5" t="str">
        <f>IFERROR(IF(SUMIFS(tblDaily[TransfersOut],tblDaily[EntryDate],DATE(2026,12,7),tblDaily[WardCode],"NICU")=0,"",SUMIFS(tblDaily[TransfersOut],tblDaily[EntryDate],DATE(2026,12,7),tblDaily[WardCode],"NICU")),"")</f>
        <v/>
      </c>
      <c r="H442" s="5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IFERROR(IF(SUMIFS(tblDaily[Admissions],tblDaily[EntryDate],DATE(2026,12,8),tblDaily[WardCode],"NICU")=0,"",SUMIFS(tblDaily[Admissions],tblDaily[EntryDate],DATE(2026,12,8),tblDaily[WardCode],"NICU")),"")</f>
        <v/>
      </c>
      <c r="C443" s="5" t="str">
        <f>IFERROR(IF(SUMIFS(tblDaily[Discharges],tblDaily[EntryDate],DATE(2026,12,8),tblDaily[WardCode],"NICU")=0,"",SUMIFS(tblDaily[Discharges],tblDaily[EntryDate],DATE(2026,12,8),tblDaily[WardCode],"NICU")),"")</f>
        <v/>
      </c>
      <c r="D443" s="5" t="str">
        <f>IFERROR(IF(SUMIFS(tblDaily[Deaths],tblDaily[EntryDate],DATE(2026,12,8),tblDaily[WardCode],"NICU")=0,"",SUMIFS(tblDaily[Deaths],tblDaily[EntryDate],DATE(2026,12,8),tblDaily[WardCode],"NICU")),"")</f>
        <v/>
      </c>
      <c r="E443" s="5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5" t="str">
        <f>IFERROR(IF(SUMIFS(tblDaily[TransfersIn],tblDaily[EntryDate],DATE(2026,12,8),tblDaily[WardCode],"NICU")=0,"",SUMIFS(tblDaily[TransfersIn],tblDaily[EntryDate],DATE(2026,12,8),tblDaily[WardCode],"NICU")),"")</f>
        <v/>
      </c>
      <c r="G443" s="5" t="str">
        <f>IFERROR(IF(SUMIFS(tblDaily[TransfersOut],tblDaily[EntryDate],DATE(2026,12,8),tblDaily[WardCode],"NICU")=0,"",SUMIFS(tblDaily[TransfersOut],tblDaily[EntryDate],DATE(2026,12,8),tblDaily[WardCode],"NICU")),"")</f>
        <v/>
      </c>
      <c r="H443" s="5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IFERROR(IF(SUMIFS(tblDaily[Admissions],tblDaily[EntryDate],DATE(2026,12,9),tblDaily[WardCode],"NICU")=0,"",SUMIFS(tblDaily[Admissions],tblDaily[EntryDate],DATE(2026,12,9),tblDaily[WardCode],"NICU")),"")</f>
        <v/>
      </c>
      <c r="C444" s="5" t="str">
        <f>IFERROR(IF(SUMIFS(tblDaily[Discharges],tblDaily[EntryDate],DATE(2026,12,9),tblDaily[WardCode],"NICU")=0,"",SUMIFS(tblDaily[Discharges],tblDaily[EntryDate],DATE(2026,12,9),tblDaily[WardCode],"NICU")),"")</f>
        <v/>
      </c>
      <c r="D444" s="5" t="str">
        <f>IFERROR(IF(SUMIFS(tblDaily[Deaths],tblDaily[EntryDate],DATE(2026,12,9),tblDaily[WardCode],"NICU")=0,"",SUMIFS(tblDaily[Deaths],tblDaily[EntryDate],DATE(2026,12,9),tblDaily[WardCode],"NICU")),"")</f>
        <v/>
      </c>
      <c r="E444" s="5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5" t="str">
        <f>IFERROR(IF(SUMIFS(tblDaily[TransfersIn],tblDaily[EntryDate],DATE(2026,12,9),tblDaily[WardCode],"NICU")=0,"",SUMIFS(tblDaily[TransfersIn],tblDaily[EntryDate],DATE(2026,12,9),tblDaily[WardCode],"NICU")),"")</f>
        <v/>
      </c>
      <c r="G444" s="5" t="str">
        <f>IFERROR(IF(SUMIFS(tblDaily[TransfersOut],tblDaily[EntryDate],DATE(2026,12,9),tblDaily[WardCode],"NICU")=0,"",SUMIFS(tblDaily[TransfersOut],tblDaily[EntryDate],DATE(2026,12,9),tblDaily[WardCode],"NICU")),"")</f>
        <v/>
      </c>
      <c r="H444" s="5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IFERROR(IF(SUMIFS(tblDaily[Admissions],tblDaily[EntryDate],DATE(2026,12,10),tblDaily[WardCode],"NICU")=0,"",SUMIFS(tblDaily[Admissions],tblDaily[EntryDate],DATE(2026,12,10),tblDaily[WardCode],"NICU")),"")</f>
        <v/>
      </c>
      <c r="C445" s="5" t="str">
        <f>IFERROR(IF(SUMIFS(tblDaily[Discharges],tblDaily[EntryDate],DATE(2026,12,10),tblDaily[WardCode],"NICU")=0,"",SUMIFS(tblDaily[Discharges],tblDaily[EntryDate],DATE(2026,12,10),tblDaily[WardCode],"NICU")),"")</f>
        <v/>
      </c>
      <c r="D445" s="5" t="str">
        <f>IFERROR(IF(SUMIFS(tblDaily[Deaths],tblDaily[EntryDate],DATE(2026,12,10),tblDaily[WardCode],"NICU")=0,"",SUMIFS(tblDaily[Deaths],tblDaily[EntryDate],DATE(2026,12,10),tblDaily[WardCode],"NICU")),"")</f>
        <v/>
      </c>
      <c r="E445" s="5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5" t="str">
        <f>IFERROR(IF(SUMIFS(tblDaily[TransfersIn],tblDaily[EntryDate],DATE(2026,12,10),tblDaily[WardCode],"NICU")=0,"",SUMIFS(tblDaily[TransfersIn],tblDaily[EntryDate],DATE(2026,12,10),tblDaily[WardCode],"NICU")),"")</f>
        <v/>
      </c>
      <c r="G445" s="5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5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IFERROR(IF(SUMIFS(tblDaily[Admissions],tblDaily[EntryDate],DATE(2026,12,11),tblDaily[WardCode],"NICU")=0,"",SUMIFS(tblDaily[Admissions],tblDaily[EntryDate],DATE(2026,12,11),tblDaily[WardCode],"NICU")),"")</f>
        <v/>
      </c>
      <c r="C446" s="5" t="str">
        <f>IFERROR(IF(SUMIFS(tblDaily[Discharges],tblDaily[EntryDate],DATE(2026,12,11),tblDaily[WardCode],"NICU")=0,"",SUMIFS(tblDaily[Discharges],tblDaily[EntryDate],DATE(2026,12,11),tblDaily[WardCode],"NICU")),"")</f>
        <v/>
      </c>
      <c r="D446" s="5" t="str">
        <f>IFERROR(IF(SUMIFS(tblDaily[Deaths],tblDaily[EntryDate],DATE(2026,12,11),tblDaily[WardCode],"NICU")=0,"",SUMIFS(tblDaily[Deaths],tblDaily[EntryDate],DATE(2026,12,11),tblDaily[WardCode],"NICU")),"")</f>
        <v/>
      </c>
      <c r="E446" s="5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5" t="str">
        <f>IFERROR(IF(SUMIFS(tblDaily[TransfersIn],tblDaily[EntryDate],DATE(2026,12,11),tblDaily[WardCode],"NICU")=0,"",SUMIFS(tblDaily[TransfersIn],tblDaily[EntryDate],DATE(2026,12,11),tblDaily[WardCode],"NICU")),"")</f>
        <v/>
      </c>
      <c r="G446" s="5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5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IFERROR(IF(SUMIFS(tblDaily[Admissions],tblDaily[EntryDate],DATE(2026,12,12),tblDaily[WardCode],"NICU")=0,"",SUMIFS(tblDaily[Admissions],tblDaily[EntryDate],DATE(2026,12,12),tblDaily[WardCode],"NICU")),"")</f>
        <v/>
      </c>
      <c r="C447" s="5" t="str">
        <f>IFERROR(IF(SUMIFS(tblDaily[Discharges],tblDaily[EntryDate],DATE(2026,12,12),tblDaily[WardCode],"NICU")=0,"",SUMIFS(tblDaily[Discharges],tblDaily[EntryDate],DATE(2026,12,12),tblDaily[WardCode],"NICU")),"")</f>
        <v/>
      </c>
      <c r="D447" s="5" t="str">
        <f>IFERROR(IF(SUMIFS(tblDaily[Deaths],tblDaily[EntryDate],DATE(2026,12,12),tblDaily[WardCode],"NICU")=0,"",SUMIFS(tblDaily[Deaths],tblDaily[EntryDate],DATE(2026,12,12),tblDaily[WardCode],"NICU")),"")</f>
        <v/>
      </c>
      <c r="E447" s="5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5" t="str">
        <f>IFERROR(IF(SUMIFS(tblDaily[TransfersIn],tblDaily[EntryDate],DATE(2026,12,12),tblDaily[WardCode],"NICU")=0,"",SUMIFS(tblDaily[TransfersIn],tblDaily[EntryDate],DATE(2026,12,12),tblDaily[WardCode],"NICU")),"")</f>
        <v/>
      </c>
      <c r="G447" s="5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5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IFERROR(IF(SUMIFS(tblDaily[Admissions],tblDaily[EntryDate],DATE(2026,12,13),tblDaily[WardCode],"NICU")=0,"",SUMIFS(tblDaily[Admissions],tblDaily[EntryDate],DATE(2026,12,13),tblDaily[WardCode],"NICU")),"")</f>
        <v/>
      </c>
      <c r="C448" s="5" t="str">
        <f>IFERROR(IF(SUMIFS(tblDaily[Discharges],tblDaily[EntryDate],DATE(2026,12,13),tblDaily[WardCode],"NICU")=0,"",SUMIFS(tblDaily[Discharges],tblDaily[EntryDate],DATE(2026,12,13),tblDaily[WardCode],"NICU")),"")</f>
        <v/>
      </c>
      <c r="D448" s="5" t="str">
        <f>IFERROR(IF(SUMIFS(tblDaily[Deaths],tblDaily[EntryDate],DATE(2026,12,13),tblDaily[WardCode],"NICU")=0,"",SUMIFS(tblDaily[Deaths],tblDaily[EntryDate],DATE(2026,12,13),tblDaily[WardCode],"NICU")),"")</f>
        <v/>
      </c>
      <c r="E448" s="5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5" t="str">
        <f>IFERROR(IF(SUMIFS(tblDaily[TransfersIn],tblDaily[EntryDate],DATE(2026,12,13),tblDaily[WardCode],"NICU")=0,"",SUMIFS(tblDaily[TransfersIn],tblDaily[EntryDate],DATE(2026,12,13),tblDaily[WardCode],"NICU")),"")</f>
        <v/>
      </c>
      <c r="G448" s="5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5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IFERROR(IF(SUMIFS(tblDaily[Admissions],tblDaily[EntryDate],DATE(2026,12,14),tblDaily[WardCode],"NICU")=0,"",SUMIFS(tblDaily[Admissions],tblDaily[EntryDate],DATE(2026,12,14),tblDaily[WardCode],"NICU")),"")</f>
        <v/>
      </c>
      <c r="C449" s="5" t="str">
        <f>IFERROR(IF(SUMIFS(tblDaily[Discharges],tblDaily[EntryDate],DATE(2026,12,14),tblDaily[WardCode],"NICU")=0,"",SUMIFS(tblDaily[Discharges],tblDaily[EntryDate],DATE(2026,12,14),tblDaily[WardCode],"NICU")),"")</f>
        <v/>
      </c>
      <c r="D449" s="5" t="str">
        <f>IFERROR(IF(SUMIFS(tblDaily[Deaths],tblDaily[EntryDate],DATE(2026,12,14),tblDaily[WardCode],"NICU")=0,"",SUMIFS(tblDaily[Deaths],tblDaily[EntryDate],DATE(2026,12,14),tblDaily[WardCode],"NICU")),"")</f>
        <v/>
      </c>
      <c r="E449" s="5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5" t="str">
        <f>IFERROR(IF(SUMIFS(tblDaily[TransfersIn],tblDaily[EntryDate],DATE(2026,12,14),tblDaily[WardCode],"NICU")=0,"",SUMIFS(tblDaily[TransfersIn],tblDaily[EntryDate],DATE(2026,12,14),tblDaily[WardCode],"NICU")),"")</f>
        <v/>
      </c>
      <c r="G449" s="5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5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IFERROR(IF(SUMIFS(tblDaily[Admissions],tblDaily[EntryDate],DATE(2026,12,15),tblDaily[WardCode],"NICU")=0,"",SUMIFS(tblDaily[Admissions],tblDaily[EntryDate],DATE(2026,12,15),tblDaily[WardCode],"NICU")),"")</f>
        <v/>
      </c>
      <c r="C450" s="5" t="str">
        <f>IFERROR(IF(SUMIFS(tblDaily[Discharges],tblDaily[EntryDate],DATE(2026,12,15),tblDaily[WardCode],"NICU")=0,"",SUMIFS(tblDaily[Discharges],tblDaily[EntryDate],DATE(2026,12,15),tblDaily[WardCode],"NICU")),"")</f>
        <v/>
      </c>
      <c r="D450" s="5" t="str">
        <f>IFERROR(IF(SUMIFS(tblDaily[Deaths],tblDaily[EntryDate],DATE(2026,12,15),tblDaily[WardCode],"NICU")=0,"",SUMIFS(tblDaily[Deaths],tblDaily[EntryDate],DATE(2026,12,15),tblDaily[WardCode],"NICU")),"")</f>
        <v/>
      </c>
      <c r="E450" s="5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5" t="str">
        <f>IFERROR(IF(SUMIFS(tblDaily[TransfersIn],tblDaily[EntryDate],DATE(2026,12,15),tblDaily[WardCode],"NICU")=0,"",SUMIFS(tblDaily[TransfersIn],tblDaily[EntryDate],DATE(2026,12,15),tblDaily[WardCode],"NICU")),"")</f>
        <v/>
      </c>
      <c r="G450" s="5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5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IFERROR(IF(SUMIFS(tblDaily[Admissions],tblDaily[EntryDate],DATE(2026,12,16),tblDaily[WardCode],"NICU")=0,"",SUMIFS(tblDaily[Admissions],tblDaily[EntryDate],DATE(2026,12,16),tblDaily[WardCode],"NICU")),"")</f>
        <v/>
      </c>
      <c r="C451" s="5" t="str">
        <f>IFERROR(IF(SUMIFS(tblDaily[Discharges],tblDaily[EntryDate],DATE(2026,12,16),tblDaily[WardCode],"NICU")=0,"",SUMIFS(tblDaily[Discharges],tblDaily[EntryDate],DATE(2026,12,16),tblDaily[WardCode],"NICU")),"")</f>
        <v/>
      </c>
      <c r="D451" s="5" t="str">
        <f>IFERROR(IF(SUMIFS(tblDaily[Deaths],tblDaily[EntryDate],DATE(2026,12,16),tblDaily[WardCode],"NICU")=0,"",SUMIFS(tblDaily[Deaths],tblDaily[EntryDate],DATE(2026,12,16),tblDaily[WardCode],"NICU")),"")</f>
        <v/>
      </c>
      <c r="E451" s="5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5" t="str">
        <f>IFERROR(IF(SUMIFS(tblDaily[TransfersIn],tblDaily[EntryDate],DATE(2026,12,16),tblDaily[WardCode],"NICU")=0,"",SUMIFS(tblDaily[TransfersIn],tblDaily[EntryDate],DATE(2026,12,16),tblDaily[WardCode],"NICU")),"")</f>
        <v/>
      </c>
      <c r="G451" s="5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5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IFERROR(IF(SUMIFS(tblDaily[Admissions],tblDaily[EntryDate],DATE(2026,12,17),tblDaily[WardCode],"NICU")=0,"",SUMIFS(tblDaily[Admissions],tblDaily[EntryDate],DATE(2026,12,17),tblDaily[WardCode],"NICU")),"")</f>
        <v/>
      </c>
      <c r="C452" s="5" t="str">
        <f>IFERROR(IF(SUMIFS(tblDaily[Discharges],tblDaily[EntryDate],DATE(2026,12,17),tblDaily[WardCode],"NICU")=0,"",SUMIFS(tblDaily[Discharges],tblDaily[EntryDate],DATE(2026,12,17),tblDaily[WardCode],"NICU")),"")</f>
        <v/>
      </c>
      <c r="D452" s="5" t="str">
        <f>IFERROR(IF(SUMIFS(tblDaily[Deaths],tblDaily[EntryDate],DATE(2026,12,17),tblDaily[WardCode],"NICU")=0,"",SUMIFS(tblDaily[Deaths],tblDaily[EntryDate],DATE(2026,12,17),tblDaily[WardCode],"NICU")),"")</f>
        <v/>
      </c>
      <c r="E452" s="5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5" t="str">
        <f>IFERROR(IF(SUMIFS(tblDaily[TransfersIn],tblDaily[EntryDate],DATE(2026,12,17),tblDaily[WardCode],"NICU")=0,"",SUMIFS(tblDaily[TransfersIn],tblDaily[EntryDate],DATE(2026,12,17),tblDaily[WardCode],"NICU")),"")</f>
        <v/>
      </c>
      <c r="G452" s="5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5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IFERROR(IF(SUMIFS(tblDaily[Admissions],tblDaily[EntryDate],DATE(2026,12,18),tblDaily[WardCode],"NICU")=0,"",SUMIFS(tblDaily[Admissions],tblDaily[EntryDate],DATE(2026,12,18),tblDaily[WardCode],"NICU")),"")</f>
        <v/>
      </c>
      <c r="C453" s="5" t="str">
        <f>IFERROR(IF(SUMIFS(tblDaily[Discharges],tblDaily[EntryDate],DATE(2026,12,18),tblDaily[WardCode],"NICU")=0,"",SUMIFS(tblDaily[Discharges],tblDaily[EntryDate],DATE(2026,12,18),tblDaily[WardCode],"NICU")),"")</f>
        <v/>
      </c>
      <c r="D453" s="5" t="str">
        <f>IFERROR(IF(SUMIFS(tblDaily[Deaths],tblDaily[EntryDate],DATE(2026,12,18),tblDaily[WardCode],"NICU")=0,"",SUMIFS(tblDaily[Deaths],tblDaily[EntryDate],DATE(2026,12,18),tblDaily[WardCode],"NICU")),"")</f>
        <v/>
      </c>
      <c r="E453" s="5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5" t="str">
        <f>IFERROR(IF(SUMIFS(tblDaily[TransfersIn],tblDaily[EntryDate],DATE(2026,12,18),tblDaily[WardCode],"NICU")=0,"",SUMIFS(tblDaily[TransfersIn],tblDaily[EntryDate],DATE(2026,12,18),tblDaily[WardCode],"NICU")),"")</f>
        <v/>
      </c>
      <c r="G453" s="5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5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IFERROR(IF(SUMIFS(tblDaily[Admissions],tblDaily[EntryDate],DATE(2026,12,19),tblDaily[WardCode],"NICU")=0,"",SUMIFS(tblDaily[Admissions],tblDaily[EntryDate],DATE(2026,12,19),tblDaily[WardCode],"NICU")),"")</f>
        <v/>
      </c>
      <c r="C454" s="5" t="str">
        <f>IFERROR(IF(SUMIFS(tblDaily[Discharges],tblDaily[EntryDate],DATE(2026,12,19),tblDaily[WardCode],"NICU")=0,"",SUMIFS(tblDaily[Discharges],tblDaily[EntryDate],DATE(2026,12,19),tblDaily[WardCode],"NICU")),"")</f>
        <v/>
      </c>
      <c r="D454" s="5" t="str">
        <f>IFERROR(IF(SUMIFS(tblDaily[Deaths],tblDaily[EntryDate],DATE(2026,12,19),tblDaily[WardCode],"NICU")=0,"",SUMIFS(tblDaily[Deaths],tblDaily[EntryDate],DATE(2026,12,19),tblDaily[WardCode],"NICU")),"")</f>
        <v/>
      </c>
      <c r="E454" s="5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5" t="str">
        <f>IFERROR(IF(SUMIFS(tblDaily[TransfersIn],tblDaily[EntryDate],DATE(2026,12,19),tblDaily[WardCode],"NICU")=0,"",SUMIFS(tblDaily[TransfersIn],tblDaily[EntryDate],DATE(2026,12,19),tblDaily[WardCode],"NICU")),"")</f>
        <v/>
      </c>
      <c r="G454" s="5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5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IFERROR(IF(SUMIFS(tblDaily[Admissions],tblDaily[EntryDate],DATE(2026,12,20),tblDaily[WardCode],"NICU")=0,"",SUMIFS(tblDaily[Admissions],tblDaily[EntryDate],DATE(2026,12,20),tblDaily[WardCode],"NICU")),"")</f>
        <v/>
      </c>
      <c r="C455" s="5" t="str">
        <f>IFERROR(IF(SUMIFS(tblDaily[Discharges],tblDaily[EntryDate],DATE(2026,12,20),tblDaily[WardCode],"NICU")=0,"",SUMIFS(tblDaily[Discharges],tblDaily[EntryDate],DATE(2026,12,20),tblDaily[WardCode],"NICU")),"")</f>
        <v/>
      </c>
      <c r="D455" s="5" t="str">
        <f>IFERROR(IF(SUMIFS(tblDaily[Deaths],tblDaily[EntryDate],DATE(2026,12,20),tblDaily[WardCode],"NICU")=0,"",SUMIFS(tblDaily[Deaths],tblDaily[EntryDate],DATE(2026,12,20),tblDaily[WardCode],"NICU")),"")</f>
        <v/>
      </c>
      <c r="E455" s="5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5" t="str">
        <f>IFERROR(IF(SUMIFS(tblDaily[TransfersIn],tblDaily[EntryDate],DATE(2026,12,20),tblDaily[WardCode],"NICU")=0,"",SUMIFS(tblDaily[TransfersIn],tblDaily[EntryDate],DATE(2026,12,20),tblDaily[WardCode],"NICU")),"")</f>
        <v/>
      </c>
      <c r="G455" s="5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5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IFERROR(IF(SUMIFS(tblDaily[Admissions],tblDaily[EntryDate],DATE(2026,12,21),tblDaily[WardCode],"NICU")=0,"",SUMIFS(tblDaily[Admissions],tblDaily[EntryDate],DATE(2026,12,21),tblDaily[WardCode],"NICU")),"")</f>
        <v/>
      </c>
      <c r="C456" s="5" t="str">
        <f>IFERROR(IF(SUMIFS(tblDaily[Discharges],tblDaily[EntryDate],DATE(2026,12,21),tblDaily[WardCode],"NICU")=0,"",SUMIFS(tblDaily[Discharges],tblDaily[EntryDate],DATE(2026,12,21),tblDaily[WardCode],"NICU")),"")</f>
        <v/>
      </c>
      <c r="D456" s="5" t="str">
        <f>IFERROR(IF(SUMIFS(tblDaily[Deaths],tblDaily[EntryDate],DATE(2026,12,21),tblDaily[WardCode],"NICU")=0,"",SUMIFS(tblDaily[Deaths],tblDaily[EntryDate],DATE(2026,12,21),tblDaily[WardCode],"NICU")),"")</f>
        <v/>
      </c>
      <c r="E456" s="5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5" t="str">
        <f>IFERROR(IF(SUMIFS(tblDaily[TransfersIn],tblDaily[EntryDate],DATE(2026,12,21),tblDaily[WardCode],"NICU")=0,"",SUMIFS(tblDaily[TransfersIn],tblDaily[EntryDate],DATE(2026,12,21),tblDaily[WardCode],"NICU")),"")</f>
        <v/>
      </c>
      <c r="G456" s="5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5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IFERROR(IF(SUMIFS(tblDaily[Admissions],tblDaily[EntryDate],DATE(2026,12,22),tblDaily[WardCode],"NICU")=0,"",SUMIFS(tblDaily[Admissions],tblDaily[EntryDate],DATE(2026,12,22),tblDaily[WardCode],"NICU")),"")</f>
        <v/>
      </c>
      <c r="C457" s="5" t="str">
        <f>IFERROR(IF(SUMIFS(tblDaily[Discharges],tblDaily[EntryDate],DATE(2026,12,22),tblDaily[WardCode],"NICU")=0,"",SUMIFS(tblDaily[Discharges],tblDaily[EntryDate],DATE(2026,12,22),tblDaily[WardCode],"NICU")),"")</f>
        <v/>
      </c>
      <c r="D457" s="5" t="str">
        <f>IFERROR(IF(SUMIFS(tblDaily[Deaths],tblDaily[EntryDate],DATE(2026,12,22),tblDaily[WardCode],"NICU")=0,"",SUMIFS(tblDaily[Deaths],tblDaily[EntryDate],DATE(2026,12,22),tblDaily[WardCode],"NICU")),"")</f>
        <v/>
      </c>
      <c r="E457" s="5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5" t="str">
        <f>IFERROR(IF(SUMIFS(tblDaily[TransfersIn],tblDaily[EntryDate],DATE(2026,12,22),tblDaily[WardCode],"NICU")=0,"",SUMIFS(tblDaily[TransfersIn],tblDaily[EntryDate],DATE(2026,12,22),tblDaily[WardCode],"NICU")),"")</f>
        <v/>
      </c>
      <c r="G457" s="5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5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IFERROR(IF(SUMIFS(tblDaily[Admissions],tblDaily[EntryDate],DATE(2026,12,23),tblDaily[WardCode],"NICU")=0,"",SUMIFS(tblDaily[Admissions],tblDaily[EntryDate],DATE(2026,12,23),tblDaily[WardCode],"NICU")),"")</f>
        <v/>
      </c>
      <c r="C458" s="5" t="str">
        <f>IFERROR(IF(SUMIFS(tblDaily[Discharges],tblDaily[EntryDate],DATE(2026,12,23),tblDaily[WardCode],"NICU")=0,"",SUMIFS(tblDaily[Discharges],tblDaily[EntryDate],DATE(2026,12,23),tblDaily[WardCode],"NICU")),"")</f>
        <v/>
      </c>
      <c r="D458" s="5" t="str">
        <f>IFERROR(IF(SUMIFS(tblDaily[Deaths],tblDaily[EntryDate],DATE(2026,12,23),tblDaily[WardCode],"NICU")=0,"",SUMIFS(tblDaily[Deaths],tblDaily[EntryDate],DATE(2026,12,23),tblDaily[WardCode],"NICU")),"")</f>
        <v/>
      </c>
      <c r="E458" s="5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5" t="str">
        <f>IFERROR(IF(SUMIFS(tblDaily[TransfersIn],tblDaily[EntryDate],DATE(2026,12,23),tblDaily[WardCode],"NICU")=0,"",SUMIFS(tblDaily[TransfersIn],tblDaily[EntryDate],DATE(2026,12,23),tblDaily[WardCode],"NICU")),"")</f>
        <v/>
      </c>
      <c r="G458" s="5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5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IFERROR(IF(SUMIFS(tblDaily[Admissions],tblDaily[EntryDate],DATE(2026,12,24),tblDaily[WardCode],"NICU")=0,"",SUMIFS(tblDaily[Admissions],tblDaily[EntryDate],DATE(2026,12,24),tblDaily[WardCode],"NICU")),"")</f>
        <v/>
      </c>
      <c r="C459" s="5" t="str">
        <f>IFERROR(IF(SUMIFS(tblDaily[Discharges],tblDaily[EntryDate],DATE(2026,12,24),tblDaily[WardCode],"NICU")=0,"",SUMIFS(tblDaily[Discharges],tblDaily[EntryDate],DATE(2026,12,24),tblDaily[WardCode],"NICU")),"")</f>
        <v/>
      </c>
      <c r="D459" s="5" t="str">
        <f>IFERROR(IF(SUMIFS(tblDaily[Deaths],tblDaily[EntryDate],DATE(2026,12,24),tblDaily[WardCode],"NICU")=0,"",SUMIFS(tblDaily[Deaths],tblDaily[EntryDate],DATE(2026,12,24),tblDaily[WardCode],"NICU")),"")</f>
        <v/>
      </c>
      <c r="E459" s="5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5" t="str">
        <f>IFERROR(IF(SUMIFS(tblDaily[TransfersIn],tblDaily[EntryDate],DATE(2026,12,24),tblDaily[WardCode],"NICU")=0,"",SUMIFS(tblDaily[TransfersIn],tblDaily[EntryDate],DATE(2026,12,24),tblDaily[WardCode],"NICU")),"")</f>
        <v/>
      </c>
      <c r="G459" s="5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5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IFERROR(IF(SUMIFS(tblDaily[Admissions],tblDaily[EntryDate],DATE(2026,12,25),tblDaily[WardCode],"NICU")=0,"",SUMIFS(tblDaily[Admissions],tblDaily[EntryDate],DATE(2026,12,25),tblDaily[WardCode],"NICU")),"")</f>
        <v/>
      </c>
      <c r="C460" s="5" t="str">
        <f>IFERROR(IF(SUMIFS(tblDaily[Discharges],tblDaily[EntryDate],DATE(2026,12,25),tblDaily[WardCode],"NICU")=0,"",SUMIFS(tblDaily[Discharges],tblDaily[EntryDate],DATE(2026,12,25),tblDaily[WardCode],"NICU")),"")</f>
        <v/>
      </c>
      <c r="D460" s="5" t="str">
        <f>IFERROR(IF(SUMIFS(tblDaily[Deaths],tblDaily[EntryDate],DATE(2026,12,25),tblDaily[WardCode],"NICU")=0,"",SUMIFS(tblDaily[Deaths],tblDaily[EntryDate],DATE(2026,12,25),tblDaily[WardCode],"NICU")),"")</f>
        <v/>
      </c>
      <c r="E460" s="5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5" t="str">
        <f>IFERROR(IF(SUMIFS(tblDaily[TransfersIn],tblDaily[EntryDate],DATE(2026,12,25),tblDaily[WardCode],"NICU")=0,"",SUMIFS(tblDaily[TransfersIn],tblDaily[EntryDate],DATE(2026,12,25),tblDaily[WardCode],"NICU")),"")</f>
        <v/>
      </c>
      <c r="G460" s="5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5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IFERROR(IF(SUMIFS(tblDaily[Admissions],tblDaily[EntryDate],DATE(2026,12,26),tblDaily[WardCode],"NICU")=0,"",SUMIFS(tblDaily[Admissions],tblDaily[EntryDate],DATE(2026,12,26),tblDaily[WardCode],"NICU")),"")</f>
        <v/>
      </c>
      <c r="C461" s="5" t="str">
        <f>IFERROR(IF(SUMIFS(tblDaily[Discharges],tblDaily[EntryDate],DATE(2026,12,26),tblDaily[WardCode],"NICU")=0,"",SUMIFS(tblDaily[Discharges],tblDaily[EntryDate],DATE(2026,12,26),tblDaily[WardCode],"NICU")),"")</f>
        <v/>
      </c>
      <c r="D461" s="5" t="str">
        <f>IFERROR(IF(SUMIFS(tblDaily[Deaths],tblDaily[EntryDate],DATE(2026,12,26),tblDaily[WardCode],"NICU")=0,"",SUMIFS(tblDaily[Deaths],tblDaily[EntryDate],DATE(2026,12,26),tblDaily[WardCode],"NICU")),"")</f>
        <v/>
      </c>
      <c r="E461" s="5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5" t="str">
        <f>IFERROR(IF(SUMIFS(tblDaily[TransfersIn],tblDaily[EntryDate],DATE(2026,12,26),tblDaily[WardCode],"NICU")=0,"",SUMIFS(tblDaily[TransfersIn],tblDaily[EntryDate],DATE(2026,12,26),tblDaily[WardCode],"NICU")),"")</f>
        <v/>
      </c>
      <c r="G461" s="5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5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IFERROR(IF(SUMIFS(tblDaily[Admissions],tblDaily[EntryDate],DATE(2026,12,27),tblDaily[WardCode],"NICU")=0,"",SUMIFS(tblDaily[Admissions],tblDaily[EntryDate],DATE(2026,12,27),tblDaily[WardCode],"NICU")),"")</f>
        <v/>
      </c>
      <c r="C462" s="5" t="str">
        <f>IFERROR(IF(SUMIFS(tblDaily[Discharges],tblDaily[EntryDate],DATE(2026,12,27),tblDaily[WardCode],"NICU")=0,"",SUMIFS(tblDaily[Discharges],tblDaily[EntryDate],DATE(2026,12,27),tblDaily[WardCode],"NICU")),"")</f>
        <v/>
      </c>
      <c r="D462" s="5" t="str">
        <f>IFERROR(IF(SUMIFS(tblDaily[Deaths],tblDaily[EntryDate],DATE(2026,12,27),tblDaily[WardCode],"NICU")=0,"",SUMIFS(tblDaily[Deaths],tblDaily[EntryDate],DATE(2026,12,27),tblDaily[WardCode],"NICU")),"")</f>
        <v/>
      </c>
      <c r="E462" s="5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5" t="str">
        <f>IFERROR(IF(SUMIFS(tblDaily[TransfersIn],tblDaily[EntryDate],DATE(2026,12,27),tblDaily[WardCode],"NICU")=0,"",SUMIFS(tblDaily[TransfersIn],tblDaily[EntryDate],DATE(2026,12,27),tblDaily[WardCode],"NICU")),"")</f>
        <v/>
      </c>
      <c r="G462" s="5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5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IFERROR(IF(SUMIFS(tblDaily[Admissions],tblDaily[EntryDate],DATE(2026,12,28),tblDaily[WardCode],"NICU")=0,"",SUMIFS(tblDaily[Admissions],tblDaily[EntryDate],DATE(2026,12,28),tblDaily[WardCode],"NICU")),"")</f>
        <v/>
      </c>
      <c r="C463" s="5" t="str">
        <f>IFERROR(IF(SUMIFS(tblDaily[Discharges],tblDaily[EntryDate],DATE(2026,12,28),tblDaily[WardCode],"NICU")=0,"",SUMIFS(tblDaily[Discharges],tblDaily[EntryDate],DATE(2026,12,28),tblDaily[WardCode],"NICU")),"")</f>
        <v/>
      </c>
      <c r="D463" s="5" t="str">
        <f>IFERROR(IF(SUMIFS(tblDaily[Deaths],tblDaily[EntryDate],DATE(2026,12,28),tblDaily[WardCode],"NICU")=0,"",SUMIFS(tblDaily[Deaths],tblDaily[EntryDate],DATE(2026,12,28),tblDaily[WardCode],"NICU")),"")</f>
        <v/>
      </c>
      <c r="E463" s="5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5" t="str">
        <f>IFERROR(IF(SUMIFS(tblDaily[TransfersIn],tblDaily[EntryDate],DATE(2026,12,28),tblDaily[WardCode],"NICU")=0,"",SUMIFS(tblDaily[TransfersIn],tblDaily[EntryDate],DATE(2026,12,28),tblDaily[WardCode],"NICU")),"")</f>
        <v/>
      </c>
      <c r="G463" s="5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5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IFERROR(IF(SUMIFS(tblDaily[Admissions],tblDaily[EntryDate],DATE(2026,12,29),tblDaily[WardCode],"NICU")=0,"",SUMIFS(tblDaily[Admissions],tblDaily[EntryDate],DATE(2026,12,29),tblDaily[WardCode],"NICU")),"")</f>
        <v/>
      </c>
      <c r="C464" s="5" t="str">
        <f>IFERROR(IF(SUMIFS(tblDaily[Discharges],tblDaily[EntryDate],DATE(2026,12,29),tblDaily[WardCode],"NICU")=0,"",SUMIFS(tblDaily[Discharges],tblDaily[EntryDate],DATE(2026,12,29),tblDaily[WardCode],"NICU")),"")</f>
        <v/>
      </c>
      <c r="D464" s="5" t="str">
        <f>IFERROR(IF(SUMIFS(tblDaily[Deaths],tblDaily[EntryDate],DATE(2026,12,29),tblDaily[WardCode],"NICU")=0,"",SUMIFS(tblDaily[Deaths],tblDaily[EntryDate],DATE(2026,12,29),tblDaily[WardCode],"NICU")),"")</f>
        <v/>
      </c>
      <c r="E464" s="5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5" t="str">
        <f>IFERROR(IF(SUMIFS(tblDaily[TransfersIn],tblDaily[EntryDate],DATE(2026,12,29),tblDaily[WardCode],"NICU")=0,"",SUMIFS(tblDaily[TransfersIn],tblDaily[EntryDate],DATE(2026,12,29),tblDaily[WardCode],"NICU")),"")</f>
        <v/>
      </c>
      <c r="G464" s="5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5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IFERROR(IF(SUMIFS(tblDaily[Admissions],tblDaily[EntryDate],DATE(2026,12,30),tblDaily[WardCode],"NICU")=0,"",SUMIFS(tblDaily[Admissions],tblDaily[EntryDate],DATE(2026,12,30),tblDaily[WardCode],"NICU")),"")</f>
        <v/>
      </c>
      <c r="C465" s="5" t="str">
        <f>IFERROR(IF(SUMIFS(tblDaily[Discharges],tblDaily[EntryDate],DATE(2026,12,30),tblDaily[WardCode],"NICU")=0,"",SUMIFS(tblDaily[Discharges],tblDaily[EntryDate],DATE(2026,12,30),tblDaily[WardCode],"NICU")),"")</f>
        <v/>
      </c>
      <c r="D465" s="5" t="str">
        <f>IFERROR(IF(SUMIFS(tblDaily[Deaths],tblDaily[EntryDate],DATE(2026,12,30),tblDaily[WardCode],"NICU")=0,"",SUMIFS(tblDaily[Deaths],tblDaily[EntryDate],DATE(2026,12,30),tblDaily[WardCode],"NICU")),"")</f>
        <v/>
      </c>
      <c r="E465" s="5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5" t="str">
        <f>IFERROR(IF(SUMIFS(tblDaily[TransfersIn],tblDaily[EntryDate],DATE(2026,12,30),tblDaily[WardCode],"NICU")=0,"",SUMIFS(tblDaily[TransfersIn],tblDaily[EntryDate],DATE(2026,12,30),tblDaily[WardCode],"NICU")),"")</f>
        <v/>
      </c>
      <c r="G465" s="5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5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IFERROR(IF(SUMIFS(tblDaily[Admissions],tblDaily[EntryDate],DATE(2026,12,31),tblDaily[WardCode],"NICU")=0,"",SUMIFS(tblDaily[Admissions],tblDaily[EntryDate],DATE(2026,12,31),tblDaily[WardCode],"NICU")),"")</f>
        <v/>
      </c>
      <c r="C466" s="5" t="str">
        <f>IFERROR(IF(SUMIFS(tblDaily[Discharges],tblDaily[EntryDate],DATE(2026,12,31),tblDaily[WardCode],"NICU")=0,"",SUMIFS(tblDaily[Discharges],tblDaily[EntryDate],DATE(2026,12,31),tblDaily[WardCode],"NICU")),"")</f>
        <v/>
      </c>
      <c r="D466" s="5" t="str">
        <f>IFERROR(IF(SUMIFS(tblDaily[Deaths],tblDaily[EntryDate],DATE(2026,12,31),tblDaily[WardCode],"NICU")=0,"",SUMIFS(tblDaily[Deaths],tblDaily[EntryDate],DATE(2026,12,31),tblDaily[WardCode],"NICU")),"")</f>
        <v/>
      </c>
      <c r="E466" s="5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5" t="str">
        <f>IFERROR(IF(SUMIFS(tblDaily[TransfersIn],tblDaily[EntryDate],DATE(2026,12,31),tblDaily[WardCode],"NICU")=0,"",SUMIFS(tblDaily[TransfersIn],tblDaily[EntryDate],DATE(2026,12,31),tblDaily[WardCode],"NICU")),"")</f>
        <v/>
      </c>
      <c r="G466" s="5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5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95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102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IFERROR(INDEX(tblWardConfig[PrevYearRemaining],MATCH("MAE",tblWardConfig[WardCode],0)),0)</f>
        <v>0</v>
      </c>
    </row>
    <row r="5" spans="1:8" x14ac:dyDescent="0.25">
      <c r="A5" s="1" t="s">
        <v>89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IFERROR(IF(SUMIFS(tblDaily[Admissions],tblDaily[EntryDate],DATE(2026,1,1),tblDaily[WardCode],"MAE")=0,"",SUMIFS(tblDaily[Admissions],tblDaily[EntryDate],DATE(2026,1,1),tblDaily[WardCode],"MAE")),"")</f>
        <v/>
      </c>
      <c r="C7" s="5" t="str">
        <f>IFERROR(IF(SUMIFS(tblDaily[Discharges],tblDaily[EntryDate],DATE(2026,1,1),tblDaily[WardCode],"MAE")=0,"",SUMIFS(tblDaily[Discharges],tblDaily[EntryDate],DATE(2026,1,1),tblDaily[WardCode],"MAE")),"")</f>
        <v/>
      </c>
      <c r="D7" s="5" t="str">
        <f>IFERROR(IF(SUMIFS(tblDaily[Deaths],tblDaily[EntryDate],DATE(2026,1,1),tblDaily[WardCode],"MAE")=0,"",SUMIFS(tblDaily[Deaths],tblDaily[EntryDate],DATE(2026,1,1),tblDaily[WardCode],"MAE")),"")</f>
        <v/>
      </c>
      <c r="E7" s="5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5" t="str">
        <f>IFERROR(IF(SUMIFS(tblDaily[TransfersIn],tblDaily[EntryDate],DATE(2026,1,1),tblDaily[WardCode],"MAE")=0,"",SUMIFS(tblDaily[TransfersIn],tblDaily[EntryDate],DATE(2026,1,1),tblDaily[WardCode],"MAE")),"")</f>
        <v/>
      </c>
      <c r="G7" s="5" t="str">
        <f>IFERROR(IF(SUMIFS(tblDaily[TransfersOut],tblDaily[EntryDate],DATE(2026,1,1),tblDaily[WardCode],"MAE")=0,"",SUMIFS(tblDaily[TransfersOut],tblDaily[EntryDate],DATE(2026,1,1),tblDaily[WardCode],"MAE")),"")</f>
        <v/>
      </c>
      <c r="H7" s="5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IFERROR(IF(SUMIFS(tblDaily[Admissions],tblDaily[EntryDate],DATE(2026,1,2),tblDaily[WardCode],"MAE")=0,"",SUMIFS(tblDaily[Admissions],tblDaily[EntryDate],DATE(2026,1,2),tblDaily[WardCode],"MAE")),"")</f>
        <v/>
      </c>
      <c r="C8" s="5" t="str">
        <f>IFERROR(IF(SUMIFS(tblDaily[Discharges],tblDaily[EntryDate],DATE(2026,1,2),tblDaily[WardCode],"MAE")=0,"",SUMIFS(tblDaily[Discharges],tblDaily[EntryDate],DATE(2026,1,2),tblDaily[WardCode],"MAE")),"")</f>
        <v/>
      </c>
      <c r="D8" s="5" t="str">
        <f>IFERROR(IF(SUMIFS(tblDaily[Deaths],tblDaily[EntryDate],DATE(2026,1,2),tblDaily[WardCode],"MAE")=0,"",SUMIFS(tblDaily[Deaths],tblDaily[EntryDate],DATE(2026,1,2),tblDaily[WardCode],"MAE")),"")</f>
        <v/>
      </c>
      <c r="E8" s="5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5" t="str">
        <f>IFERROR(IF(SUMIFS(tblDaily[TransfersIn],tblDaily[EntryDate],DATE(2026,1,2),tblDaily[WardCode],"MAE")=0,"",SUMIFS(tblDaily[TransfersIn],tblDaily[EntryDate],DATE(2026,1,2),tblDaily[WardCode],"MAE")),"")</f>
        <v/>
      </c>
      <c r="G8" s="5" t="str">
        <f>IFERROR(IF(SUMIFS(tblDaily[TransfersOut],tblDaily[EntryDate],DATE(2026,1,2),tblDaily[WardCode],"MAE")=0,"",SUMIFS(tblDaily[TransfersOut],tblDaily[EntryDate],DATE(2026,1,2),tblDaily[WardCode],"MAE")),"")</f>
        <v/>
      </c>
      <c r="H8" s="5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IFERROR(IF(SUMIFS(tblDaily[Admissions],tblDaily[EntryDate],DATE(2026,1,3),tblDaily[WardCode],"MAE")=0,"",SUMIFS(tblDaily[Admissions],tblDaily[EntryDate],DATE(2026,1,3),tblDaily[WardCode],"MAE")),"")</f>
        <v/>
      </c>
      <c r="C9" s="5" t="str">
        <f>IFERROR(IF(SUMIFS(tblDaily[Discharges],tblDaily[EntryDate],DATE(2026,1,3),tblDaily[WardCode],"MAE")=0,"",SUMIFS(tblDaily[Discharges],tblDaily[EntryDate],DATE(2026,1,3),tblDaily[WardCode],"MAE")),"")</f>
        <v/>
      </c>
      <c r="D9" s="5" t="str">
        <f>IFERROR(IF(SUMIFS(tblDaily[Deaths],tblDaily[EntryDate],DATE(2026,1,3),tblDaily[WardCode],"MAE")=0,"",SUMIFS(tblDaily[Deaths],tblDaily[EntryDate],DATE(2026,1,3),tblDaily[WardCode],"MAE")),"")</f>
        <v/>
      </c>
      <c r="E9" s="5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5" t="str">
        <f>IFERROR(IF(SUMIFS(tblDaily[TransfersIn],tblDaily[EntryDate],DATE(2026,1,3),tblDaily[WardCode],"MAE")=0,"",SUMIFS(tblDaily[TransfersIn],tblDaily[EntryDate],DATE(2026,1,3),tblDaily[WardCode],"MAE")),"")</f>
        <v/>
      </c>
      <c r="G9" s="5" t="str">
        <f>IFERROR(IF(SUMIFS(tblDaily[TransfersOut],tblDaily[EntryDate],DATE(2026,1,3),tblDaily[WardCode],"MAE")=0,"",SUMIFS(tblDaily[TransfersOut],tblDaily[EntryDate],DATE(2026,1,3),tblDaily[WardCode],"MAE")),"")</f>
        <v/>
      </c>
      <c r="H9" s="5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IFERROR(IF(SUMIFS(tblDaily[Admissions],tblDaily[EntryDate],DATE(2026,1,4),tblDaily[WardCode],"MAE")=0,"",SUMIFS(tblDaily[Admissions],tblDaily[EntryDate],DATE(2026,1,4),tblDaily[WardCode],"MAE")),"")</f>
        <v/>
      </c>
      <c r="C10" s="5" t="str">
        <f>IFERROR(IF(SUMIFS(tblDaily[Discharges],tblDaily[EntryDate],DATE(2026,1,4),tblDaily[WardCode],"MAE")=0,"",SUMIFS(tblDaily[Discharges],tblDaily[EntryDate],DATE(2026,1,4),tblDaily[WardCode],"MAE")),"")</f>
        <v/>
      </c>
      <c r="D10" s="5" t="str">
        <f>IFERROR(IF(SUMIFS(tblDaily[Deaths],tblDaily[EntryDate],DATE(2026,1,4),tblDaily[WardCode],"MAE")=0,"",SUMIFS(tblDaily[Deaths],tblDaily[EntryDate],DATE(2026,1,4),tblDaily[WardCode],"MAE")),"")</f>
        <v/>
      </c>
      <c r="E10" s="5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5" t="str">
        <f>IFERROR(IF(SUMIFS(tblDaily[TransfersIn],tblDaily[EntryDate],DATE(2026,1,4),tblDaily[WardCode],"MAE")=0,"",SUMIFS(tblDaily[TransfersIn],tblDaily[EntryDate],DATE(2026,1,4),tblDaily[WardCode],"MAE")),"")</f>
        <v/>
      </c>
      <c r="G10" s="5" t="str">
        <f>IFERROR(IF(SUMIFS(tblDaily[TransfersOut],tblDaily[EntryDate],DATE(2026,1,4),tblDaily[WardCode],"MAE")=0,"",SUMIFS(tblDaily[TransfersOut],tblDaily[EntryDate],DATE(2026,1,4),tblDaily[WardCode],"MAE")),"")</f>
        <v/>
      </c>
      <c r="H10" s="5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IFERROR(IF(SUMIFS(tblDaily[Admissions],tblDaily[EntryDate],DATE(2026,1,5),tblDaily[WardCode],"MAE")=0,"",SUMIFS(tblDaily[Admissions],tblDaily[EntryDate],DATE(2026,1,5),tblDaily[WardCode],"MAE")),"")</f>
        <v/>
      </c>
      <c r="C11" s="5" t="str">
        <f>IFERROR(IF(SUMIFS(tblDaily[Discharges],tblDaily[EntryDate],DATE(2026,1,5),tblDaily[WardCode],"MAE")=0,"",SUMIFS(tblDaily[Discharges],tblDaily[EntryDate],DATE(2026,1,5),tblDaily[WardCode],"MAE")),"")</f>
        <v/>
      </c>
      <c r="D11" s="5" t="str">
        <f>IFERROR(IF(SUMIFS(tblDaily[Deaths],tblDaily[EntryDate],DATE(2026,1,5),tblDaily[WardCode],"MAE")=0,"",SUMIFS(tblDaily[Deaths],tblDaily[EntryDate],DATE(2026,1,5),tblDaily[WardCode],"MAE")),"")</f>
        <v/>
      </c>
      <c r="E11" s="5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5" t="str">
        <f>IFERROR(IF(SUMIFS(tblDaily[TransfersIn],tblDaily[EntryDate],DATE(2026,1,5),tblDaily[WardCode],"MAE")=0,"",SUMIFS(tblDaily[TransfersIn],tblDaily[EntryDate],DATE(2026,1,5),tblDaily[WardCode],"MAE")),"")</f>
        <v/>
      </c>
      <c r="G11" s="5" t="str">
        <f>IFERROR(IF(SUMIFS(tblDaily[TransfersOut],tblDaily[EntryDate],DATE(2026,1,5),tblDaily[WardCode],"MAE")=0,"",SUMIFS(tblDaily[TransfersOut],tblDaily[EntryDate],DATE(2026,1,5),tblDaily[WardCode],"MAE")),"")</f>
        <v/>
      </c>
      <c r="H11" s="5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IFERROR(IF(SUMIFS(tblDaily[Admissions],tblDaily[EntryDate],DATE(2026,1,6),tblDaily[WardCode],"MAE")=0,"",SUMIFS(tblDaily[Admissions],tblDaily[EntryDate],DATE(2026,1,6),tblDaily[WardCode],"MAE")),"")</f>
        <v/>
      </c>
      <c r="C12" s="5" t="str">
        <f>IFERROR(IF(SUMIFS(tblDaily[Discharges],tblDaily[EntryDate],DATE(2026,1,6),tblDaily[WardCode],"MAE")=0,"",SUMIFS(tblDaily[Discharges],tblDaily[EntryDate],DATE(2026,1,6),tblDaily[WardCode],"MAE")),"")</f>
        <v/>
      </c>
      <c r="D12" s="5" t="str">
        <f>IFERROR(IF(SUMIFS(tblDaily[Deaths],tblDaily[EntryDate],DATE(2026,1,6),tblDaily[WardCode],"MAE")=0,"",SUMIFS(tblDaily[Deaths],tblDaily[EntryDate],DATE(2026,1,6),tblDaily[WardCode],"MAE")),"")</f>
        <v/>
      </c>
      <c r="E12" s="5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5" t="str">
        <f>IFERROR(IF(SUMIFS(tblDaily[TransfersIn],tblDaily[EntryDate],DATE(2026,1,6),tblDaily[WardCode],"MAE")=0,"",SUMIFS(tblDaily[TransfersIn],tblDaily[EntryDate],DATE(2026,1,6),tblDaily[WardCode],"MAE")),"")</f>
        <v/>
      </c>
      <c r="G12" s="5" t="str">
        <f>IFERROR(IF(SUMIFS(tblDaily[TransfersOut],tblDaily[EntryDate],DATE(2026,1,6),tblDaily[WardCode],"MAE")=0,"",SUMIFS(tblDaily[TransfersOut],tblDaily[EntryDate],DATE(2026,1,6),tblDaily[WardCode],"MAE")),"")</f>
        <v/>
      </c>
      <c r="H12" s="5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IFERROR(IF(SUMIFS(tblDaily[Admissions],tblDaily[EntryDate],DATE(2026,1,7),tblDaily[WardCode],"MAE")=0,"",SUMIFS(tblDaily[Admissions],tblDaily[EntryDate],DATE(2026,1,7),tblDaily[WardCode],"MAE")),"")</f>
        <v/>
      </c>
      <c r="C13" s="5" t="str">
        <f>IFERROR(IF(SUMIFS(tblDaily[Discharges],tblDaily[EntryDate],DATE(2026,1,7),tblDaily[WardCode],"MAE")=0,"",SUMIFS(tblDaily[Discharges],tblDaily[EntryDate],DATE(2026,1,7),tblDaily[WardCode],"MAE")),"")</f>
        <v/>
      </c>
      <c r="D13" s="5" t="str">
        <f>IFERROR(IF(SUMIFS(tblDaily[Deaths],tblDaily[EntryDate],DATE(2026,1,7),tblDaily[WardCode],"MAE")=0,"",SUMIFS(tblDaily[Deaths],tblDaily[EntryDate],DATE(2026,1,7),tblDaily[WardCode],"MAE")),"")</f>
        <v/>
      </c>
      <c r="E13" s="5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5" t="str">
        <f>IFERROR(IF(SUMIFS(tblDaily[TransfersIn],tblDaily[EntryDate],DATE(2026,1,7),tblDaily[WardCode],"MAE")=0,"",SUMIFS(tblDaily[TransfersIn],tblDaily[EntryDate],DATE(2026,1,7),tblDaily[WardCode],"MAE")),"")</f>
        <v/>
      </c>
      <c r="G13" s="5" t="str">
        <f>IFERROR(IF(SUMIFS(tblDaily[TransfersOut],tblDaily[EntryDate],DATE(2026,1,7),tblDaily[WardCode],"MAE")=0,"",SUMIFS(tblDaily[TransfersOut],tblDaily[EntryDate],DATE(2026,1,7),tblDaily[WardCode],"MAE")),"")</f>
        <v/>
      </c>
      <c r="H13" s="5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IFERROR(IF(SUMIFS(tblDaily[Admissions],tblDaily[EntryDate],DATE(2026,1,8),tblDaily[WardCode],"MAE")=0,"",SUMIFS(tblDaily[Admissions],tblDaily[EntryDate],DATE(2026,1,8),tblDaily[WardCode],"MAE")),"")</f>
        <v/>
      </c>
      <c r="C14" s="5" t="str">
        <f>IFERROR(IF(SUMIFS(tblDaily[Discharges],tblDaily[EntryDate],DATE(2026,1,8),tblDaily[WardCode],"MAE")=0,"",SUMIFS(tblDaily[Discharges],tblDaily[EntryDate],DATE(2026,1,8),tblDaily[WardCode],"MAE")),"")</f>
        <v/>
      </c>
      <c r="D14" s="5" t="str">
        <f>IFERROR(IF(SUMIFS(tblDaily[Deaths],tblDaily[EntryDate],DATE(2026,1,8),tblDaily[WardCode],"MAE")=0,"",SUMIFS(tblDaily[Deaths],tblDaily[EntryDate],DATE(2026,1,8),tblDaily[WardCode],"MAE")),"")</f>
        <v/>
      </c>
      <c r="E14" s="5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5" t="str">
        <f>IFERROR(IF(SUMIFS(tblDaily[TransfersIn],tblDaily[EntryDate],DATE(2026,1,8),tblDaily[WardCode],"MAE")=0,"",SUMIFS(tblDaily[TransfersIn],tblDaily[EntryDate],DATE(2026,1,8),tblDaily[WardCode],"MAE")),"")</f>
        <v/>
      </c>
      <c r="G14" s="5" t="str">
        <f>IFERROR(IF(SUMIFS(tblDaily[TransfersOut],tblDaily[EntryDate],DATE(2026,1,8),tblDaily[WardCode],"MAE")=0,"",SUMIFS(tblDaily[TransfersOut],tblDaily[EntryDate],DATE(2026,1,8),tblDaily[WardCode],"MAE")),"")</f>
        <v/>
      </c>
      <c r="H14" s="5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IFERROR(IF(SUMIFS(tblDaily[Admissions],tblDaily[EntryDate],DATE(2026,1,9),tblDaily[WardCode],"MAE")=0,"",SUMIFS(tblDaily[Admissions],tblDaily[EntryDate],DATE(2026,1,9),tblDaily[WardCode],"MAE")),"")</f>
        <v/>
      </c>
      <c r="C15" s="5" t="str">
        <f>IFERROR(IF(SUMIFS(tblDaily[Discharges],tblDaily[EntryDate],DATE(2026,1,9),tblDaily[WardCode],"MAE")=0,"",SUMIFS(tblDaily[Discharges],tblDaily[EntryDate],DATE(2026,1,9),tblDaily[WardCode],"MAE")),"")</f>
        <v/>
      </c>
      <c r="D15" s="5" t="str">
        <f>IFERROR(IF(SUMIFS(tblDaily[Deaths],tblDaily[EntryDate],DATE(2026,1,9),tblDaily[WardCode],"MAE")=0,"",SUMIFS(tblDaily[Deaths],tblDaily[EntryDate],DATE(2026,1,9),tblDaily[WardCode],"MAE")),"")</f>
        <v/>
      </c>
      <c r="E15" s="5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5" t="str">
        <f>IFERROR(IF(SUMIFS(tblDaily[TransfersIn],tblDaily[EntryDate],DATE(2026,1,9),tblDaily[WardCode],"MAE")=0,"",SUMIFS(tblDaily[TransfersIn],tblDaily[EntryDate],DATE(2026,1,9),tblDaily[WardCode],"MAE")),"")</f>
        <v/>
      </c>
      <c r="G15" s="5" t="str">
        <f>IFERROR(IF(SUMIFS(tblDaily[TransfersOut],tblDaily[EntryDate],DATE(2026,1,9),tblDaily[WardCode],"MAE")=0,"",SUMIFS(tblDaily[TransfersOut],tblDaily[EntryDate],DATE(2026,1,9),tblDaily[WardCode],"MAE")),"")</f>
        <v/>
      </c>
      <c r="H15" s="5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IFERROR(IF(SUMIFS(tblDaily[Admissions],tblDaily[EntryDate],DATE(2026,1,10),tblDaily[WardCode],"MAE")=0,"",SUMIFS(tblDaily[Admissions],tblDaily[EntryDate],DATE(2026,1,10),tblDaily[WardCode],"MAE")),"")</f>
        <v/>
      </c>
      <c r="C16" s="5" t="str">
        <f>IFERROR(IF(SUMIFS(tblDaily[Discharges],tblDaily[EntryDate],DATE(2026,1,10),tblDaily[WardCode],"MAE")=0,"",SUMIFS(tblDaily[Discharges],tblDaily[EntryDate],DATE(2026,1,10),tblDaily[WardCode],"MAE")),"")</f>
        <v/>
      </c>
      <c r="D16" s="5" t="str">
        <f>IFERROR(IF(SUMIFS(tblDaily[Deaths],tblDaily[EntryDate],DATE(2026,1,10),tblDaily[WardCode],"MAE")=0,"",SUMIFS(tblDaily[Deaths],tblDaily[EntryDate],DATE(2026,1,10),tblDaily[WardCode],"MAE")),"")</f>
        <v/>
      </c>
      <c r="E16" s="5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5" t="str">
        <f>IFERROR(IF(SUMIFS(tblDaily[TransfersIn],tblDaily[EntryDate],DATE(2026,1,10),tblDaily[WardCode],"MAE")=0,"",SUMIFS(tblDaily[TransfersIn],tblDaily[EntryDate],DATE(2026,1,10),tblDaily[WardCode],"MAE")),"")</f>
        <v/>
      </c>
      <c r="G16" s="5" t="str">
        <f>IFERROR(IF(SUMIFS(tblDaily[TransfersOut],tblDaily[EntryDate],DATE(2026,1,10),tblDaily[WardCode],"MAE")=0,"",SUMIFS(tblDaily[TransfersOut],tblDaily[EntryDate],DATE(2026,1,10),tblDaily[WardCode],"MAE")),"")</f>
        <v/>
      </c>
      <c r="H16" s="5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IFERROR(IF(SUMIFS(tblDaily[Admissions],tblDaily[EntryDate],DATE(2026,1,11),tblDaily[WardCode],"MAE")=0,"",SUMIFS(tblDaily[Admissions],tblDaily[EntryDate],DATE(2026,1,11),tblDaily[WardCode],"MAE")),"")</f>
        <v/>
      </c>
      <c r="C17" s="5" t="str">
        <f>IFERROR(IF(SUMIFS(tblDaily[Discharges],tblDaily[EntryDate],DATE(2026,1,11),tblDaily[WardCode],"MAE")=0,"",SUMIFS(tblDaily[Discharges],tblDaily[EntryDate],DATE(2026,1,11),tblDaily[WardCode],"MAE")),"")</f>
        <v/>
      </c>
      <c r="D17" s="5" t="str">
        <f>IFERROR(IF(SUMIFS(tblDaily[Deaths],tblDaily[EntryDate],DATE(2026,1,11),tblDaily[WardCode],"MAE")=0,"",SUMIFS(tblDaily[Deaths],tblDaily[EntryDate],DATE(2026,1,11),tblDaily[WardCode],"MAE")),"")</f>
        <v/>
      </c>
      <c r="E17" s="5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5" t="str">
        <f>IFERROR(IF(SUMIFS(tblDaily[TransfersIn],tblDaily[EntryDate],DATE(2026,1,11),tblDaily[WardCode],"MAE")=0,"",SUMIFS(tblDaily[TransfersIn],tblDaily[EntryDate],DATE(2026,1,11),tblDaily[WardCode],"MAE")),"")</f>
        <v/>
      </c>
      <c r="G17" s="5" t="str">
        <f>IFERROR(IF(SUMIFS(tblDaily[TransfersOut],tblDaily[EntryDate],DATE(2026,1,11),tblDaily[WardCode],"MAE")=0,"",SUMIFS(tblDaily[TransfersOut],tblDaily[EntryDate],DATE(2026,1,11),tblDaily[WardCode],"MAE")),"")</f>
        <v/>
      </c>
      <c r="H17" s="5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IFERROR(IF(SUMIFS(tblDaily[Admissions],tblDaily[EntryDate],DATE(2026,1,12),tblDaily[WardCode],"MAE")=0,"",SUMIFS(tblDaily[Admissions],tblDaily[EntryDate],DATE(2026,1,12),tblDaily[WardCode],"MAE")),"")</f>
        <v/>
      </c>
      <c r="C18" s="5" t="str">
        <f>IFERROR(IF(SUMIFS(tblDaily[Discharges],tblDaily[EntryDate],DATE(2026,1,12),tblDaily[WardCode],"MAE")=0,"",SUMIFS(tblDaily[Discharges],tblDaily[EntryDate],DATE(2026,1,12),tblDaily[WardCode],"MAE")),"")</f>
        <v/>
      </c>
      <c r="D18" s="5" t="str">
        <f>IFERROR(IF(SUMIFS(tblDaily[Deaths],tblDaily[EntryDate],DATE(2026,1,12),tblDaily[WardCode],"MAE")=0,"",SUMIFS(tblDaily[Deaths],tblDaily[EntryDate],DATE(2026,1,12),tblDaily[WardCode],"MAE")),"")</f>
        <v/>
      </c>
      <c r="E18" s="5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5" t="str">
        <f>IFERROR(IF(SUMIFS(tblDaily[TransfersIn],tblDaily[EntryDate],DATE(2026,1,12),tblDaily[WardCode],"MAE")=0,"",SUMIFS(tblDaily[TransfersIn],tblDaily[EntryDate],DATE(2026,1,12),tblDaily[WardCode],"MAE")),"")</f>
        <v/>
      </c>
      <c r="G18" s="5" t="str">
        <f>IFERROR(IF(SUMIFS(tblDaily[TransfersOut],tblDaily[EntryDate],DATE(2026,1,12),tblDaily[WardCode],"MAE")=0,"",SUMIFS(tblDaily[TransfersOut],tblDaily[EntryDate],DATE(2026,1,12),tblDaily[WardCode],"MAE")),"")</f>
        <v/>
      </c>
      <c r="H18" s="5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IFERROR(IF(SUMIFS(tblDaily[Admissions],tblDaily[EntryDate],DATE(2026,1,13),tblDaily[WardCode],"MAE")=0,"",SUMIFS(tblDaily[Admissions],tblDaily[EntryDate],DATE(2026,1,13),tblDaily[WardCode],"MAE")),"")</f>
        <v/>
      </c>
      <c r="C19" s="5" t="str">
        <f>IFERROR(IF(SUMIFS(tblDaily[Discharges],tblDaily[EntryDate],DATE(2026,1,13),tblDaily[WardCode],"MAE")=0,"",SUMIFS(tblDaily[Discharges],tblDaily[EntryDate],DATE(2026,1,13),tblDaily[WardCode],"MAE")),"")</f>
        <v/>
      </c>
      <c r="D19" s="5" t="str">
        <f>IFERROR(IF(SUMIFS(tblDaily[Deaths],tblDaily[EntryDate],DATE(2026,1,13),tblDaily[WardCode],"MAE")=0,"",SUMIFS(tblDaily[Deaths],tblDaily[EntryDate],DATE(2026,1,13),tblDaily[WardCode],"MAE")),"")</f>
        <v/>
      </c>
      <c r="E19" s="5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5" t="str">
        <f>IFERROR(IF(SUMIFS(tblDaily[TransfersIn],tblDaily[EntryDate],DATE(2026,1,13),tblDaily[WardCode],"MAE")=0,"",SUMIFS(tblDaily[TransfersIn],tblDaily[EntryDate],DATE(2026,1,13),tblDaily[WardCode],"MAE")),"")</f>
        <v/>
      </c>
      <c r="G19" s="5" t="str">
        <f>IFERROR(IF(SUMIFS(tblDaily[TransfersOut],tblDaily[EntryDate],DATE(2026,1,13),tblDaily[WardCode],"MAE")=0,"",SUMIFS(tblDaily[TransfersOut],tblDaily[EntryDate],DATE(2026,1,13),tblDaily[WardCode],"MAE")),"")</f>
        <v/>
      </c>
      <c r="H19" s="5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IFERROR(IF(SUMIFS(tblDaily[Admissions],tblDaily[EntryDate],DATE(2026,1,14),tblDaily[WardCode],"MAE")=0,"",SUMIFS(tblDaily[Admissions],tblDaily[EntryDate],DATE(2026,1,14),tblDaily[WardCode],"MAE")),"")</f>
        <v/>
      </c>
      <c r="C20" s="5" t="str">
        <f>IFERROR(IF(SUMIFS(tblDaily[Discharges],tblDaily[EntryDate],DATE(2026,1,14),tblDaily[WardCode],"MAE")=0,"",SUMIFS(tblDaily[Discharges],tblDaily[EntryDate],DATE(2026,1,14),tblDaily[WardCode],"MAE")),"")</f>
        <v/>
      </c>
      <c r="D20" s="5" t="str">
        <f>IFERROR(IF(SUMIFS(tblDaily[Deaths],tblDaily[EntryDate],DATE(2026,1,14),tblDaily[WardCode],"MAE")=0,"",SUMIFS(tblDaily[Deaths],tblDaily[EntryDate],DATE(2026,1,14),tblDaily[WardCode],"MAE")),"")</f>
        <v/>
      </c>
      <c r="E20" s="5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5" t="str">
        <f>IFERROR(IF(SUMIFS(tblDaily[TransfersIn],tblDaily[EntryDate],DATE(2026,1,14),tblDaily[WardCode],"MAE")=0,"",SUMIFS(tblDaily[TransfersIn],tblDaily[EntryDate],DATE(2026,1,14),tblDaily[WardCode],"MAE")),"")</f>
        <v/>
      </c>
      <c r="G20" s="5" t="str">
        <f>IFERROR(IF(SUMIFS(tblDaily[TransfersOut],tblDaily[EntryDate],DATE(2026,1,14),tblDaily[WardCode],"MAE")=0,"",SUMIFS(tblDaily[TransfersOut],tblDaily[EntryDate],DATE(2026,1,14),tblDaily[WardCode],"MAE")),"")</f>
        <v/>
      </c>
      <c r="H20" s="5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IFERROR(IF(SUMIFS(tblDaily[Admissions],tblDaily[EntryDate],DATE(2026,1,15),tblDaily[WardCode],"MAE")=0,"",SUMIFS(tblDaily[Admissions],tblDaily[EntryDate],DATE(2026,1,15),tblDaily[WardCode],"MAE")),"")</f>
        <v/>
      </c>
      <c r="C21" s="5" t="str">
        <f>IFERROR(IF(SUMIFS(tblDaily[Discharges],tblDaily[EntryDate],DATE(2026,1,15),tblDaily[WardCode],"MAE")=0,"",SUMIFS(tblDaily[Discharges],tblDaily[EntryDate],DATE(2026,1,15),tblDaily[WardCode],"MAE")),"")</f>
        <v/>
      </c>
      <c r="D21" s="5" t="str">
        <f>IFERROR(IF(SUMIFS(tblDaily[Deaths],tblDaily[EntryDate],DATE(2026,1,15),tblDaily[WardCode],"MAE")=0,"",SUMIFS(tblDaily[Deaths],tblDaily[EntryDate],DATE(2026,1,15),tblDaily[WardCode],"MAE")),"")</f>
        <v/>
      </c>
      <c r="E21" s="5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5" t="str">
        <f>IFERROR(IF(SUMIFS(tblDaily[TransfersIn],tblDaily[EntryDate],DATE(2026,1,15),tblDaily[WardCode],"MAE")=0,"",SUMIFS(tblDaily[TransfersIn],tblDaily[EntryDate],DATE(2026,1,15),tblDaily[WardCode],"MAE")),"")</f>
        <v/>
      </c>
      <c r="G21" s="5" t="str">
        <f>IFERROR(IF(SUMIFS(tblDaily[TransfersOut],tblDaily[EntryDate],DATE(2026,1,15),tblDaily[WardCode],"MAE")=0,"",SUMIFS(tblDaily[TransfersOut],tblDaily[EntryDate],DATE(2026,1,15),tblDaily[WardCode],"MAE")),"")</f>
        <v/>
      </c>
      <c r="H21" s="5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IFERROR(IF(SUMIFS(tblDaily[Admissions],tblDaily[EntryDate],DATE(2026,1,16),tblDaily[WardCode],"MAE")=0,"",SUMIFS(tblDaily[Admissions],tblDaily[EntryDate],DATE(2026,1,16),tblDaily[WardCode],"MAE")),"")</f>
        <v/>
      </c>
      <c r="C22" s="5" t="str">
        <f>IFERROR(IF(SUMIFS(tblDaily[Discharges],tblDaily[EntryDate],DATE(2026,1,16),tblDaily[WardCode],"MAE")=0,"",SUMIFS(tblDaily[Discharges],tblDaily[EntryDate],DATE(2026,1,16),tblDaily[WardCode],"MAE")),"")</f>
        <v/>
      </c>
      <c r="D22" s="5" t="str">
        <f>IFERROR(IF(SUMIFS(tblDaily[Deaths],tblDaily[EntryDate],DATE(2026,1,16),tblDaily[WardCode],"MAE")=0,"",SUMIFS(tblDaily[Deaths],tblDaily[EntryDate],DATE(2026,1,16),tblDaily[WardCode],"MAE")),"")</f>
        <v/>
      </c>
      <c r="E22" s="5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5" t="str">
        <f>IFERROR(IF(SUMIFS(tblDaily[TransfersIn],tblDaily[EntryDate],DATE(2026,1,16),tblDaily[WardCode],"MAE")=0,"",SUMIFS(tblDaily[TransfersIn],tblDaily[EntryDate],DATE(2026,1,16),tblDaily[WardCode],"MAE")),"")</f>
        <v/>
      </c>
      <c r="G22" s="5" t="str">
        <f>IFERROR(IF(SUMIFS(tblDaily[TransfersOut],tblDaily[EntryDate],DATE(2026,1,16),tblDaily[WardCode],"MAE")=0,"",SUMIFS(tblDaily[TransfersOut],tblDaily[EntryDate],DATE(2026,1,16),tblDaily[WardCode],"MAE")),"")</f>
        <v/>
      </c>
      <c r="H22" s="5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IFERROR(IF(SUMIFS(tblDaily[Admissions],tblDaily[EntryDate],DATE(2026,1,17),tblDaily[WardCode],"MAE")=0,"",SUMIFS(tblDaily[Admissions],tblDaily[EntryDate],DATE(2026,1,17),tblDaily[WardCode],"MAE")),"")</f>
        <v/>
      </c>
      <c r="C23" s="5" t="str">
        <f>IFERROR(IF(SUMIFS(tblDaily[Discharges],tblDaily[EntryDate],DATE(2026,1,17),tblDaily[WardCode],"MAE")=0,"",SUMIFS(tblDaily[Discharges],tblDaily[EntryDate],DATE(2026,1,17),tblDaily[WardCode],"MAE")),"")</f>
        <v/>
      </c>
      <c r="D23" s="5" t="str">
        <f>IFERROR(IF(SUMIFS(tblDaily[Deaths],tblDaily[EntryDate],DATE(2026,1,17),tblDaily[WardCode],"MAE")=0,"",SUMIFS(tblDaily[Deaths],tblDaily[EntryDate],DATE(2026,1,17),tblDaily[WardCode],"MAE")),"")</f>
        <v/>
      </c>
      <c r="E23" s="5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5" t="str">
        <f>IFERROR(IF(SUMIFS(tblDaily[TransfersIn],tblDaily[EntryDate],DATE(2026,1,17),tblDaily[WardCode],"MAE")=0,"",SUMIFS(tblDaily[TransfersIn],tblDaily[EntryDate],DATE(2026,1,17),tblDaily[WardCode],"MAE")),"")</f>
        <v/>
      </c>
      <c r="G23" s="5" t="str">
        <f>IFERROR(IF(SUMIFS(tblDaily[TransfersOut],tblDaily[EntryDate],DATE(2026,1,17),tblDaily[WardCode],"MAE")=0,"",SUMIFS(tblDaily[TransfersOut],tblDaily[EntryDate],DATE(2026,1,17),tblDaily[WardCode],"MAE")),"")</f>
        <v/>
      </c>
      <c r="H23" s="5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IFERROR(IF(SUMIFS(tblDaily[Admissions],tblDaily[EntryDate],DATE(2026,1,18),tblDaily[WardCode],"MAE")=0,"",SUMIFS(tblDaily[Admissions],tblDaily[EntryDate],DATE(2026,1,18),tblDaily[WardCode],"MAE")),"")</f>
        <v/>
      </c>
      <c r="C24" s="5" t="str">
        <f>IFERROR(IF(SUMIFS(tblDaily[Discharges],tblDaily[EntryDate],DATE(2026,1,18),tblDaily[WardCode],"MAE")=0,"",SUMIFS(tblDaily[Discharges],tblDaily[EntryDate],DATE(2026,1,18),tblDaily[WardCode],"MAE")),"")</f>
        <v/>
      </c>
      <c r="D24" s="5" t="str">
        <f>IFERROR(IF(SUMIFS(tblDaily[Deaths],tblDaily[EntryDate],DATE(2026,1,18),tblDaily[WardCode],"MAE")=0,"",SUMIFS(tblDaily[Deaths],tblDaily[EntryDate],DATE(2026,1,18),tblDaily[WardCode],"MAE")),"")</f>
        <v/>
      </c>
      <c r="E24" s="5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5" t="str">
        <f>IFERROR(IF(SUMIFS(tblDaily[TransfersIn],tblDaily[EntryDate],DATE(2026,1,18),tblDaily[WardCode],"MAE")=0,"",SUMIFS(tblDaily[TransfersIn],tblDaily[EntryDate],DATE(2026,1,18),tblDaily[WardCode],"MAE")),"")</f>
        <v/>
      </c>
      <c r="G24" s="5" t="str">
        <f>IFERROR(IF(SUMIFS(tblDaily[TransfersOut],tblDaily[EntryDate],DATE(2026,1,18),tblDaily[WardCode],"MAE")=0,"",SUMIFS(tblDaily[TransfersOut],tblDaily[EntryDate],DATE(2026,1,18),tblDaily[WardCode],"MAE")),"")</f>
        <v/>
      </c>
      <c r="H24" s="5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IFERROR(IF(SUMIFS(tblDaily[Admissions],tblDaily[EntryDate],DATE(2026,1,19),tblDaily[WardCode],"MAE")=0,"",SUMIFS(tblDaily[Admissions],tblDaily[EntryDate],DATE(2026,1,19),tblDaily[WardCode],"MAE")),"")</f>
        <v/>
      </c>
      <c r="C25" s="5" t="str">
        <f>IFERROR(IF(SUMIFS(tblDaily[Discharges],tblDaily[EntryDate],DATE(2026,1,19),tblDaily[WardCode],"MAE")=0,"",SUMIFS(tblDaily[Discharges],tblDaily[EntryDate],DATE(2026,1,19),tblDaily[WardCode],"MAE")),"")</f>
        <v/>
      </c>
      <c r="D25" s="5" t="str">
        <f>IFERROR(IF(SUMIFS(tblDaily[Deaths],tblDaily[EntryDate],DATE(2026,1,19),tblDaily[WardCode],"MAE")=0,"",SUMIFS(tblDaily[Deaths],tblDaily[EntryDate],DATE(2026,1,19),tblDaily[WardCode],"MAE")),"")</f>
        <v/>
      </c>
      <c r="E25" s="5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5" t="str">
        <f>IFERROR(IF(SUMIFS(tblDaily[TransfersIn],tblDaily[EntryDate],DATE(2026,1,19),tblDaily[WardCode],"MAE")=0,"",SUMIFS(tblDaily[TransfersIn],tblDaily[EntryDate],DATE(2026,1,19),tblDaily[WardCode],"MAE")),"")</f>
        <v/>
      </c>
      <c r="G25" s="5" t="str">
        <f>IFERROR(IF(SUMIFS(tblDaily[TransfersOut],tblDaily[EntryDate],DATE(2026,1,19),tblDaily[WardCode],"MAE")=0,"",SUMIFS(tblDaily[TransfersOut],tblDaily[EntryDate],DATE(2026,1,19),tblDaily[WardCode],"MAE")),"")</f>
        <v/>
      </c>
      <c r="H25" s="5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IFERROR(IF(SUMIFS(tblDaily[Admissions],tblDaily[EntryDate],DATE(2026,1,20),tblDaily[WardCode],"MAE")=0,"",SUMIFS(tblDaily[Admissions],tblDaily[EntryDate],DATE(2026,1,20),tblDaily[WardCode],"MAE")),"")</f>
        <v/>
      </c>
      <c r="C26" s="5" t="str">
        <f>IFERROR(IF(SUMIFS(tblDaily[Discharges],tblDaily[EntryDate],DATE(2026,1,20),tblDaily[WardCode],"MAE")=0,"",SUMIFS(tblDaily[Discharges],tblDaily[EntryDate],DATE(2026,1,20),tblDaily[WardCode],"MAE")),"")</f>
        <v/>
      </c>
      <c r="D26" s="5" t="str">
        <f>IFERROR(IF(SUMIFS(tblDaily[Deaths],tblDaily[EntryDate],DATE(2026,1,20),tblDaily[WardCode],"MAE")=0,"",SUMIFS(tblDaily[Deaths],tblDaily[EntryDate],DATE(2026,1,20),tblDaily[WardCode],"MAE")),"")</f>
        <v/>
      </c>
      <c r="E26" s="5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5" t="str">
        <f>IFERROR(IF(SUMIFS(tblDaily[TransfersIn],tblDaily[EntryDate],DATE(2026,1,20),tblDaily[WardCode],"MAE")=0,"",SUMIFS(tblDaily[TransfersIn],tblDaily[EntryDate],DATE(2026,1,20),tblDaily[WardCode],"MAE")),"")</f>
        <v/>
      </c>
      <c r="G26" s="5" t="str">
        <f>IFERROR(IF(SUMIFS(tblDaily[TransfersOut],tblDaily[EntryDate],DATE(2026,1,20),tblDaily[WardCode],"MAE")=0,"",SUMIFS(tblDaily[TransfersOut],tblDaily[EntryDate],DATE(2026,1,20),tblDaily[WardCode],"MAE")),"")</f>
        <v/>
      </c>
      <c r="H26" s="5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IFERROR(IF(SUMIFS(tblDaily[Admissions],tblDaily[EntryDate],DATE(2026,1,21),tblDaily[WardCode],"MAE")=0,"",SUMIFS(tblDaily[Admissions],tblDaily[EntryDate],DATE(2026,1,21),tblDaily[WardCode],"MAE")),"")</f>
        <v/>
      </c>
      <c r="C27" s="5" t="str">
        <f>IFERROR(IF(SUMIFS(tblDaily[Discharges],tblDaily[EntryDate],DATE(2026,1,21),tblDaily[WardCode],"MAE")=0,"",SUMIFS(tblDaily[Discharges],tblDaily[EntryDate],DATE(2026,1,21),tblDaily[WardCode],"MAE")),"")</f>
        <v/>
      </c>
      <c r="D27" s="5" t="str">
        <f>IFERROR(IF(SUMIFS(tblDaily[Deaths],tblDaily[EntryDate],DATE(2026,1,21),tblDaily[WardCode],"MAE")=0,"",SUMIFS(tblDaily[Deaths],tblDaily[EntryDate],DATE(2026,1,21),tblDaily[WardCode],"MAE")),"")</f>
        <v/>
      </c>
      <c r="E27" s="5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5" t="str">
        <f>IFERROR(IF(SUMIFS(tblDaily[TransfersIn],tblDaily[EntryDate],DATE(2026,1,21),tblDaily[WardCode],"MAE")=0,"",SUMIFS(tblDaily[TransfersIn],tblDaily[EntryDate],DATE(2026,1,21),tblDaily[WardCode],"MAE")),"")</f>
        <v/>
      </c>
      <c r="G27" s="5" t="str">
        <f>IFERROR(IF(SUMIFS(tblDaily[TransfersOut],tblDaily[EntryDate],DATE(2026,1,21),tblDaily[WardCode],"MAE")=0,"",SUMIFS(tblDaily[TransfersOut],tblDaily[EntryDate],DATE(2026,1,21),tblDaily[WardCode],"MAE")),"")</f>
        <v/>
      </c>
      <c r="H27" s="5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IFERROR(IF(SUMIFS(tblDaily[Admissions],tblDaily[EntryDate],DATE(2026,1,22),tblDaily[WardCode],"MAE")=0,"",SUMIFS(tblDaily[Admissions],tblDaily[EntryDate],DATE(2026,1,22),tblDaily[WardCode],"MAE")),"")</f>
        <v/>
      </c>
      <c r="C28" s="5" t="str">
        <f>IFERROR(IF(SUMIFS(tblDaily[Discharges],tblDaily[EntryDate],DATE(2026,1,22),tblDaily[WardCode],"MAE")=0,"",SUMIFS(tblDaily[Discharges],tblDaily[EntryDate],DATE(2026,1,22),tblDaily[WardCode],"MAE")),"")</f>
        <v/>
      </c>
      <c r="D28" s="5" t="str">
        <f>IFERROR(IF(SUMIFS(tblDaily[Deaths],tblDaily[EntryDate],DATE(2026,1,22),tblDaily[WardCode],"MAE")=0,"",SUMIFS(tblDaily[Deaths],tblDaily[EntryDate],DATE(2026,1,22),tblDaily[WardCode],"MAE")),"")</f>
        <v/>
      </c>
      <c r="E28" s="5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5" t="str">
        <f>IFERROR(IF(SUMIFS(tblDaily[TransfersIn],tblDaily[EntryDate],DATE(2026,1,22),tblDaily[WardCode],"MAE")=0,"",SUMIFS(tblDaily[TransfersIn],tblDaily[EntryDate],DATE(2026,1,22),tblDaily[WardCode],"MAE")),"")</f>
        <v/>
      </c>
      <c r="G28" s="5" t="str">
        <f>IFERROR(IF(SUMIFS(tblDaily[TransfersOut],tblDaily[EntryDate],DATE(2026,1,22),tblDaily[WardCode],"MAE")=0,"",SUMIFS(tblDaily[TransfersOut],tblDaily[EntryDate],DATE(2026,1,22),tblDaily[WardCode],"MAE")),"")</f>
        <v/>
      </c>
      <c r="H28" s="5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IFERROR(IF(SUMIFS(tblDaily[Admissions],tblDaily[EntryDate],DATE(2026,1,23),tblDaily[WardCode],"MAE")=0,"",SUMIFS(tblDaily[Admissions],tblDaily[EntryDate],DATE(2026,1,23),tblDaily[WardCode],"MAE")),"")</f>
        <v/>
      </c>
      <c r="C29" s="5" t="str">
        <f>IFERROR(IF(SUMIFS(tblDaily[Discharges],tblDaily[EntryDate],DATE(2026,1,23),tblDaily[WardCode],"MAE")=0,"",SUMIFS(tblDaily[Discharges],tblDaily[EntryDate],DATE(2026,1,23),tblDaily[WardCode],"MAE")),"")</f>
        <v/>
      </c>
      <c r="D29" s="5" t="str">
        <f>IFERROR(IF(SUMIFS(tblDaily[Deaths],tblDaily[EntryDate],DATE(2026,1,23),tblDaily[WardCode],"MAE")=0,"",SUMIFS(tblDaily[Deaths],tblDaily[EntryDate],DATE(2026,1,23),tblDaily[WardCode],"MAE")),"")</f>
        <v/>
      </c>
      <c r="E29" s="5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5" t="str">
        <f>IFERROR(IF(SUMIFS(tblDaily[TransfersIn],tblDaily[EntryDate],DATE(2026,1,23),tblDaily[WardCode],"MAE")=0,"",SUMIFS(tblDaily[TransfersIn],tblDaily[EntryDate],DATE(2026,1,23),tblDaily[WardCode],"MAE")),"")</f>
        <v/>
      </c>
      <c r="G29" s="5" t="str">
        <f>IFERROR(IF(SUMIFS(tblDaily[TransfersOut],tblDaily[EntryDate],DATE(2026,1,23),tblDaily[WardCode],"MAE")=0,"",SUMIFS(tblDaily[TransfersOut],tblDaily[EntryDate],DATE(2026,1,23),tblDaily[WardCode],"MAE")),"")</f>
        <v/>
      </c>
      <c r="H29" s="5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IFERROR(IF(SUMIFS(tblDaily[Admissions],tblDaily[EntryDate],DATE(2026,1,24),tblDaily[WardCode],"MAE")=0,"",SUMIFS(tblDaily[Admissions],tblDaily[EntryDate],DATE(2026,1,24),tblDaily[WardCode],"MAE")),"")</f>
        <v/>
      </c>
      <c r="C30" s="5" t="str">
        <f>IFERROR(IF(SUMIFS(tblDaily[Discharges],tblDaily[EntryDate],DATE(2026,1,24),tblDaily[WardCode],"MAE")=0,"",SUMIFS(tblDaily[Discharges],tblDaily[EntryDate],DATE(2026,1,24),tblDaily[WardCode],"MAE")),"")</f>
        <v/>
      </c>
      <c r="D30" s="5" t="str">
        <f>IFERROR(IF(SUMIFS(tblDaily[Deaths],tblDaily[EntryDate],DATE(2026,1,24),tblDaily[WardCode],"MAE")=0,"",SUMIFS(tblDaily[Deaths],tblDaily[EntryDate],DATE(2026,1,24),tblDaily[WardCode],"MAE")),"")</f>
        <v/>
      </c>
      <c r="E30" s="5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5" t="str">
        <f>IFERROR(IF(SUMIFS(tblDaily[TransfersIn],tblDaily[EntryDate],DATE(2026,1,24),tblDaily[WardCode],"MAE")=0,"",SUMIFS(tblDaily[TransfersIn],tblDaily[EntryDate],DATE(2026,1,24),tblDaily[WardCode],"MAE")),"")</f>
        <v/>
      </c>
      <c r="G30" s="5" t="str">
        <f>IFERROR(IF(SUMIFS(tblDaily[TransfersOut],tblDaily[EntryDate],DATE(2026,1,24),tblDaily[WardCode],"MAE")=0,"",SUMIFS(tblDaily[TransfersOut],tblDaily[EntryDate],DATE(2026,1,24),tblDaily[WardCode],"MAE")),"")</f>
        <v/>
      </c>
      <c r="H30" s="5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IFERROR(IF(SUMIFS(tblDaily[Admissions],tblDaily[EntryDate],DATE(2026,1,25),tblDaily[WardCode],"MAE")=0,"",SUMIFS(tblDaily[Admissions],tblDaily[EntryDate],DATE(2026,1,25),tblDaily[WardCode],"MAE")),"")</f>
        <v/>
      </c>
      <c r="C31" s="5" t="str">
        <f>IFERROR(IF(SUMIFS(tblDaily[Discharges],tblDaily[EntryDate],DATE(2026,1,25),tblDaily[WardCode],"MAE")=0,"",SUMIFS(tblDaily[Discharges],tblDaily[EntryDate],DATE(2026,1,25),tblDaily[WardCode],"MAE")),"")</f>
        <v/>
      </c>
      <c r="D31" s="5" t="str">
        <f>IFERROR(IF(SUMIFS(tblDaily[Deaths],tblDaily[EntryDate],DATE(2026,1,25),tblDaily[WardCode],"MAE")=0,"",SUMIFS(tblDaily[Deaths],tblDaily[EntryDate],DATE(2026,1,25),tblDaily[WardCode],"MAE")),"")</f>
        <v/>
      </c>
      <c r="E31" s="5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5" t="str">
        <f>IFERROR(IF(SUMIFS(tblDaily[TransfersIn],tblDaily[EntryDate],DATE(2026,1,25),tblDaily[WardCode],"MAE")=0,"",SUMIFS(tblDaily[TransfersIn],tblDaily[EntryDate],DATE(2026,1,25),tblDaily[WardCode],"MAE")),"")</f>
        <v/>
      </c>
      <c r="G31" s="5" t="str">
        <f>IFERROR(IF(SUMIFS(tblDaily[TransfersOut],tblDaily[EntryDate],DATE(2026,1,25),tblDaily[WardCode],"MAE")=0,"",SUMIFS(tblDaily[TransfersOut],tblDaily[EntryDate],DATE(2026,1,25),tblDaily[WardCode],"MAE")),"")</f>
        <v/>
      </c>
      <c r="H31" s="5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IFERROR(IF(SUMIFS(tblDaily[Admissions],tblDaily[EntryDate],DATE(2026,1,26),tblDaily[WardCode],"MAE")=0,"",SUMIFS(tblDaily[Admissions],tblDaily[EntryDate],DATE(2026,1,26),tblDaily[WardCode],"MAE")),"")</f>
        <v/>
      </c>
      <c r="C32" s="5" t="str">
        <f>IFERROR(IF(SUMIFS(tblDaily[Discharges],tblDaily[EntryDate],DATE(2026,1,26),tblDaily[WardCode],"MAE")=0,"",SUMIFS(tblDaily[Discharges],tblDaily[EntryDate],DATE(2026,1,26),tblDaily[WardCode],"MAE")),"")</f>
        <v/>
      </c>
      <c r="D32" s="5" t="str">
        <f>IFERROR(IF(SUMIFS(tblDaily[Deaths],tblDaily[EntryDate],DATE(2026,1,26),tblDaily[WardCode],"MAE")=0,"",SUMIFS(tblDaily[Deaths],tblDaily[EntryDate],DATE(2026,1,26),tblDaily[WardCode],"MAE")),"")</f>
        <v/>
      </c>
      <c r="E32" s="5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5" t="str">
        <f>IFERROR(IF(SUMIFS(tblDaily[TransfersIn],tblDaily[EntryDate],DATE(2026,1,26),tblDaily[WardCode],"MAE")=0,"",SUMIFS(tblDaily[TransfersIn],tblDaily[EntryDate],DATE(2026,1,26),tblDaily[WardCode],"MAE")),"")</f>
        <v/>
      </c>
      <c r="G32" s="5" t="str">
        <f>IFERROR(IF(SUMIFS(tblDaily[TransfersOut],tblDaily[EntryDate],DATE(2026,1,26),tblDaily[WardCode],"MAE")=0,"",SUMIFS(tblDaily[TransfersOut],tblDaily[EntryDate],DATE(2026,1,26),tblDaily[WardCode],"MAE")),"")</f>
        <v/>
      </c>
      <c r="H32" s="5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IFERROR(IF(SUMIFS(tblDaily[Admissions],tblDaily[EntryDate],DATE(2026,1,27),tblDaily[WardCode],"MAE")=0,"",SUMIFS(tblDaily[Admissions],tblDaily[EntryDate],DATE(2026,1,27),tblDaily[WardCode],"MAE")),"")</f>
        <v/>
      </c>
      <c r="C33" s="5" t="str">
        <f>IFERROR(IF(SUMIFS(tblDaily[Discharges],tblDaily[EntryDate],DATE(2026,1,27),tblDaily[WardCode],"MAE")=0,"",SUMIFS(tblDaily[Discharges],tblDaily[EntryDate],DATE(2026,1,27),tblDaily[WardCode],"MAE")),"")</f>
        <v/>
      </c>
      <c r="D33" s="5" t="str">
        <f>IFERROR(IF(SUMIFS(tblDaily[Deaths],tblDaily[EntryDate],DATE(2026,1,27),tblDaily[WardCode],"MAE")=0,"",SUMIFS(tblDaily[Deaths],tblDaily[EntryDate],DATE(2026,1,27),tblDaily[WardCode],"MAE")),"")</f>
        <v/>
      </c>
      <c r="E33" s="5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5" t="str">
        <f>IFERROR(IF(SUMIFS(tblDaily[TransfersIn],tblDaily[EntryDate],DATE(2026,1,27),tblDaily[WardCode],"MAE")=0,"",SUMIFS(tblDaily[TransfersIn],tblDaily[EntryDate],DATE(2026,1,27),tblDaily[WardCode],"MAE")),"")</f>
        <v/>
      </c>
      <c r="G33" s="5" t="str">
        <f>IFERROR(IF(SUMIFS(tblDaily[TransfersOut],tblDaily[EntryDate],DATE(2026,1,27),tblDaily[WardCode],"MAE")=0,"",SUMIFS(tblDaily[TransfersOut],tblDaily[EntryDate],DATE(2026,1,27),tblDaily[WardCode],"MAE")),"")</f>
        <v/>
      </c>
      <c r="H33" s="5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IFERROR(IF(SUMIFS(tblDaily[Admissions],tblDaily[EntryDate],DATE(2026,1,28),tblDaily[WardCode],"MAE")=0,"",SUMIFS(tblDaily[Admissions],tblDaily[EntryDate],DATE(2026,1,28),tblDaily[WardCode],"MAE")),"")</f>
        <v/>
      </c>
      <c r="C34" s="5" t="str">
        <f>IFERROR(IF(SUMIFS(tblDaily[Discharges],tblDaily[EntryDate],DATE(2026,1,28),tblDaily[WardCode],"MAE")=0,"",SUMIFS(tblDaily[Discharges],tblDaily[EntryDate],DATE(2026,1,28),tblDaily[WardCode],"MAE")),"")</f>
        <v/>
      </c>
      <c r="D34" s="5" t="str">
        <f>IFERROR(IF(SUMIFS(tblDaily[Deaths],tblDaily[EntryDate],DATE(2026,1,28),tblDaily[WardCode],"MAE")=0,"",SUMIFS(tblDaily[Deaths],tblDaily[EntryDate],DATE(2026,1,28),tblDaily[WardCode],"MAE")),"")</f>
        <v/>
      </c>
      <c r="E34" s="5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5" t="str">
        <f>IFERROR(IF(SUMIFS(tblDaily[TransfersIn],tblDaily[EntryDate],DATE(2026,1,28),tblDaily[WardCode],"MAE")=0,"",SUMIFS(tblDaily[TransfersIn],tblDaily[EntryDate],DATE(2026,1,28),tblDaily[WardCode],"MAE")),"")</f>
        <v/>
      </c>
      <c r="G34" s="5" t="str">
        <f>IFERROR(IF(SUMIFS(tblDaily[TransfersOut],tblDaily[EntryDate],DATE(2026,1,28),tblDaily[WardCode],"MAE")=0,"",SUMIFS(tblDaily[TransfersOut],tblDaily[EntryDate],DATE(2026,1,28),tblDaily[WardCode],"MAE")),"")</f>
        <v/>
      </c>
      <c r="H34" s="5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IFERROR(IF(SUMIFS(tblDaily[Admissions],tblDaily[EntryDate],DATE(2026,1,29),tblDaily[WardCode],"MAE")=0,"",SUMIFS(tblDaily[Admissions],tblDaily[EntryDate],DATE(2026,1,29),tblDaily[WardCode],"MAE")),"")</f>
        <v/>
      </c>
      <c r="C35" s="5" t="str">
        <f>IFERROR(IF(SUMIFS(tblDaily[Discharges],tblDaily[EntryDate],DATE(2026,1,29),tblDaily[WardCode],"MAE")=0,"",SUMIFS(tblDaily[Discharges],tblDaily[EntryDate],DATE(2026,1,29),tblDaily[WardCode],"MAE")),"")</f>
        <v/>
      </c>
      <c r="D35" s="5" t="str">
        <f>IFERROR(IF(SUMIFS(tblDaily[Deaths],tblDaily[EntryDate],DATE(2026,1,29),tblDaily[WardCode],"MAE")=0,"",SUMIFS(tblDaily[Deaths],tblDaily[EntryDate],DATE(2026,1,29),tblDaily[WardCode],"MAE")),"")</f>
        <v/>
      </c>
      <c r="E35" s="5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5" t="str">
        <f>IFERROR(IF(SUMIFS(tblDaily[TransfersIn],tblDaily[EntryDate],DATE(2026,1,29),tblDaily[WardCode],"MAE")=0,"",SUMIFS(tblDaily[TransfersIn],tblDaily[EntryDate],DATE(2026,1,29),tblDaily[WardCode],"MAE")),"")</f>
        <v/>
      </c>
      <c r="G35" s="5" t="str">
        <f>IFERROR(IF(SUMIFS(tblDaily[TransfersOut],tblDaily[EntryDate],DATE(2026,1,29),tblDaily[WardCode],"MAE")=0,"",SUMIFS(tblDaily[TransfersOut],tblDaily[EntryDate],DATE(2026,1,29),tblDaily[WardCode],"MAE")),"")</f>
        <v/>
      </c>
      <c r="H35" s="5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IFERROR(IF(SUMIFS(tblDaily[Admissions],tblDaily[EntryDate],DATE(2026,1,30),tblDaily[WardCode],"MAE")=0,"",SUMIFS(tblDaily[Admissions],tblDaily[EntryDate],DATE(2026,1,30),tblDaily[WardCode],"MAE")),"")</f>
        <v/>
      </c>
      <c r="C36" s="5" t="str">
        <f>IFERROR(IF(SUMIFS(tblDaily[Discharges],tblDaily[EntryDate],DATE(2026,1,30),tblDaily[WardCode],"MAE")=0,"",SUMIFS(tblDaily[Discharges],tblDaily[EntryDate],DATE(2026,1,30),tblDaily[WardCode],"MAE")),"")</f>
        <v/>
      </c>
      <c r="D36" s="5" t="str">
        <f>IFERROR(IF(SUMIFS(tblDaily[Deaths],tblDaily[EntryDate],DATE(2026,1,30),tblDaily[WardCode],"MAE")=0,"",SUMIFS(tblDaily[Deaths],tblDaily[EntryDate],DATE(2026,1,30),tblDaily[WardCode],"MAE")),"")</f>
        <v/>
      </c>
      <c r="E36" s="5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5" t="str">
        <f>IFERROR(IF(SUMIFS(tblDaily[TransfersIn],tblDaily[EntryDate],DATE(2026,1,30),tblDaily[WardCode],"MAE")=0,"",SUMIFS(tblDaily[TransfersIn],tblDaily[EntryDate],DATE(2026,1,30),tblDaily[WardCode],"MAE")),"")</f>
        <v/>
      </c>
      <c r="G36" s="5" t="str">
        <f>IFERROR(IF(SUMIFS(tblDaily[TransfersOut],tblDaily[EntryDate],DATE(2026,1,30),tblDaily[WardCode],"MAE")=0,"",SUMIFS(tblDaily[TransfersOut],tblDaily[EntryDate],DATE(2026,1,30),tblDaily[WardCode],"MAE")),"")</f>
        <v/>
      </c>
      <c r="H36" s="5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IFERROR(IF(SUMIFS(tblDaily[Admissions],tblDaily[EntryDate],DATE(2026,1,31),tblDaily[WardCode],"MAE")=0,"",SUMIFS(tblDaily[Admissions],tblDaily[EntryDate],DATE(2026,1,31),tblDaily[WardCode],"MAE")),"")</f>
        <v/>
      </c>
      <c r="C37" s="5" t="str">
        <f>IFERROR(IF(SUMIFS(tblDaily[Discharges],tblDaily[EntryDate],DATE(2026,1,31),tblDaily[WardCode],"MAE")=0,"",SUMIFS(tblDaily[Discharges],tblDaily[EntryDate],DATE(2026,1,31),tblDaily[WardCode],"MAE")),"")</f>
        <v/>
      </c>
      <c r="D37" s="5" t="str">
        <f>IFERROR(IF(SUMIFS(tblDaily[Deaths],tblDaily[EntryDate],DATE(2026,1,31),tblDaily[WardCode],"MAE")=0,"",SUMIFS(tblDaily[Deaths],tblDaily[EntryDate],DATE(2026,1,31),tblDaily[WardCode],"MAE")),"")</f>
        <v/>
      </c>
      <c r="E37" s="5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5" t="str">
        <f>IFERROR(IF(SUMIFS(tblDaily[TransfersIn],tblDaily[EntryDate],DATE(2026,1,31),tblDaily[WardCode],"MAE")=0,"",SUMIFS(tblDaily[TransfersIn],tblDaily[EntryDate],DATE(2026,1,31),tblDaily[WardCode],"MAE")),"")</f>
        <v/>
      </c>
      <c r="G37" s="5" t="str">
        <f>IFERROR(IF(SUMIFS(tblDaily[TransfersOut],tblDaily[EntryDate],DATE(2026,1,31),tblDaily[WardCode],"MAE")=0,"",SUMIFS(tblDaily[TransfersOut],tblDaily[EntryDate],DATE(2026,1,31),tblDaily[WardCode],"MAE")),"")</f>
        <v/>
      </c>
      <c r="H37" s="5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9" t="s">
        <v>95</v>
      </c>
      <c r="B38" s="9">
        <f>SUMIFS(tblDaily[Admissions],tblDaily[Month],1,tblDaily[WardCode],"MAE")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102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IFERROR(SUMIFS(tblDaily[Remaining],tblDaily[EntryDate],DATE(2026,1,31),tblDaily[WardCode],"MAE"),0)</f>
        <v>0</v>
      </c>
    </row>
    <row r="44" spans="1:8" x14ac:dyDescent="0.25">
      <c r="A44" s="1" t="s">
        <v>89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IFERROR(IF(SUMIFS(tblDaily[Admissions],tblDaily[EntryDate],DATE(2026,2,1),tblDaily[WardCode],"MAE")=0,"",SUMIFS(tblDaily[Admissions],tblDaily[EntryDate],DATE(2026,2,1),tblDaily[WardCode],"MAE")),"")</f>
        <v/>
      </c>
      <c r="C46" s="5" t="str">
        <f>IFERROR(IF(SUMIFS(tblDaily[Discharges],tblDaily[EntryDate],DATE(2026,2,1),tblDaily[WardCode],"MAE")=0,"",SUMIFS(tblDaily[Discharges],tblDaily[EntryDate],DATE(2026,2,1),tblDaily[WardCode],"MAE")),"")</f>
        <v/>
      </c>
      <c r="D46" s="5" t="str">
        <f>IFERROR(IF(SUMIFS(tblDaily[Deaths],tblDaily[EntryDate],DATE(2026,2,1),tblDaily[WardCode],"MAE")=0,"",SUMIFS(tblDaily[Deaths],tblDaily[EntryDate],DATE(2026,2,1),tblDaily[WardCode],"MAE")),"")</f>
        <v/>
      </c>
      <c r="E46" s="5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5" t="str">
        <f>IFERROR(IF(SUMIFS(tblDaily[TransfersIn],tblDaily[EntryDate],DATE(2026,2,1),tblDaily[WardCode],"MAE")=0,"",SUMIFS(tblDaily[TransfersIn],tblDaily[EntryDate],DATE(2026,2,1),tblDaily[WardCode],"MAE")),"")</f>
        <v/>
      </c>
      <c r="G46" s="5" t="str">
        <f>IFERROR(IF(SUMIFS(tblDaily[TransfersOut],tblDaily[EntryDate],DATE(2026,2,1),tblDaily[WardCode],"MAE")=0,"",SUMIFS(tblDaily[TransfersOut],tblDaily[EntryDate],DATE(2026,2,1),tblDaily[WardCode],"MAE")),"")</f>
        <v/>
      </c>
      <c r="H46" s="5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IFERROR(IF(SUMIFS(tblDaily[Admissions],tblDaily[EntryDate],DATE(2026,2,2),tblDaily[WardCode],"MAE")=0,"",SUMIFS(tblDaily[Admissions],tblDaily[EntryDate],DATE(2026,2,2),tblDaily[WardCode],"MAE")),"")</f>
        <v/>
      </c>
      <c r="C47" s="5" t="str">
        <f>IFERROR(IF(SUMIFS(tblDaily[Discharges],tblDaily[EntryDate],DATE(2026,2,2),tblDaily[WardCode],"MAE")=0,"",SUMIFS(tblDaily[Discharges],tblDaily[EntryDate],DATE(2026,2,2),tblDaily[WardCode],"MAE")),"")</f>
        <v/>
      </c>
      <c r="D47" s="5" t="str">
        <f>IFERROR(IF(SUMIFS(tblDaily[Deaths],tblDaily[EntryDate],DATE(2026,2,2),tblDaily[WardCode],"MAE")=0,"",SUMIFS(tblDaily[Deaths],tblDaily[EntryDate],DATE(2026,2,2),tblDaily[WardCode],"MAE")),"")</f>
        <v/>
      </c>
      <c r="E47" s="5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5" t="str">
        <f>IFERROR(IF(SUMIFS(tblDaily[TransfersIn],tblDaily[EntryDate],DATE(2026,2,2),tblDaily[WardCode],"MAE")=0,"",SUMIFS(tblDaily[TransfersIn],tblDaily[EntryDate],DATE(2026,2,2),tblDaily[WardCode],"MAE")),"")</f>
        <v/>
      </c>
      <c r="G47" s="5" t="str">
        <f>IFERROR(IF(SUMIFS(tblDaily[TransfersOut],tblDaily[EntryDate],DATE(2026,2,2),tblDaily[WardCode],"MAE")=0,"",SUMIFS(tblDaily[TransfersOut],tblDaily[EntryDate],DATE(2026,2,2),tblDaily[WardCode],"MAE")),"")</f>
        <v/>
      </c>
      <c r="H47" s="5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IFERROR(IF(SUMIFS(tblDaily[Admissions],tblDaily[EntryDate],DATE(2026,2,3),tblDaily[WardCode],"MAE")=0,"",SUMIFS(tblDaily[Admissions],tblDaily[EntryDate],DATE(2026,2,3),tblDaily[WardCode],"MAE")),"")</f>
        <v/>
      </c>
      <c r="C48" s="5" t="str">
        <f>IFERROR(IF(SUMIFS(tblDaily[Discharges],tblDaily[EntryDate],DATE(2026,2,3),tblDaily[WardCode],"MAE")=0,"",SUMIFS(tblDaily[Discharges],tblDaily[EntryDate],DATE(2026,2,3),tblDaily[WardCode],"MAE")),"")</f>
        <v/>
      </c>
      <c r="D48" s="5" t="str">
        <f>IFERROR(IF(SUMIFS(tblDaily[Deaths],tblDaily[EntryDate],DATE(2026,2,3),tblDaily[WardCode],"MAE")=0,"",SUMIFS(tblDaily[Deaths],tblDaily[EntryDate],DATE(2026,2,3),tblDaily[WardCode],"MAE")),"")</f>
        <v/>
      </c>
      <c r="E48" s="5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5" t="str">
        <f>IFERROR(IF(SUMIFS(tblDaily[TransfersIn],tblDaily[EntryDate],DATE(2026,2,3),tblDaily[WardCode],"MAE")=0,"",SUMIFS(tblDaily[TransfersIn],tblDaily[EntryDate],DATE(2026,2,3),tblDaily[WardCode],"MAE")),"")</f>
        <v/>
      </c>
      <c r="G48" s="5" t="str">
        <f>IFERROR(IF(SUMIFS(tblDaily[TransfersOut],tblDaily[EntryDate],DATE(2026,2,3),tblDaily[WardCode],"MAE")=0,"",SUMIFS(tblDaily[TransfersOut],tblDaily[EntryDate],DATE(2026,2,3),tblDaily[WardCode],"MAE")),"")</f>
        <v/>
      </c>
      <c r="H48" s="5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IFERROR(IF(SUMIFS(tblDaily[Admissions],tblDaily[EntryDate],DATE(2026,2,4),tblDaily[WardCode],"MAE")=0,"",SUMIFS(tblDaily[Admissions],tblDaily[EntryDate],DATE(2026,2,4),tblDaily[WardCode],"MAE")),"")</f>
        <v/>
      </c>
      <c r="C49" s="5" t="str">
        <f>IFERROR(IF(SUMIFS(tblDaily[Discharges],tblDaily[EntryDate],DATE(2026,2,4),tblDaily[WardCode],"MAE")=0,"",SUMIFS(tblDaily[Discharges],tblDaily[EntryDate],DATE(2026,2,4),tblDaily[WardCode],"MAE")),"")</f>
        <v/>
      </c>
      <c r="D49" s="5" t="str">
        <f>IFERROR(IF(SUMIFS(tblDaily[Deaths],tblDaily[EntryDate],DATE(2026,2,4),tblDaily[WardCode],"MAE")=0,"",SUMIFS(tblDaily[Deaths],tblDaily[EntryDate],DATE(2026,2,4),tblDaily[WardCode],"MAE")),"")</f>
        <v/>
      </c>
      <c r="E49" s="5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5" t="str">
        <f>IFERROR(IF(SUMIFS(tblDaily[TransfersIn],tblDaily[EntryDate],DATE(2026,2,4),tblDaily[WardCode],"MAE")=0,"",SUMIFS(tblDaily[TransfersIn],tblDaily[EntryDate],DATE(2026,2,4),tblDaily[WardCode],"MAE")),"")</f>
        <v/>
      </c>
      <c r="G49" s="5" t="str">
        <f>IFERROR(IF(SUMIFS(tblDaily[TransfersOut],tblDaily[EntryDate],DATE(2026,2,4),tblDaily[WardCode],"MAE")=0,"",SUMIFS(tblDaily[TransfersOut],tblDaily[EntryDate],DATE(2026,2,4),tblDaily[WardCode],"MAE")),"")</f>
        <v/>
      </c>
      <c r="H49" s="5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IFERROR(IF(SUMIFS(tblDaily[Admissions],tblDaily[EntryDate],DATE(2026,2,5),tblDaily[WardCode],"MAE")=0,"",SUMIFS(tblDaily[Admissions],tblDaily[EntryDate],DATE(2026,2,5),tblDaily[WardCode],"MAE")),"")</f>
        <v/>
      </c>
      <c r="C50" s="5" t="str">
        <f>IFERROR(IF(SUMIFS(tblDaily[Discharges],tblDaily[EntryDate],DATE(2026,2,5),tblDaily[WardCode],"MAE")=0,"",SUMIFS(tblDaily[Discharges],tblDaily[EntryDate],DATE(2026,2,5),tblDaily[WardCode],"MAE")),"")</f>
        <v/>
      </c>
      <c r="D50" s="5" t="str">
        <f>IFERROR(IF(SUMIFS(tblDaily[Deaths],tblDaily[EntryDate],DATE(2026,2,5),tblDaily[WardCode],"MAE")=0,"",SUMIFS(tblDaily[Deaths],tblDaily[EntryDate],DATE(2026,2,5),tblDaily[WardCode],"MAE")),"")</f>
        <v/>
      </c>
      <c r="E50" s="5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5" t="str">
        <f>IFERROR(IF(SUMIFS(tblDaily[TransfersIn],tblDaily[EntryDate],DATE(2026,2,5),tblDaily[WardCode],"MAE")=0,"",SUMIFS(tblDaily[TransfersIn],tblDaily[EntryDate],DATE(2026,2,5),tblDaily[WardCode],"MAE")),"")</f>
        <v/>
      </c>
      <c r="G50" s="5" t="str">
        <f>IFERROR(IF(SUMIFS(tblDaily[TransfersOut],tblDaily[EntryDate],DATE(2026,2,5),tblDaily[WardCode],"MAE")=0,"",SUMIFS(tblDaily[TransfersOut],tblDaily[EntryDate],DATE(2026,2,5),tblDaily[WardCode],"MAE")),"")</f>
        <v/>
      </c>
      <c r="H50" s="5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IFERROR(IF(SUMIFS(tblDaily[Admissions],tblDaily[EntryDate],DATE(2026,2,6),tblDaily[WardCode],"MAE")=0,"",SUMIFS(tblDaily[Admissions],tblDaily[EntryDate],DATE(2026,2,6),tblDaily[WardCode],"MAE")),"")</f>
        <v/>
      </c>
      <c r="C51" s="5" t="str">
        <f>IFERROR(IF(SUMIFS(tblDaily[Discharges],tblDaily[EntryDate],DATE(2026,2,6),tblDaily[WardCode],"MAE")=0,"",SUMIFS(tblDaily[Discharges],tblDaily[EntryDate],DATE(2026,2,6),tblDaily[WardCode],"MAE")),"")</f>
        <v/>
      </c>
      <c r="D51" s="5" t="str">
        <f>IFERROR(IF(SUMIFS(tblDaily[Deaths],tblDaily[EntryDate],DATE(2026,2,6),tblDaily[WardCode],"MAE")=0,"",SUMIFS(tblDaily[Deaths],tblDaily[EntryDate],DATE(2026,2,6),tblDaily[WardCode],"MAE")),"")</f>
        <v/>
      </c>
      <c r="E51" s="5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5" t="str">
        <f>IFERROR(IF(SUMIFS(tblDaily[TransfersIn],tblDaily[EntryDate],DATE(2026,2,6),tblDaily[WardCode],"MAE")=0,"",SUMIFS(tblDaily[TransfersIn],tblDaily[EntryDate],DATE(2026,2,6),tblDaily[WardCode],"MAE")),"")</f>
        <v/>
      </c>
      <c r="G51" s="5" t="str">
        <f>IFERROR(IF(SUMIFS(tblDaily[TransfersOut],tblDaily[EntryDate],DATE(2026,2,6),tblDaily[WardCode],"MAE")=0,"",SUMIFS(tblDaily[TransfersOut],tblDaily[EntryDate],DATE(2026,2,6),tblDaily[WardCode],"MAE")),"")</f>
        <v/>
      </c>
      <c r="H51" s="5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IFERROR(IF(SUMIFS(tblDaily[Admissions],tblDaily[EntryDate],DATE(2026,2,7),tblDaily[WardCode],"MAE")=0,"",SUMIFS(tblDaily[Admissions],tblDaily[EntryDate],DATE(2026,2,7),tblDaily[WardCode],"MAE")),"")</f>
        <v/>
      </c>
      <c r="C52" s="5" t="str">
        <f>IFERROR(IF(SUMIFS(tblDaily[Discharges],tblDaily[EntryDate],DATE(2026,2,7),tblDaily[WardCode],"MAE")=0,"",SUMIFS(tblDaily[Discharges],tblDaily[EntryDate],DATE(2026,2,7),tblDaily[WardCode],"MAE")),"")</f>
        <v/>
      </c>
      <c r="D52" s="5" t="str">
        <f>IFERROR(IF(SUMIFS(tblDaily[Deaths],tblDaily[EntryDate],DATE(2026,2,7),tblDaily[WardCode],"MAE")=0,"",SUMIFS(tblDaily[Deaths],tblDaily[EntryDate],DATE(2026,2,7),tblDaily[WardCode],"MAE")),"")</f>
        <v/>
      </c>
      <c r="E52" s="5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5" t="str">
        <f>IFERROR(IF(SUMIFS(tblDaily[TransfersIn],tblDaily[EntryDate],DATE(2026,2,7),tblDaily[WardCode],"MAE")=0,"",SUMIFS(tblDaily[TransfersIn],tblDaily[EntryDate],DATE(2026,2,7),tblDaily[WardCode],"MAE")),"")</f>
        <v/>
      </c>
      <c r="G52" s="5" t="str">
        <f>IFERROR(IF(SUMIFS(tblDaily[TransfersOut],tblDaily[EntryDate],DATE(2026,2,7),tblDaily[WardCode],"MAE")=0,"",SUMIFS(tblDaily[TransfersOut],tblDaily[EntryDate],DATE(2026,2,7),tblDaily[WardCode],"MAE")),"")</f>
        <v/>
      </c>
      <c r="H52" s="5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IFERROR(IF(SUMIFS(tblDaily[Admissions],tblDaily[EntryDate],DATE(2026,2,8),tblDaily[WardCode],"MAE")=0,"",SUMIFS(tblDaily[Admissions],tblDaily[EntryDate],DATE(2026,2,8),tblDaily[WardCode],"MAE")),"")</f>
        <v/>
      </c>
      <c r="C53" s="5" t="str">
        <f>IFERROR(IF(SUMIFS(tblDaily[Discharges],tblDaily[EntryDate],DATE(2026,2,8),tblDaily[WardCode],"MAE")=0,"",SUMIFS(tblDaily[Discharges],tblDaily[EntryDate],DATE(2026,2,8),tblDaily[WardCode],"MAE")),"")</f>
        <v/>
      </c>
      <c r="D53" s="5" t="str">
        <f>IFERROR(IF(SUMIFS(tblDaily[Deaths],tblDaily[EntryDate],DATE(2026,2,8),tblDaily[WardCode],"MAE")=0,"",SUMIFS(tblDaily[Deaths],tblDaily[EntryDate],DATE(2026,2,8),tblDaily[WardCode],"MAE")),"")</f>
        <v/>
      </c>
      <c r="E53" s="5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5" t="str">
        <f>IFERROR(IF(SUMIFS(tblDaily[TransfersIn],tblDaily[EntryDate],DATE(2026,2,8),tblDaily[WardCode],"MAE")=0,"",SUMIFS(tblDaily[TransfersIn],tblDaily[EntryDate],DATE(2026,2,8),tblDaily[WardCode],"MAE")),"")</f>
        <v/>
      </c>
      <c r="G53" s="5" t="str">
        <f>IFERROR(IF(SUMIFS(tblDaily[TransfersOut],tblDaily[EntryDate],DATE(2026,2,8),tblDaily[WardCode],"MAE")=0,"",SUMIFS(tblDaily[TransfersOut],tblDaily[EntryDate],DATE(2026,2,8),tblDaily[WardCode],"MAE")),"")</f>
        <v/>
      </c>
      <c r="H53" s="5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IFERROR(IF(SUMIFS(tblDaily[Admissions],tblDaily[EntryDate],DATE(2026,2,9),tblDaily[WardCode],"MAE")=0,"",SUMIFS(tblDaily[Admissions],tblDaily[EntryDate],DATE(2026,2,9),tblDaily[WardCode],"MAE")),"")</f>
        <v/>
      </c>
      <c r="C54" s="5" t="str">
        <f>IFERROR(IF(SUMIFS(tblDaily[Discharges],tblDaily[EntryDate],DATE(2026,2,9),tblDaily[WardCode],"MAE")=0,"",SUMIFS(tblDaily[Discharges],tblDaily[EntryDate],DATE(2026,2,9),tblDaily[WardCode],"MAE")),"")</f>
        <v/>
      </c>
      <c r="D54" s="5" t="str">
        <f>IFERROR(IF(SUMIFS(tblDaily[Deaths],tblDaily[EntryDate],DATE(2026,2,9),tblDaily[WardCode],"MAE")=0,"",SUMIFS(tblDaily[Deaths],tblDaily[EntryDate],DATE(2026,2,9),tblDaily[WardCode],"MAE")),"")</f>
        <v/>
      </c>
      <c r="E54" s="5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5" t="str">
        <f>IFERROR(IF(SUMIFS(tblDaily[TransfersIn],tblDaily[EntryDate],DATE(2026,2,9),tblDaily[WardCode],"MAE")=0,"",SUMIFS(tblDaily[TransfersIn],tblDaily[EntryDate],DATE(2026,2,9),tblDaily[WardCode],"MAE")),"")</f>
        <v/>
      </c>
      <c r="G54" s="5" t="str">
        <f>IFERROR(IF(SUMIFS(tblDaily[TransfersOut],tblDaily[EntryDate],DATE(2026,2,9),tblDaily[WardCode],"MAE")=0,"",SUMIFS(tblDaily[TransfersOut],tblDaily[EntryDate],DATE(2026,2,9),tblDaily[WardCode],"MAE")),"")</f>
        <v/>
      </c>
      <c r="H54" s="5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IFERROR(IF(SUMIFS(tblDaily[Admissions],tblDaily[EntryDate],DATE(2026,2,10),tblDaily[WardCode],"MAE")=0,"",SUMIFS(tblDaily[Admissions],tblDaily[EntryDate],DATE(2026,2,10),tblDaily[WardCode],"MAE")),"")</f>
        <v/>
      </c>
      <c r="C55" s="5" t="str">
        <f>IFERROR(IF(SUMIFS(tblDaily[Discharges],tblDaily[EntryDate],DATE(2026,2,10),tblDaily[WardCode],"MAE")=0,"",SUMIFS(tblDaily[Discharges],tblDaily[EntryDate],DATE(2026,2,10),tblDaily[WardCode],"MAE")),"")</f>
        <v/>
      </c>
      <c r="D55" s="5" t="str">
        <f>IFERROR(IF(SUMIFS(tblDaily[Deaths],tblDaily[EntryDate],DATE(2026,2,10),tblDaily[WardCode],"MAE")=0,"",SUMIFS(tblDaily[Deaths],tblDaily[EntryDate],DATE(2026,2,10),tblDaily[WardCode],"MAE")),"")</f>
        <v/>
      </c>
      <c r="E55" s="5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5" t="str">
        <f>IFERROR(IF(SUMIFS(tblDaily[TransfersIn],tblDaily[EntryDate],DATE(2026,2,10),tblDaily[WardCode],"MAE")=0,"",SUMIFS(tblDaily[TransfersIn],tblDaily[EntryDate],DATE(2026,2,10),tblDaily[WardCode],"MAE")),"")</f>
        <v/>
      </c>
      <c r="G55" s="5" t="str">
        <f>IFERROR(IF(SUMIFS(tblDaily[TransfersOut],tblDaily[EntryDate],DATE(2026,2,10),tblDaily[WardCode],"MAE")=0,"",SUMIFS(tblDaily[TransfersOut],tblDaily[EntryDate],DATE(2026,2,10),tblDaily[WardCode],"MAE")),"")</f>
        <v/>
      </c>
      <c r="H55" s="5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IFERROR(IF(SUMIFS(tblDaily[Admissions],tblDaily[EntryDate],DATE(2026,2,11),tblDaily[WardCode],"MAE")=0,"",SUMIFS(tblDaily[Admissions],tblDaily[EntryDate],DATE(2026,2,11),tblDaily[WardCode],"MAE")),"")</f>
        <v/>
      </c>
      <c r="C56" s="5" t="str">
        <f>IFERROR(IF(SUMIFS(tblDaily[Discharges],tblDaily[EntryDate],DATE(2026,2,11),tblDaily[WardCode],"MAE")=0,"",SUMIFS(tblDaily[Discharges],tblDaily[EntryDate],DATE(2026,2,11),tblDaily[WardCode],"MAE")),"")</f>
        <v/>
      </c>
      <c r="D56" s="5" t="str">
        <f>IFERROR(IF(SUMIFS(tblDaily[Deaths],tblDaily[EntryDate],DATE(2026,2,11),tblDaily[WardCode],"MAE")=0,"",SUMIFS(tblDaily[Deaths],tblDaily[EntryDate],DATE(2026,2,11),tblDaily[WardCode],"MAE")),"")</f>
        <v/>
      </c>
      <c r="E56" s="5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5" t="str">
        <f>IFERROR(IF(SUMIFS(tblDaily[TransfersIn],tblDaily[EntryDate],DATE(2026,2,11),tblDaily[WardCode],"MAE")=0,"",SUMIFS(tblDaily[TransfersIn],tblDaily[EntryDate],DATE(2026,2,11),tblDaily[WardCode],"MAE")),"")</f>
        <v/>
      </c>
      <c r="G56" s="5" t="str">
        <f>IFERROR(IF(SUMIFS(tblDaily[TransfersOut],tblDaily[EntryDate],DATE(2026,2,11),tblDaily[WardCode],"MAE")=0,"",SUMIFS(tblDaily[TransfersOut],tblDaily[EntryDate],DATE(2026,2,11),tblDaily[WardCode],"MAE")),"")</f>
        <v/>
      </c>
      <c r="H56" s="5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IFERROR(IF(SUMIFS(tblDaily[Admissions],tblDaily[EntryDate],DATE(2026,2,12),tblDaily[WardCode],"MAE")=0,"",SUMIFS(tblDaily[Admissions],tblDaily[EntryDate],DATE(2026,2,12),tblDaily[WardCode],"MAE")),"")</f>
        <v/>
      </c>
      <c r="C57" s="5" t="str">
        <f>IFERROR(IF(SUMIFS(tblDaily[Discharges],tblDaily[EntryDate],DATE(2026,2,12),tblDaily[WardCode],"MAE")=0,"",SUMIFS(tblDaily[Discharges],tblDaily[EntryDate],DATE(2026,2,12),tblDaily[WardCode],"MAE")),"")</f>
        <v/>
      </c>
      <c r="D57" s="5" t="str">
        <f>IFERROR(IF(SUMIFS(tblDaily[Deaths],tblDaily[EntryDate],DATE(2026,2,12),tblDaily[WardCode],"MAE")=0,"",SUMIFS(tblDaily[Deaths],tblDaily[EntryDate],DATE(2026,2,12),tblDaily[WardCode],"MAE")),"")</f>
        <v/>
      </c>
      <c r="E57" s="5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5" t="str">
        <f>IFERROR(IF(SUMIFS(tblDaily[TransfersIn],tblDaily[EntryDate],DATE(2026,2,12),tblDaily[WardCode],"MAE")=0,"",SUMIFS(tblDaily[TransfersIn],tblDaily[EntryDate],DATE(2026,2,12),tblDaily[WardCode],"MAE")),"")</f>
        <v/>
      </c>
      <c r="G57" s="5" t="str">
        <f>IFERROR(IF(SUMIFS(tblDaily[TransfersOut],tblDaily[EntryDate],DATE(2026,2,12),tblDaily[WardCode],"MAE")=0,"",SUMIFS(tblDaily[TransfersOut],tblDaily[EntryDate],DATE(2026,2,12),tblDaily[WardCode],"MAE")),"")</f>
        <v/>
      </c>
      <c r="H57" s="5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IFERROR(IF(SUMIFS(tblDaily[Admissions],tblDaily[EntryDate],DATE(2026,2,13),tblDaily[WardCode],"MAE")=0,"",SUMIFS(tblDaily[Admissions],tblDaily[EntryDate],DATE(2026,2,13),tblDaily[WardCode],"MAE")),"")</f>
        <v/>
      </c>
      <c r="C58" s="5" t="str">
        <f>IFERROR(IF(SUMIFS(tblDaily[Discharges],tblDaily[EntryDate],DATE(2026,2,13),tblDaily[WardCode],"MAE")=0,"",SUMIFS(tblDaily[Discharges],tblDaily[EntryDate],DATE(2026,2,13),tblDaily[WardCode],"MAE")),"")</f>
        <v/>
      </c>
      <c r="D58" s="5" t="str">
        <f>IFERROR(IF(SUMIFS(tblDaily[Deaths],tblDaily[EntryDate],DATE(2026,2,13),tblDaily[WardCode],"MAE")=0,"",SUMIFS(tblDaily[Deaths],tblDaily[EntryDate],DATE(2026,2,13),tblDaily[WardCode],"MAE")),"")</f>
        <v/>
      </c>
      <c r="E58" s="5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5" t="str">
        <f>IFERROR(IF(SUMIFS(tblDaily[TransfersIn],tblDaily[EntryDate],DATE(2026,2,13),tblDaily[WardCode],"MAE")=0,"",SUMIFS(tblDaily[TransfersIn],tblDaily[EntryDate],DATE(2026,2,13),tblDaily[WardCode],"MAE")),"")</f>
        <v/>
      </c>
      <c r="G58" s="5" t="str">
        <f>IFERROR(IF(SUMIFS(tblDaily[TransfersOut],tblDaily[EntryDate],DATE(2026,2,13),tblDaily[WardCode],"MAE")=0,"",SUMIFS(tblDaily[TransfersOut],tblDaily[EntryDate],DATE(2026,2,13),tblDaily[WardCode],"MAE")),"")</f>
        <v/>
      </c>
      <c r="H58" s="5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IFERROR(IF(SUMIFS(tblDaily[Admissions],tblDaily[EntryDate],DATE(2026,2,14),tblDaily[WardCode],"MAE")=0,"",SUMIFS(tblDaily[Admissions],tblDaily[EntryDate],DATE(2026,2,14),tblDaily[WardCode],"MAE")),"")</f>
        <v/>
      </c>
      <c r="C59" s="5" t="str">
        <f>IFERROR(IF(SUMIFS(tblDaily[Discharges],tblDaily[EntryDate],DATE(2026,2,14),tblDaily[WardCode],"MAE")=0,"",SUMIFS(tblDaily[Discharges],tblDaily[EntryDate],DATE(2026,2,14),tblDaily[WardCode],"MAE")),"")</f>
        <v/>
      </c>
      <c r="D59" s="5" t="str">
        <f>IFERROR(IF(SUMIFS(tblDaily[Deaths],tblDaily[EntryDate],DATE(2026,2,14),tblDaily[WardCode],"MAE")=0,"",SUMIFS(tblDaily[Deaths],tblDaily[EntryDate],DATE(2026,2,14),tblDaily[WardCode],"MAE")),"")</f>
        <v/>
      </c>
      <c r="E59" s="5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5" t="str">
        <f>IFERROR(IF(SUMIFS(tblDaily[TransfersIn],tblDaily[EntryDate],DATE(2026,2,14),tblDaily[WardCode],"MAE")=0,"",SUMIFS(tblDaily[TransfersIn],tblDaily[EntryDate],DATE(2026,2,14),tblDaily[WardCode],"MAE")),"")</f>
        <v/>
      </c>
      <c r="G59" s="5" t="str">
        <f>IFERROR(IF(SUMIFS(tblDaily[TransfersOut],tblDaily[EntryDate],DATE(2026,2,14),tblDaily[WardCode],"MAE")=0,"",SUMIFS(tblDaily[TransfersOut],tblDaily[EntryDate],DATE(2026,2,14),tblDaily[WardCode],"MAE")),"")</f>
        <v/>
      </c>
      <c r="H59" s="5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IFERROR(IF(SUMIFS(tblDaily[Admissions],tblDaily[EntryDate],DATE(2026,2,15),tblDaily[WardCode],"MAE")=0,"",SUMIFS(tblDaily[Admissions],tblDaily[EntryDate],DATE(2026,2,15),tblDaily[WardCode],"MAE")),"")</f>
        <v/>
      </c>
      <c r="C60" s="5" t="str">
        <f>IFERROR(IF(SUMIFS(tblDaily[Discharges],tblDaily[EntryDate],DATE(2026,2,15),tblDaily[WardCode],"MAE")=0,"",SUMIFS(tblDaily[Discharges],tblDaily[EntryDate],DATE(2026,2,15),tblDaily[WardCode],"MAE")),"")</f>
        <v/>
      </c>
      <c r="D60" s="5" t="str">
        <f>IFERROR(IF(SUMIFS(tblDaily[Deaths],tblDaily[EntryDate],DATE(2026,2,15),tblDaily[WardCode],"MAE")=0,"",SUMIFS(tblDaily[Deaths],tblDaily[EntryDate],DATE(2026,2,15),tblDaily[WardCode],"MAE")),"")</f>
        <v/>
      </c>
      <c r="E60" s="5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5" t="str">
        <f>IFERROR(IF(SUMIFS(tblDaily[TransfersIn],tblDaily[EntryDate],DATE(2026,2,15),tblDaily[WardCode],"MAE")=0,"",SUMIFS(tblDaily[TransfersIn],tblDaily[EntryDate],DATE(2026,2,15),tblDaily[WardCode],"MAE")),"")</f>
        <v/>
      </c>
      <c r="G60" s="5" t="str">
        <f>IFERROR(IF(SUMIFS(tblDaily[TransfersOut],tblDaily[EntryDate],DATE(2026,2,15),tblDaily[WardCode],"MAE")=0,"",SUMIFS(tblDaily[TransfersOut],tblDaily[EntryDate],DATE(2026,2,15),tblDaily[WardCode],"MAE")),"")</f>
        <v/>
      </c>
      <c r="H60" s="5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IFERROR(IF(SUMIFS(tblDaily[Admissions],tblDaily[EntryDate],DATE(2026,2,16),tblDaily[WardCode],"MAE")=0,"",SUMIFS(tblDaily[Admissions],tblDaily[EntryDate],DATE(2026,2,16),tblDaily[WardCode],"MAE")),"")</f>
        <v/>
      </c>
      <c r="C61" s="5" t="str">
        <f>IFERROR(IF(SUMIFS(tblDaily[Discharges],tblDaily[EntryDate],DATE(2026,2,16),tblDaily[WardCode],"MAE")=0,"",SUMIFS(tblDaily[Discharges],tblDaily[EntryDate],DATE(2026,2,16),tblDaily[WardCode],"MAE")),"")</f>
        <v/>
      </c>
      <c r="D61" s="5" t="str">
        <f>IFERROR(IF(SUMIFS(tblDaily[Deaths],tblDaily[EntryDate],DATE(2026,2,16),tblDaily[WardCode],"MAE")=0,"",SUMIFS(tblDaily[Deaths],tblDaily[EntryDate],DATE(2026,2,16),tblDaily[WardCode],"MAE")),"")</f>
        <v/>
      </c>
      <c r="E61" s="5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5" t="str">
        <f>IFERROR(IF(SUMIFS(tblDaily[TransfersIn],tblDaily[EntryDate],DATE(2026,2,16),tblDaily[WardCode],"MAE")=0,"",SUMIFS(tblDaily[TransfersIn],tblDaily[EntryDate],DATE(2026,2,16),tblDaily[WardCode],"MAE")),"")</f>
        <v/>
      </c>
      <c r="G61" s="5" t="str">
        <f>IFERROR(IF(SUMIFS(tblDaily[TransfersOut],tblDaily[EntryDate],DATE(2026,2,16),tblDaily[WardCode],"MAE")=0,"",SUMIFS(tblDaily[TransfersOut],tblDaily[EntryDate],DATE(2026,2,16),tblDaily[WardCode],"MAE")),"")</f>
        <v/>
      </c>
      <c r="H61" s="5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IFERROR(IF(SUMIFS(tblDaily[Admissions],tblDaily[EntryDate],DATE(2026,2,17),tblDaily[WardCode],"MAE")=0,"",SUMIFS(tblDaily[Admissions],tblDaily[EntryDate],DATE(2026,2,17),tblDaily[WardCode],"MAE")),"")</f>
        <v/>
      </c>
      <c r="C62" s="5" t="str">
        <f>IFERROR(IF(SUMIFS(tblDaily[Discharges],tblDaily[EntryDate],DATE(2026,2,17),tblDaily[WardCode],"MAE")=0,"",SUMIFS(tblDaily[Discharges],tblDaily[EntryDate],DATE(2026,2,17),tblDaily[WardCode],"MAE")),"")</f>
        <v/>
      </c>
      <c r="D62" s="5" t="str">
        <f>IFERROR(IF(SUMIFS(tblDaily[Deaths],tblDaily[EntryDate],DATE(2026,2,17),tblDaily[WardCode],"MAE")=0,"",SUMIFS(tblDaily[Deaths],tblDaily[EntryDate],DATE(2026,2,17),tblDaily[WardCode],"MAE")),"")</f>
        <v/>
      </c>
      <c r="E62" s="5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5" t="str">
        <f>IFERROR(IF(SUMIFS(tblDaily[TransfersIn],tblDaily[EntryDate],DATE(2026,2,17),tblDaily[WardCode],"MAE")=0,"",SUMIFS(tblDaily[TransfersIn],tblDaily[EntryDate],DATE(2026,2,17),tblDaily[WardCode],"MAE")),"")</f>
        <v/>
      </c>
      <c r="G62" s="5" t="str">
        <f>IFERROR(IF(SUMIFS(tblDaily[TransfersOut],tblDaily[EntryDate],DATE(2026,2,17),tblDaily[WardCode],"MAE")=0,"",SUMIFS(tblDaily[TransfersOut],tblDaily[EntryDate],DATE(2026,2,17),tblDaily[WardCode],"MAE")),"")</f>
        <v/>
      </c>
      <c r="H62" s="5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IFERROR(IF(SUMIFS(tblDaily[Admissions],tblDaily[EntryDate],DATE(2026,2,18),tblDaily[WardCode],"MAE")=0,"",SUMIFS(tblDaily[Admissions],tblDaily[EntryDate],DATE(2026,2,18),tblDaily[WardCode],"MAE")),"")</f>
        <v/>
      </c>
      <c r="C63" s="5" t="str">
        <f>IFERROR(IF(SUMIFS(tblDaily[Discharges],tblDaily[EntryDate],DATE(2026,2,18),tblDaily[WardCode],"MAE")=0,"",SUMIFS(tblDaily[Discharges],tblDaily[EntryDate],DATE(2026,2,18),tblDaily[WardCode],"MAE")),"")</f>
        <v/>
      </c>
      <c r="D63" s="5" t="str">
        <f>IFERROR(IF(SUMIFS(tblDaily[Deaths],tblDaily[EntryDate],DATE(2026,2,18),tblDaily[WardCode],"MAE")=0,"",SUMIFS(tblDaily[Deaths],tblDaily[EntryDate],DATE(2026,2,18),tblDaily[WardCode],"MAE")),"")</f>
        <v/>
      </c>
      <c r="E63" s="5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5" t="str">
        <f>IFERROR(IF(SUMIFS(tblDaily[TransfersIn],tblDaily[EntryDate],DATE(2026,2,18),tblDaily[WardCode],"MAE")=0,"",SUMIFS(tblDaily[TransfersIn],tblDaily[EntryDate],DATE(2026,2,18),tblDaily[WardCode],"MAE")),"")</f>
        <v/>
      </c>
      <c r="G63" s="5" t="str">
        <f>IFERROR(IF(SUMIFS(tblDaily[TransfersOut],tblDaily[EntryDate],DATE(2026,2,18),tblDaily[WardCode],"MAE")=0,"",SUMIFS(tblDaily[TransfersOut],tblDaily[EntryDate],DATE(2026,2,18),tblDaily[WardCode],"MAE")),"")</f>
        <v/>
      </c>
      <c r="H63" s="5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IFERROR(IF(SUMIFS(tblDaily[Admissions],tblDaily[EntryDate],DATE(2026,2,19),tblDaily[WardCode],"MAE")=0,"",SUMIFS(tblDaily[Admissions],tblDaily[EntryDate],DATE(2026,2,19),tblDaily[WardCode],"MAE")),"")</f>
        <v/>
      </c>
      <c r="C64" s="5" t="str">
        <f>IFERROR(IF(SUMIFS(tblDaily[Discharges],tblDaily[EntryDate],DATE(2026,2,19),tblDaily[WardCode],"MAE")=0,"",SUMIFS(tblDaily[Discharges],tblDaily[EntryDate],DATE(2026,2,19),tblDaily[WardCode],"MAE")),"")</f>
        <v/>
      </c>
      <c r="D64" s="5" t="str">
        <f>IFERROR(IF(SUMIFS(tblDaily[Deaths],tblDaily[EntryDate],DATE(2026,2,19),tblDaily[WardCode],"MAE")=0,"",SUMIFS(tblDaily[Deaths],tblDaily[EntryDate],DATE(2026,2,19),tblDaily[WardCode],"MAE")),"")</f>
        <v/>
      </c>
      <c r="E64" s="5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5" t="str">
        <f>IFERROR(IF(SUMIFS(tblDaily[TransfersIn],tblDaily[EntryDate],DATE(2026,2,19),tblDaily[WardCode],"MAE")=0,"",SUMIFS(tblDaily[TransfersIn],tblDaily[EntryDate],DATE(2026,2,19),tblDaily[WardCode],"MAE")),"")</f>
        <v/>
      </c>
      <c r="G64" s="5" t="str">
        <f>IFERROR(IF(SUMIFS(tblDaily[TransfersOut],tblDaily[EntryDate],DATE(2026,2,19),tblDaily[WardCode],"MAE")=0,"",SUMIFS(tblDaily[TransfersOut],tblDaily[EntryDate],DATE(2026,2,19),tblDaily[WardCode],"MAE")),"")</f>
        <v/>
      </c>
      <c r="H64" s="5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IFERROR(IF(SUMIFS(tblDaily[Admissions],tblDaily[EntryDate],DATE(2026,2,20),tblDaily[WardCode],"MAE")=0,"",SUMIFS(tblDaily[Admissions],tblDaily[EntryDate],DATE(2026,2,20),tblDaily[WardCode],"MAE")),"")</f>
        <v/>
      </c>
      <c r="C65" s="5" t="str">
        <f>IFERROR(IF(SUMIFS(tblDaily[Discharges],tblDaily[EntryDate],DATE(2026,2,20),tblDaily[WardCode],"MAE")=0,"",SUMIFS(tblDaily[Discharges],tblDaily[EntryDate],DATE(2026,2,20),tblDaily[WardCode],"MAE")),"")</f>
        <v/>
      </c>
      <c r="D65" s="5" t="str">
        <f>IFERROR(IF(SUMIFS(tblDaily[Deaths],tblDaily[EntryDate],DATE(2026,2,20),tblDaily[WardCode],"MAE")=0,"",SUMIFS(tblDaily[Deaths],tblDaily[EntryDate],DATE(2026,2,20),tblDaily[WardCode],"MAE")),"")</f>
        <v/>
      </c>
      <c r="E65" s="5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5" t="str">
        <f>IFERROR(IF(SUMIFS(tblDaily[TransfersIn],tblDaily[EntryDate],DATE(2026,2,20),tblDaily[WardCode],"MAE")=0,"",SUMIFS(tblDaily[TransfersIn],tblDaily[EntryDate],DATE(2026,2,20),tblDaily[WardCode],"MAE")),"")</f>
        <v/>
      </c>
      <c r="G65" s="5" t="str">
        <f>IFERROR(IF(SUMIFS(tblDaily[TransfersOut],tblDaily[EntryDate],DATE(2026,2,20),tblDaily[WardCode],"MAE")=0,"",SUMIFS(tblDaily[TransfersOut],tblDaily[EntryDate],DATE(2026,2,20),tblDaily[WardCode],"MAE")),"")</f>
        <v/>
      </c>
      <c r="H65" s="5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IFERROR(IF(SUMIFS(tblDaily[Admissions],tblDaily[EntryDate],DATE(2026,2,21),tblDaily[WardCode],"MAE")=0,"",SUMIFS(tblDaily[Admissions],tblDaily[EntryDate],DATE(2026,2,21),tblDaily[WardCode],"MAE")),"")</f>
        <v/>
      </c>
      <c r="C66" s="5" t="str">
        <f>IFERROR(IF(SUMIFS(tblDaily[Discharges],tblDaily[EntryDate],DATE(2026,2,21),tblDaily[WardCode],"MAE")=0,"",SUMIFS(tblDaily[Discharges],tblDaily[EntryDate],DATE(2026,2,21),tblDaily[WardCode],"MAE")),"")</f>
        <v/>
      </c>
      <c r="D66" s="5" t="str">
        <f>IFERROR(IF(SUMIFS(tblDaily[Deaths],tblDaily[EntryDate],DATE(2026,2,21),tblDaily[WardCode],"MAE")=0,"",SUMIFS(tblDaily[Deaths],tblDaily[EntryDate],DATE(2026,2,21),tblDaily[WardCode],"MAE")),"")</f>
        <v/>
      </c>
      <c r="E66" s="5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5" t="str">
        <f>IFERROR(IF(SUMIFS(tblDaily[TransfersIn],tblDaily[EntryDate],DATE(2026,2,21),tblDaily[WardCode],"MAE")=0,"",SUMIFS(tblDaily[TransfersIn],tblDaily[EntryDate],DATE(2026,2,21),tblDaily[WardCode],"MAE")),"")</f>
        <v/>
      </c>
      <c r="G66" s="5" t="str">
        <f>IFERROR(IF(SUMIFS(tblDaily[TransfersOut],tblDaily[EntryDate],DATE(2026,2,21),tblDaily[WardCode],"MAE")=0,"",SUMIFS(tblDaily[TransfersOut],tblDaily[EntryDate],DATE(2026,2,21),tblDaily[WardCode],"MAE")),"")</f>
        <v/>
      </c>
      <c r="H66" s="5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IFERROR(IF(SUMIFS(tblDaily[Admissions],tblDaily[EntryDate],DATE(2026,2,22),tblDaily[WardCode],"MAE")=0,"",SUMIFS(tblDaily[Admissions],tblDaily[EntryDate],DATE(2026,2,22),tblDaily[WardCode],"MAE")),"")</f>
        <v/>
      </c>
      <c r="C67" s="5" t="str">
        <f>IFERROR(IF(SUMIFS(tblDaily[Discharges],tblDaily[EntryDate],DATE(2026,2,22),tblDaily[WardCode],"MAE")=0,"",SUMIFS(tblDaily[Discharges],tblDaily[EntryDate],DATE(2026,2,22),tblDaily[WardCode],"MAE")),"")</f>
        <v/>
      </c>
      <c r="D67" s="5" t="str">
        <f>IFERROR(IF(SUMIFS(tblDaily[Deaths],tblDaily[EntryDate],DATE(2026,2,22),tblDaily[WardCode],"MAE")=0,"",SUMIFS(tblDaily[Deaths],tblDaily[EntryDate],DATE(2026,2,22),tblDaily[WardCode],"MAE")),"")</f>
        <v/>
      </c>
      <c r="E67" s="5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5" t="str">
        <f>IFERROR(IF(SUMIFS(tblDaily[TransfersIn],tblDaily[EntryDate],DATE(2026,2,22),tblDaily[WardCode],"MAE")=0,"",SUMIFS(tblDaily[TransfersIn],tblDaily[EntryDate],DATE(2026,2,22),tblDaily[WardCode],"MAE")),"")</f>
        <v/>
      </c>
      <c r="G67" s="5" t="str">
        <f>IFERROR(IF(SUMIFS(tblDaily[TransfersOut],tblDaily[EntryDate],DATE(2026,2,22),tblDaily[WardCode],"MAE")=0,"",SUMIFS(tblDaily[TransfersOut],tblDaily[EntryDate],DATE(2026,2,22),tblDaily[WardCode],"MAE")),"")</f>
        <v/>
      </c>
      <c r="H67" s="5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IFERROR(IF(SUMIFS(tblDaily[Admissions],tblDaily[EntryDate],DATE(2026,2,23),tblDaily[WardCode],"MAE")=0,"",SUMIFS(tblDaily[Admissions],tblDaily[EntryDate],DATE(2026,2,23),tblDaily[WardCode],"MAE")),"")</f>
        <v/>
      </c>
      <c r="C68" s="5" t="str">
        <f>IFERROR(IF(SUMIFS(tblDaily[Discharges],tblDaily[EntryDate],DATE(2026,2,23),tblDaily[WardCode],"MAE")=0,"",SUMIFS(tblDaily[Discharges],tblDaily[EntryDate],DATE(2026,2,23),tblDaily[WardCode],"MAE")),"")</f>
        <v/>
      </c>
      <c r="D68" s="5" t="str">
        <f>IFERROR(IF(SUMIFS(tblDaily[Deaths],tblDaily[EntryDate],DATE(2026,2,23),tblDaily[WardCode],"MAE")=0,"",SUMIFS(tblDaily[Deaths],tblDaily[EntryDate],DATE(2026,2,23),tblDaily[WardCode],"MAE")),"")</f>
        <v/>
      </c>
      <c r="E68" s="5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5" t="str">
        <f>IFERROR(IF(SUMIFS(tblDaily[TransfersIn],tblDaily[EntryDate],DATE(2026,2,23),tblDaily[WardCode],"MAE")=0,"",SUMIFS(tblDaily[TransfersIn],tblDaily[EntryDate],DATE(2026,2,23),tblDaily[WardCode],"MAE")),"")</f>
        <v/>
      </c>
      <c r="G68" s="5" t="str">
        <f>IFERROR(IF(SUMIFS(tblDaily[TransfersOut],tblDaily[EntryDate],DATE(2026,2,23),tblDaily[WardCode],"MAE")=0,"",SUMIFS(tblDaily[TransfersOut],tblDaily[EntryDate],DATE(2026,2,23),tblDaily[WardCode],"MAE")),"")</f>
        <v/>
      </c>
      <c r="H68" s="5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IFERROR(IF(SUMIFS(tblDaily[Admissions],tblDaily[EntryDate],DATE(2026,2,24),tblDaily[WardCode],"MAE")=0,"",SUMIFS(tblDaily[Admissions],tblDaily[EntryDate],DATE(2026,2,24),tblDaily[WardCode],"MAE")),"")</f>
        <v/>
      </c>
      <c r="C69" s="5" t="str">
        <f>IFERROR(IF(SUMIFS(tblDaily[Discharges],tblDaily[EntryDate],DATE(2026,2,24),tblDaily[WardCode],"MAE")=0,"",SUMIFS(tblDaily[Discharges],tblDaily[EntryDate],DATE(2026,2,24),tblDaily[WardCode],"MAE")),"")</f>
        <v/>
      </c>
      <c r="D69" s="5" t="str">
        <f>IFERROR(IF(SUMIFS(tblDaily[Deaths],tblDaily[EntryDate],DATE(2026,2,24),tblDaily[WardCode],"MAE")=0,"",SUMIFS(tblDaily[Deaths],tblDaily[EntryDate],DATE(2026,2,24),tblDaily[WardCode],"MAE")),"")</f>
        <v/>
      </c>
      <c r="E69" s="5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5" t="str">
        <f>IFERROR(IF(SUMIFS(tblDaily[TransfersIn],tblDaily[EntryDate],DATE(2026,2,24),tblDaily[WardCode],"MAE")=0,"",SUMIFS(tblDaily[TransfersIn],tblDaily[EntryDate],DATE(2026,2,24),tblDaily[WardCode],"MAE")),"")</f>
        <v/>
      </c>
      <c r="G69" s="5" t="str">
        <f>IFERROR(IF(SUMIFS(tblDaily[TransfersOut],tblDaily[EntryDate],DATE(2026,2,24),tblDaily[WardCode],"MAE")=0,"",SUMIFS(tblDaily[TransfersOut],tblDaily[EntryDate],DATE(2026,2,24),tblDaily[WardCode],"MAE")),"")</f>
        <v/>
      </c>
      <c r="H69" s="5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IFERROR(IF(SUMIFS(tblDaily[Admissions],tblDaily[EntryDate],DATE(2026,2,25),tblDaily[WardCode],"MAE")=0,"",SUMIFS(tblDaily[Admissions],tblDaily[EntryDate],DATE(2026,2,25),tblDaily[WardCode],"MAE")),"")</f>
        <v/>
      </c>
      <c r="C70" s="5" t="str">
        <f>IFERROR(IF(SUMIFS(tblDaily[Discharges],tblDaily[EntryDate],DATE(2026,2,25),tblDaily[WardCode],"MAE")=0,"",SUMIFS(tblDaily[Discharges],tblDaily[EntryDate],DATE(2026,2,25),tblDaily[WardCode],"MAE")),"")</f>
        <v/>
      </c>
      <c r="D70" s="5" t="str">
        <f>IFERROR(IF(SUMIFS(tblDaily[Deaths],tblDaily[EntryDate],DATE(2026,2,25),tblDaily[WardCode],"MAE")=0,"",SUMIFS(tblDaily[Deaths],tblDaily[EntryDate],DATE(2026,2,25),tblDaily[WardCode],"MAE")),"")</f>
        <v/>
      </c>
      <c r="E70" s="5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5" t="str">
        <f>IFERROR(IF(SUMIFS(tblDaily[TransfersIn],tblDaily[EntryDate],DATE(2026,2,25),tblDaily[WardCode],"MAE")=0,"",SUMIFS(tblDaily[TransfersIn],tblDaily[EntryDate],DATE(2026,2,25),tblDaily[WardCode],"MAE")),"")</f>
        <v/>
      </c>
      <c r="G70" s="5" t="str">
        <f>IFERROR(IF(SUMIFS(tblDaily[TransfersOut],tblDaily[EntryDate],DATE(2026,2,25),tblDaily[WardCode],"MAE")=0,"",SUMIFS(tblDaily[TransfersOut],tblDaily[EntryDate],DATE(2026,2,25),tblDaily[WardCode],"MAE")),"")</f>
        <v/>
      </c>
      <c r="H70" s="5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IFERROR(IF(SUMIFS(tblDaily[Admissions],tblDaily[EntryDate],DATE(2026,2,26),tblDaily[WardCode],"MAE")=0,"",SUMIFS(tblDaily[Admissions],tblDaily[EntryDate],DATE(2026,2,26),tblDaily[WardCode],"MAE")),"")</f>
        <v/>
      </c>
      <c r="C71" s="5" t="str">
        <f>IFERROR(IF(SUMIFS(tblDaily[Discharges],tblDaily[EntryDate],DATE(2026,2,26),tblDaily[WardCode],"MAE")=0,"",SUMIFS(tblDaily[Discharges],tblDaily[EntryDate],DATE(2026,2,26),tblDaily[WardCode],"MAE")),"")</f>
        <v/>
      </c>
      <c r="D71" s="5" t="str">
        <f>IFERROR(IF(SUMIFS(tblDaily[Deaths],tblDaily[EntryDate],DATE(2026,2,26),tblDaily[WardCode],"MAE")=0,"",SUMIFS(tblDaily[Deaths],tblDaily[EntryDate],DATE(2026,2,26),tblDaily[WardCode],"MAE")),"")</f>
        <v/>
      </c>
      <c r="E71" s="5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5" t="str">
        <f>IFERROR(IF(SUMIFS(tblDaily[TransfersIn],tblDaily[EntryDate],DATE(2026,2,26),tblDaily[WardCode],"MAE")=0,"",SUMIFS(tblDaily[TransfersIn],tblDaily[EntryDate],DATE(2026,2,26),tblDaily[WardCode],"MAE")),"")</f>
        <v/>
      </c>
      <c r="G71" s="5" t="str">
        <f>IFERROR(IF(SUMIFS(tblDaily[TransfersOut],tblDaily[EntryDate],DATE(2026,2,26),tblDaily[WardCode],"MAE")=0,"",SUMIFS(tblDaily[TransfersOut],tblDaily[EntryDate],DATE(2026,2,26),tblDaily[WardCode],"MAE")),"")</f>
        <v/>
      </c>
      <c r="H71" s="5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IFERROR(IF(SUMIFS(tblDaily[Admissions],tblDaily[EntryDate],DATE(2026,2,27),tblDaily[WardCode],"MAE")=0,"",SUMIFS(tblDaily[Admissions],tblDaily[EntryDate],DATE(2026,2,27),tblDaily[WardCode],"MAE")),"")</f>
        <v/>
      </c>
      <c r="C72" s="5" t="str">
        <f>IFERROR(IF(SUMIFS(tblDaily[Discharges],tblDaily[EntryDate],DATE(2026,2,27),tblDaily[WardCode],"MAE")=0,"",SUMIFS(tblDaily[Discharges],tblDaily[EntryDate],DATE(2026,2,27),tblDaily[WardCode],"MAE")),"")</f>
        <v/>
      </c>
      <c r="D72" s="5" t="str">
        <f>IFERROR(IF(SUMIFS(tblDaily[Deaths],tblDaily[EntryDate],DATE(2026,2,27),tblDaily[WardCode],"MAE")=0,"",SUMIFS(tblDaily[Deaths],tblDaily[EntryDate],DATE(2026,2,27),tblDaily[WardCode],"MAE")),"")</f>
        <v/>
      </c>
      <c r="E72" s="5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5" t="str">
        <f>IFERROR(IF(SUMIFS(tblDaily[TransfersIn],tblDaily[EntryDate],DATE(2026,2,27),tblDaily[WardCode],"MAE")=0,"",SUMIFS(tblDaily[TransfersIn],tblDaily[EntryDate],DATE(2026,2,27),tblDaily[WardCode],"MAE")),"")</f>
        <v/>
      </c>
      <c r="G72" s="5" t="str">
        <f>IFERROR(IF(SUMIFS(tblDaily[TransfersOut],tblDaily[EntryDate],DATE(2026,2,27),tblDaily[WardCode],"MAE")=0,"",SUMIFS(tblDaily[TransfersOut],tblDaily[EntryDate],DATE(2026,2,27),tblDaily[WardCode],"MAE")),"")</f>
        <v/>
      </c>
      <c r="H72" s="5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IFERROR(IF(SUMIFS(tblDaily[Admissions],tblDaily[EntryDate],DATE(2026,2,28),tblDaily[WardCode],"MAE")=0,"",SUMIFS(tblDaily[Admissions],tblDaily[EntryDate],DATE(2026,2,28),tblDaily[WardCode],"MAE")),"")</f>
        <v/>
      </c>
      <c r="C73" s="5" t="str">
        <f>IFERROR(IF(SUMIFS(tblDaily[Discharges],tblDaily[EntryDate],DATE(2026,2,28),tblDaily[WardCode],"MAE")=0,"",SUMIFS(tblDaily[Discharges],tblDaily[EntryDate],DATE(2026,2,28),tblDaily[WardCode],"MAE")),"")</f>
        <v/>
      </c>
      <c r="D73" s="5" t="str">
        <f>IFERROR(IF(SUMIFS(tblDaily[Deaths],tblDaily[EntryDate],DATE(2026,2,28),tblDaily[WardCode],"MAE")=0,"",SUMIFS(tblDaily[Deaths],tblDaily[EntryDate],DATE(2026,2,28),tblDaily[WardCode],"MAE")),"")</f>
        <v/>
      </c>
      <c r="E73" s="5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5" t="str">
        <f>IFERROR(IF(SUMIFS(tblDaily[TransfersIn],tblDaily[EntryDate],DATE(2026,2,28),tblDaily[WardCode],"MAE")=0,"",SUMIFS(tblDaily[TransfersIn],tblDaily[EntryDate],DATE(2026,2,28),tblDaily[WardCode],"MAE")),"")</f>
        <v/>
      </c>
      <c r="G73" s="5" t="str">
        <f>IFERROR(IF(SUMIFS(tblDaily[TransfersOut],tblDaily[EntryDate],DATE(2026,2,28),tblDaily[WardCode],"MAE")=0,"",SUMIFS(tblDaily[TransfersOut],tblDaily[EntryDate],DATE(2026,2,28),tblDaily[WardCode],"MAE")),"")</f>
        <v/>
      </c>
      <c r="H73" s="5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102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89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IFERROR(IF(SUMIFS(tblDaily[Admissions],tblDaily[EntryDate],DATE(2026,3,1),tblDaily[WardCode],"MAE")=0,"",SUMIFS(tblDaily[Admissions],tblDaily[EntryDate],DATE(2026,3,1),tblDaily[WardCode],"MAE")),"")</f>
        <v/>
      </c>
      <c r="C85" s="5" t="str">
        <f>IFERROR(IF(SUMIFS(tblDaily[Discharges],tblDaily[EntryDate],DATE(2026,3,1),tblDaily[WardCode],"MAE")=0,"",SUMIFS(tblDaily[Discharges],tblDaily[EntryDate],DATE(2026,3,1),tblDaily[WardCode],"MAE")),"")</f>
        <v/>
      </c>
      <c r="D85" s="5" t="str">
        <f>IFERROR(IF(SUMIFS(tblDaily[Deaths],tblDaily[EntryDate],DATE(2026,3,1),tblDaily[WardCode],"MAE")=0,"",SUMIFS(tblDaily[Deaths],tblDaily[EntryDate],DATE(2026,3,1),tblDaily[WardCode],"MAE")),"")</f>
        <v/>
      </c>
      <c r="E85" s="5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5" t="str">
        <f>IFERROR(IF(SUMIFS(tblDaily[TransfersIn],tblDaily[EntryDate],DATE(2026,3,1),tblDaily[WardCode],"MAE")=0,"",SUMIFS(tblDaily[TransfersIn],tblDaily[EntryDate],DATE(2026,3,1),tblDaily[WardCode],"MAE")),"")</f>
        <v/>
      </c>
      <c r="G85" s="5" t="str">
        <f>IFERROR(IF(SUMIFS(tblDaily[TransfersOut],tblDaily[EntryDate],DATE(2026,3,1),tblDaily[WardCode],"MAE")=0,"",SUMIFS(tblDaily[TransfersOut],tblDaily[EntryDate],DATE(2026,3,1),tblDaily[WardCode],"MAE")),"")</f>
        <v/>
      </c>
      <c r="H85" s="5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IFERROR(IF(SUMIFS(tblDaily[Admissions],tblDaily[EntryDate],DATE(2026,3,2),tblDaily[WardCode],"MAE")=0,"",SUMIFS(tblDaily[Admissions],tblDaily[EntryDate],DATE(2026,3,2),tblDaily[WardCode],"MAE")),"")</f>
        <v/>
      </c>
      <c r="C86" s="5" t="str">
        <f>IFERROR(IF(SUMIFS(tblDaily[Discharges],tblDaily[EntryDate],DATE(2026,3,2),tblDaily[WardCode],"MAE")=0,"",SUMIFS(tblDaily[Discharges],tblDaily[EntryDate],DATE(2026,3,2),tblDaily[WardCode],"MAE")),"")</f>
        <v/>
      </c>
      <c r="D86" s="5" t="str">
        <f>IFERROR(IF(SUMIFS(tblDaily[Deaths],tblDaily[EntryDate],DATE(2026,3,2),tblDaily[WardCode],"MAE")=0,"",SUMIFS(tblDaily[Deaths],tblDaily[EntryDate],DATE(2026,3,2),tblDaily[WardCode],"MAE")),"")</f>
        <v/>
      </c>
      <c r="E86" s="5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5" t="str">
        <f>IFERROR(IF(SUMIFS(tblDaily[TransfersIn],tblDaily[EntryDate],DATE(2026,3,2),tblDaily[WardCode],"MAE")=0,"",SUMIFS(tblDaily[TransfersIn],tblDaily[EntryDate],DATE(2026,3,2),tblDaily[WardCode],"MAE")),"")</f>
        <v/>
      </c>
      <c r="G86" s="5" t="str">
        <f>IFERROR(IF(SUMIFS(tblDaily[TransfersOut],tblDaily[EntryDate],DATE(2026,3,2),tblDaily[WardCode],"MAE")=0,"",SUMIFS(tblDaily[TransfersOut],tblDaily[EntryDate],DATE(2026,3,2),tblDaily[WardCode],"MAE")),"")</f>
        <v/>
      </c>
      <c r="H86" s="5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IFERROR(IF(SUMIFS(tblDaily[Admissions],tblDaily[EntryDate],DATE(2026,3,3),tblDaily[WardCode],"MAE")=0,"",SUMIFS(tblDaily[Admissions],tblDaily[EntryDate],DATE(2026,3,3),tblDaily[WardCode],"MAE")),"")</f>
        <v/>
      </c>
      <c r="C87" s="5" t="str">
        <f>IFERROR(IF(SUMIFS(tblDaily[Discharges],tblDaily[EntryDate],DATE(2026,3,3),tblDaily[WardCode],"MAE")=0,"",SUMIFS(tblDaily[Discharges],tblDaily[EntryDate],DATE(2026,3,3),tblDaily[WardCode],"MAE")),"")</f>
        <v/>
      </c>
      <c r="D87" s="5" t="str">
        <f>IFERROR(IF(SUMIFS(tblDaily[Deaths],tblDaily[EntryDate],DATE(2026,3,3),tblDaily[WardCode],"MAE")=0,"",SUMIFS(tblDaily[Deaths],tblDaily[EntryDate],DATE(2026,3,3),tblDaily[WardCode],"MAE")),"")</f>
        <v/>
      </c>
      <c r="E87" s="5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5" t="str">
        <f>IFERROR(IF(SUMIFS(tblDaily[TransfersIn],tblDaily[EntryDate],DATE(2026,3,3),tblDaily[WardCode],"MAE")=0,"",SUMIFS(tblDaily[TransfersIn],tblDaily[EntryDate],DATE(2026,3,3),tblDaily[WardCode],"MAE")),"")</f>
        <v/>
      </c>
      <c r="G87" s="5" t="str">
        <f>IFERROR(IF(SUMIFS(tblDaily[TransfersOut],tblDaily[EntryDate],DATE(2026,3,3),tblDaily[WardCode],"MAE")=0,"",SUMIFS(tblDaily[TransfersOut],tblDaily[EntryDate],DATE(2026,3,3),tblDaily[WardCode],"MAE")),"")</f>
        <v/>
      </c>
      <c r="H87" s="5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IFERROR(IF(SUMIFS(tblDaily[Admissions],tblDaily[EntryDate],DATE(2026,3,4),tblDaily[WardCode],"MAE")=0,"",SUMIFS(tblDaily[Admissions],tblDaily[EntryDate],DATE(2026,3,4),tblDaily[WardCode],"MAE")),"")</f>
        <v/>
      </c>
      <c r="C88" s="5" t="str">
        <f>IFERROR(IF(SUMIFS(tblDaily[Discharges],tblDaily[EntryDate],DATE(2026,3,4),tblDaily[WardCode],"MAE")=0,"",SUMIFS(tblDaily[Discharges],tblDaily[EntryDate],DATE(2026,3,4),tblDaily[WardCode],"MAE")),"")</f>
        <v/>
      </c>
      <c r="D88" s="5" t="str">
        <f>IFERROR(IF(SUMIFS(tblDaily[Deaths],tblDaily[EntryDate],DATE(2026,3,4),tblDaily[WardCode],"MAE")=0,"",SUMIFS(tblDaily[Deaths],tblDaily[EntryDate],DATE(2026,3,4),tblDaily[WardCode],"MAE")),"")</f>
        <v/>
      </c>
      <c r="E88" s="5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5" t="str">
        <f>IFERROR(IF(SUMIFS(tblDaily[TransfersIn],tblDaily[EntryDate],DATE(2026,3,4),tblDaily[WardCode],"MAE")=0,"",SUMIFS(tblDaily[TransfersIn],tblDaily[EntryDate],DATE(2026,3,4),tblDaily[WardCode],"MAE")),"")</f>
        <v/>
      </c>
      <c r="G88" s="5" t="str">
        <f>IFERROR(IF(SUMIFS(tblDaily[TransfersOut],tblDaily[EntryDate],DATE(2026,3,4),tblDaily[WardCode],"MAE")=0,"",SUMIFS(tblDaily[TransfersOut],tblDaily[EntryDate],DATE(2026,3,4),tblDaily[WardCode],"MAE")),"")</f>
        <v/>
      </c>
      <c r="H88" s="5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IFERROR(IF(SUMIFS(tblDaily[Admissions],tblDaily[EntryDate],DATE(2026,3,5),tblDaily[WardCode],"MAE")=0,"",SUMIFS(tblDaily[Admissions],tblDaily[EntryDate],DATE(2026,3,5),tblDaily[WardCode],"MAE")),"")</f>
        <v/>
      </c>
      <c r="C89" s="5" t="str">
        <f>IFERROR(IF(SUMIFS(tblDaily[Discharges],tblDaily[EntryDate],DATE(2026,3,5),tblDaily[WardCode],"MAE")=0,"",SUMIFS(tblDaily[Discharges],tblDaily[EntryDate],DATE(2026,3,5),tblDaily[WardCode],"MAE")),"")</f>
        <v/>
      </c>
      <c r="D89" s="5" t="str">
        <f>IFERROR(IF(SUMIFS(tblDaily[Deaths],tblDaily[EntryDate],DATE(2026,3,5),tblDaily[WardCode],"MAE")=0,"",SUMIFS(tblDaily[Deaths],tblDaily[EntryDate],DATE(2026,3,5),tblDaily[WardCode],"MAE")),"")</f>
        <v/>
      </c>
      <c r="E89" s="5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5" t="str">
        <f>IFERROR(IF(SUMIFS(tblDaily[TransfersIn],tblDaily[EntryDate],DATE(2026,3,5),tblDaily[WardCode],"MAE")=0,"",SUMIFS(tblDaily[TransfersIn],tblDaily[EntryDate],DATE(2026,3,5),tblDaily[WardCode],"MAE")),"")</f>
        <v/>
      </c>
      <c r="G89" s="5" t="str">
        <f>IFERROR(IF(SUMIFS(tblDaily[TransfersOut],tblDaily[EntryDate],DATE(2026,3,5),tblDaily[WardCode],"MAE")=0,"",SUMIFS(tblDaily[TransfersOut],tblDaily[EntryDate],DATE(2026,3,5),tblDaily[WardCode],"MAE")),"")</f>
        <v/>
      </c>
      <c r="H89" s="5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IFERROR(IF(SUMIFS(tblDaily[Admissions],tblDaily[EntryDate],DATE(2026,3,6),tblDaily[WardCode],"MAE")=0,"",SUMIFS(tblDaily[Admissions],tblDaily[EntryDate],DATE(2026,3,6),tblDaily[WardCode],"MAE")),"")</f>
        <v/>
      </c>
      <c r="C90" s="5" t="str">
        <f>IFERROR(IF(SUMIFS(tblDaily[Discharges],tblDaily[EntryDate],DATE(2026,3,6),tblDaily[WardCode],"MAE")=0,"",SUMIFS(tblDaily[Discharges],tblDaily[EntryDate],DATE(2026,3,6),tblDaily[WardCode],"MAE")),"")</f>
        <v/>
      </c>
      <c r="D90" s="5" t="str">
        <f>IFERROR(IF(SUMIFS(tblDaily[Deaths],tblDaily[EntryDate],DATE(2026,3,6),tblDaily[WardCode],"MAE")=0,"",SUMIFS(tblDaily[Deaths],tblDaily[EntryDate],DATE(2026,3,6),tblDaily[WardCode],"MAE")),"")</f>
        <v/>
      </c>
      <c r="E90" s="5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5" t="str">
        <f>IFERROR(IF(SUMIFS(tblDaily[TransfersIn],tblDaily[EntryDate],DATE(2026,3,6),tblDaily[WardCode],"MAE")=0,"",SUMIFS(tblDaily[TransfersIn],tblDaily[EntryDate],DATE(2026,3,6),tblDaily[WardCode],"MAE")),"")</f>
        <v/>
      </c>
      <c r="G90" s="5" t="str">
        <f>IFERROR(IF(SUMIFS(tblDaily[TransfersOut],tblDaily[EntryDate],DATE(2026,3,6),tblDaily[WardCode],"MAE")=0,"",SUMIFS(tblDaily[TransfersOut],tblDaily[EntryDate],DATE(2026,3,6),tblDaily[WardCode],"MAE")),"")</f>
        <v/>
      </c>
      <c r="H90" s="5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IFERROR(IF(SUMIFS(tblDaily[Admissions],tblDaily[EntryDate],DATE(2026,3,7),tblDaily[WardCode],"MAE")=0,"",SUMIFS(tblDaily[Admissions],tblDaily[EntryDate],DATE(2026,3,7),tblDaily[WardCode],"MAE")),"")</f>
        <v/>
      </c>
      <c r="C91" s="5" t="str">
        <f>IFERROR(IF(SUMIFS(tblDaily[Discharges],tblDaily[EntryDate],DATE(2026,3,7),tblDaily[WardCode],"MAE")=0,"",SUMIFS(tblDaily[Discharges],tblDaily[EntryDate],DATE(2026,3,7),tblDaily[WardCode],"MAE")),"")</f>
        <v/>
      </c>
      <c r="D91" s="5" t="str">
        <f>IFERROR(IF(SUMIFS(tblDaily[Deaths],tblDaily[EntryDate],DATE(2026,3,7),tblDaily[WardCode],"MAE")=0,"",SUMIFS(tblDaily[Deaths],tblDaily[EntryDate],DATE(2026,3,7),tblDaily[WardCode],"MAE")),"")</f>
        <v/>
      </c>
      <c r="E91" s="5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5" t="str">
        <f>IFERROR(IF(SUMIFS(tblDaily[TransfersIn],tblDaily[EntryDate],DATE(2026,3,7),tblDaily[WardCode],"MAE")=0,"",SUMIFS(tblDaily[TransfersIn],tblDaily[EntryDate],DATE(2026,3,7),tblDaily[WardCode],"MAE")),"")</f>
        <v/>
      </c>
      <c r="G91" s="5" t="str">
        <f>IFERROR(IF(SUMIFS(tblDaily[TransfersOut],tblDaily[EntryDate],DATE(2026,3,7),tblDaily[WardCode],"MAE")=0,"",SUMIFS(tblDaily[TransfersOut],tblDaily[EntryDate],DATE(2026,3,7),tblDaily[WardCode],"MAE")),"")</f>
        <v/>
      </c>
      <c r="H91" s="5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IFERROR(IF(SUMIFS(tblDaily[Admissions],tblDaily[EntryDate],DATE(2026,3,8),tblDaily[WardCode],"MAE")=0,"",SUMIFS(tblDaily[Admissions],tblDaily[EntryDate],DATE(2026,3,8),tblDaily[WardCode],"MAE")),"")</f>
        <v/>
      </c>
      <c r="C92" s="5" t="str">
        <f>IFERROR(IF(SUMIFS(tblDaily[Discharges],tblDaily[EntryDate],DATE(2026,3,8),tblDaily[WardCode],"MAE")=0,"",SUMIFS(tblDaily[Discharges],tblDaily[EntryDate],DATE(2026,3,8),tblDaily[WardCode],"MAE")),"")</f>
        <v/>
      </c>
      <c r="D92" s="5" t="str">
        <f>IFERROR(IF(SUMIFS(tblDaily[Deaths],tblDaily[EntryDate],DATE(2026,3,8),tblDaily[WardCode],"MAE")=0,"",SUMIFS(tblDaily[Deaths],tblDaily[EntryDate],DATE(2026,3,8),tblDaily[WardCode],"MAE")),"")</f>
        <v/>
      </c>
      <c r="E92" s="5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5" t="str">
        <f>IFERROR(IF(SUMIFS(tblDaily[TransfersIn],tblDaily[EntryDate],DATE(2026,3,8),tblDaily[WardCode],"MAE")=0,"",SUMIFS(tblDaily[TransfersIn],tblDaily[EntryDate],DATE(2026,3,8),tblDaily[WardCode],"MAE")),"")</f>
        <v/>
      </c>
      <c r="G92" s="5" t="str">
        <f>IFERROR(IF(SUMIFS(tblDaily[TransfersOut],tblDaily[EntryDate],DATE(2026,3,8),tblDaily[WardCode],"MAE")=0,"",SUMIFS(tblDaily[TransfersOut],tblDaily[EntryDate],DATE(2026,3,8),tblDaily[WardCode],"MAE")),"")</f>
        <v/>
      </c>
      <c r="H92" s="5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IFERROR(IF(SUMIFS(tblDaily[Admissions],tblDaily[EntryDate],DATE(2026,3,9),tblDaily[WardCode],"MAE")=0,"",SUMIFS(tblDaily[Admissions],tblDaily[EntryDate],DATE(2026,3,9),tblDaily[WardCode],"MAE")),"")</f>
        <v/>
      </c>
      <c r="C93" s="5" t="str">
        <f>IFERROR(IF(SUMIFS(tblDaily[Discharges],tblDaily[EntryDate],DATE(2026,3,9),tblDaily[WardCode],"MAE")=0,"",SUMIFS(tblDaily[Discharges],tblDaily[EntryDate],DATE(2026,3,9),tblDaily[WardCode],"MAE")),"")</f>
        <v/>
      </c>
      <c r="D93" s="5" t="str">
        <f>IFERROR(IF(SUMIFS(tblDaily[Deaths],tblDaily[EntryDate],DATE(2026,3,9),tblDaily[WardCode],"MAE")=0,"",SUMIFS(tblDaily[Deaths],tblDaily[EntryDate],DATE(2026,3,9),tblDaily[WardCode],"MAE")),"")</f>
        <v/>
      </c>
      <c r="E93" s="5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5" t="str">
        <f>IFERROR(IF(SUMIFS(tblDaily[TransfersIn],tblDaily[EntryDate],DATE(2026,3,9),tblDaily[WardCode],"MAE")=0,"",SUMIFS(tblDaily[TransfersIn],tblDaily[EntryDate],DATE(2026,3,9),tblDaily[WardCode],"MAE")),"")</f>
        <v/>
      </c>
      <c r="G93" s="5" t="str">
        <f>IFERROR(IF(SUMIFS(tblDaily[TransfersOut],tblDaily[EntryDate],DATE(2026,3,9),tblDaily[WardCode],"MAE")=0,"",SUMIFS(tblDaily[TransfersOut],tblDaily[EntryDate],DATE(2026,3,9),tblDaily[WardCode],"MAE")),"")</f>
        <v/>
      </c>
      <c r="H93" s="5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IFERROR(IF(SUMIFS(tblDaily[Admissions],tblDaily[EntryDate],DATE(2026,3,10),tblDaily[WardCode],"MAE")=0,"",SUMIFS(tblDaily[Admissions],tblDaily[EntryDate],DATE(2026,3,10),tblDaily[WardCode],"MAE")),"")</f>
        <v/>
      </c>
      <c r="C94" s="5" t="str">
        <f>IFERROR(IF(SUMIFS(tblDaily[Discharges],tblDaily[EntryDate],DATE(2026,3,10),tblDaily[WardCode],"MAE")=0,"",SUMIFS(tblDaily[Discharges],tblDaily[EntryDate],DATE(2026,3,10),tblDaily[WardCode],"MAE")),"")</f>
        <v/>
      </c>
      <c r="D94" s="5" t="str">
        <f>IFERROR(IF(SUMIFS(tblDaily[Deaths],tblDaily[EntryDate],DATE(2026,3,10),tblDaily[WardCode],"MAE")=0,"",SUMIFS(tblDaily[Deaths],tblDaily[EntryDate],DATE(2026,3,10),tblDaily[WardCode],"MAE")),"")</f>
        <v/>
      </c>
      <c r="E94" s="5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5" t="str">
        <f>IFERROR(IF(SUMIFS(tblDaily[TransfersIn],tblDaily[EntryDate],DATE(2026,3,10),tblDaily[WardCode],"MAE")=0,"",SUMIFS(tblDaily[TransfersIn],tblDaily[EntryDate],DATE(2026,3,10),tblDaily[WardCode],"MAE")),"")</f>
        <v/>
      </c>
      <c r="G94" s="5" t="str">
        <f>IFERROR(IF(SUMIFS(tblDaily[TransfersOut],tblDaily[EntryDate],DATE(2026,3,10),tblDaily[WardCode],"MAE")=0,"",SUMIFS(tblDaily[TransfersOut],tblDaily[EntryDate],DATE(2026,3,10),tblDaily[WardCode],"MAE")),"")</f>
        <v/>
      </c>
      <c r="H94" s="5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IFERROR(IF(SUMIFS(tblDaily[Admissions],tblDaily[EntryDate],DATE(2026,3,11),tblDaily[WardCode],"MAE")=0,"",SUMIFS(tblDaily[Admissions],tblDaily[EntryDate],DATE(2026,3,11),tblDaily[WardCode],"MAE")),"")</f>
        <v/>
      </c>
      <c r="C95" s="5" t="str">
        <f>IFERROR(IF(SUMIFS(tblDaily[Discharges],tblDaily[EntryDate],DATE(2026,3,11),tblDaily[WardCode],"MAE")=0,"",SUMIFS(tblDaily[Discharges],tblDaily[EntryDate],DATE(2026,3,11),tblDaily[WardCode],"MAE")),"")</f>
        <v/>
      </c>
      <c r="D95" s="5" t="str">
        <f>IFERROR(IF(SUMIFS(tblDaily[Deaths],tblDaily[EntryDate],DATE(2026,3,11),tblDaily[WardCode],"MAE")=0,"",SUMIFS(tblDaily[Deaths],tblDaily[EntryDate],DATE(2026,3,11),tblDaily[WardCode],"MAE")),"")</f>
        <v/>
      </c>
      <c r="E95" s="5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5" t="str">
        <f>IFERROR(IF(SUMIFS(tblDaily[TransfersIn],tblDaily[EntryDate],DATE(2026,3,11),tblDaily[WardCode],"MAE")=0,"",SUMIFS(tblDaily[TransfersIn],tblDaily[EntryDate],DATE(2026,3,11),tblDaily[WardCode],"MAE")),"")</f>
        <v/>
      </c>
      <c r="G95" s="5" t="str">
        <f>IFERROR(IF(SUMIFS(tblDaily[TransfersOut],tblDaily[EntryDate],DATE(2026,3,11),tblDaily[WardCode],"MAE")=0,"",SUMIFS(tblDaily[TransfersOut],tblDaily[EntryDate],DATE(2026,3,11),tblDaily[WardCode],"MAE")),"")</f>
        <v/>
      </c>
      <c r="H95" s="5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IFERROR(IF(SUMIFS(tblDaily[Admissions],tblDaily[EntryDate],DATE(2026,3,12),tblDaily[WardCode],"MAE")=0,"",SUMIFS(tblDaily[Admissions],tblDaily[EntryDate],DATE(2026,3,12),tblDaily[WardCode],"MAE")),"")</f>
        <v/>
      </c>
      <c r="C96" s="5" t="str">
        <f>IFERROR(IF(SUMIFS(tblDaily[Discharges],tblDaily[EntryDate],DATE(2026,3,12),tblDaily[WardCode],"MAE")=0,"",SUMIFS(tblDaily[Discharges],tblDaily[EntryDate],DATE(2026,3,12),tblDaily[WardCode],"MAE")),"")</f>
        <v/>
      </c>
      <c r="D96" s="5" t="str">
        <f>IFERROR(IF(SUMIFS(tblDaily[Deaths],tblDaily[EntryDate],DATE(2026,3,12),tblDaily[WardCode],"MAE")=0,"",SUMIFS(tblDaily[Deaths],tblDaily[EntryDate],DATE(2026,3,12),tblDaily[WardCode],"MAE")),"")</f>
        <v/>
      </c>
      <c r="E96" s="5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5" t="str">
        <f>IFERROR(IF(SUMIFS(tblDaily[TransfersIn],tblDaily[EntryDate],DATE(2026,3,12),tblDaily[WardCode],"MAE")=0,"",SUMIFS(tblDaily[TransfersIn],tblDaily[EntryDate],DATE(2026,3,12),tblDaily[WardCode],"MAE")),"")</f>
        <v/>
      </c>
      <c r="G96" s="5" t="str">
        <f>IFERROR(IF(SUMIFS(tblDaily[TransfersOut],tblDaily[EntryDate],DATE(2026,3,12),tblDaily[WardCode],"MAE")=0,"",SUMIFS(tblDaily[TransfersOut],tblDaily[EntryDate],DATE(2026,3,12),tblDaily[WardCode],"MAE")),"")</f>
        <v/>
      </c>
      <c r="H96" s="5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IFERROR(IF(SUMIFS(tblDaily[Admissions],tblDaily[EntryDate],DATE(2026,3,13),tblDaily[WardCode],"MAE")=0,"",SUMIFS(tblDaily[Admissions],tblDaily[EntryDate],DATE(2026,3,13),tblDaily[WardCode],"MAE")),"")</f>
        <v/>
      </c>
      <c r="C97" s="5" t="str">
        <f>IFERROR(IF(SUMIFS(tblDaily[Discharges],tblDaily[EntryDate],DATE(2026,3,13),tblDaily[WardCode],"MAE")=0,"",SUMIFS(tblDaily[Discharges],tblDaily[EntryDate],DATE(2026,3,13),tblDaily[WardCode],"MAE")),"")</f>
        <v/>
      </c>
      <c r="D97" s="5" t="str">
        <f>IFERROR(IF(SUMIFS(tblDaily[Deaths],tblDaily[EntryDate],DATE(2026,3,13),tblDaily[WardCode],"MAE")=0,"",SUMIFS(tblDaily[Deaths],tblDaily[EntryDate],DATE(2026,3,13),tblDaily[WardCode],"MAE")),"")</f>
        <v/>
      </c>
      <c r="E97" s="5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5" t="str">
        <f>IFERROR(IF(SUMIFS(tblDaily[TransfersIn],tblDaily[EntryDate],DATE(2026,3,13),tblDaily[WardCode],"MAE")=0,"",SUMIFS(tblDaily[TransfersIn],tblDaily[EntryDate],DATE(2026,3,13),tblDaily[WardCode],"MAE")),"")</f>
        <v/>
      </c>
      <c r="G97" s="5" t="str">
        <f>IFERROR(IF(SUMIFS(tblDaily[TransfersOut],tblDaily[EntryDate],DATE(2026,3,13),tblDaily[WardCode],"MAE")=0,"",SUMIFS(tblDaily[TransfersOut],tblDaily[EntryDate],DATE(2026,3,13),tblDaily[WardCode],"MAE")),"")</f>
        <v/>
      </c>
      <c r="H97" s="5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IFERROR(IF(SUMIFS(tblDaily[Admissions],tblDaily[EntryDate],DATE(2026,3,14),tblDaily[WardCode],"MAE")=0,"",SUMIFS(tblDaily[Admissions],tblDaily[EntryDate],DATE(2026,3,14),tblDaily[WardCode],"MAE")),"")</f>
        <v/>
      </c>
      <c r="C98" s="5" t="str">
        <f>IFERROR(IF(SUMIFS(tblDaily[Discharges],tblDaily[EntryDate],DATE(2026,3,14),tblDaily[WardCode],"MAE")=0,"",SUMIFS(tblDaily[Discharges],tblDaily[EntryDate],DATE(2026,3,14),tblDaily[WardCode],"MAE")),"")</f>
        <v/>
      </c>
      <c r="D98" s="5" t="str">
        <f>IFERROR(IF(SUMIFS(tblDaily[Deaths],tblDaily[EntryDate],DATE(2026,3,14),tblDaily[WardCode],"MAE")=0,"",SUMIFS(tblDaily[Deaths],tblDaily[EntryDate],DATE(2026,3,14),tblDaily[WardCode],"MAE")),"")</f>
        <v/>
      </c>
      <c r="E98" s="5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5" t="str">
        <f>IFERROR(IF(SUMIFS(tblDaily[TransfersIn],tblDaily[EntryDate],DATE(2026,3,14),tblDaily[WardCode],"MAE")=0,"",SUMIFS(tblDaily[TransfersIn],tblDaily[EntryDate],DATE(2026,3,14),tblDaily[WardCode],"MAE")),"")</f>
        <v/>
      </c>
      <c r="G98" s="5" t="str">
        <f>IFERROR(IF(SUMIFS(tblDaily[TransfersOut],tblDaily[EntryDate],DATE(2026,3,14),tblDaily[WardCode],"MAE")=0,"",SUMIFS(tblDaily[TransfersOut],tblDaily[EntryDate],DATE(2026,3,14),tblDaily[WardCode],"MAE")),"")</f>
        <v/>
      </c>
      <c r="H98" s="5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IFERROR(IF(SUMIFS(tblDaily[Admissions],tblDaily[EntryDate],DATE(2026,3,15),tblDaily[WardCode],"MAE")=0,"",SUMIFS(tblDaily[Admissions],tblDaily[EntryDate],DATE(2026,3,15),tblDaily[WardCode],"MAE")),"")</f>
        <v/>
      </c>
      <c r="C99" s="5" t="str">
        <f>IFERROR(IF(SUMIFS(tblDaily[Discharges],tblDaily[EntryDate],DATE(2026,3,15),tblDaily[WardCode],"MAE")=0,"",SUMIFS(tblDaily[Discharges],tblDaily[EntryDate],DATE(2026,3,15),tblDaily[WardCode],"MAE")),"")</f>
        <v/>
      </c>
      <c r="D99" s="5" t="str">
        <f>IFERROR(IF(SUMIFS(tblDaily[Deaths],tblDaily[EntryDate],DATE(2026,3,15),tblDaily[WardCode],"MAE")=0,"",SUMIFS(tblDaily[Deaths],tblDaily[EntryDate],DATE(2026,3,15),tblDaily[WardCode],"MAE")),"")</f>
        <v/>
      </c>
      <c r="E99" s="5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5" t="str">
        <f>IFERROR(IF(SUMIFS(tblDaily[TransfersIn],tblDaily[EntryDate],DATE(2026,3,15),tblDaily[WardCode],"MAE")=0,"",SUMIFS(tblDaily[TransfersIn],tblDaily[EntryDate],DATE(2026,3,15),tblDaily[WardCode],"MAE")),"")</f>
        <v/>
      </c>
      <c r="G99" s="5" t="str">
        <f>IFERROR(IF(SUMIFS(tblDaily[TransfersOut],tblDaily[EntryDate],DATE(2026,3,15),tblDaily[WardCode],"MAE")=0,"",SUMIFS(tblDaily[TransfersOut],tblDaily[EntryDate],DATE(2026,3,15),tblDaily[WardCode],"MAE")),"")</f>
        <v/>
      </c>
      <c r="H99" s="5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IFERROR(IF(SUMIFS(tblDaily[Admissions],tblDaily[EntryDate],DATE(2026,3,16),tblDaily[WardCode],"MAE")=0,"",SUMIFS(tblDaily[Admissions],tblDaily[EntryDate],DATE(2026,3,16),tblDaily[WardCode],"MAE")),"")</f>
        <v/>
      </c>
      <c r="C100" s="5" t="str">
        <f>IFERROR(IF(SUMIFS(tblDaily[Discharges],tblDaily[EntryDate],DATE(2026,3,16),tblDaily[WardCode],"MAE")=0,"",SUMIFS(tblDaily[Discharges],tblDaily[EntryDate],DATE(2026,3,16),tblDaily[WardCode],"MAE")),"")</f>
        <v/>
      </c>
      <c r="D100" s="5" t="str">
        <f>IFERROR(IF(SUMIFS(tblDaily[Deaths],tblDaily[EntryDate],DATE(2026,3,16),tblDaily[WardCode],"MAE")=0,"",SUMIFS(tblDaily[Deaths],tblDaily[EntryDate],DATE(2026,3,16),tblDaily[WardCode],"MAE")),"")</f>
        <v/>
      </c>
      <c r="E100" s="5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5" t="str">
        <f>IFERROR(IF(SUMIFS(tblDaily[TransfersIn],tblDaily[EntryDate],DATE(2026,3,16),tblDaily[WardCode],"MAE")=0,"",SUMIFS(tblDaily[TransfersIn],tblDaily[EntryDate],DATE(2026,3,16),tblDaily[WardCode],"MAE")),"")</f>
        <v/>
      </c>
      <c r="G100" s="5" t="str">
        <f>IFERROR(IF(SUMIFS(tblDaily[TransfersOut],tblDaily[EntryDate],DATE(2026,3,16),tblDaily[WardCode],"MAE")=0,"",SUMIFS(tblDaily[TransfersOut],tblDaily[EntryDate],DATE(2026,3,16),tblDaily[WardCode],"MAE")),"")</f>
        <v/>
      </c>
      <c r="H100" s="5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IFERROR(IF(SUMIFS(tblDaily[Admissions],tblDaily[EntryDate],DATE(2026,3,17),tblDaily[WardCode],"MAE")=0,"",SUMIFS(tblDaily[Admissions],tblDaily[EntryDate],DATE(2026,3,17),tblDaily[WardCode],"MAE")),"")</f>
        <v/>
      </c>
      <c r="C101" s="5" t="str">
        <f>IFERROR(IF(SUMIFS(tblDaily[Discharges],tblDaily[EntryDate],DATE(2026,3,17),tblDaily[WardCode],"MAE")=0,"",SUMIFS(tblDaily[Discharges],tblDaily[EntryDate],DATE(2026,3,17),tblDaily[WardCode],"MAE")),"")</f>
        <v/>
      </c>
      <c r="D101" s="5" t="str">
        <f>IFERROR(IF(SUMIFS(tblDaily[Deaths],tblDaily[EntryDate],DATE(2026,3,17),tblDaily[WardCode],"MAE")=0,"",SUMIFS(tblDaily[Deaths],tblDaily[EntryDate],DATE(2026,3,17),tblDaily[WardCode],"MAE")),"")</f>
        <v/>
      </c>
      <c r="E101" s="5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5" t="str">
        <f>IFERROR(IF(SUMIFS(tblDaily[TransfersIn],tblDaily[EntryDate],DATE(2026,3,17),tblDaily[WardCode],"MAE")=0,"",SUMIFS(tblDaily[TransfersIn],tblDaily[EntryDate],DATE(2026,3,17),tblDaily[WardCode],"MAE")),"")</f>
        <v/>
      </c>
      <c r="G101" s="5" t="str">
        <f>IFERROR(IF(SUMIFS(tblDaily[TransfersOut],tblDaily[EntryDate],DATE(2026,3,17),tblDaily[WardCode],"MAE")=0,"",SUMIFS(tblDaily[TransfersOut],tblDaily[EntryDate],DATE(2026,3,17),tblDaily[WardCode],"MAE")),"")</f>
        <v/>
      </c>
      <c r="H101" s="5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IFERROR(IF(SUMIFS(tblDaily[Admissions],tblDaily[EntryDate],DATE(2026,3,18),tblDaily[WardCode],"MAE")=0,"",SUMIFS(tblDaily[Admissions],tblDaily[EntryDate],DATE(2026,3,18),tblDaily[WardCode],"MAE")),"")</f>
        <v/>
      </c>
      <c r="C102" s="5" t="str">
        <f>IFERROR(IF(SUMIFS(tblDaily[Discharges],tblDaily[EntryDate],DATE(2026,3,18),tblDaily[WardCode],"MAE")=0,"",SUMIFS(tblDaily[Discharges],tblDaily[EntryDate],DATE(2026,3,18),tblDaily[WardCode],"MAE")),"")</f>
        <v/>
      </c>
      <c r="D102" s="5" t="str">
        <f>IFERROR(IF(SUMIFS(tblDaily[Deaths],tblDaily[EntryDate],DATE(2026,3,18),tblDaily[WardCode],"MAE")=0,"",SUMIFS(tblDaily[Deaths],tblDaily[EntryDate],DATE(2026,3,18),tblDaily[WardCode],"MAE")),"")</f>
        <v/>
      </c>
      <c r="E102" s="5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5" t="str">
        <f>IFERROR(IF(SUMIFS(tblDaily[TransfersIn],tblDaily[EntryDate],DATE(2026,3,18),tblDaily[WardCode],"MAE")=0,"",SUMIFS(tblDaily[TransfersIn],tblDaily[EntryDate],DATE(2026,3,18),tblDaily[WardCode],"MAE")),"")</f>
        <v/>
      </c>
      <c r="G102" s="5" t="str">
        <f>IFERROR(IF(SUMIFS(tblDaily[TransfersOut],tblDaily[EntryDate],DATE(2026,3,18),tblDaily[WardCode],"MAE")=0,"",SUMIFS(tblDaily[TransfersOut],tblDaily[EntryDate],DATE(2026,3,18),tblDaily[WardCode],"MAE")),"")</f>
        <v/>
      </c>
      <c r="H102" s="5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IFERROR(IF(SUMIFS(tblDaily[Admissions],tblDaily[EntryDate],DATE(2026,3,19),tblDaily[WardCode],"MAE")=0,"",SUMIFS(tblDaily[Admissions],tblDaily[EntryDate],DATE(2026,3,19),tblDaily[WardCode],"MAE")),"")</f>
        <v/>
      </c>
      <c r="C103" s="5" t="str">
        <f>IFERROR(IF(SUMIFS(tblDaily[Discharges],tblDaily[EntryDate],DATE(2026,3,19),tblDaily[WardCode],"MAE")=0,"",SUMIFS(tblDaily[Discharges],tblDaily[EntryDate],DATE(2026,3,19),tblDaily[WardCode],"MAE")),"")</f>
        <v/>
      </c>
      <c r="D103" s="5" t="str">
        <f>IFERROR(IF(SUMIFS(tblDaily[Deaths],tblDaily[EntryDate],DATE(2026,3,19),tblDaily[WardCode],"MAE")=0,"",SUMIFS(tblDaily[Deaths],tblDaily[EntryDate],DATE(2026,3,19),tblDaily[WardCode],"MAE")),"")</f>
        <v/>
      </c>
      <c r="E103" s="5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5" t="str">
        <f>IFERROR(IF(SUMIFS(tblDaily[TransfersIn],tblDaily[EntryDate],DATE(2026,3,19),tblDaily[WardCode],"MAE")=0,"",SUMIFS(tblDaily[TransfersIn],tblDaily[EntryDate],DATE(2026,3,19),tblDaily[WardCode],"MAE")),"")</f>
        <v/>
      </c>
      <c r="G103" s="5" t="str">
        <f>IFERROR(IF(SUMIFS(tblDaily[TransfersOut],tblDaily[EntryDate],DATE(2026,3,19),tblDaily[WardCode],"MAE")=0,"",SUMIFS(tblDaily[TransfersOut],tblDaily[EntryDate],DATE(2026,3,19),tblDaily[WardCode],"MAE")),"")</f>
        <v/>
      </c>
      <c r="H103" s="5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IFERROR(IF(SUMIFS(tblDaily[Admissions],tblDaily[EntryDate],DATE(2026,3,20),tblDaily[WardCode],"MAE")=0,"",SUMIFS(tblDaily[Admissions],tblDaily[EntryDate],DATE(2026,3,20),tblDaily[WardCode],"MAE")),"")</f>
        <v/>
      </c>
      <c r="C104" s="5" t="str">
        <f>IFERROR(IF(SUMIFS(tblDaily[Discharges],tblDaily[EntryDate],DATE(2026,3,20),tblDaily[WardCode],"MAE")=0,"",SUMIFS(tblDaily[Discharges],tblDaily[EntryDate],DATE(2026,3,20),tblDaily[WardCode],"MAE")),"")</f>
        <v/>
      </c>
      <c r="D104" s="5" t="str">
        <f>IFERROR(IF(SUMIFS(tblDaily[Deaths],tblDaily[EntryDate],DATE(2026,3,20),tblDaily[WardCode],"MAE")=0,"",SUMIFS(tblDaily[Deaths],tblDaily[EntryDate],DATE(2026,3,20),tblDaily[WardCode],"MAE")),"")</f>
        <v/>
      </c>
      <c r="E104" s="5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5" t="str">
        <f>IFERROR(IF(SUMIFS(tblDaily[TransfersIn],tblDaily[EntryDate],DATE(2026,3,20),tblDaily[WardCode],"MAE")=0,"",SUMIFS(tblDaily[TransfersIn],tblDaily[EntryDate],DATE(2026,3,20),tblDaily[WardCode],"MAE")),"")</f>
        <v/>
      </c>
      <c r="G104" s="5" t="str">
        <f>IFERROR(IF(SUMIFS(tblDaily[TransfersOut],tblDaily[EntryDate],DATE(2026,3,20),tblDaily[WardCode],"MAE")=0,"",SUMIFS(tblDaily[TransfersOut],tblDaily[EntryDate],DATE(2026,3,20),tblDaily[WardCode],"MAE")),"")</f>
        <v/>
      </c>
      <c r="H104" s="5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IFERROR(IF(SUMIFS(tblDaily[Admissions],tblDaily[EntryDate],DATE(2026,3,21),tblDaily[WardCode],"MAE")=0,"",SUMIFS(tblDaily[Admissions],tblDaily[EntryDate],DATE(2026,3,21),tblDaily[WardCode],"MAE")),"")</f>
        <v/>
      </c>
      <c r="C105" s="5" t="str">
        <f>IFERROR(IF(SUMIFS(tblDaily[Discharges],tblDaily[EntryDate],DATE(2026,3,21),tblDaily[WardCode],"MAE")=0,"",SUMIFS(tblDaily[Discharges],tblDaily[EntryDate],DATE(2026,3,21),tblDaily[WardCode],"MAE")),"")</f>
        <v/>
      </c>
      <c r="D105" s="5" t="str">
        <f>IFERROR(IF(SUMIFS(tblDaily[Deaths],tblDaily[EntryDate],DATE(2026,3,21),tblDaily[WardCode],"MAE")=0,"",SUMIFS(tblDaily[Deaths],tblDaily[EntryDate],DATE(2026,3,21),tblDaily[WardCode],"MAE")),"")</f>
        <v/>
      </c>
      <c r="E105" s="5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5" t="str">
        <f>IFERROR(IF(SUMIFS(tblDaily[TransfersIn],tblDaily[EntryDate],DATE(2026,3,21),tblDaily[WardCode],"MAE")=0,"",SUMIFS(tblDaily[TransfersIn],tblDaily[EntryDate],DATE(2026,3,21),tblDaily[WardCode],"MAE")),"")</f>
        <v/>
      </c>
      <c r="G105" s="5" t="str">
        <f>IFERROR(IF(SUMIFS(tblDaily[TransfersOut],tblDaily[EntryDate],DATE(2026,3,21),tblDaily[WardCode],"MAE")=0,"",SUMIFS(tblDaily[TransfersOut],tblDaily[EntryDate],DATE(2026,3,21),tblDaily[WardCode],"MAE")),"")</f>
        <v/>
      </c>
      <c r="H105" s="5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IFERROR(IF(SUMIFS(tblDaily[Admissions],tblDaily[EntryDate],DATE(2026,3,22),tblDaily[WardCode],"MAE")=0,"",SUMIFS(tblDaily[Admissions],tblDaily[EntryDate],DATE(2026,3,22),tblDaily[WardCode],"MAE")),"")</f>
        <v/>
      </c>
      <c r="C106" s="5" t="str">
        <f>IFERROR(IF(SUMIFS(tblDaily[Discharges],tblDaily[EntryDate],DATE(2026,3,22),tblDaily[WardCode],"MAE")=0,"",SUMIFS(tblDaily[Discharges],tblDaily[EntryDate],DATE(2026,3,22),tblDaily[WardCode],"MAE")),"")</f>
        <v/>
      </c>
      <c r="D106" s="5" t="str">
        <f>IFERROR(IF(SUMIFS(tblDaily[Deaths],tblDaily[EntryDate],DATE(2026,3,22),tblDaily[WardCode],"MAE")=0,"",SUMIFS(tblDaily[Deaths],tblDaily[EntryDate],DATE(2026,3,22),tblDaily[WardCode],"MAE")),"")</f>
        <v/>
      </c>
      <c r="E106" s="5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5" t="str">
        <f>IFERROR(IF(SUMIFS(tblDaily[TransfersIn],tblDaily[EntryDate],DATE(2026,3,22),tblDaily[WardCode],"MAE")=0,"",SUMIFS(tblDaily[TransfersIn],tblDaily[EntryDate],DATE(2026,3,22),tblDaily[WardCode],"MAE")),"")</f>
        <v/>
      </c>
      <c r="G106" s="5" t="str">
        <f>IFERROR(IF(SUMIFS(tblDaily[TransfersOut],tblDaily[EntryDate],DATE(2026,3,22),tblDaily[WardCode],"MAE")=0,"",SUMIFS(tblDaily[TransfersOut],tblDaily[EntryDate],DATE(2026,3,22),tblDaily[WardCode],"MAE")),"")</f>
        <v/>
      </c>
      <c r="H106" s="5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IFERROR(IF(SUMIFS(tblDaily[Admissions],tblDaily[EntryDate],DATE(2026,3,23),tblDaily[WardCode],"MAE")=0,"",SUMIFS(tblDaily[Admissions],tblDaily[EntryDate],DATE(2026,3,23),tblDaily[WardCode],"MAE")),"")</f>
        <v/>
      </c>
      <c r="C107" s="5" t="str">
        <f>IFERROR(IF(SUMIFS(tblDaily[Discharges],tblDaily[EntryDate],DATE(2026,3,23),tblDaily[WardCode],"MAE")=0,"",SUMIFS(tblDaily[Discharges],tblDaily[EntryDate],DATE(2026,3,23),tblDaily[WardCode],"MAE")),"")</f>
        <v/>
      </c>
      <c r="D107" s="5" t="str">
        <f>IFERROR(IF(SUMIFS(tblDaily[Deaths],tblDaily[EntryDate],DATE(2026,3,23),tblDaily[WardCode],"MAE")=0,"",SUMIFS(tblDaily[Deaths],tblDaily[EntryDate],DATE(2026,3,23),tblDaily[WardCode],"MAE")),"")</f>
        <v/>
      </c>
      <c r="E107" s="5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5" t="str">
        <f>IFERROR(IF(SUMIFS(tblDaily[TransfersIn],tblDaily[EntryDate],DATE(2026,3,23),tblDaily[WardCode],"MAE")=0,"",SUMIFS(tblDaily[TransfersIn],tblDaily[EntryDate],DATE(2026,3,23),tblDaily[WardCode],"MAE")),"")</f>
        <v/>
      </c>
      <c r="G107" s="5" t="str">
        <f>IFERROR(IF(SUMIFS(tblDaily[TransfersOut],tblDaily[EntryDate],DATE(2026,3,23),tblDaily[WardCode],"MAE")=0,"",SUMIFS(tblDaily[TransfersOut],tblDaily[EntryDate],DATE(2026,3,23),tblDaily[WardCode],"MAE")),"")</f>
        <v/>
      </c>
      <c r="H107" s="5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IFERROR(IF(SUMIFS(tblDaily[Admissions],tblDaily[EntryDate],DATE(2026,3,24),tblDaily[WardCode],"MAE")=0,"",SUMIFS(tblDaily[Admissions],tblDaily[EntryDate],DATE(2026,3,24),tblDaily[WardCode],"MAE")),"")</f>
        <v/>
      </c>
      <c r="C108" s="5" t="str">
        <f>IFERROR(IF(SUMIFS(tblDaily[Discharges],tblDaily[EntryDate],DATE(2026,3,24),tblDaily[WardCode],"MAE")=0,"",SUMIFS(tblDaily[Discharges],tblDaily[EntryDate],DATE(2026,3,24),tblDaily[WardCode],"MAE")),"")</f>
        <v/>
      </c>
      <c r="D108" s="5" t="str">
        <f>IFERROR(IF(SUMIFS(tblDaily[Deaths],tblDaily[EntryDate],DATE(2026,3,24),tblDaily[WardCode],"MAE")=0,"",SUMIFS(tblDaily[Deaths],tblDaily[EntryDate],DATE(2026,3,24),tblDaily[WardCode],"MAE")),"")</f>
        <v/>
      </c>
      <c r="E108" s="5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5" t="str">
        <f>IFERROR(IF(SUMIFS(tblDaily[TransfersIn],tblDaily[EntryDate],DATE(2026,3,24),tblDaily[WardCode],"MAE")=0,"",SUMIFS(tblDaily[TransfersIn],tblDaily[EntryDate],DATE(2026,3,24),tblDaily[WardCode],"MAE")),"")</f>
        <v/>
      </c>
      <c r="G108" s="5" t="str">
        <f>IFERROR(IF(SUMIFS(tblDaily[TransfersOut],tblDaily[EntryDate],DATE(2026,3,24),tblDaily[WardCode],"MAE")=0,"",SUMIFS(tblDaily[TransfersOut],tblDaily[EntryDate],DATE(2026,3,24),tblDaily[WardCode],"MAE")),"")</f>
        <v/>
      </c>
      <c r="H108" s="5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IFERROR(IF(SUMIFS(tblDaily[Admissions],tblDaily[EntryDate],DATE(2026,3,25),tblDaily[WardCode],"MAE")=0,"",SUMIFS(tblDaily[Admissions],tblDaily[EntryDate],DATE(2026,3,25),tblDaily[WardCode],"MAE")),"")</f>
        <v/>
      </c>
      <c r="C109" s="5" t="str">
        <f>IFERROR(IF(SUMIFS(tblDaily[Discharges],tblDaily[EntryDate],DATE(2026,3,25),tblDaily[WardCode],"MAE")=0,"",SUMIFS(tblDaily[Discharges],tblDaily[EntryDate],DATE(2026,3,25),tblDaily[WardCode],"MAE")),"")</f>
        <v/>
      </c>
      <c r="D109" s="5" t="str">
        <f>IFERROR(IF(SUMIFS(tblDaily[Deaths],tblDaily[EntryDate],DATE(2026,3,25),tblDaily[WardCode],"MAE")=0,"",SUMIFS(tblDaily[Deaths],tblDaily[EntryDate],DATE(2026,3,25),tblDaily[WardCode],"MAE")),"")</f>
        <v/>
      </c>
      <c r="E109" s="5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5" t="str">
        <f>IFERROR(IF(SUMIFS(tblDaily[TransfersIn],tblDaily[EntryDate],DATE(2026,3,25),tblDaily[WardCode],"MAE")=0,"",SUMIFS(tblDaily[TransfersIn],tblDaily[EntryDate],DATE(2026,3,25),tblDaily[WardCode],"MAE")),"")</f>
        <v/>
      </c>
      <c r="G109" s="5" t="str">
        <f>IFERROR(IF(SUMIFS(tblDaily[TransfersOut],tblDaily[EntryDate],DATE(2026,3,25),tblDaily[WardCode],"MAE")=0,"",SUMIFS(tblDaily[TransfersOut],tblDaily[EntryDate],DATE(2026,3,25),tblDaily[WardCode],"MAE")),"")</f>
        <v/>
      </c>
      <c r="H109" s="5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IFERROR(IF(SUMIFS(tblDaily[Admissions],tblDaily[EntryDate],DATE(2026,3,26),tblDaily[WardCode],"MAE")=0,"",SUMIFS(tblDaily[Admissions],tblDaily[EntryDate],DATE(2026,3,26),tblDaily[WardCode],"MAE")),"")</f>
        <v/>
      </c>
      <c r="C110" s="5" t="str">
        <f>IFERROR(IF(SUMIFS(tblDaily[Discharges],tblDaily[EntryDate],DATE(2026,3,26),tblDaily[WardCode],"MAE")=0,"",SUMIFS(tblDaily[Discharges],tblDaily[EntryDate],DATE(2026,3,26),tblDaily[WardCode],"MAE")),"")</f>
        <v/>
      </c>
      <c r="D110" s="5" t="str">
        <f>IFERROR(IF(SUMIFS(tblDaily[Deaths],tblDaily[EntryDate],DATE(2026,3,26),tblDaily[WardCode],"MAE")=0,"",SUMIFS(tblDaily[Deaths],tblDaily[EntryDate],DATE(2026,3,26),tblDaily[WardCode],"MAE")),"")</f>
        <v/>
      </c>
      <c r="E110" s="5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5" t="str">
        <f>IFERROR(IF(SUMIFS(tblDaily[TransfersIn],tblDaily[EntryDate],DATE(2026,3,26),tblDaily[WardCode],"MAE")=0,"",SUMIFS(tblDaily[TransfersIn],tblDaily[EntryDate],DATE(2026,3,26),tblDaily[WardCode],"MAE")),"")</f>
        <v/>
      </c>
      <c r="G110" s="5" t="str">
        <f>IFERROR(IF(SUMIFS(tblDaily[TransfersOut],tblDaily[EntryDate],DATE(2026,3,26),tblDaily[WardCode],"MAE")=0,"",SUMIFS(tblDaily[TransfersOut],tblDaily[EntryDate],DATE(2026,3,26),tblDaily[WardCode],"MAE")),"")</f>
        <v/>
      </c>
      <c r="H110" s="5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IFERROR(IF(SUMIFS(tblDaily[Admissions],tblDaily[EntryDate],DATE(2026,3,27),tblDaily[WardCode],"MAE")=0,"",SUMIFS(tblDaily[Admissions],tblDaily[EntryDate],DATE(2026,3,27),tblDaily[WardCode],"MAE")),"")</f>
        <v/>
      </c>
      <c r="C111" s="5" t="str">
        <f>IFERROR(IF(SUMIFS(tblDaily[Discharges],tblDaily[EntryDate],DATE(2026,3,27),tblDaily[WardCode],"MAE")=0,"",SUMIFS(tblDaily[Discharges],tblDaily[EntryDate],DATE(2026,3,27),tblDaily[WardCode],"MAE")),"")</f>
        <v/>
      </c>
      <c r="D111" s="5" t="str">
        <f>IFERROR(IF(SUMIFS(tblDaily[Deaths],tblDaily[EntryDate],DATE(2026,3,27),tblDaily[WardCode],"MAE")=0,"",SUMIFS(tblDaily[Deaths],tblDaily[EntryDate],DATE(2026,3,27),tblDaily[WardCode],"MAE")),"")</f>
        <v/>
      </c>
      <c r="E111" s="5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5" t="str">
        <f>IFERROR(IF(SUMIFS(tblDaily[TransfersIn],tblDaily[EntryDate],DATE(2026,3,27),tblDaily[WardCode],"MAE")=0,"",SUMIFS(tblDaily[TransfersIn],tblDaily[EntryDate],DATE(2026,3,27),tblDaily[WardCode],"MAE")),"")</f>
        <v/>
      </c>
      <c r="G111" s="5" t="str">
        <f>IFERROR(IF(SUMIFS(tblDaily[TransfersOut],tblDaily[EntryDate],DATE(2026,3,27),tblDaily[WardCode],"MAE")=0,"",SUMIFS(tblDaily[TransfersOut],tblDaily[EntryDate],DATE(2026,3,27),tblDaily[WardCode],"MAE")),"")</f>
        <v/>
      </c>
      <c r="H111" s="5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IFERROR(IF(SUMIFS(tblDaily[Admissions],tblDaily[EntryDate],DATE(2026,3,28),tblDaily[WardCode],"MAE")=0,"",SUMIFS(tblDaily[Admissions],tblDaily[EntryDate],DATE(2026,3,28),tblDaily[WardCode],"MAE")),"")</f>
        <v/>
      </c>
      <c r="C112" s="5" t="str">
        <f>IFERROR(IF(SUMIFS(tblDaily[Discharges],tblDaily[EntryDate],DATE(2026,3,28),tblDaily[WardCode],"MAE")=0,"",SUMIFS(tblDaily[Discharges],tblDaily[EntryDate],DATE(2026,3,28),tblDaily[WardCode],"MAE")),"")</f>
        <v/>
      </c>
      <c r="D112" s="5" t="str">
        <f>IFERROR(IF(SUMIFS(tblDaily[Deaths],tblDaily[EntryDate],DATE(2026,3,28),tblDaily[WardCode],"MAE")=0,"",SUMIFS(tblDaily[Deaths],tblDaily[EntryDate],DATE(2026,3,28),tblDaily[WardCode],"MAE")),"")</f>
        <v/>
      </c>
      <c r="E112" s="5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5" t="str">
        <f>IFERROR(IF(SUMIFS(tblDaily[TransfersIn],tblDaily[EntryDate],DATE(2026,3,28),tblDaily[WardCode],"MAE")=0,"",SUMIFS(tblDaily[TransfersIn],tblDaily[EntryDate],DATE(2026,3,28),tblDaily[WardCode],"MAE")),"")</f>
        <v/>
      </c>
      <c r="G112" s="5" t="str">
        <f>IFERROR(IF(SUMIFS(tblDaily[TransfersOut],tblDaily[EntryDate],DATE(2026,3,28),tblDaily[WardCode],"MAE")=0,"",SUMIFS(tblDaily[TransfersOut],tblDaily[EntryDate],DATE(2026,3,28),tblDaily[WardCode],"MAE")),"")</f>
        <v/>
      </c>
      <c r="H112" s="5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IFERROR(IF(SUMIFS(tblDaily[Admissions],tblDaily[EntryDate],DATE(2026,3,29),tblDaily[WardCode],"MAE")=0,"",SUMIFS(tblDaily[Admissions],tblDaily[EntryDate],DATE(2026,3,29),tblDaily[WardCode],"MAE")),"")</f>
        <v/>
      </c>
      <c r="C113" s="5" t="str">
        <f>IFERROR(IF(SUMIFS(tblDaily[Discharges],tblDaily[EntryDate],DATE(2026,3,29),tblDaily[WardCode],"MAE")=0,"",SUMIFS(tblDaily[Discharges],tblDaily[EntryDate],DATE(2026,3,29),tblDaily[WardCode],"MAE")),"")</f>
        <v/>
      </c>
      <c r="D113" s="5" t="str">
        <f>IFERROR(IF(SUMIFS(tblDaily[Deaths],tblDaily[EntryDate],DATE(2026,3,29),tblDaily[WardCode],"MAE")=0,"",SUMIFS(tblDaily[Deaths],tblDaily[EntryDate],DATE(2026,3,29),tblDaily[WardCode],"MAE")),"")</f>
        <v/>
      </c>
      <c r="E113" s="5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5" t="str">
        <f>IFERROR(IF(SUMIFS(tblDaily[TransfersIn],tblDaily[EntryDate],DATE(2026,3,29),tblDaily[WardCode],"MAE")=0,"",SUMIFS(tblDaily[TransfersIn],tblDaily[EntryDate],DATE(2026,3,29),tblDaily[WardCode],"MAE")),"")</f>
        <v/>
      </c>
      <c r="G113" s="5" t="str">
        <f>IFERROR(IF(SUMIFS(tblDaily[TransfersOut],tblDaily[EntryDate],DATE(2026,3,29),tblDaily[WardCode],"MAE")=0,"",SUMIFS(tblDaily[TransfersOut],tblDaily[EntryDate],DATE(2026,3,29),tblDaily[WardCode],"MAE")),"")</f>
        <v/>
      </c>
      <c r="H113" s="5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IFERROR(IF(SUMIFS(tblDaily[Admissions],tblDaily[EntryDate],DATE(2026,3,30),tblDaily[WardCode],"MAE")=0,"",SUMIFS(tblDaily[Admissions],tblDaily[EntryDate],DATE(2026,3,30),tblDaily[WardCode],"MAE")),"")</f>
        <v/>
      </c>
      <c r="C114" s="5" t="str">
        <f>IFERROR(IF(SUMIFS(tblDaily[Discharges],tblDaily[EntryDate],DATE(2026,3,30),tblDaily[WardCode],"MAE")=0,"",SUMIFS(tblDaily[Discharges],tblDaily[EntryDate],DATE(2026,3,30),tblDaily[WardCode],"MAE")),"")</f>
        <v/>
      </c>
      <c r="D114" s="5" t="str">
        <f>IFERROR(IF(SUMIFS(tblDaily[Deaths],tblDaily[EntryDate],DATE(2026,3,30),tblDaily[WardCode],"MAE")=0,"",SUMIFS(tblDaily[Deaths],tblDaily[EntryDate],DATE(2026,3,30),tblDaily[WardCode],"MAE")),"")</f>
        <v/>
      </c>
      <c r="E114" s="5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5" t="str">
        <f>IFERROR(IF(SUMIFS(tblDaily[TransfersIn],tblDaily[EntryDate],DATE(2026,3,30),tblDaily[WardCode],"MAE")=0,"",SUMIFS(tblDaily[TransfersIn],tblDaily[EntryDate],DATE(2026,3,30),tblDaily[WardCode],"MAE")),"")</f>
        <v/>
      </c>
      <c r="G114" s="5" t="str">
        <f>IFERROR(IF(SUMIFS(tblDaily[TransfersOut],tblDaily[EntryDate],DATE(2026,3,30),tblDaily[WardCode],"MAE")=0,"",SUMIFS(tblDaily[TransfersOut],tblDaily[EntryDate],DATE(2026,3,30),tblDaily[WardCode],"MAE")),"")</f>
        <v/>
      </c>
      <c r="H114" s="5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IFERROR(IF(SUMIFS(tblDaily[Admissions],tblDaily[EntryDate],DATE(2026,3,31),tblDaily[WardCode],"MAE")=0,"",SUMIFS(tblDaily[Admissions],tblDaily[EntryDate],DATE(2026,3,31),tblDaily[WardCode],"MAE")),"")</f>
        <v/>
      </c>
      <c r="C115" s="5" t="str">
        <f>IFERROR(IF(SUMIFS(tblDaily[Discharges],tblDaily[EntryDate],DATE(2026,3,31),tblDaily[WardCode],"MAE")=0,"",SUMIFS(tblDaily[Discharges],tblDaily[EntryDate],DATE(2026,3,31),tblDaily[WardCode],"MAE")),"")</f>
        <v/>
      </c>
      <c r="D115" s="5" t="str">
        <f>IFERROR(IF(SUMIFS(tblDaily[Deaths],tblDaily[EntryDate],DATE(2026,3,31),tblDaily[WardCode],"MAE")=0,"",SUMIFS(tblDaily[Deaths],tblDaily[EntryDate],DATE(2026,3,31),tblDaily[WardCode],"MAE")),"")</f>
        <v/>
      </c>
      <c r="E115" s="5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5" t="str">
        <f>IFERROR(IF(SUMIFS(tblDaily[TransfersIn],tblDaily[EntryDate],DATE(2026,3,31),tblDaily[WardCode],"MAE")=0,"",SUMIFS(tblDaily[TransfersIn],tblDaily[EntryDate],DATE(2026,3,31),tblDaily[WardCode],"MAE")),"")</f>
        <v/>
      </c>
      <c r="G115" s="5" t="str">
        <f>IFERROR(IF(SUMIFS(tblDaily[TransfersOut],tblDaily[EntryDate],DATE(2026,3,31),tblDaily[WardCode],"MAE")=0,"",SUMIFS(tblDaily[TransfersOut],tblDaily[EntryDate],DATE(2026,3,31),tblDaily[WardCode],"MAE")),"")</f>
        <v/>
      </c>
      <c r="H115" s="5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95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102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89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IFERROR(IF(SUMIFS(tblDaily[Admissions],tblDaily[EntryDate],DATE(2026,4,1),tblDaily[WardCode],"MAE")=0,"",SUMIFS(tblDaily[Admissions],tblDaily[EntryDate],DATE(2026,4,1),tblDaily[WardCode],"MAE")),"")</f>
        <v/>
      </c>
      <c r="C124" s="5" t="str">
        <f>IFERROR(IF(SUMIFS(tblDaily[Discharges],tblDaily[EntryDate],DATE(2026,4,1),tblDaily[WardCode],"MAE")=0,"",SUMIFS(tblDaily[Discharges],tblDaily[EntryDate],DATE(2026,4,1),tblDaily[WardCode],"MAE")),"")</f>
        <v/>
      </c>
      <c r="D124" s="5" t="str">
        <f>IFERROR(IF(SUMIFS(tblDaily[Deaths],tblDaily[EntryDate],DATE(2026,4,1),tblDaily[WardCode],"MAE")=0,"",SUMIFS(tblDaily[Deaths],tblDaily[EntryDate],DATE(2026,4,1),tblDaily[WardCode],"MAE")),"")</f>
        <v/>
      </c>
      <c r="E124" s="5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5" t="str">
        <f>IFERROR(IF(SUMIFS(tblDaily[TransfersIn],tblDaily[EntryDate],DATE(2026,4,1),tblDaily[WardCode],"MAE")=0,"",SUMIFS(tblDaily[TransfersIn],tblDaily[EntryDate],DATE(2026,4,1),tblDaily[WardCode],"MAE")),"")</f>
        <v/>
      </c>
      <c r="G124" s="5" t="str">
        <f>IFERROR(IF(SUMIFS(tblDaily[TransfersOut],tblDaily[EntryDate],DATE(2026,4,1),tblDaily[WardCode],"MAE")=0,"",SUMIFS(tblDaily[TransfersOut],tblDaily[EntryDate],DATE(2026,4,1),tblDaily[WardCode],"MAE")),"")</f>
        <v/>
      </c>
      <c r="H124" s="5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IFERROR(IF(SUMIFS(tblDaily[Admissions],tblDaily[EntryDate],DATE(2026,4,2),tblDaily[WardCode],"MAE")=0,"",SUMIFS(tblDaily[Admissions],tblDaily[EntryDate],DATE(2026,4,2),tblDaily[WardCode],"MAE")),"")</f>
        <v/>
      </c>
      <c r="C125" s="5" t="str">
        <f>IFERROR(IF(SUMIFS(tblDaily[Discharges],tblDaily[EntryDate],DATE(2026,4,2),tblDaily[WardCode],"MAE")=0,"",SUMIFS(tblDaily[Discharges],tblDaily[EntryDate],DATE(2026,4,2),tblDaily[WardCode],"MAE")),"")</f>
        <v/>
      </c>
      <c r="D125" s="5" t="str">
        <f>IFERROR(IF(SUMIFS(tblDaily[Deaths],tblDaily[EntryDate],DATE(2026,4,2),tblDaily[WardCode],"MAE")=0,"",SUMIFS(tblDaily[Deaths],tblDaily[EntryDate],DATE(2026,4,2),tblDaily[WardCode],"MAE")),"")</f>
        <v/>
      </c>
      <c r="E125" s="5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5" t="str">
        <f>IFERROR(IF(SUMIFS(tblDaily[TransfersIn],tblDaily[EntryDate],DATE(2026,4,2),tblDaily[WardCode],"MAE")=0,"",SUMIFS(tblDaily[TransfersIn],tblDaily[EntryDate],DATE(2026,4,2),tblDaily[WardCode],"MAE")),"")</f>
        <v/>
      </c>
      <c r="G125" s="5" t="str">
        <f>IFERROR(IF(SUMIFS(tblDaily[TransfersOut],tblDaily[EntryDate],DATE(2026,4,2),tblDaily[WardCode],"MAE")=0,"",SUMIFS(tblDaily[TransfersOut],tblDaily[EntryDate],DATE(2026,4,2),tblDaily[WardCode],"MAE")),"")</f>
        <v/>
      </c>
      <c r="H125" s="5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IFERROR(IF(SUMIFS(tblDaily[Admissions],tblDaily[EntryDate],DATE(2026,4,3),tblDaily[WardCode],"MAE")=0,"",SUMIFS(tblDaily[Admissions],tblDaily[EntryDate],DATE(2026,4,3),tblDaily[WardCode],"MAE")),"")</f>
        <v/>
      </c>
      <c r="C126" s="5" t="str">
        <f>IFERROR(IF(SUMIFS(tblDaily[Discharges],tblDaily[EntryDate],DATE(2026,4,3),tblDaily[WardCode],"MAE")=0,"",SUMIFS(tblDaily[Discharges],tblDaily[EntryDate],DATE(2026,4,3),tblDaily[WardCode],"MAE")),"")</f>
        <v/>
      </c>
      <c r="D126" s="5" t="str">
        <f>IFERROR(IF(SUMIFS(tblDaily[Deaths],tblDaily[EntryDate],DATE(2026,4,3),tblDaily[WardCode],"MAE")=0,"",SUMIFS(tblDaily[Deaths],tblDaily[EntryDate],DATE(2026,4,3),tblDaily[WardCode],"MAE")),"")</f>
        <v/>
      </c>
      <c r="E126" s="5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5" t="str">
        <f>IFERROR(IF(SUMIFS(tblDaily[TransfersIn],tblDaily[EntryDate],DATE(2026,4,3),tblDaily[WardCode],"MAE")=0,"",SUMIFS(tblDaily[TransfersIn],tblDaily[EntryDate],DATE(2026,4,3),tblDaily[WardCode],"MAE")),"")</f>
        <v/>
      </c>
      <c r="G126" s="5" t="str">
        <f>IFERROR(IF(SUMIFS(tblDaily[TransfersOut],tblDaily[EntryDate],DATE(2026,4,3),tblDaily[WardCode],"MAE")=0,"",SUMIFS(tblDaily[TransfersOut],tblDaily[EntryDate],DATE(2026,4,3),tblDaily[WardCode],"MAE")),"")</f>
        <v/>
      </c>
      <c r="H126" s="5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IFERROR(IF(SUMIFS(tblDaily[Admissions],tblDaily[EntryDate],DATE(2026,4,4),tblDaily[WardCode],"MAE")=0,"",SUMIFS(tblDaily[Admissions],tblDaily[EntryDate],DATE(2026,4,4),tblDaily[WardCode],"MAE")),"")</f>
        <v/>
      </c>
      <c r="C127" s="5" t="str">
        <f>IFERROR(IF(SUMIFS(tblDaily[Discharges],tblDaily[EntryDate],DATE(2026,4,4),tblDaily[WardCode],"MAE")=0,"",SUMIFS(tblDaily[Discharges],tblDaily[EntryDate],DATE(2026,4,4),tblDaily[WardCode],"MAE")),"")</f>
        <v/>
      </c>
      <c r="D127" s="5" t="str">
        <f>IFERROR(IF(SUMIFS(tblDaily[Deaths],tblDaily[EntryDate],DATE(2026,4,4),tblDaily[WardCode],"MAE")=0,"",SUMIFS(tblDaily[Deaths],tblDaily[EntryDate],DATE(2026,4,4),tblDaily[WardCode],"MAE")),"")</f>
        <v/>
      </c>
      <c r="E127" s="5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5" t="str">
        <f>IFERROR(IF(SUMIFS(tblDaily[TransfersIn],tblDaily[EntryDate],DATE(2026,4,4),tblDaily[WardCode],"MAE")=0,"",SUMIFS(tblDaily[TransfersIn],tblDaily[EntryDate],DATE(2026,4,4),tblDaily[WardCode],"MAE")),"")</f>
        <v/>
      </c>
      <c r="G127" s="5" t="str">
        <f>IFERROR(IF(SUMIFS(tblDaily[TransfersOut],tblDaily[EntryDate],DATE(2026,4,4),tblDaily[WardCode],"MAE")=0,"",SUMIFS(tblDaily[TransfersOut],tblDaily[EntryDate],DATE(2026,4,4),tblDaily[WardCode],"MAE")),"")</f>
        <v/>
      </c>
      <c r="H127" s="5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IFERROR(IF(SUMIFS(tblDaily[Admissions],tblDaily[EntryDate],DATE(2026,4,5),tblDaily[WardCode],"MAE")=0,"",SUMIFS(tblDaily[Admissions],tblDaily[EntryDate],DATE(2026,4,5),tblDaily[WardCode],"MAE")),"")</f>
        <v/>
      </c>
      <c r="C128" s="5" t="str">
        <f>IFERROR(IF(SUMIFS(tblDaily[Discharges],tblDaily[EntryDate],DATE(2026,4,5),tblDaily[WardCode],"MAE")=0,"",SUMIFS(tblDaily[Discharges],tblDaily[EntryDate],DATE(2026,4,5),tblDaily[WardCode],"MAE")),"")</f>
        <v/>
      </c>
      <c r="D128" s="5" t="str">
        <f>IFERROR(IF(SUMIFS(tblDaily[Deaths],tblDaily[EntryDate],DATE(2026,4,5),tblDaily[WardCode],"MAE")=0,"",SUMIFS(tblDaily[Deaths],tblDaily[EntryDate],DATE(2026,4,5),tblDaily[WardCode],"MAE")),"")</f>
        <v/>
      </c>
      <c r="E128" s="5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5" t="str">
        <f>IFERROR(IF(SUMIFS(tblDaily[TransfersIn],tblDaily[EntryDate],DATE(2026,4,5),tblDaily[WardCode],"MAE")=0,"",SUMIFS(tblDaily[TransfersIn],tblDaily[EntryDate],DATE(2026,4,5),tblDaily[WardCode],"MAE")),"")</f>
        <v/>
      </c>
      <c r="G128" s="5" t="str">
        <f>IFERROR(IF(SUMIFS(tblDaily[TransfersOut],tblDaily[EntryDate],DATE(2026,4,5),tblDaily[WardCode],"MAE")=0,"",SUMIFS(tblDaily[TransfersOut],tblDaily[EntryDate],DATE(2026,4,5),tblDaily[WardCode],"MAE")),"")</f>
        <v/>
      </c>
      <c r="H128" s="5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IFERROR(IF(SUMIFS(tblDaily[Admissions],tblDaily[EntryDate],DATE(2026,4,6),tblDaily[WardCode],"MAE")=0,"",SUMIFS(tblDaily[Admissions],tblDaily[EntryDate],DATE(2026,4,6),tblDaily[WardCode],"MAE")),"")</f>
        <v/>
      </c>
      <c r="C129" s="5" t="str">
        <f>IFERROR(IF(SUMIFS(tblDaily[Discharges],tblDaily[EntryDate],DATE(2026,4,6),tblDaily[WardCode],"MAE")=0,"",SUMIFS(tblDaily[Discharges],tblDaily[EntryDate],DATE(2026,4,6),tblDaily[WardCode],"MAE")),"")</f>
        <v/>
      </c>
      <c r="D129" s="5" t="str">
        <f>IFERROR(IF(SUMIFS(tblDaily[Deaths],tblDaily[EntryDate],DATE(2026,4,6),tblDaily[WardCode],"MAE")=0,"",SUMIFS(tblDaily[Deaths],tblDaily[EntryDate],DATE(2026,4,6),tblDaily[WardCode],"MAE")),"")</f>
        <v/>
      </c>
      <c r="E129" s="5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5" t="str">
        <f>IFERROR(IF(SUMIFS(tblDaily[TransfersIn],tblDaily[EntryDate],DATE(2026,4,6),tblDaily[WardCode],"MAE")=0,"",SUMIFS(tblDaily[TransfersIn],tblDaily[EntryDate],DATE(2026,4,6),tblDaily[WardCode],"MAE")),"")</f>
        <v/>
      </c>
      <c r="G129" s="5" t="str">
        <f>IFERROR(IF(SUMIFS(tblDaily[TransfersOut],tblDaily[EntryDate],DATE(2026,4,6),tblDaily[WardCode],"MAE")=0,"",SUMIFS(tblDaily[TransfersOut],tblDaily[EntryDate],DATE(2026,4,6),tblDaily[WardCode],"MAE")),"")</f>
        <v/>
      </c>
      <c r="H129" s="5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IFERROR(IF(SUMIFS(tblDaily[Admissions],tblDaily[EntryDate],DATE(2026,4,7),tblDaily[WardCode],"MAE")=0,"",SUMIFS(tblDaily[Admissions],tblDaily[EntryDate],DATE(2026,4,7),tblDaily[WardCode],"MAE")),"")</f>
        <v/>
      </c>
      <c r="C130" s="5" t="str">
        <f>IFERROR(IF(SUMIFS(tblDaily[Discharges],tblDaily[EntryDate],DATE(2026,4,7),tblDaily[WardCode],"MAE")=0,"",SUMIFS(tblDaily[Discharges],tblDaily[EntryDate],DATE(2026,4,7),tblDaily[WardCode],"MAE")),"")</f>
        <v/>
      </c>
      <c r="D130" s="5" t="str">
        <f>IFERROR(IF(SUMIFS(tblDaily[Deaths],tblDaily[EntryDate],DATE(2026,4,7),tblDaily[WardCode],"MAE")=0,"",SUMIFS(tblDaily[Deaths],tblDaily[EntryDate],DATE(2026,4,7),tblDaily[WardCode],"MAE")),"")</f>
        <v/>
      </c>
      <c r="E130" s="5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5" t="str">
        <f>IFERROR(IF(SUMIFS(tblDaily[TransfersIn],tblDaily[EntryDate],DATE(2026,4,7),tblDaily[WardCode],"MAE")=0,"",SUMIFS(tblDaily[TransfersIn],tblDaily[EntryDate],DATE(2026,4,7),tblDaily[WardCode],"MAE")),"")</f>
        <v/>
      </c>
      <c r="G130" s="5" t="str">
        <f>IFERROR(IF(SUMIFS(tblDaily[TransfersOut],tblDaily[EntryDate],DATE(2026,4,7),tblDaily[WardCode],"MAE")=0,"",SUMIFS(tblDaily[TransfersOut],tblDaily[EntryDate],DATE(2026,4,7),tblDaily[WardCode],"MAE")),"")</f>
        <v/>
      </c>
      <c r="H130" s="5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IFERROR(IF(SUMIFS(tblDaily[Admissions],tblDaily[EntryDate],DATE(2026,4,8),tblDaily[WardCode],"MAE")=0,"",SUMIFS(tblDaily[Admissions],tblDaily[EntryDate],DATE(2026,4,8),tblDaily[WardCode],"MAE")),"")</f>
        <v/>
      </c>
      <c r="C131" s="5" t="str">
        <f>IFERROR(IF(SUMIFS(tblDaily[Discharges],tblDaily[EntryDate],DATE(2026,4,8),tblDaily[WardCode],"MAE")=0,"",SUMIFS(tblDaily[Discharges],tblDaily[EntryDate],DATE(2026,4,8),tblDaily[WardCode],"MAE")),"")</f>
        <v/>
      </c>
      <c r="D131" s="5" t="str">
        <f>IFERROR(IF(SUMIFS(tblDaily[Deaths],tblDaily[EntryDate],DATE(2026,4,8),tblDaily[WardCode],"MAE")=0,"",SUMIFS(tblDaily[Deaths],tblDaily[EntryDate],DATE(2026,4,8),tblDaily[WardCode],"MAE")),"")</f>
        <v/>
      </c>
      <c r="E131" s="5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5" t="str">
        <f>IFERROR(IF(SUMIFS(tblDaily[TransfersIn],tblDaily[EntryDate],DATE(2026,4,8),tblDaily[WardCode],"MAE")=0,"",SUMIFS(tblDaily[TransfersIn],tblDaily[EntryDate],DATE(2026,4,8),tblDaily[WardCode],"MAE")),"")</f>
        <v/>
      </c>
      <c r="G131" s="5" t="str">
        <f>IFERROR(IF(SUMIFS(tblDaily[TransfersOut],tblDaily[EntryDate],DATE(2026,4,8),tblDaily[WardCode],"MAE")=0,"",SUMIFS(tblDaily[TransfersOut],tblDaily[EntryDate],DATE(2026,4,8),tblDaily[WardCode],"MAE")),"")</f>
        <v/>
      </c>
      <c r="H131" s="5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IFERROR(IF(SUMIFS(tblDaily[Admissions],tblDaily[EntryDate],DATE(2026,4,9),tblDaily[WardCode],"MAE")=0,"",SUMIFS(tblDaily[Admissions],tblDaily[EntryDate],DATE(2026,4,9),tblDaily[WardCode],"MAE")),"")</f>
        <v/>
      </c>
      <c r="C132" s="5" t="str">
        <f>IFERROR(IF(SUMIFS(tblDaily[Discharges],tblDaily[EntryDate],DATE(2026,4,9),tblDaily[WardCode],"MAE")=0,"",SUMIFS(tblDaily[Discharges],tblDaily[EntryDate],DATE(2026,4,9),tblDaily[WardCode],"MAE")),"")</f>
        <v/>
      </c>
      <c r="D132" s="5" t="str">
        <f>IFERROR(IF(SUMIFS(tblDaily[Deaths],tblDaily[EntryDate],DATE(2026,4,9),tblDaily[WardCode],"MAE")=0,"",SUMIFS(tblDaily[Deaths],tblDaily[EntryDate],DATE(2026,4,9),tblDaily[WardCode],"MAE")),"")</f>
        <v/>
      </c>
      <c r="E132" s="5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5" t="str">
        <f>IFERROR(IF(SUMIFS(tblDaily[TransfersIn],tblDaily[EntryDate],DATE(2026,4,9),tblDaily[WardCode],"MAE")=0,"",SUMIFS(tblDaily[TransfersIn],tblDaily[EntryDate],DATE(2026,4,9),tblDaily[WardCode],"MAE")),"")</f>
        <v/>
      </c>
      <c r="G132" s="5" t="str">
        <f>IFERROR(IF(SUMIFS(tblDaily[TransfersOut],tblDaily[EntryDate],DATE(2026,4,9),tblDaily[WardCode],"MAE")=0,"",SUMIFS(tblDaily[TransfersOut],tblDaily[EntryDate],DATE(2026,4,9),tblDaily[WardCode],"MAE")),"")</f>
        <v/>
      </c>
      <c r="H132" s="5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IFERROR(IF(SUMIFS(tblDaily[Admissions],tblDaily[EntryDate],DATE(2026,4,10),tblDaily[WardCode],"MAE")=0,"",SUMIFS(tblDaily[Admissions],tblDaily[EntryDate],DATE(2026,4,10),tblDaily[WardCode],"MAE")),"")</f>
        <v/>
      </c>
      <c r="C133" s="5" t="str">
        <f>IFERROR(IF(SUMIFS(tblDaily[Discharges],tblDaily[EntryDate],DATE(2026,4,10),tblDaily[WardCode],"MAE")=0,"",SUMIFS(tblDaily[Discharges],tblDaily[EntryDate],DATE(2026,4,10),tblDaily[WardCode],"MAE")),"")</f>
        <v/>
      </c>
      <c r="D133" s="5" t="str">
        <f>IFERROR(IF(SUMIFS(tblDaily[Deaths],tblDaily[EntryDate],DATE(2026,4,10),tblDaily[WardCode],"MAE")=0,"",SUMIFS(tblDaily[Deaths],tblDaily[EntryDate],DATE(2026,4,10),tblDaily[WardCode],"MAE")),"")</f>
        <v/>
      </c>
      <c r="E133" s="5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5" t="str">
        <f>IFERROR(IF(SUMIFS(tblDaily[TransfersIn],tblDaily[EntryDate],DATE(2026,4,10),tblDaily[WardCode],"MAE")=0,"",SUMIFS(tblDaily[TransfersIn],tblDaily[EntryDate],DATE(2026,4,10),tblDaily[WardCode],"MAE")),"")</f>
        <v/>
      </c>
      <c r="G133" s="5" t="str">
        <f>IFERROR(IF(SUMIFS(tblDaily[TransfersOut],tblDaily[EntryDate],DATE(2026,4,10),tblDaily[WardCode],"MAE")=0,"",SUMIFS(tblDaily[TransfersOut],tblDaily[EntryDate],DATE(2026,4,10),tblDaily[WardCode],"MAE")),"")</f>
        <v/>
      </c>
      <c r="H133" s="5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IFERROR(IF(SUMIFS(tblDaily[Admissions],tblDaily[EntryDate],DATE(2026,4,11),tblDaily[WardCode],"MAE")=0,"",SUMIFS(tblDaily[Admissions],tblDaily[EntryDate],DATE(2026,4,11),tblDaily[WardCode],"MAE")),"")</f>
        <v/>
      </c>
      <c r="C134" s="5" t="str">
        <f>IFERROR(IF(SUMIFS(tblDaily[Discharges],tblDaily[EntryDate],DATE(2026,4,11),tblDaily[WardCode],"MAE")=0,"",SUMIFS(tblDaily[Discharges],tblDaily[EntryDate],DATE(2026,4,11),tblDaily[WardCode],"MAE")),"")</f>
        <v/>
      </c>
      <c r="D134" s="5" t="str">
        <f>IFERROR(IF(SUMIFS(tblDaily[Deaths],tblDaily[EntryDate],DATE(2026,4,11),tblDaily[WardCode],"MAE")=0,"",SUMIFS(tblDaily[Deaths],tblDaily[EntryDate],DATE(2026,4,11),tblDaily[WardCode],"MAE")),"")</f>
        <v/>
      </c>
      <c r="E134" s="5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5" t="str">
        <f>IFERROR(IF(SUMIFS(tblDaily[TransfersIn],tblDaily[EntryDate],DATE(2026,4,11),tblDaily[WardCode],"MAE")=0,"",SUMIFS(tblDaily[TransfersIn],tblDaily[EntryDate],DATE(2026,4,11),tblDaily[WardCode],"MAE")),"")</f>
        <v/>
      </c>
      <c r="G134" s="5" t="str">
        <f>IFERROR(IF(SUMIFS(tblDaily[TransfersOut],tblDaily[EntryDate],DATE(2026,4,11),tblDaily[WardCode],"MAE")=0,"",SUMIFS(tblDaily[TransfersOut],tblDaily[EntryDate],DATE(2026,4,11),tblDaily[WardCode],"MAE")),"")</f>
        <v/>
      </c>
      <c r="H134" s="5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IFERROR(IF(SUMIFS(tblDaily[Admissions],tblDaily[EntryDate],DATE(2026,4,12),tblDaily[WardCode],"MAE")=0,"",SUMIFS(tblDaily[Admissions],tblDaily[EntryDate],DATE(2026,4,12),tblDaily[WardCode],"MAE")),"")</f>
        <v/>
      </c>
      <c r="C135" s="5" t="str">
        <f>IFERROR(IF(SUMIFS(tblDaily[Discharges],tblDaily[EntryDate],DATE(2026,4,12),tblDaily[WardCode],"MAE")=0,"",SUMIFS(tblDaily[Discharges],tblDaily[EntryDate],DATE(2026,4,12),tblDaily[WardCode],"MAE")),"")</f>
        <v/>
      </c>
      <c r="D135" s="5" t="str">
        <f>IFERROR(IF(SUMIFS(tblDaily[Deaths],tblDaily[EntryDate],DATE(2026,4,12),tblDaily[WardCode],"MAE")=0,"",SUMIFS(tblDaily[Deaths],tblDaily[EntryDate],DATE(2026,4,12),tblDaily[WardCode],"MAE")),"")</f>
        <v/>
      </c>
      <c r="E135" s="5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5" t="str">
        <f>IFERROR(IF(SUMIFS(tblDaily[TransfersIn],tblDaily[EntryDate],DATE(2026,4,12),tblDaily[WardCode],"MAE")=0,"",SUMIFS(tblDaily[TransfersIn],tblDaily[EntryDate],DATE(2026,4,12),tblDaily[WardCode],"MAE")),"")</f>
        <v/>
      </c>
      <c r="G135" s="5" t="str">
        <f>IFERROR(IF(SUMIFS(tblDaily[TransfersOut],tblDaily[EntryDate],DATE(2026,4,12),tblDaily[WardCode],"MAE")=0,"",SUMIFS(tblDaily[TransfersOut],tblDaily[EntryDate],DATE(2026,4,12),tblDaily[WardCode],"MAE")),"")</f>
        <v/>
      </c>
      <c r="H135" s="5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IFERROR(IF(SUMIFS(tblDaily[Admissions],tblDaily[EntryDate],DATE(2026,4,13),tblDaily[WardCode],"MAE")=0,"",SUMIFS(tblDaily[Admissions],tblDaily[EntryDate],DATE(2026,4,13),tblDaily[WardCode],"MAE")),"")</f>
        <v/>
      </c>
      <c r="C136" s="5" t="str">
        <f>IFERROR(IF(SUMIFS(tblDaily[Discharges],tblDaily[EntryDate],DATE(2026,4,13),tblDaily[WardCode],"MAE")=0,"",SUMIFS(tblDaily[Discharges],tblDaily[EntryDate],DATE(2026,4,13),tblDaily[WardCode],"MAE")),"")</f>
        <v/>
      </c>
      <c r="D136" s="5" t="str">
        <f>IFERROR(IF(SUMIFS(tblDaily[Deaths],tblDaily[EntryDate],DATE(2026,4,13),tblDaily[WardCode],"MAE")=0,"",SUMIFS(tblDaily[Deaths],tblDaily[EntryDate],DATE(2026,4,13),tblDaily[WardCode],"MAE")),"")</f>
        <v/>
      </c>
      <c r="E136" s="5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5" t="str">
        <f>IFERROR(IF(SUMIFS(tblDaily[TransfersIn],tblDaily[EntryDate],DATE(2026,4,13),tblDaily[WardCode],"MAE")=0,"",SUMIFS(tblDaily[TransfersIn],tblDaily[EntryDate],DATE(2026,4,13),tblDaily[WardCode],"MAE")),"")</f>
        <v/>
      </c>
      <c r="G136" s="5" t="str">
        <f>IFERROR(IF(SUMIFS(tblDaily[TransfersOut],tblDaily[EntryDate],DATE(2026,4,13),tblDaily[WardCode],"MAE")=0,"",SUMIFS(tblDaily[TransfersOut],tblDaily[EntryDate],DATE(2026,4,13),tblDaily[WardCode],"MAE")),"")</f>
        <v/>
      </c>
      <c r="H136" s="5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IFERROR(IF(SUMIFS(tblDaily[Admissions],tblDaily[EntryDate],DATE(2026,4,14),tblDaily[WardCode],"MAE")=0,"",SUMIFS(tblDaily[Admissions],tblDaily[EntryDate],DATE(2026,4,14),tblDaily[WardCode],"MAE")),"")</f>
        <v/>
      </c>
      <c r="C137" s="5" t="str">
        <f>IFERROR(IF(SUMIFS(tblDaily[Discharges],tblDaily[EntryDate],DATE(2026,4,14),tblDaily[WardCode],"MAE")=0,"",SUMIFS(tblDaily[Discharges],tblDaily[EntryDate],DATE(2026,4,14),tblDaily[WardCode],"MAE")),"")</f>
        <v/>
      </c>
      <c r="D137" s="5" t="str">
        <f>IFERROR(IF(SUMIFS(tblDaily[Deaths],tblDaily[EntryDate],DATE(2026,4,14),tblDaily[WardCode],"MAE")=0,"",SUMIFS(tblDaily[Deaths],tblDaily[EntryDate],DATE(2026,4,14),tblDaily[WardCode],"MAE")),"")</f>
        <v/>
      </c>
      <c r="E137" s="5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5" t="str">
        <f>IFERROR(IF(SUMIFS(tblDaily[TransfersIn],tblDaily[EntryDate],DATE(2026,4,14),tblDaily[WardCode],"MAE")=0,"",SUMIFS(tblDaily[TransfersIn],tblDaily[EntryDate],DATE(2026,4,14),tblDaily[WardCode],"MAE")),"")</f>
        <v/>
      </c>
      <c r="G137" s="5" t="str">
        <f>IFERROR(IF(SUMIFS(tblDaily[TransfersOut],tblDaily[EntryDate],DATE(2026,4,14),tblDaily[WardCode],"MAE")=0,"",SUMIFS(tblDaily[TransfersOut],tblDaily[EntryDate],DATE(2026,4,14),tblDaily[WardCode],"MAE")),"")</f>
        <v/>
      </c>
      <c r="H137" s="5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IFERROR(IF(SUMIFS(tblDaily[Admissions],tblDaily[EntryDate],DATE(2026,4,15),tblDaily[WardCode],"MAE")=0,"",SUMIFS(tblDaily[Admissions],tblDaily[EntryDate],DATE(2026,4,15),tblDaily[WardCode],"MAE")),"")</f>
        <v/>
      </c>
      <c r="C138" s="5" t="str">
        <f>IFERROR(IF(SUMIFS(tblDaily[Discharges],tblDaily[EntryDate],DATE(2026,4,15),tblDaily[WardCode],"MAE")=0,"",SUMIFS(tblDaily[Discharges],tblDaily[EntryDate],DATE(2026,4,15),tblDaily[WardCode],"MAE")),"")</f>
        <v/>
      </c>
      <c r="D138" s="5" t="str">
        <f>IFERROR(IF(SUMIFS(tblDaily[Deaths],tblDaily[EntryDate],DATE(2026,4,15),tblDaily[WardCode],"MAE")=0,"",SUMIFS(tblDaily[Deaths],tblDaily[EntryDate],DATE(2026,4,15),tblDaily[WardCode],"MAE")),"")</f>
        <v/>
      </c>
      <c r="E138" s="5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5" t="str">
        <f>IFERROR(IF(SUMIFS(tblDaily[TransfersIn],tblDaily[EntryDate],DATE(2026,4,15),tblDaily[WardCode],"MAE")=0,"",SUMIFS(tblDaily[TransfersIn],tblDaily[EntryDate],DATE(2026,4,15),tblDaily[WardCode],"MAE")),"")</f>
        <v/>
      </c>
      <c r="G138" s="5" t="str">
        <f>IFERROR(IF(SUMIFS(tblDaily[TransfersOut],tblDaily[EntryDate],DATE(2026,4,15),tblDaily[WardCode],"MAE")=0,"",SUMIFS(tblDaily[TransfersOut],tblDaily[EntryDate],DATE(2026,4,15),tblDaily[WardCode],"MAE")),"")</f>
        <v/>
      </c>
      <c r="H138" s="5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IFERROR(IF(SUMIFS(tblDaily[Admissions],tblDaily[EntryDate],DATE(2026,4,16),tblDaily[WardCode],"MAE")=0,"",SUMIFS(tblDaily[Admissions],tblDaily[EntryDate],DATE(2026,4,16),tblDaily[WardCode],"MAE")),"")</f>
        <v/>
      </c>
      <c r="C139" s="5" t="str">
        <f>IFERROR(IF(SUMIFS(tblDaily[Discharges],tblDaily[EntryDate],DATE(2026,4,16),tblDaily[WardCode],"MAE")=0,"",SUMIFS(tblDaily[Discharges],tblDaily[EntryDate],DATE(2026,4,16),tblDaily[WardCode],"MAE")),"")</f>
        <v/>
      </c>
      <c r="D139" s="5" t="str">
        <f>IFERROR(IF(SUMIFS(tblDaily[Deaths],tblDaily[EntryDate],DATE(2026,4,16),tblDaily[WardCode],"MAE")=0,"",SUMIFS(tblDaily[Deaths],tblDaily[EntryDate],DATE(2026,4,16),tblDaily[WardCode],"MAE")),"")</f>
        <v/>
      </c>
      <c r="E139" s="5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5" t="str">
        <f>IFERROR(IF(SUMIFS(tblDaily[TransfersIn],tblDaily[EntryDate],DATE(2026,4,16),tblDaily[WardCode],"MAE")=0,"",SUMIFS(tblDaily[TransfersIn],tblDaily[EntryDate],DATE(2026,4,16),tblDaily[WardCode],"MAE")),"")</f>
        <v/>
      </c>
      <c r="G139" s="5" t="str">
        <f>IFERROR(IF(SUMIFS(tblDaily[TransfersOut],tblDaily[EntryDate],DATE(2026,4,16),tblDaily[WardCode],"MAE")=0,"",SUMIFS(tblDaily[TransfersOut],tblDaily[EntryDate],DATE(2026,4,16),tblDaily[WardCode],"MAE")),"")</f>
        <v/>
      </c>
      <c r="H139" s="5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IFERROR(IF(SUMIFS(tblDaily[Admissions],tblDaily[EntryDate],DATE(2026,4,17),tblDaily[WardCode],"MAE")=0,"",SUMIFS(tblDaily[Admissions],tblDaily[EntryDate],DATE(2026,4,17),tblDaily[WardCode],"MAE")),"")</f>
        <v/>
      </c>
      <c r="C140" s="5" t="str">
        <f>IFERROR(IF(SUMIFS(tblDaily[Discharges],tblDaily[EntryDate],DATE(2026,4,17),tblDaily[WardCode],"MAE")=0,"",SUMIFS(tblDaily[Discharges],tblDaily[EntryDate],DATE(2026,4,17),tblDaily[WardCode],"MAE")),"")</f>
        <v/>
      </c>
      <c r="D140" s="5" t="str">
        <f>IFERROR(IF(SUMIFS(tblDaily[Deaths],tblDaily[EntryDate],DATE(2026,4,17),tblDaily[WardCode],"MAE")=0,"",SUMIFS(tblDaily[Deaths],tblDaily[EntryDate],DATE(2026,4,17),tblDaily[WardCode],"MAE")),"")</f>
        <v/>
      </c>
      <c r="E140" s="5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5" t="str">
        <f>IFERROR(IF(SUMIFS(tblDaily[TransfersIn],tblDaily[EntryDate],DATE(2026,4,17),tblDaily[WardCode],"MAE")=0,"",SUMIFS(tblDaily[TransfersIn],tblDaily[EntryDate],DATE(2026,4,17),tblDaily[WardCode],"MAE")),"")</f>
        <v/>
      </c>
      <c r="G140" s="5" t="str">
        <f>IFERROR(IF(SUMIFS(tblDaily[TransfersOut],tblDaily[EntryDate],DATE(2026,4,17),tblDaily[WardCode],"MAE")=0,"",SUMIFS(tblDaily[TransfersOut],tblDaily[EntryDate],DATE(2026,4,17),tblDaily[WardCode],"MAE")),"")</f>
        <v/>
      </c>
      <c r="H140" s="5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IFERROR(IF(SUMIFS(tblDaily[Admissions],tblDaily[EntryDate],DATE(2026,4,18),tblDaily[WardCode],"MAE")=0,"",SUMIFS(tblDaily[Admissions],tblDaily[EntryDate],DATE(2026,4,18),tblDaily[WardCode],"MAE")),"")</f>
        <v/>
      </c>
      <c r="C141" s="5" t="str">
        <f>IFERROR(IF(SUMIFS(tblDaily[Discharges],tblDaily[EntryDate],DATE(2026,4,18),tblDaily[WardCode],"MAE")=0,"",SUMIFS(tblDaily[Discharges],tblDaily[EntryDate],DATE(2026,4,18),tblDaily[WardCode],"MAE")),"")</f>
        <v/>
      </c>
      <c r="D141" s="5" t="str">
        <f>IFERROR(IF(SUMIFS(tblDaily[Deaths],tblDaily[EntryDate],DATE(2026,4,18),tblDaily[WardCode],"MAE")=0,"",SUMIFS(tblDaily[Deaths],tblDaily[EntryDate],DATE(2026,4,18),tblDaily[WardCode],"MAE")),"")</f>
        <v/>
      </c>
      <c r="E141" s="5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5" t="str">
        <f>IFERROR(IF(SUMIFS(tblDaily[TransfersIn],tblDaily[EntryDate],DATE(2026,4,18),tblDaily[WardCode],"MAE")=0,"",SUMIFS(tblDaily[TransfersIn],tblDaily[EntryDate],DATE(2026,4,18),tblDaily[WardCode],"MAE")),"")</f>
        <v/>
      </c>
      <c r="G141" s="5" t="str">
        <f>IFERROR(IF(SUMIFS(tblDaily[TransfersOut],tblDaily[EntryDate],DATE(2026,4,18),tblDaily[WardCode],"MAE")=0,"",SUMIFS(tblDaily[TransfersOut],tblDaily[EntryDate],DATE(2026,4,18),tblDaily[WardCode],"MAE")),"")</f>
        <v/>
      </c>
      <c r="H141" s="5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IFERROR(IF(SUMIFS(tblDaily[Admissions],tblDaily[EntryDate],DATE(2026,4,19),tblDaily[WardCode],"MAE")=0,"",SUMIFS(tblDaily[Admissions],tblDaily[EntryDate],DATE(2026,4,19),tblDaily[WardCode],"MAE")),"")</f>
        <v/>
      </c>
      <c r="C142" s="5" t="str">
        <f>IFERROR(IF(SUMIFS(tblDaily[Discharges],tblDaily[EntryDate],DATE(2026,4,19),tblDaily[WardCode],"MAE")=0,"",SUMIFS(tblDaily[Discharges],tblDaily[EntryDate],DATE(2026,4,19),tblDaily[WardCode],"MAE")),"")</f>
        <v/>
      </c>
      <c r="D142" s="5" t="str">
        <f>IFERROR(IF(SUMIFS(tblDaily[Deaths],tblDaily[EntryDate],DATE(2026,4,19),tblDaily[WardCode],"MAE")=0,"",SUMIFS(tblDaily[Deaths],tblDaily[EntryDate],DATE(2026,4,19),tblDaily[WardCode],"MAE")),"")</f>
        <v/>
      </c>
      <c r="E142" s="5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5" t="str">
        <f>IFERROR(IF(SUMIFS(tblDaily[TransfersIn],tblDaily[EntryDate],DATE(2026,4,19),tblDaily[WardCode],"MAE")=0,"",SUMIFS(tblDaily[TransfersIn],tblDaily[EntryDate],DATE(2026,4,19),tblDaily[WardCode],"MAE")),"")</f>
        <v/>
      </c>
      <c r="G142" s="5" t="str">
        <f>IFERROR(IF(SUMIFS(tblDaily[TransfersOut],tblDaily[EntryDate],DATE(2026,4,19),tblDaily[WardCode],"MAE")=0,"",SUMIFS(tblDaily[TransfersOut],tblDaily[EntryDate],DATE(2026,4,19),tblDaily[WardCode],"MAE")),"")</f>
        <v/>
      </c>
      <c r="H142" s="5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IFERROR(IF(SUMIFS(tblDaily[Admissions],tblDaily[EntryDate],DATE(2026,4,20),tblDaily[WardCode],"MAE")=0,"",SUMIFS(tblDaily[Admissions],tblDaily[EntryDate],DATE(2026,4,20),tblDaily[WardCode],"MAE")),"")</f>
        <v/>
      </c>
      <c r="C143" s="5" t="str">
        <f>IFERROR(IF(SUMIFS(tblDaily[Discharges],tblDaily[EntryDate],DATE(2026,4,20),tblDaily[WardCode],"MAE")=0,"",SUMIFS(tblDaily[Discharges],tblDaily[EntryDate],DATE(2026,4,20),tblDaily[WardCode],"MAE")),"")</f>
        <v/>
      </c>
      <c r="D143" s="5" t="str">
        <f>IFERROR(IF(SUMIFS(tblDaily[Deaths],tblDaily[EntryDate],DATE(2026,4,20),tblDaily[WardCode],"MAE")=0,"",SUMIFS(tblDaily[Deaths],tblDaily[EntryDate],DATE(2026,4,20),tblDaily[WardCode],"MAE")),"")</f>
        <v/>
      </c>
      <c r="E143" s="5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5" t="str">
        <f>IFERROR(IF(SUMIFS(tblDaily[TransfersIn],tblDaily[EntryDate],DATE(2026,4,20),tblDaily[WardCode],"MAE")=0,"",SUMIFS(tblDaily[TransfersIn],tblDaily[EntryDate],DATE(2026,4,20),tblDaily[WardCode],"MAE")),"")</f>
        <v/>
      </c>
      <c r="G143" s="5" t="str">
        <f>IFERROR(IF(SUMIFS(tblDaily[TransfersOut],tblDaily[EntryDate],DATE(2026,4,20),tblDaily[WardCode],"MAE")=0,"",SUMIFS(tblDaily[TransfersOut],tblDaily[EntryDate],DATE(2026,4,20),tblDaily[WardCode],"MAE")),"")</f>
        <v/>
      </c>
      <c r="H143" s="5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IFERROR(IF(SUMIFS(tblDaily[Admissions],tblDaily[EntryDate],DATE(2026,4,21),tblDaily[WardCode],"MAE")=0,"",SUMIFS(tblDaily[Admissions],tblDaily[EntryDate],DATE(2026,4,21),tblDaily[WardCode],"MAE")),"")</f>
        <v/>
      </c>
      <c r="C144" s="5" t="str">
        <f>IFERROR(IF(SUMIFS(tblDaily[Discharges],tblDaily[EntryDate],DATE(2026,4,21),tblDaily[WardCode],"MAE")=0,"",SUMIFS(tblDaily[Discharges],tblDaily[EntryDate],DATE(2026,4,21),tblDaily[WardCode],"MAE")),"")</f>
        <v/>
      </c>
      <c r="D144" s="5" t="str">
        <f>IFERROR(IF(SUMIFS(tblDaily[Deaths],tblDaily[EntryDate],DATE(2026,4,21),tblDaily[WardCode],"MAE")=0,"",SUMIFS(tblDaily[Deaths],tblDaily[EntryDate],DATE(2026,4,21),tblDaily[WardCode],"MAE")),"")</f>
        <v/>
      </c>
      <c r="E144" s="5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5" t="str">
        <f>IFERROR(IF(SUMIFS(tblDaily[TransfersIn],tblDaily[EntryDate],DATE(2026,4,21),tblDaily[WardCode],"MAE")=0,"",SUMIFS(tblDaily[TransfersIn],tblDaily[EntryDate],DATE(2026,4,21),tblDaily[WardCode],"MAE")),"")</f>
        <v/>
      </c>
      <c r="G144" s="5" t="str">
        <f>IFERROR(IF(SUMIFS(tblDaily[TransfersOut],tblDaily[EntryDate],DATE(2026,4,21),tblDaily[WardCode],"MAE")=0,"",SUMIFS(tblDaily[TransfersOut],tblDaily[EntryDate],DATE(2026,4,21),tblDaily[WardCode],"MAE")),"")</f>
        <v/>
      </c>
      <c r="H144" s="5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IFERROR(IF(SUMIFS(tblDaily[Admissions],tblDaily[EntryDate],DATE(2026,4,22),tblDaily[WardCode],"MAE")=0,"",SUMIFS(tblDaily[Admissions],tblDaily[EntryDate],DATE(2026,4,22),tblDaily[WardCode],"MAE")),"")</f>
        <v/>
      </c>
      <c r="C145" s="5" t="str">
        <f>IFERROR(IF(SUMIFS(tblDaily[Discharges],tblDaily[EntryDate],DATE(2026,4,22),tblDaily[WardCode],"MAE")=0,"",SUMIFS(tblDaily[Discharges],tblDaily[EntryDate],DATE(2026,4,22),tblDaily[WardCode],"MAE")),"")</f>
        <v/>
      </c>
      <c r="D145" s="5" t="str">
        <f>IFERROR(IF(SUMIFS(tblDaily[Deaths],tblDaily[EntryDate],DATE(2026,4,22),tblDaily[WardCode],"MAE")=0,"",SUMIFS(tblDaily[Deaths],tblDaily[EntryDate],DATE(2026,4,22),tblDaily[WardCode],"MAE")),"")</f>
        <v/>
      </c>
      <c r="E145" s="5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5" t="str">
        <f>IFERROR(IF(SUMIFS(tblDaily[TransfersIn],tblDaily[EntryDate],DATE(2026,4,22),tblDaily[WardCode],"MAE")=0,"",SUMIFS(tblDaily[TransfersIn],tblDaily[EntryDate],DATE(2026,4,22),tblDaily[WardCode],"MAE")),"")</f>
        <v/>
      </c>
      <c r="G145" s="5" t="str">
        <f>IFERROR(IF(SUMIFS(tblDaily[TransfersOut],tblDaily[EntryDate],DATE(2026,4,22),tblDaily[WardCode],"MAE")=0,"",SUMIFS(tblDaily[TransfersOut],tblDaily[EntryDate],DATE(2026,4,22),tblDaily[WardCode],"MAE")),"")</f>
        <v/>
      </c>
      <c r="H145" s="5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IFERROR(IF(SUMIFS(tblDaily[Admissions],tblDaily[EntryDate],DATE(2026,4,23),tblDaily[WardCode],"MAE")=0,"",SUMIFS(tblDaily[Admissions],tblDaily[EntryDate],DATE(2026,4,23),tblDaily[WardCode],"MAE")),"")</f>
        <v/>
      </c>
      <c r="C146" s="5" t="str">
        <f>IFERROR(IF(SUMIFS(tblDaily[Discharges],tblDaily[EntryDate],DATE(2026,4,23),tblDaily[WardCode],"MAE")=0,"",SUMIFS(tblDaily[Discharges],tblDaily[EntryDate],DATE(2026,4,23),tblDaily[WardCode],"MAE")),"")</f>
        <v/>
      </c>
      <c r="D146" s="5" t="str">
        <f>IFERROR(IF(SUMIFS(tblDaily[Deaths],tblDaily[EntryDate],DATE(2026,4,23),tblDaily[WardCode],"MAE")=0,"",SUMIFS(tblDaily[Deaths],tblDaily[EntryDate],DATE(2026,4,23),tblDaily[WardCode],"MAE")),"")</f>
        <v/>
      </c>
      <c r="E146" s="5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5" t="str">
        <f>IFERROR(IF(SUMIFS(tblDaily[TransfersIn],tblDaily[EntryDate],DATE(2026,4,23),tblDaily[WardCode],"MAE")=0,"",SUMIFS(tblDaily[TransfersIn],tblDaily[EntryDate],DATE(2026,4,23),tblDaily[WardCode],"MAE")),"")</f>
        <v/>
      </c>
      <c r="G146" s="5" t="str">
        <f>IFERROR(IF(SUMIFS(tblDaily[TransfersOut],tblDaily[EntryDate],DATE(2026,4,23),tblDaily[WardCode],"MAE")=0,"",SUMIFS(tblDaily[TransfersOut],tblDaily[EntryDate],DATE(2026,4,23),tblDaily[WardCode],"MAE")),"")</f>
        <v/>
      </c>
      <c r="H146" s="5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IFERROR(IF(SUMIFS(tblDaily[Admissions],tblDaily[EntryDate],DATE(2026,4,24),tblDaily[WardCode],"MAE")=0,"",SUMIFS(tblDaily[Admissions],tblDaily[EntryDate],DATE(2026,4,24),tblDaily[WardCode],"MAE")),"")</f>
        <v/>
      </c>
      <c r="C147" s="5" t="str">
        <f>IFERROR(IF(SUMIFS(tblDaily[Discharges],tblDaily[EntryDate],DATE(2026,4,24),tblDaily[WardCode],"MAE")=0,"",SUMIFS(tblDaily[Discharges],tblDaily[EntryDate],DATE(2026,4,24),tblDaily[WardCode],"MAE")),"")</f>
        <v/>
      </c>
      <c r="D147" s="5" t="str">
        <f>IFERROR(IF(SUMIFS(tblDaily[Deaths],tblDaily[EntryDate],DATE(2026,4,24),tblDaily[WardCode],"MAE")=0,"",SUMIFS(tblDaily[Deaths],tblDaily[EntryDate],DATE(2026,4,24),tblDaily[WardCode],"MAE")),"")</f>
        <v/>
      </c>
      <c r="E147" s="5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5" t="str">
        <f>IFERROR(IF(SUMIFS(tblDaily[TransfersIn],tblDaily[EntryDate],DATE(2026,4,24),tblDaily[WardCode],"MAE")=0,"",SUMIFS(tblDaily[TransfersIn],tblDaily[EntryDate],DATE(2026,4,24),tblDaily[WardCode],"MAE")),"")</f>
        <v/>
      </c>
      <c r="G147" s="5" t="str">
        <f>IFERROR(IF(SUMIFS(tblDaily[TransfersOut],tblDaily[EntryDate],DATE(2026,4,24),tblDaily[WardCode],"MAE")=0,"",SUMIFS(tblDaily[TransfersOut],tblDaily[EntryDate],DATE(2026,4,24),tblDaily[WardCode],"MAE")),"")</f>
        <v/>
      </c>
      <c r="H147" s="5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IFERROR(IF(SUMIFS(tblDaily[Admissions],tblDaily[EntryDate],DATE(2026,4,25),tblDaily[WardCode],"MAE")=0,"",SUMIFS(tblDaily[Admissions],tblDaily[EntryDate],DATE(2026,4,25),tblDaily[WardCode],"MAE")),"")</f>
        <v/>
      </c>
      <c r="C148" s="5" t="str">
        <f>IFERROR(IF(SUMIFS(tblDaily[Discharges],tblDaily[EntryDate],DATE(2026,4,25),tblDaily[WardCode],"MAE")=0,"",SUMIFS(tblDaily[Discharges],tblDaily[EntryDate],DATE(2026,4,25),tblDaily[WardCode],"MAE")),"")</f>
        <v/>
      </c>
      <c r="D148" s="5" t="str">
        <f>IFERROR(IF(SUMIFS(tblDaily[Deaths],tblDaily[EntryDate],DATE(2026,4,25),tblDaily[WardCode],"MAE")=0,"",SUMIFS(tblDaily[Deaths],tblDaily[EntryDate],DATE(2026,4,25),tblDaily[WardCode],"MAE")),"")</f>
        <v/>
      </c>
      <c r="E148" s="5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5" t="str">
        <f>IFERROR(IF(SUMIFS(tblDaily[TransfersIn],tblDaily[EntryDate],DATE(2026,4,25),tblDaily[WardCode],"MAE")=0,"",SUMIFS(tblDaily[TransfersIn],tblDaily[EntryDate],DATE(2026,4,25),tblDaily[WardCode],"MAE")),"")</f>
        <v/>
      </c>
      <c r="G148" s="5" t="str">
        <f>IFERROR(IF(SUMIFS(tblDaily[TransfersOut],tblDaily[EntryDate],DATE(2026,4,25),tblDaily[WardCode],"MAE")=0,"",SUMIFS(tblDaily[TransfersOut],tblDaily[EntryDate],DATE(2026,4,25),tblDaily[WardCode],"MAE")),"")</f>
        <v/>
      </c>
      <c r="H148" s="5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IFERROR(IF(SUMIFS(tblDaily[Admissions],tblDaily[EntryDate],DATE(2026,4,26),tblDaily[WardCode],"MAE")=0,"",SUMIFS(tblDaily[Admissions],tblDaily[EntryDate],DATE(2026,4,26),tblDaily[WardCode],"MAE")),"")</f>
        <v/>
      </c>
      <c r="C149" s="5" t="str">
        <f>IFERROR(IF(SUMIFS(tblDaily[Discharges],tblDaily[EntryDate],DATE(2026,4,26),tblDaily[WardCode],"MAE")=0,"",SUMIFS(tblDaily[Discharges],tblDaily[EntryDate],DATE(2026,4,26),tblDaily[WardCode],"MAE")),"")</f>
        <v/>
      </c>
      <c r="D149" s="5" t="str">
        <f>IFERROR(IF(SUMIFS(tblDaily[Deaths],tblDaily[EntryDate],DATE(2026,4,26),tblDaily[WardCode],"MAE")=0,"",SUMIFS(tblDaily[Deaths],tblDaily[EntryDate],DATE(2026,4,26),tblDaily[WardCode],"MAE")),"")</f>
        <v/>
      </c>
      <c r="E149" s="5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5" t="str">
        <f>IFERROR(IF(SUMIFS(tblDaily[TransfersIn],tblDaily[EntryDate],DATE(2026,4,26),tblDaily[WardCode],"MAE")=0,"",SUMIFS(tblDaily[TransfersIn],tblDaily[EntryDate],DATE(2026,4,26),tblDaily[WardCode],"MAE")),"")</f>
        <v/>
      </c>
      <c r="G149" s="5" t="str">
        <f>IFERROR(IF(SUMIFS(tblDaily[TransfersOut],tblDaily[EntryDate],DATE(2026,4,26),tblDaily[WardCode],"MAE")=0,"",SUMIFS(tblDaily[TransfersOut],tblDaily[EntryDate],DATE(2026,4,26),tblDaily[WardCode],"MAE")),"")</f>
        <v/>
      </c>
      <c r="H149" s="5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IFERROR(IF(SUMIFS(tblDaily[Admissions],tblDaily[EntryDate],DATE(2026,4,27),tblDaily[WardCode],"MAE")=0,"",SUMIFS(tblDaily[Admissions],tblDaily[EntryDate],DATE(2026,4,27),tblDaily[WardCode],"MAE")),"")</f>
        <v/>
      </c>
      <c r="C150" s="5" t="str">
        <f>IFERROR(IF(SUMIFS(tblDaily[Discharges],tblDaily[EntryDate],DATE(2026,4,27),tblDaily[WardCode],"MAE")=0,"",SUMIFS(tblDaily[Discharges],tblDaily[EntryDate],DATE(2026,4,27),tblDaily[WardCode],"MAE")),"")</f>
        <v/>
      </c>
      <c r="D150" s="5" t="str">
        <f>IFERROR(IF(SUMIFS(tblDaily[Deaths],tblDaily[EntryDate],DATE(2026,4,27),tblDaily[WardCode],"MAE")=0,"",SUMIFS(tblDaily[Deaths],tblDaily[EntryDate],DATE(2026,4,27),tblDaily[WardCode],"MAE")),"")</f>
        <v/>
      </c>
      <c r="E150" s="5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5" t="str">
        <f>IFERROR(IF(SUMIFS(tblDaily[TransfersIn],tblDaily[EntryDate],DATE(2026,4,27),tblDaily[WardCode],"MAE")=0,"",SUMIFS(tblDaily[TransfersIn],tblDaily[EntryDate],DATE(2026,4,27),tblDaily[WardCode],"MAE")),"")</f>
        <v/>
      </c>
      <c r="G150" s="5" t="str">
        <f>IFERROR(IF(SUMIFS(tblDaily[TransfersOut],tblDaily[EntryDate],DATE(2026,4,27),tblDaily[WardCode],"MAE")=0,"",SUMIFS(tblDaily[TransfersOut],tblDaily[EntryDate],DATE(2026,4,27),tblDaily[WardCode],"MAE")),"")</f>
        <v/>
      </c>
      <c r="H150" s="5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IFERROR(IF(SUMIFS(tblDaily[Admissions],tblDaily[EntryDate],DATE(2026,4,28),tblDaily[WardCode],"MAE")=0,"",SUMIFS(tblDaily[Admissions],tblDaily[EntryDate],DATE(2026,4,28),tblDaily[WardCode],"MAE")),"")</f>
        <v/>
      </c>
      <c r="C151" s="5" t="str">
        <f>IFERROR(IF(SUMIFS(tblDaily[Discharges],tblDaily[EntryDate],DATE(2026,4,28),tblDaily[WardCode],"MAE")=0,"",SUMIFS(tblDaily[Discharges],tblDaily[EntryDate],DATE(2026,4,28),tblDaily[WardCode],"MAE")),"")</f>
        <v/>
      </c>
      <c r="D151" s="5" t="str">
        <f>IFERROR(IF(SUMIFS(tblDaily[Deaths],tblDaily[EntryDate],DATE(2026,4,28),tblDaily[WardCode],"MAE")=0,"",SUMIFS(tblDaily[Deaths],tblDaily[EntryDate],DATE(2026,4,28),tblDaily[WardCode],"MAE")),"")</f>
        <v/>
      </c>
      <c r="E151" s="5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5" t="str">
        <f>IFERROR(IF(SUMIFS(tblDaily[TransfersIn],tblDaily[EntryDate],DATE(2026,4,28),tblDaily[WardCode],"MAE")=0,"",SUMIFS(tblDaily[TransfersIn],tblDaily[EntryDate],DATE(2026,4,28),tblDaily[WardCode],"MAE")),"")</f>
        <v/>
      </c>
      <c r="G151" s="5" t="str">
        <f>IFERROR(IF(SUMIFS(tblDaily[TransfersOut],tblDaily[EntryDate],DATE(2026,4,28),tblDaily[WardCode],"MAE")=0,"",SUMIFS(tblDaily[TransfersOut],tblDaily[EntryDate],DATE(2026,4,28),tblDaily[WardCode],"MAE")),"")</f>
        <v/>
      </c>
      <c r="H151" s="5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IFERROR(IF(SUMIFS(tblDaily[Admissions],tblDaily[EntryDate],DATE(2026,4,29),tblDaily[WardCode],"MAE")=0,"",SUMIFS(tblDaily[Admissions],tblDaily[EntryDate],DATE(2026,4,29),tblDaily[WardCode],"MAE")),"")</f>
        <v/>
      </c>
      <c r="C152" s="5" t="str">
        <f>IFERROR(IF(SUMIFS(tblDaily[Discharges],tblDaily[EntryDate],DATE(2026,4,29),tblDaily[WardCode],"MAE")=0,"",SUMIFS(tblDaily[Discharges],tblDaily[EntryDate],DATE(2026,4,29),tblDaily[WardCode],"MAE")),"")</f>
        <v/>
      </c>
      <c r="D152" s="5" t="str">
        <f>IFERROR(IF(SUMIFS(tblDaily[Deaths],tblDaily[EntryDate],DATE(2026,4,29),tblDaily[WardCode],"MAE")=0,"",SUMIFS(tblDaily[Deaths],tblDaily[EntryDate],DATE(2026,4,29),tblDaily[WardCode],"MAE")),"")</f>
        <v/>
      </c>
      <c r="E152" s="5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5" t="str">
        <f>IFERROR(IF(SUMIFS(tblDaily[TransfersIn],tblDaily[EntryDate],DATE(2026,4,29),tblDaily[WardCode],"MAE")=0,"",SUMIFS(tblDaily[TransfersIn],tblDaily[EntryDate],DATE(2026,4,29),tblDaily[WardCode],"MAE")),"")</f>
        <v/>
      </c>
      <c r="G152" s="5" t="str">
        <f>IFERROR(IF(SUMIFS(tblDaily[TransfersOut],tblDaily[EntryDate],DATE(2026,4,29),tblDaily[WardCode],"MAE")=0,"",SUMIFS(tblDaily[TransfersOut],tblDaily[EntryDate],DATE(2026,4,29),tblDaily[WardCode],"MAE")),"")</f>
        <v/>
      </c>
      <c r="H152" s="5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IFERROR(IF(SUMIFS(tblDaily[Admissions],tblDaily[EntryDate],DATE(2026,4,30),tblDaily[WardCode],"MAE")=0,"",SUMIFS(tblDaily[Admissions],tblDaily[EntryDate],DATE(2026,4,30),tblDaily[WardCode],"MAE")),"")</f>
        <v/>
      </c>
      <c r="C153" s="5" t="str">
        <f>IFERROR(IF(SUMIFS(tblDaily[Discharges],tblDaily[EntryDate],DATE(2026,4,30),tblDaily[WardCode],"MAE")=0,"",SUMIFS(tblDaily[Discharges],tblDaily[EntryDate],DATE(2026,4,30),tblDaily[WardCode],"MAE")),"")</f>
        <v/>
      </c>
      <c r="D153" s="5" t="str">
        <f>IFERROR(IF(SUMIFS(tblDaily[Deaths],tblDaily[EntryDate],DATE(2026,4,30),tblDaily[WardCode],"MAE")=0,"",SUMIFS(tblDaily[Deaths],tblDaily[EntryDate],DATE(2026,4,30),tblDaily[WardCode],"MAE")),"")</f>
        <v/>
      </c>
      <c r="E153" s="5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5" t="str">
        <f>IFERROR(IF(SUMIFS(tblDaily[TransfersIn],tblDaily[EntryDate],DATE(2026,4,30),tblDaily[WardCode],"MAE")=0,"",SUMIFS(tblDaily[TransfersIn],tblDaily[EntryDate],DATE(2026,4,30),tblDaily[WardCode],"MAE")),"")</f>
        <v/>
      </c>
      <c r="G153" s="5" t="str">
        <f>IFERROR(IF(SUMIFS(tblDaily[TransfersOut],tblDaily[EntryDate],DATE(2026,4,30),tblDaily[WardCode],"MAE")=0,"",SUMIFS(tblDaily[TransfersOut],tblDaily[EntryDate],DATE(2026,4,30),tblDaily[WardCode],"MAE")),"")</f>
        <v/>
      </c>
      <c r="H153" s="5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102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89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IFERROR(IF(SUMIFS(tblDaily[Admissions],tblDaily[EntryDate],DATE(2026,5,1),tblDaily[WardCode],"MAE")=0,"",SUMIFS(tblDaily[Admissions],tblDaily[EntryDate],DATE(2026,5,1),tblDaily[WardCode],"MAE")),"")</f>
        <v/>
      </c>
      <c r="C163" s="5" t="str">
        <f>IFERROR(IF(SUMIFS(tblDaily[Discharges],tblDaily[EntryDate],DATE(2026,5,1),tblDaily[WardCode],"MAE")=0,"",SUMIFS(tblDaily[Discharges],tblDaily[EntryDate],DATE(2026,5,1),tblDaily[WardCode],"MAE")),"")</f>
        <v/>
      </c>
      <c r="D163" s="5" t="str">
        <f>IFERROR(IF(SUMIFS(tblDaily[Deaths],tblDaily[EntryDate],DATE(2026,5,1),tblDaily[WardCode],"MAE")=0,"",SUMIFS(tblDaily[Deaths],tblDaily[EntryDate],DATE(2026,5,1),tblDaily[WardCode],"MAE")),"")</f>
        <v/>
      </c>
      <c r="E163" s="5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5" t="str">
        <f>IFERROR(IF(SUMIFS(tblDaily[TransfersIn],tblDaily[EntryDate],DATE(2026,5,1),tblDaily[WardCode],"MAE")=0,"",SUMIFS(tblDaily[TransfersIn],tblDaily[EntryDate],DATE(2026,5,1),tblDaily[WardCode],"MAE")),"")</f>
        <v/>
      </c>
      <c r="G163" s="5" t="str">
        <f>IFERROR(IF(SUMIFS(tblDaily[TransfersOut],tblDaily[EntryDate],DATE(2026,5,1),tblDaily[WardCode],"MAE")=0,"",SUMIFS(tblDaily[TransfersOut],tblDaily[EntryDate],DATE(2026,5,1),tblDaily[WardCode],"MAE")),"")</f>
        <v/>
      </c>
      <c r="H163" s="5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IFERROR(IF(SUMIFS(tblDaily[Admissions],tblDaily[EntryDate],DATE(2026,5,2),tblDaily[WardCode],"MAE")=0,"",SUMIFS(tblDaily[Admissions],tblDaily[EntryDate],DATE(2026,5,2),tblDaily[WardCode],"MAE")),"")</f>
        <v/>
      </c>
      <c r="C164" s="5" t="str">
        <f>IFERROR(IF(SUMIFS(tblDaily[Discharges],tblDaily[EntryDate],DATE(2026,5,2),tblDaily[WardCode],"MAE")=0,"",SUMIFS(tblDaily[Discharges],tblDaily[EntryDate],DATE(2026,5,2),tblDaily[WardCode],"MAE")),"")</f>
        <v/>
      </c>
      <c r="D164" s="5" t="str">
        <f>IFERROR(IF(SUMIFS(tblDaily[Deaths],tblDaily[EntryDate],DATE(2026,5,2),tblDaily[WardCode],"MAE")=0,"",SUMIFS(tblDaily[Deaths],tblDaily[EntryDate],DATE(2026,5,2),tblDaily[WardCode],"MAE")),"")</f>
        <v/>
      </c>
      <c r="E164" s="5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5" t="str">
        <f>IFERROR(IF(SUMIFS(tblDaily[TransfersIn],tblDaily[EntryDate],DATE(2026,5,2),tblDaily[WardCode],"MAE")=0,"",SUMIFS(tblDaily[TransfersIn],tblDaily[EntryDate],DATE(2026,5,2),tblDaily[WardCode],"MAE")),"")</f>
        <v/>
      </c>
      <c r="G164" s="5" t="str">
        <f>IFERROR(IF(SUMIFS(tblDaily[TransfersOut],tblDaily[EntryDate],DATE(2026,5,2),tblDaily[WardCode],"MAE")=0,"",SUMIFS(tblDaily[TransfersOut],tblDaily[EntryDate],DATE(2026,5,2),tblDaily[WardCode],"MAE")),"")</f>
        <v/>
      </c>
      <c r="H164" s="5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IFERROR(IF(SUMIFS(tblDaily[Admissions],tblDaily[EntryDate],DATE(2026,5,3),tblDaily[WardCode],"MAE")=0,"",SUMIFS(tblDaily[Admissions],tblDaily[EntryDate],DATE(2026,5,3),tblDaily[WardCode],"MAE")),"")</f>
        <v/>
      </c>
      <c r="C165" s="5" t="str">
        <f>IFERROR(IF(SUMIFS(tblDaily[Discharges],tblDaily[EntryDate],DATE(2026,5,3),tblDaily[WardCode],"MAE")=0,"",SUMIFS(tblDaily[Discharges],tblDaily[EntryDate],DATE(2026,5,3),tblDaily[WardCode],"MAE")),"")</f>
        <v/>
      </c>
      <c r="D165" s="5" t="str">
        <f>IFERROR(IF(SUMIFS(tblDaily[Deaths],tblDaily[EntryDate],DATE(2026,5,3),tblDaily[WardCode],"MAE")=0,"",SUMIFS(tblDaily[Deaths],tblDaily[EntryDate],DATE(2026,5,3),tblDaily[WardCode],"MAE")),"")</f>
        <v/>
      </c>
      <c r="E165" s="5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5" t="str">
        <f>IFERROR(IF(SUMIFS(tblDaily[TransfersIn],tblDaily[EntryDate],DATE(2026,5,3),tblDaily[WardCode],"MAE")=0,"",SUMIFS(tblDaily[TransfersIn],tblDaily[EntryDate],DATE(2026,5,3),tblDaily[WardCode],"MAE")),"")</f>
        <v/>
      </c>
      <c r="G165" s="5" t="str">
        <f>IFERROR(IF(SUMIFS(tblDaily[TransfersOut],tblDaily[EntryDate],DATE(2026,5,3),tblDaily[WardCode],"MAE")=0,"",SUMIFS(tblDaily[TransfersOut],tblDaily[EntryDate],DATE(2026,5,3),tblDaily[WardCode],"MAE")),"")</f>
        <v/>
      </c>
      <c r="H165" s="5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IFERROR(IF(SUMIFS(tblDaily[Admissions],tblDaily[EntryDate],DATE(2026,5,4),tblDaily[WardCode],"MAE")=0,"",SUMIFS(tblDaily[Admissions],tblDaily[EntryDate],DATE(2026,5,4),tblDaily[WardCode],"MAE")),"")</f>
        <v/>
      </c>
      <c r="C166" s="5" t="str">
        <f>IFERROR(IF(SUMIFS(tblDaily[Discharges],tblDaily[EntryDate],DATE(2026,5,4),tblDaily[WardCode],"MAE")=0,"",SUMIFS(tblDaily[Discharges],tblDaily[EntryDate],DATE(2026,5,4),tblDaily[WardCode],"MAE")),"")</f>
        <v/>
      </c>
      <c r="D166" s="5" t="str">
        <f>IFERROR(IF(SUMIFS(tblDaily[Deaths],tblDaily[EntryDate],DATE(2026,5,4),tblDaily[WardCode],"MAE")=0,"",SUMIFS(tblDaily[Deaths],tblDaily[EntryDate],DATE(2026,5,4),tblDaily[WardCode],"MAE")),"")</f>
        <v/>
      </c>
      <c r="E166" s="5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5" t="str">
        <f>IFERROR(IF(SUMIFS(tblDaily[TransfersIn],tblDaily[EntryDate],DATE(2026,5,4),tblDaily[WardCode],"MAE")=0,"",SUMIFS(tblDaily[TransfersIn],tblDaily[EntryDate],DATE(2026,5,4),tblDaily[WardCode],"MAE")),"")</f>
        <v/>
      </c>
      <c r="G166" s="5" t="str">
        <f>IFERROR(IF(SUMIFS(tblDaily[TransfersOut],tblDaily[EntryDate],DATE(2026,5,4),tblDaily[WardCode],"MAE")=0,"",SUMIFS(tblDaily[TransfersOut],tblDaily[EntryDate],DATE(2026,5,4),tblDaily[WardCode],"MAE")),"")</f>
        <v/>
      </c>
      <c r="H166" s="5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IFERROR(IF(SUMIFS(tblDaily[Admissions],tblDaily[EntryDate],DATE(2026,5,5),tblDaily[WardCode],"MAE")=0,"",SUMIFS(tblDaily[Admissions],tblDaily[EntryDate],DATE(2026,5,5),tblDaily[WardCode],"MAE")),"")</f>
        <v/>
      </c>
      <c r="C167" s="5" t="str">
        <f>IFERROR(IF(SUMIFS(tblDaily[Discharges],tblDaily[EntryDate],DATE(2026,5,5),tblDaily[WardCode],"MAE")=0,"",SUMIFS(tblDaily[Discharges],tblDaily[EntryDate],DATE(2026,5,5),tblDaily[WardCode],"MAE")),"")</f>
        <v/>
      </c>
      <c r="D167" s="5" t="str">
        <f>IFERROR(IF(SUMIFS(tblDaily[Deaths],tblDaily[EntryDate],DATE(2026,5,5),tblDaily[WardCode],"MAE")=0,"",SUMIFS(tblDaily[Deaths],tblDaily[EntryDate],DATE(2026,5,5),tblDaily[WardCode],"MAE")),"")</f>
        <v/>
      </c>
      <c r="E167" s="5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5" t="str">
        <f>IFERROR(IF(SUMIFS(tblDaily[TransfersIn],tblDaily[EntryDate],DATE(2026,5,5),tblDaily[WardCode],"MAE")=0,"",SUMIFS(tblDaily[TransfersIn],tblDaily[EntryDate],DATE(2026,5,5),tblDaily[WardCode],"MAE")),"")</f>
        <v/>
      </c>
      <c r="G167" s="5" t="str">
        <f>IFERROR(IF(SUMIFS(tblDaily[TransfersOut],tblDaily[EntryDate],DATE(2026,5,5),tblDaily[WardCode],"MAE")=0,"",SUMIFS(tblDaily[TransfersOut],tblDaily[EntryDate],DATE(2026,5,5),tblDaily[WardCode],"MAE")),"")</f>
        <v/>
      </c>
      <c r="H167" s="5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IFERROR(IF(SUMIFS(tblDaily[Admissions],tblDaily[EntryDate],DATE(2026,5,6),tblDaily[WardCode],"MAE")=0,"",SUMIFS(tblDaily[Admissions],tblDaily[EntryDate],DATE(2026,5,6),tblDaily[WardCode],"MAE")),"")</f>
        <v/>
      </c>
      <c r="C168" s="5" t="str">
        <f>IFERROR(IF(SUMIFS(tblDaily[Discharges],tblDaily[EntryDate],DATE(2026,5,6),tblDaily[WardCode],"MAE")=0,"",SUMIFS(tblDaily[Discharges],tblDaily[EntryDate],DATE(2026,5,6),tblDaily[WardCode],"MAE")),"")</f>
        <v/>
      </c>
      <c r="D168" s="5" t="str">
        <f>IFERROR(IF(SUMIFS(tblDaily[Deaths],tblDaily[EntryDate],DATE(2026,5,6),tblDaily[WardCode],"MAE")=0,"",SUMIFS(tblDaily[Deaths],tblDaily[EntryDate],DATE(2026,5,6),tblDaily[WardCode],"MAE")),"")</f>
        <v/>
      </c>
      <c r="E168" s="5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5" t="str">
        <f>IFERROR(IF(SUMIFS(tblDaily[TransfersIn],tblDaily[EntryDate],DATE(2026,5,6),tblDaily[WardCode],"MAE")=0,"",SUMIFS(tblDaily[TransfersIn],tblDaily[EntryDate],DATE(2026,5,6),tblDaily[WardCode],"MAE")),"")</f>
        <v/>
      </c>
      <c r="G168" s="5" t="str">
        <f>IFERROR(IF(SUMIFS(tblDaily[TransfersOut],tblDaily[EntryDate],DATE(2026,5,6),tblDaily[WardCode],"MAE")=0,"",SUMIFS(tblDaily[TransfersOut],tblDaily[EntryDate],DATE(2026,5,6),tblDaily[WardCode],"MAE")),"")</f>
        <v/>
      </c>
      <c r="H168" s="5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IFERROR(IF(SUMIFS(tblDaily[Admissions],tblDaily[EntryDate],DATE(2026,5,7),tblDaily[WardCode],"MAE")=0,"",SUMIFS(tblDaily[Admissions],tblDaily[EntryDate],DATE(2026,5,7),tblDaily[WardCode],"MAE")),"")</f>
        <v/>
      </c>
      <c r="C169" s="5" t="str">
        <f>IFERROR(IF(SUMIFS(tblDaily[Discharges],tblDaily[EntryDate],DATE(2026,5,7),tblDaily[WardCode],"MAE")=0,"",SUMIFS(tblDaily[Discharges],tblDaily[EntryDate],DATE(2026,5,7),tblDaily[WardCode],"MAE")),"")</f>
        <v/>
      </c>
      <c r="D169" s="5" t="str">
        <f>IFERROR(IF(SUMIFS(tblDaily[Deaths],tblDaily[EntryDate],DATE(2026,5,7),tblDaily[WardCode],"MAE")=0,"",SUMIFS(tblDaily[Deaths],tblDaily[EntryDate],DATE(2026,5,7),tblDaily[WardCode],"MAE")),"")</f>
        <v/>
      </c>
      <c r="E169" s="5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5" t="str">
        <f>IFERROR(IF(SUMIFS(tblDaily[TransfersIn],tblDaily[EntryDate],DATE(2026,5,7),tblDaily[WardCode],"MAE")=0,"",SUMIFS(tblDaily[TransfersIn],tblDaily[EntryDate],DATE(2026,5,7),tblDaily[WardCode],"MAE")),"")</f>
        <v/>
      </c>
      <c r="G169" s="5" t="str">
        <f>IFERROR(IF(SUMIFS(tblDaily[TransfersOut],tblDaily[EntryDate],DATE(2026,5,7),tblDaily[WardCode],"MAE")=0,"",SUMIFS(tblDaily[TransfersOut],tblDaily[EntryDate],DATE(2026,5,7),tblDaily[WardCode],"MAE")),"")</f>
        <v/>
      </c>
      <c r="H169" s="5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IFERROR(IF(SUMIFS(tblDaily[Admissions],tblDaily[EntryDate],DATE(2026,5,8),tblDaily[WardCode],"MAE")=0,"",SUMIFS(tblDaily[Admissions],tblDaily[EntryDate],DATE(2026,5,8),tblDaily[WardCode],"MAE")),"")</f>
        <v/>
      </c>
      <c r="C170" s="5" t="str">
        <f>IFERROR(IF(SUMIFS(tblDaily[Discharges],tblDaily[EntryDate],DATE(2026,5,8),tblDaily[WardCode],"MAE")=0,"",SUMIFS(tblDaily[Discharges],tblDaily[EntryDate],DATE(2026,5,8),tblDaily[WardCode],"MAE")),"")</f>
        <v/>
      </c>
      <c r="D170" s="5" t="str">
        <f>IFERROR(IF(SUMIFS(tblDaily[Deaths],tblDaily[EntryDate],DATE(2026,5,8),tblDaily[WardCode],"MAE")=0,"",SUMIFS(tblDaily[Deaths],tblDaily[EntryDate],DATE(2026,5,8),tblDaily[WardCode],"MAE")),"")</f>
        <v/>
      </c>
      <c r="E170" s="5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5" t="str">
        <f>IFERROR(IF(SUMIFS(tblDaily[TransfersIn],tblDaily[EntryDate],DATE(2026,5,8),tblDaily[WardCode],"MAE")=0,"",SUMIFS(tblDaily[TransfersIn],tblDaily[EntryDate],DATE(2026,5,8),tblDaily[WardCode],"MAE")),"")</f>
        <v/>
      </c>
      <c r="G170" s="5" t="str">
        <f>IFERROR(IF(SUMIFS(tblDaily[TransfersOut],tblDaily[EntryDate],DATE(2026,5,8),tblDaily[WardCode],"MAE")=0,"",SUMIFS(tblDaily[TransfersOut],tblDaily[EntryDate],DATE(2026,5,8),tblDaily[WardCode],"MAE")),"")</f>
        <v/>
      </c>
      <c r="H170" s="5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IFERROR(IF(SUMIFS(tblDaily[Admissions],tblDaily[EntryDate],DATE(2026,5,9),tblDaily[WardCode],"MAE")=0,"",SUMIFS(tblDaily[Admissions],tblDaily[EntryDate],DATE(2026,5,9),tblDaily[WardCode],"MAE")),"")</f>
        <v/>
      </c>
      <c r="C171" s="5" t="str">
        <f>IFERROR(IF(SUMIFS(tblDaily[Discharges],tblDaily[EntryDate],DATE(2026,5,9),tblDaily[WardCode],"MAE")=0,"",SUMIFS(tblDaily[Discharges],tblDaily[EntryDate],DATE(2026,5,9),tblDaily[WardCode],"MAE")),"")</f>
        <v/>
      </c>
      <c r="D171" s="5" t="str">
        <f>IFERROR(IF(SUMIFS(tblDaily[Deaths],tblDaily[EntryDate],DATE(2026,5,9),tblDaily[WardCode],"MAE")=0,"",SUMIFS(tblDaily[Deaths],tblDaily[EntryDate],DATE(2026,5,9),tblDaily[WardCode],"MAE")),"")</f>
        <v/>
      </c>
      <c r="E171" s="5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5" t="str">
        <f>IFERROR(IF(SUMIFS(tblDaily[TransfersIn],tblDaily[EntryDate],DATE(2026,5,9),tblDaily[WardCode],"MAE")=0,"",SUMIFS(tblDaily[TransfersIn],tblDaily[EntryDate],DATE(2026,5,9),tblDaily[WardCode],"MAE")),"")</f>
        <v/>
      </c>
      <c r="G171" s="5" t="str">
        <f>IFERROR(IF(SUMIFS(tblDaily[TransfersOut],tblDaily[EntryDate],DATE(2026,5,9),tblDaily[WardCode],"MAE")=0,"",SUMIFS(tblDaily[TransfersOut],tblDaily[EntryDate],DATE(2026,5,9),tblDaily[WardCode],"MAE")),"")</f>
        <v/>
      </c>
      <c r="H171" s="5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IFERROR(IF(SUMIFS(tblDaily[Admissions],tblDaily[EntryDate],DATE(2026,5,10),tblDaily[WardCode],"MAE")=0,"",SUMIFS(tblDaily[Admissions],tblDaily[EntryDate],DATE(2026,5,10),tblDaily[WardCode],"MAE")),"")</f>
        <v/>
      </c>
      <c r="C172" s="5" t="str">
        <f>IFERROR(IF(SUMIFS(tblDaily[Discharges],tblDaily[EntryDate],DATE(2026,5,10),tblDaily[WardCode],"MAE")=0,"",SUMIFS(tblDaily[Discharges],tblDaily[EntryDate],DATE(2026,5,10),tblDaily[WardCode],"MAE")),"")</f>
        <v/>
      </c>
      <c r="D172" s="5" t="str">
        <f>IFERROR(IF(SUMIFS(tblDaily[Deaths],tblDaily[EntryDate],DATE(2026,5,10),tblDaily[WardCode],"MAE")=0,"",SUMIFS(tblDaily[Deaths],tblDaily[EntryDate],DATE(2026,5,10),tblDaily[WardCode],"MAE")),"")</f>
        <v/>
      </c>
      <c r="E172" s="5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5" t="str">
        <f>IFERROR(IF(SUMIFS(tblDaily[TransfersIn],tblDaily[EntryDate],DATE(2026,5,10),tblDaily[WardCode],"MAE")=0,"",SUMIFS(tblDaily[TransfersIn],tblDaily[EntryDate],DATE(2026,5,10),tblDaily[WardCode],"MAE")),"")</f>
        <v/>
      </c>
      <c r="G172" s="5" t="str">
        <f>IFERROR(IF(SUMIFS(tblDaily[TransfersOut],tblDaily[EntryDate],DATE(2026,5,10),tblDaily[WardCode],"MAE")=0,"",SUMIFS(tblDaily[TransfersOut],tblDaily[EntryDate],DATE(2026,5,10),tblDaily[WardCode],"MAE")),"")</f>
        <v/>
      </c>
      <c r="H172" s="5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IFERROR(IF(SUMIFS(tblDaily[Admissions],tblDaily[EntryDate],DATE(2026,5,11),tblDaily[WardCode],"MAE")=0,"",SUMIFS(tblDaily[Admissions],tblDaily[EntryDate],DATE(2026,5,11),tblDaily[WardCode],"MAE")),"")</f>
        <v/>
      </c>
      <c r="C173" s="5" t="str">
        <f>IFERROR(IF(SUMIFS(tblDaily[Discharges],tblDaily[EntryDate],DATE(2026,5,11),tblDaily[WardCode],"MAE")=0,"",SUMIFS(tblDaily[Discharges],tblDaily[EntryDate],DATE(2026,5,11),tblDaily[WardCode],"MAE")),"")</f>
        <v/>
      </c>
      <c r="D173" s="5" t="str">
        <f>IFERROR(IF(SUMIFS(tblDaily[Deaths],tblDaily[EntryDate],DATE(2026,5,11),tblDaily[WardCode],"MAE")=0,"",SUMIFS(tblDaily[Deaths],tblDaily[EntryDate],DATE(2026,5,11),tblDaily[WardCode],"MAE")),"")</f>
        <v/>
      </c>
      <c r="E173" s="5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5" t="str">
        <f>IFERROR(IF(SUMIFS(tblDaily[TransfersIn],tblDaily[EntryDate],DATE(2026,5,11),tblDaily[WardCode],"MAE")=0,"",SUMIFS(tblDaily[TransfersIn],tblDaily[EntryDate],DATE(2026,5,11),tblDaily[WardCode],"MAE")),"")</f>
        <v/>
      </c>
      <c r="G173" s="5" t="str">
        <f>IFERROR(IF(SUMIFS(tblDaily[TransfersOut],tblDaily[EntryDate],DATE(2026,5,11),tblDaily[WardCode],"MAE")=0,"",SUMIFS(tblDaily[TransfersOut],tblDaily[EntryDate],DATE(2026,5,11),tblDaily[WardCode],"MAE")),"")</f>
        <v/>
      </c>
      <c r="H173" s="5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IFERROR(IF(SUMIFS(tblDaily[Admissions],tblDaily[EntryDate],DATE(2026,5,12),tblDaily[WardCode],"MAE")=0,"",SUMIFS(tblDaily[Admissions],tblDaily[EntryDate],DATE(2026,5,12),tblDaily[WardCode],"MAE")),"")</f>
        <v/>
      </c>
      <c r="C174" s="5" t="str">
        <f>IFERROR(IF(SUMIFS(tblDaily[Discharges],tblDaily[EntryDate],DATE(2026,5,12),tblDaily[WardCode],"MAE")=0,"",SUMIFS(tblDaily[Discharges],tblDaily[EntryDate],DATE(2026,5,12),tblDaily[WardCode],"MAE")),"")</f>
        <v/>
      </c>
      <c r="D174" s="5" t="str">
        <f>IFERROR(IF(SUMIFS(tblDaily[Deaths],tblDaily[EntryDate],DATE(2026,5,12),tblDaily[WardCode],"MAE")=0,"",SUMIFS(tblDaily[Deaths],tblDaily[EntryDate],DATE(2026,5,12),tblDaily[WardCode],"MAE")),"")</f>
        <v/>
      </c>
      <c r="E174" s="5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5" t="str">
        <f>IFERROR(IF(SUMIFS(tblDaily[TransfersIn],tblDaily[EntryDate],DATE(2026,5,12),tblDaily[WardCode],"MAE")=0,"",SUMIFS(tblDaily[TransfersIn],tblDaily[EntryDate],DATE(2026,5,12),tblDaily[WardCode],"MAE")),"")</f>
        <v/>
      </c>
      <c r="G174" s="5" t="str">
        <f>IFERROR(IF(SUMIFS(tblDaily[TransfersOut],tblDaily[EntryDate],DATE(2026,5,12),tblDaily[WardCode],"MAE")=0,"",SUMIFS(tblDaily[TransfersOut],tblDaily[EntryDate],DATE(2026,5,12),tblDaily[WardCode],"MAE")),"")</f>
        <v/>
      </c>
      <c r="H174" s="5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IFERROR(IF(SUMIFS(tblDaily[Admissions],tblDaily[EntryDate],DATE(2026,5,13),tblDaily[WardCode],"MAE")=0,"",SUMIFS(tblDaily[Admissions],tblDaily[EntryDate],DATE(2026,5,13),tblDaily[WardCode],"MAE")),"")</f>
        <v/>
      </c>
      <c r="C175" s="5" t="str">
        <f>IFERROR(IF(SUMIFS(tblDaily[Discharges],tblDaily[EntryDate],DATE(2026,5,13),tblDaily[WardCode],"MAE")=0,"",SUMIFS(tblDaily[Discharges],tblDaily[EntryDate],DATE(2026,5,13),tblDaily[WardCode],"MAE")),"")</f>
        <v/>
      </c>
      <c r="D175" s="5" t="str">
        <f>IFERROR(IF(SUMIFS(tblDaily[Deaths],tblDaily[EntryDate],DATE(2026,5,13),tblDaily[WardCode],"MAE")=0,"",SUMIFS(tblDaily[Deaths],tblDaily[EntryDate],DATE(2026,5,13),tblDaily[WardCode],"MAE")),"")</f>
        <v/>
      </c>
      <c r="E175" s="5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5" t="str">
        <f>IFERROR(IF(SUMIFS(tblDaily[TransfersIn],tblDaily[EntryDate],DATE(2026,5,13),tblDaily[WardCode],"MAE")=0,"",SUMIFS(tblDaily[TransfersIn],tblDaily[EntryDate],DATE(2026,5,13),tblDaily[WardCode],"MAE")),"")</f>
        <v/>
      </c>
      <c r="G175" s="5" t="str">
        <f>IFERROR(IF(SUMIFS(tblDaily[TransfersOut],tblDaily[EntryDate],DATE(2026,5,13),tblDaily[WardCode],"MAE")=0,"",SUMIFS(tblDaily[TransfersOut],tblDaily[EntryDate],DATE(2026,5,13),tblDaily[WardCode],"MAE")),"")</f>
        <v/>
      </c>
      <c r="H175" s="5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IFERROR(IF(SUMIFS(tblDaily[Admissions],tblDaily[EntryDate],DATE(2026,5,14),tblDaily[WardCode],"MAE")=0,"",SUMIFS(tblDaily[Admissions],tblDaily[EntryDate],DATE(2026,5,14),tblDaily[WardCode],"MAE")),"")</f>
        <v/>
      </c>
      <c r="C176" s="5" t="str">
        <f>IFERROR(IF(SUMIFS(tblDaily[Discharges],tblDaily[EntryDate],DATE(2026,5,14),tblDaily[WardCode],"MAE")=0,"",SUMIFS(tblDaily[Discharges],tblDaily[EntryDate],DATE(2026,5,14),tblDaily[WardCode],"MAE")),"")</f>
        <v/>
      </c>
      <c r="D176" s="5" t="str">
        <f>IFERROR(IF(SUMIFS(tblDaily[Deaths],tblDaily[EntryDate],DATE(2026,5,14),tblDaily[WardCode],"MAE")=0,"",SUMIFS(tblDaily[Deaths],tblDaily[EntryDate],DATE(2026,5,14),tblDaily[WardCode],"MAE")),"")</f>
        <v/>
      </c>
      <c r="E176" s="5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5" t="str">
        <f>IFERROR(IF(SUMIFS(tblDaily[TransfersIn],tblDaily[EntryDate],DATE(2026,5,14),tblDaily[WardCode],"MAE")=0,"",SUMIFS(tblDaily[TransfersIn],tblDaily[EntryDate],DATE(2026,5,14),tblDaily[WardCode],"MAE")),"")</f>
        <v/>
      </c>
      <c r="G176" s="5" t="str">
        <f>IFERROR(IF(SUMIFS(tblDaily[TransfersOut],tblDaily[EntryDate],DATE(2026,5,14),tblDaily[WardCode],"MAE")=0,"",SUMIFS(tblDaily[TransfersOut],tblDaily[EntryDate],DATE(2026,5,14),tblDaily[WardCode],"MAE")),"")</f>
        <v/>
      </c>
      <c r="H176" s="5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IFERROR(IF(SUMIFS(tblDaily[Admissions],tblDaily[EntryDate],DATE(2026,5,15),tblDaily[WardCode],"MAE")=0,"",SUMIFS(tblDaily[Admissions],tblDaily[EntryDate],DATE(2026,5,15),tblDaily[WardCode],"MAE")),"")</f>
        <v/>
      </c>
      <c r="C177" s="5" t="str">
        <f>IFERROR(IF(SUMIFS(tblDaily[Discharges],tblDaily[EntryDate],DATE(2026,5,15),tblDaily[WardCode],"MAE")=0,"",SUMIFS(tblDaily[Discharges],tblDaily[EntryDate],DATE(2026,5,15),tblDaily[WardCode],"MAE")),"")</f>
        <v/>
      </c>
      <c r="D177" s="5" t="str">
        <f>IFERROR(IF(SUMIFS(tblDaily[Deaths],tblDaily[EntryDate],DATE(2026,5,15),tblDaily[WardCode],"MAE")=0,"",SUMIFS(tblDaily[Deaths],tblDaily[EntryDate],DATE(2026,5,15),tblDaily[WardCode],"MAE")),"")</f>
        <v/>
      </c>
      <c r="E177" s="5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5" t="str">
        <f>IFERROR(IF(SUMIFS(tblDaily[TransfersIn],tblDaily[EntryDate],DATE(2026,5,15),tblDaily[WardCode],"MAE")=0,"",SUMIFS(tblDaily[TransfersIn],tblDaily[EntryDate],DATE(2026,5,15),tblDaily[WardCode],"MAE")),"")</f>
        <v/>
      </c>
      <c r="G177" s="5" t="str">
        <f>IFERROR(IF(SUMIFS(tblDaily[TransfersOut],tblDaily[EntryDate],DATE(2026,5,15),tblDaily[WardCode],"MAE")=0,"",SUMIFS(tblDaily[TransfersOut],tblDaily[EntryDate],DATE(2026,5,15),tblDaily[WardCode],"MAE")),"")</f>
        <v/>
      </c>
      <c r="H177" s="5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IFERROR(IF(SUMIFS(tblDaily[Admissions],tblDaily[EntryDate],DATE(2026,5,16),tblDaily[WardCode],"MAE")=0,"",SUMIFS(tblDaily[Admissions],tblDaily[EntryDate],DATE(2026,5,16),tblDaily[WardCode],"MAE")),"")</f>
        <v/>
      </c>
      <c r="C178" s="5" t="str">
        <f>IFERROR(IF(SUMIFS(tblDaily[Discharges],tblDaily[EntryDate],DATE(2026,5,16),tblDaily[WardCode],"MAE")=0,"",SUMIFS(tblDaily[Discharges],tblDaily[EntryDate],DATE(2026,5,16),tblDaily[WardCode],"MAE")),"")</f>
        <v/>
      </c>
      <c r="D178" s="5" t="str">
        <f>IFERROR(IF(SUMIFS(tblDaily[Deaths],tblDaily[EntryDate],DATE(2026,5,16),tblDaily[WardCode],"MAE")=0,"",SUMIFS(tblDaily[Deaths],tblDaily[EntryDate],DATE(2026,5,16),tblDaily[WardCode],"MAE")),"")</f>
        <v/>
      </c>
      <c r="E178" s="5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5" t="str">
        <f>IFERROR(IF(SUMIFS(tblDaily[TransfersIn],tblDaily[EntryDate],DATE(2026,5,16),tblDaily[WardCode],"MAE")=0,"",SUMIFS(tblDaily[TransfersIn],tblDaily[EntryDate],DATE(2026,5,16),tblDaily[WardCode],"MAE")),"")</f>
        <v/>
      </c>
      <c r="G178" s="5" t="str">
        <f>IFERROR(IF(SUMIFS(tblDaily[TransfersOut],tblDaily[EntryDate],DATE(2026,5,16),tblDaily[WardCode],"MAE")=0,"",SUMIFS(tblDaily[TransfersOut],tblDaily[EntryDate],DATE(2026,5,16),tblDaily[WardCode],"MAE")),"")</f>
        <v/>
      </c>
      <c r="H178" s="5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IFERROR(IF(SUMIFS(tblDaily[Admissions],tblDaily[EntryDate],DATE(2026,5,17),tblDaily[WardCode],"MAE")=0,"",SUMIFS(tblDaily[Admissions],tblDaily[EntryDate],DATE(2026,5,17),tblDaily[WardCode],"MAE")),"")</f>
        <v/>
      </c>
      <c r="C179" s="5" t="str">
        <f>IFERROR(IF(SUMIFS(tblDaily[Discharges],tblDaily[EntryDate],DATE(2026,5,17),tblDaily[WardCode],"MAE")=0,"",SUMIFS(tblDaily[Discharges],tblDaily[EntryDate],DATE(2026,5,17),tblDaily[WardCode],"MAE")),"")</f>
        <v/>
      </c>
      <c r="D179" s="5" t="str">
        <f>IFERROR(IF(SUMIFS(tblDaily[Deaths],tblDaily[EntryDate],DATE(2026,5,17),tblDaily[WardCode],"MAE")=0,"",SUMIFS(tblDaily[Deaths],tblDaily[EntryDate],DATE(2026,5,17),tblDaily[WardCode],"MAE")),"")</f>
        <v/>
      </c>
      <c r="E179" s="5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5" t="str">
        <f>IFERROR(IF(SUMIFS(tblDaily[TransfersIn],tblDaily[EntryDate],DATE(2026,5,17),tblDaily[WardCode],"MAE")=0,"",SUMIFS(tblDaily[TransfersIn],tblDaily[EntryDate],DATE(2026,5,17),tblDaily[WardCode],"MAE")),"")</f>
        <v/>
      </c>
      <c r="G179" s="5" t="str">
        <f>IFERROR(IF(SUMIFS(tblDaily[TransfersOut],tblDaily[EntryDate],DATE(2026,5,17),tblDaily[WardCode],"MAE")=0,"",SUMIFS(tblDaily[TransfersOut],tblDaily[EntryDate],DATE(2026,5,17),tblDaily[WardCode],"MAE")),"")</f>
        <v/>
      </c>
      <c r="H179" s="5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IFERROR(IF(SUMIFS(tblDaily[Admissions],tblDaily[EntryDate],DATE(2026,5,18),tblDaily[WardCode],"MAE")=0,"",SUMIFS(tblDaily[Admissions],tblDaily[EntryDate],DATE(2026,5,18),tblDaily[WardCode],"MAE")),"")</f>
        <v/>
      </c>
      <c r="C180" s="5" t="str">
        <f>IFERROR(IF(SUMIFS(tblDaily[Discharges],tblDaily[EntryDate],DATE(2026,5,18),tblDaily[WardCode],"MAE")=0,"",SUMIFS(tblDaily[Discharges],tblDaily[EntryDate],DATE(2026,5,18),tblDaily[WardCode],"MAE")),"")</f>
        <v/>
      </c>
      <c r="D180" s="5" t="str">
        <f>IFERROR(IF(SUMIFS(tblDaily[Deaths],tblDaily[EntryDate],DATE(2026,5,18),tblDaily[WardCode],"MAE")=0,"",SUMIFS(tblDaily[Deaths],tblDaily[EntryDate],DATE(2026,5,18),tblDaily[WardCode],"MAE")),"")</f>
        <v/>
      </c>
      <c r="E180" s="5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5" t="str">
        <f>IFERROR(IF(SUMIFS(tblDaily[TransfersIn],tblDaily[EntryDate],DATE(2026,5,18),tblDaily[WardCode],"MAE")=0,"",SUMIFS(tblDaily[TransfersIn],tblDaily[EntryDate],DATE(2026,5,18),tblDaily[WardCode],"MAE")),"")</f>
        <v/>
      </c>
      <c r="G180" s="5" t="str">
        <f>IFERROR(IF(SUMIFS(tblDaily[TransfersOut],tblDaily[EntryDate],DATE(2026,5,18),tblDaily[WardCode],"MAE")=0,"",SUMIFS(tblDaily[TransfersOut],tblDaily[EntryDate],DATE(2026,5,18),tblDaily[WardCode],"MAE")),"")</f>
        <v/>
      </c>
      <c r="H180" s="5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IFERROR(IF(SUMIFS(tblDaily[Admissions],tblDaily[EntryDate],DATE(2026,5,19),tblDaily[WardCode],"MAE")=0,"",SUMIFS(tblDaily[Admissions],tblDaily[EntryDate],DATE(2026,5,19),tblDaily[WardCode],"MAE")),"")</f>
        <v/>
      </c>
      <c r="C181" s="5" t="str">
        <f>IFERROR(IF(SUMIFS(tblDaily[Discharges],tblDaily[EntryDate],DATE(2026,5,19),tblDaily[WardCode],"MAE")=0,"",SUMIFS(tblDaily[Discharges],tblDaily[EntryDate],DATE(2026,5,19),tblDaily[WardCode],"MAE")),"")</f>
        <v/>
      </c>
      <c r="D181" s="5" t="str">
        <f>IFERROR(IF(SUMIFS(tblDaily[Deaths],tblDaily[EntryDate],DATE(2026,5,19),tblDaily[WardCode],"MAE")=0,"",SUMIFS(tblDaily[Deaths],tblDaily[EntryDate],DATE(2026,5,19),tblDaily[WardCode],"MAE")),"")</f>
        <v/>
      </c>
      <c r="E181" s="5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5" t="str">
        <f>IFERROR(IF(SUMIFS(tblDaily[TransfersIn],tblDaily[EntryDate],DATE(2026,5,19),tblDaily[WardCode],"MAE")=0,"",SUMIFS(tblDaily[TransfersIn],tblDaily[EntryDate],DATE(2026,5,19),tblDaily[WardCode],"MAE")),"")</f>
        <v/>
      </c>
      <c r="G181" s="5" t="str">
        <f>IFERROR(IF(SUMIFS(tblDaily[TransfersOut],tblDaily[EntryDate],DATE(2026,5,19),tblDaily[WardCode],"MAE")=0,"",SUMIFS(tblDaily[TransfersOut],tblDaily[EntryDate],DATE(2026,5,19),tblDaily[WardCode],"MAE")),"")</f>
        <v/>
      </c>
      <c r="H181" s="5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IFERROR(IF(SUMIFS(tblDaily[Admissions],tblDaily[EntryDate],DATE(2026,5,20),tblDaily[WardCode],"MAE")=0,"",SUMIFS(tblDaily[Admissions],tblDaily[EntryDate],DATE(2026,5,20),tblDaily[WardCode],"MAE")),"")</f>
        <v/>
      </c>
      <c r="C182" s="5" t="str">
        <f>IFERROR(IF(SUMIFS(tblDaily[Discharges],tblDaily[EntryDate],DATE(2026,5,20),tblDaily[WardCode],"MAE")=0,"",SUMIFS(tblDaily[Discharges],tblDaily[EntryDate],DATE(2026,5,20),tblDaily[WardCode],"MAE")),"")</f>
        <v/>
      </c>
      <c r="D182" s="5" t="str">
        <f>IFERROR(IF(SUMIFS(tblDaily[Deaths],tblDaily[EntryDate],DATE(2026,5,20),tblDaily[WardCode],"MAE")=0,"",SUMIFS(tblDaily[Deaths],tblDaily[EntryDate],DATE(2026,5,20),tblDaily[WardCode],"MAE")),"")</f>
        <v/>
      </c>
      <c r="E182" s="5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5" t="str">
        <f>IFERROR(IF(SUMIFS(tblDaily[TransfersIn],tblDaily[EntryDate],DATE(2026,5,20),tblDaily[WardCode],"MAE")=0,"",SUMIFS(tblDaily[TransfersIn],tblDaily[EntryDate],DATE(2026,5,20),tblDaily[WardCode],"MAE")),"")</f>
        <v/>
      </c>
      <c r="G182" s="5" t="str">
        <f>IFERROR(IF(SUMIFS(tblDaily[TransfersOut],tblDaily[EntryDate],DATE(2026,5,20),tblDaily[WardCode],"MAE")=0,"",SUMIFS(tblDaily[TransfersOut],tblDaily[EntryDate],DATE(2026,5,20),tblDaily[WardCode],"MAE")),"")</f>
        <v/>
      </c>
      <c r="H182" s="5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IFERROR(IF(SUMIFS(tblDaily[Admissions],tblDaily[EntryDate],DATE(2026,5,21),tblDaily[WardCode],"MAE")=0,"",SUMIFS(tblDaily[Admissions],tblDaily[EntryDate],DATE(2026,5,21),tblDaily[WardCode],"MAE")),"")</f>
        <v/>
      </c>
      <c r="C183" s="5" t="str">
        <f>IFERROR(IF(SUMIFS(tblDaily[Discharges],tblDaily[EntryDate],DATE(2026,5,21),tblDaily[WardCode],"MAE")=0,"",SUMIFS(tblDaily[Discharges],tblDaily[EntryDate],DATE(2026,5,21),tblDaily[WardCode],"MAE")),"")</f>
        <v/>
      </c>
      <c r="D183" s="5" t="str">
        <f>IFERROR(IF(SUMIFS(tblDaily[Deaths],tblDaily[EntryDate],DATE(2026,5,21),tblDaily[WardCode],"MAE")=0,"",SUMIFS(tblDaily[Deaths],tblDaily[EntryDate],DATE(2026,5,21),tblDaily[WardCode],"MAE")),"")</f>
        <v/>
      </c>
      <c r="E183" s="5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5" t="str">
        <f>IFERROR(IF(SUMIFS(tblDaily[TransfersIn],tblDaily[EntryDate],DATE(2026,5,21),tblDaily[WardCode],"MAE")=0,"",SUMIFS(tblDaily[TransfersIn],tblDaily[EntryDate],DATE(2026,5,21),tblDaily[WardCode],"MAE")),"")</f>
        <v/>
      </c>
      <c r="G183" s="5" t="str">
        <f>IFERROR(IF(SUMIFS(tblDaily[TransfersOut],tblDaily[EntryDate],DATE(2026,5,21),tblDaily[WardCode],"MAE")=0,"",SUMIFS(tblDaily[TransfersOut],tblDaily[EntryDate],DATE(2026,5,21),tblDaily[WardCode],"MAE")),"")</f>
        <v/>
      </c>
      <c r="H183" s="5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IFERROR(IF(SUMIFS(tblDaily[Admissions],tblDaily[EntryDate],DATE(2026,5,22),tblDaily[WardCode],"MAE")=0,"",SUMIFS(tblDaily[Admissions],tblDaily[EntryDate],DATE(2026,5,22),tblDaily[WardCode],"MAE")),"")</f>
        <v/>
      </c>
      <c r="C184" s="5" t="str">
        <f>IFERROR(IF(SUMIFS(tblDaily[Discharges],tblDaily[EntryDate],DATE(2026,5,22),tblDaily[WardCode],"MAE")=0,"",SUMIFS(tblDaily[Discharges],tblDaily[EntryDate],DATE(2026,5,22),tblDaily[WardCode],"MAE")),"")</f>
        <v/>
      </c>
      <c r="D184" s="5" t="str">
        <f>IFERROR(IF(SUMIFS(tblDaily[Deaths],tblDaily[EntryDate],DATE(2026,5,22),tblDaily[WardCode],"MAE")=0,"",SUMIFS(tblDaily[Deaths],tblDaily[EntryDate],DATE(2026,5,22),tblDaily[WardCode],"MAE")),"")</f>
        <v/>
      </c>
      <c r="E184" s="5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5" t="str">
        <f>IFERROR(IF(SUMIFS(tblDaily[TransfersIn],tblDaily[EntryDate],DATE(2026,5,22),tblDaily[WardCode],"MAE")=0,"",SUMIFS(tblDaily[TransfersIn],tblDaily[EntryDate],DATE(2026,5,22),tblDaily[WardCode],"MAE")),"")</f>
        <v/>
      </c>
      <c r="G184" s="5" t="str">
        <f>IFERROR(IF(SUMIFS(tblDaily[TransfersOut],tblDaily[EntryDate],DATE(2026,5,22),tblDaily[WardCode],"MAE")=0,"",SUMIFS(tblDaily[TransfersOut],tblDaily[EntryDate],DATE(2026,5,22),tblDaily[WardCode],"MAE")),"")</f>
        <v/>
      </c>
      <c r="H184" s="5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IFERROR(IF(SUMIFS(tblDaily[Admissions],tblDaily[EntryDate],DATE(2026,5,23),tblDaily[WardCode],"MAE")=0,"",SUMIFS(tblDaily[Admissions],tblDaily[EntryDate],DATE(2026,5,23),tblDaily[WardCode],"MAE")),"")</f>
        <v/>
      </c>
      <c r="C185" s="5" t="str">
        <f>IFERROR(IF(SUMIFS(tblDaily[Discharges],tblDaily[EntryDate],DATE(2026,5,23),tblDaily[WardCode],"MAE")=0,"",SUMIFS(tblDaily[Discharges],tblDaily[EntryDate],DATE(2026,5,23),tblDaily[WardCode],"MAE")),"")</f>
        <v/>
      </c>
      <c r="D185" s="5" t="str">
        <f>IFERROR(IF(SUMIFS(tblDaily[Deaths],tblDaily[EntryDate],DATE(2026,5,23),tblDaily[WardCode],"MAE")=0,"",SUMIFS(tblDaily[Deaths],tblDaily[EntryDate],DATE(2026,5,23),tblDaily[WardCode],"MAE")),"")</f>
        <v/>
      </c>
      <c r="E185" s="5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5" t="str">
        <f>IFERROR(IF(SUMIFS(tblDaily[TransfersIn],tblDaily[EntryDate],DATE(2026,5,23),tblDaily[WardCode],"MAE")=0,"",SUMIFS(tblDaily[TransfersIn],tblDaily[EntryDate],DATE(2026,5,23),tblDaily[WardCode],"MAE")),"")</f>
        <v/>
      </c>
      <c r="G185" s="5" t="str">
        <f>IFERROR(IF(SUMIFS(tblDaily[TransfersOut],tblDaily[EntryDate],DATE(2026,5,23),tblDaily[WardCode],"MAE")=0,"",SUMIFS(tblDaily[TransfersOut],tblDaily[EntryDate],DATE(2026,5,23),tblDaily[WardCode],"MAE")),"")</f>
        <v/>
      </c>
      <c r="H185" s="5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IFERROR(IF(SUMIFS(tblDaily[Admissions],tblDaily[EntryDate],DATE(2026,5,24),tblDaily[WardCode],"MAE")=0,"",SUMIFS(tblDaily[Admissions],tblDaily[EntryDate],DATE(2026,5,24),tblDaily[WardCode],"MAE")),"")</f>
        <v/>
      </c>
      <c r="C186" s="5" t="str">
        <f>IFERROR(IF(SUMIFS(tblDaily[Discharges],tblDaily[EntryDate],DATE(2026,5,24),tblDaily[WardCode],"MAE")=0,"",SUMIFS(tblDaily[Discharges],tblDaily[EntryDate],DATE(2026,5,24),tblDaily[WardCode],"MAE")),"")</f>
        <v/>
      </c>
      <c r="D186" s="5" t="str">
        <f>IFERROR(IF(SUMIFS(tblDaily[Deaths],tblDaily[EntryDate],DATE(2026,5,24),tblDaily[WardCode],"MAE")=0,"",SUMIFS(tblDaily[Deaths],tblDaily[EntryDate],DATE(2026,5,24),tblDaily[WardCode],"MAE")),"")</f>
        <v/>
      </c>
      <c r="E186" s="5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5" t="str">
        <f>IFERROR(IF(SUMIFS(tblDaily[TransfersIn],tblDaily[EntryDate],DATE(2026,5,24),tblDaily[WardCode],"MAE")=0,"",SUMIFS(tblDaily[TransfersIn],tblDaily[EntryDate],DATE(2026,5,24),tblDaily[WardCode],"MAE")),"")</f>
        <v/>
      </c>
      <c r="G186" s="5" t="str">
        <f>IFERROR(IF(SUMIFS(tblDaily[TransfersOut],tblDaily[EntryDate],DATE(2026,5,24),tblDaily[WardCode],"MAE")=0,"",SUMIFS(tblDaily[TransfersOut],tblDaily[EntryDate],DATE(2026,5,24),tblDaily[WardCode],"MAE")),"")</f>
        <v/>
      </c>
      <c r="H186" s="5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IFERROR(IF(SUMIFS(tblDaily[Admissions],tblDaily[EntryDate],DATE(2026,5,25),tblDaily[WardCode],"MAE")=0,"",SUMIFS(tblDaily[Admissions],tblDaily[EntryDate],DATE(2026,5,25),tblDaily[WardCode],"MAE")),"")</f>
        <v/>
      </c>
      <c r="C187" s="5" t="str">
        <f>IFERROR(IF(SUMIFS(tblDaily[Discharges],tblDaily[EntryDate],DATE(2026,5,25),tblDaily[WardCode],"MAE")=0,"",SUMIFS(tblDaily[Discharges],tblDaily[EntryDate],DATE(2026,5,25),tblDaily[WardCode],"MAE")),"")</f>
        <v/>
      </c>
      <c r="D187" s="5" t="str">
        <f>IFERROR(IF(SUMIFS(tblDaily[Deaths],tblDaily[EntryDate],DATE(2026,5,25),tblDaily[WardCode],"MAE")=0,"",SUMIFS(tblDaily[Deaths],tblDaily[EntryDate],DATE(2026,5,25),tblDaily[WardCode],"MAE")),"")</f>
        <v/>
      </c>
      <c r="E187" s="5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5" t="str">
        <f>IFERROR(IF(SUMIFS(tblDaily[TransfersIn],tblDaily[EntryDate],DATE(2026,5,25),tblDaily[WardCode],"MAE")=0,"",SUMIFS(tblDaily[TransfersIn],tblDaily[EntryDate],DATE(2026,5,25),tblDaily[WardCode],"MAE")),"")</f>
        <v/>
      </c>
      <c r="G187" s="5" t="str">
        <f>IFERROR(IF(SUMIFS(tblDaily[TransfersOut],tblDaily[EntryDate],DATE(2026,5,25),tblDaily[WardCode],"MAE")=0,"",SUMIFS(tblDaily[TransfersOut],tblDaily[EntryDate],DATE(2026,5,25),tblDaily[WardCode],"MAE")),"")</f>
        <v/>
      </c>
      <c r="H187" s="5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IFERROR(IF(SUMIFS(tblDaily[Admissions],tblDaily[EntryDate],DATE(2026,5,26),tblDaily[WardCode],"MAE")=0,"",SUMIFS(tblDaily[Admissions],tblDaily[EntryDate],DATE(2026,5,26),tblDaily[WardCode],"MAE")),"")</f>
        <v/>
      </c>
      <c r="C188" s="5" t="str">
        <f>IFERROR(IF(SUMIFS(tblDaily[Discharges],tblDaily[EntryDate],DATE(2026,5,26),tblDaily[WardCode],"MAE")=0,"",SUMIFS(tblDaily[Discharges],tblDaily[EntryDate],DATE(2026,5,26),tblDaily[WardCode],"MAE")),"")</f>
        <v/>
      </c>
      <c r="D188" s="5" t="str">
        <f>IFERROR(IF(SUMIFS(tblDaily[Deaths],tblDaily[EntryDate],DATE(2026,5,26),tblDaily[WardCode],"MAE")=0,"",SUMIFS(tblDaily[Deaths],tblDaily[EntryDate],DATE(2026,5,26),tblDaily[WardCode],"MAE")),"")</f>
        <v/>
      </c>
      <c r="E188" s="5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5" t="str">
        <f>IFERROR(IF(SUMIFS(tblDaily[TransfersIn],tblDaily[EntryDate],DATE(2026,5,26),tblDaily[WardCode],"MAE")=0,"",SUMIFS(tblDaily[TransfersIn],tblDaily[EntryDate],DATE(2026,5,26),tblDaily[WardCode],"MAE")),"")</f>
        <v/>
      </c>
      <c r="G188" s="5" t="str">
        <f>IFERROR(IF(SUMIFS(tblDaily[TransfersOut],tblDaily[EntryDate],DATE(2026,5,26),tblDaily[WardCode],"MAE")=0,"",SUMIFS(tblDaily[TransfersOut],tblDaily[EntryDate],DATE(2026,5,26),tblDaily[WardCode],"MAE")),"")</f>
        <v/>
      </c>
      <c r="H188" s="5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IFERROR(IF(SUMIFS(tblDaily[Admissions],tblDaily[EntryDate],DATE(2026,5,27),tblDaily[WardCode],"MAE")=0,"",SUMIFS(tblDaily[Admissions],tblDaily[EntryDate],DATE(2026,5,27),tblDaily[WardCode],"MAE")),"")</f>
        <v/>
      </c>
      <c r="C189" s="5" t="str">
        <f>IFERROR(IF(SUMIFS(tblDaily[Discharges],tblDaily[EntryDate],DATE(2026,5,27),tblDaily[WardCode],"MAE")=0,"",SUMIFS(tblDaily[Discharges],tblDaily[EntryDate],DATE(2026,5,27),tblDaily[WardCode],"MAE")),"")</f>
        <v/>
      </c>
      <c r="D189" s="5" t="str">
        <f>IFERROR(IF(SUMIFS(tblDaily[Deaths],tblDaily[EntryDate],DATE(2026,5,27),tblDaily[WardCode],"MAE")=0,"",SUMIFS(tblDaily[Deaths],tblDaily[EntryDate],DATE(2026,5,27),tblDaily[WardCode],"MAE")),"")</f>
        <v/>
      </c>
      <c r="E189" s="5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5" t="str">
        <f>IFERROR(IF(SUMIFS(tblDaily[TransfersIn],tblDaily[EntryDate],DATE(2026,5,27),tblDaily[WardCode],"MAE")=0,"",SUMIFS(tblDaily[TransfersIn],tblDaily[EntryDate],DATE(2026,5,27),tblDaily[WardCode],"MAE")),"")</f>
        <v/>
      </c>
      <c r="G189" s="5" t="str">
        <f>IFERROR(IF(SUMIFS(tblDaily[TransfersOut],tblDaily[EntryDate],DATE(2026,5,27),tblDaily[WardCode],"MAE")=0,"",SUMIFS(tblDaily[TransfersOut],tblDaily[EntryDate],DATE(2026,5,27),tblDaily[WardCode],"MAE")),"")</f>
        <v/>
      </c>
      <c r="H189" s="5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IFERROR(IF(SUMIFS(tblDaily[Admissions],tblDaily[EntryDate],DATE(2026,5,28),tblDaily[WardCode],"MAE")=0,"",SUMIFS(tblDaily[Admissions],tblDaily[EntryDate],DATE(2026,5,28),tblDaily[WardCode],"MAE")),"")</f>
        <v/>
      </c>
      <c r="C190" s="5" t="str">
        <f>IFERROR(IF(SUMIFS(tblDaily[Discharges],tblDaily[EntryDate],DATE(2026,5,28),tblDaily[WardCode],"MAE")=0,"",SUMIFS(tblDaily[Discharges],tblDaily[EntryDate],DATE(2026,5,28),tblDaily[WardCode],"MAE")),"")</f>
        <v/>
      </c>
      <c r="D190" s="5" t="str">
        <f>IFERROR(IF(SUMIFS(tblDaily[Deaths],tblDaily[EntryDate],DATE(2026,5,28),tblDaily[WardCode],"MAE")=0,"",SUMIFS(tblDaily[Deaths],tblDaily[EntryDate],DATE(2026,5,28),tblDaily[WardCode],"MAE")),"")</f>
        <v/>
      </c>
      <c r="E190" s="5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5" t="str">
        <f>IFERROR(IF(SUMIFS(tblDaily[TransfersIn],tblDaily[EntryDate],DATE(2026,5,28),tblDaily[WardCode],"MAE")=0,"",SUMIFS(tblDaily[TransfersIn],tblDaily[EntryDate],DATE(2026,5,28),tblDaily[WardCode],"MAE")),"")</f>
        <v/>
      </c>
      <c r="G190" s="5" t="str">
        <f>IFERROR(IF(SUMIFS(tblDaily[TransfersOut],tblDaily[EntryDate],DATE(2026,5,28),tblDaily[WardCode],"MAE")=0,"",SUMIFS(tblDaily[TransfersOut],tblDaily[EntryDate],DATE(2026,5,28),tblDaily[WardCode],"MAE")),"")</f>
        <v/>
      </c>
      <c r="H190" s="5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IFERROR(IF(SUMIFS(tblDaily[Admissions],tblDaily[EntryDate],DATE(2026,5,29),tblDaily[WardCode],"MAE")=0,"",SUMIFS(tblDaily[Admissions],tblDaily[EntryDate],DATE(2026,5,29),tblDaily[WardCode],"MAE")),"")</f>
        <v/>
      </c>
      <c r="C191" s="5" t="str">
        <f>IFERROR(IF(SUMIFS(tblDaily[Discharges],tblDaily[EntryDate],DATE(2026,5,29),tblDaily[WardCode],"MAE")=0,"",SUMIFS(tblDaily[Discharges],tblDaily[EntryDate],DATE(2026,5,29),tblDaily[WardCode],"MAE")),"")</f>
        <v/>
      </c>
      <c r="D191" s="5" t="str">
        <f>IFERROR(IF(SUMIFS(tblDaily[Deaths],tblDaily[EntryDate],DATE(2026,5,29),tblDaily[WardCode],"MAE")=0,"",SUMIFS(tblDaily[Deaths],tblDaily[EntryDate],DATE(2026,5,29),tblDaily[WardCode],"MAE")),"")</f>
        <v/>
      </c>
      <c r="E191" s="5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5" t="str">
        <f>IFERROR(IF(SUMIFS(tblDaily[TransfersIn],tblDaily[EntryDate],DATE(2026,5,29),tblDaily[WardCode],"MAE")=0,"",SUMIFS(tblDaily[TransfersIn],tblDaily[EntryDate],DATE(2026,5,29),tblDaily[WardCode],"MAE")),"")</f>
        <v/>
      </c>
      <c r="G191" s="5" t="str">
        <f>IFERROR(IF(SUMIFS(tblDaily[TransfersOut],tblDaily[EntryDate],DATE(2026,5,29),tblDaily[WardCode],"MAE")=0,"",SUMIFS(tblDaily[TransfersOut],tblDaily[EntryDate],DATE(2026,5,29),tblDaily[WardCode],"MAE")),"")</f>
        <v/>
      </c>
      <c r="H191" s="5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IFERROR(IF(SUMIFS(tblDaily[Admissions],tblDaily[EntryDate],DATE(2026,5,30),tblDaily[WardCode],"MAE")=0,"",SUMIFS(tblDaily[Admissions],tblDaily[EntryDate],DATE(2026,5,30),tblDaily[WardCode],"MAE")),"")</f>
        <v/>
      </c>
      <c r="C192" s="5" t="str">
        <f>IFERROR(IF(SUMIFS(tblDaily[Discharges],tblDaily[EntryDate],DATE(2026,5,30),tblDaily[WardCode],"MAE")=0,"",SUMIFS(tblDaily[Discharges],tblDaily[EntryDate],DATE(2026,5,30),tblDaily[WardCode],"MAE")),"")</f>
        <v/>
      </c>
      <c r="D192" s="5" t="str">
        <f>IFERROR(IF(SUMIFS(tblDaily[Deaths],tblDaily[EntryDate],DATE(2026,5,30),tblDaily[WardCode],"MAE")=0,"",SUMIFS(tblDaily[Deaths],tblDaily[EntryDate],DATE(2026,5,30),tblDaily[WardCode],"MAE")),"")</f>
        <v/>
      </c>
      <c r="E192" s="5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5" t="str">
        <f>IFERROR(IF(SUMIFS(tblDaily[TransfersIn],tblDaily[EntryDate],DATE(2026,5,30),tblDaily[WardCode],"MAE")=0,"",SUMIFS(tblDaily[TransfersIn],tblDaily[EntryDate],DATE(2026,5,30),tblDaily[WardCode],"MAE")),"")</f>
        <v/>
      </c>
      <c r="G192" s="5" t="str">
        <f>IFERROR(IF(SUMIFS(tblDaily[TransfersOut],tblDaily[EntryDate],DATE(2026,5,30),tblDaily[WardCode],"MAE")=0,"",SUMIFS(tblDaily[TransfersOut],tblDaily[EntryDate],DATE(2026,5,30),tblDaily[WardCode],"MAE")),"")</f>
        <v/>
      </c>
      <c r="H192" s="5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IFERROR(IF(SUMIFS(tblDaily[Admissions],tblDaily[EntryDate],DATE(2026,5,31),tblDaily[WardCode],"MAE")=0,"",SUMIFS(tblDaily[Admissions],tblDaily[EntryDate],DATE(2026,5,31),tblDaily[WardCode],"MAE")),"")</f>
        <v/>
      </c>
      <c r="C193" s="5" t="str">
        <f>IFERROR(IF(SUMIFS(tblDaily[Discharges],tblDaily[EntryDate],DATE(2026,5,31),tblDaily[WardCode],"MAE")=0,"",SUMIFS(tblDaily[Discharges],tblDaily[EntryDate],DATE(2026,5,31),tblDaily[WardCode],"MAE")),"")</f>
        <v/>
      </c>
      <c r="D193" s="5" t="str">
        <f>IFERROR(IF(SUMIFS(tblDaily[Deaths],tblDaily[EntryDate],DATE(2026,5,31),tblDaily[WardCode],"MAE")=0,"",SUMIFS(tblDaily[Deaths],tblDaily[EntryDate],DATE(2026,5,31),tblDaily[WardCode],"MAE")),"")</f>
        <v/>
      </c>
      <c r="E193" s="5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5" t="str">
        <f>IFERROR(IF(SUMIFS(tblDaily[TransfersIn],tblDaily[EntryDate],DATE(2026,5,31),tblDaily[WardCode],"MAE")=0,"",SUMIFS(tblDaily[TransfersIn],tblDaily[EntryDate],DATE(2026,5,31),tblDaily[WardCode],"MAE")),"")</f>
        <v/>
      </c>
      <c r="G193" s="5" t="str">
        <f>IFERROR(IF(SUMIFS(tblDaily[TransfersOut],tblDaily[EntryDate],DATE(2026,5,31),tblDaily[WardCode],"MAE")=0,"",SUMIFS(tblDaily[TransfersOut],tblDaily[EntryDate],DATE(2026,5,31),tblDaily[WardCode],"MAE")),"")</f>
        <v/>
      </c>
      <c r="H193" s="5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95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102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89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IFERROR(IF(SUMIFS(tblDaily[Admissions],tblDaily[EntryDate],DATE(2026,6,1),tblDaily[WardCode],"MAE")=0,"",SUMIFS(tblDaily[Admissions],tblDaily[EntryDate],DATE(2026,6,1),tblDaily[WardCode],"MAE")),"")</f>
        <v/>
      </c>
      <c r="C202" s="5" t="str">
        <f>IFERROR(IF(SUMIFS(tblDaily[Discharges],tblDaily[EntryDate],DATE(2026,6,1),tblDaily[WardCode],"MAE")=0,"",SUMIFS(tblDaily[Discharges],tblDaily[EntryDate],DATE(2026,6,1),tblDaily[WardCode],"MAE")),"")</f>
        <v/>
      </c>
      <c r="D202" s="5" t="str">
        <f>IFERROR(IF(SUMIFS(tblDaily[Deaths],tblDaily[EntryDate],DATE(2026,6,1),tblDaily[WardCode],"MAE")=0,"",SUMIFS(tblDaily[Deaths],tblDaily[EntryDate],DATE(2026,6,1),tblDaily[WardCode],"MAE")),"")</f>
        <v/>
      </c>
      <c r="E202" s="5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5" t="str">
        <f>IFERROR(IF(SUMIFS(tblDaily[TransfersIn],tblDaily[EntryDate],DATE(2026,6,1),tblDaily[WardCode],"MAE")=0,"",SUMIFS(tblDaily[TransfersIn],tblDaily[EntryDate],DATE(2026,6,1),tblDaily[WardCode],"MAE")),"")</f>
        <v/>
      </c>
      <c r="G202" s="5" t="str">
        <f>IFERROR(IF(SUMIFS(tblDaily[TransfersOut],tblDaily[EntryDate],DATE(2026,6,1),tblDaily[WardCode],"MAE")=0,"",SUMIFS(tblDaily[TransfersOut],tblDaily[EntryDate],DATE(2026,6,1),tblDaily[WardCode],"MAE")),"")</f>
        <v/>
      </c>
      <c r="H202" s="5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IFERROR(IF(SUMIFS(tblDaily[Admissions],tblDaily[EntryDate],DATE(2026,6,2),tblDaily[WardCode],"MAE")=0,"",SUMIFS(tblDaily[Admissions],tblDaily[EntryDate],DATE(2026,6,2),tblDaily[WardCode],"MAE")),"")</f>
        <v/>
      </c>
      <c r="C203" s="5" t="str">
        <f>IFERROR(IF(SUMIFS(tblDaily[Discharges],tblDaily[EntryDate],DATE(2026,6,2),tblDaily[WardCode],"MAE")=0,"",SUMIFS(tblDaily[Discharges],tblDaily[EntryDate],DATE(2026,6,2),tblDaily[WardCode],"MAE")),"")</f>
        <v/>
      </c>
      <c r="D203" s="5" t="str">
        <f>IFERROR(IF(SUMIFS(tblDaily[Deaths],tblDaily[EntryDate],DATE(2026,6,2),tblDaily[WardCode],"MAE")=0,"",SUMIFS(tblDaily[Deaths],tblDaily[EntryDate],DATE(2026,6,2),tblDaily[WardCode],"MAE")),"")</f>
        <v/>
      </c>
      <c r="E203" s="5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5" t="str">
        <f>IFERROR(IF(SUMIFS(tblDaily[TransfersIn],tblDaily[EntryDate],DATE(2026,6,2),tblDaily[WardCode],"MAE")=0,"",SUMIFS(tblDaily[TransfersIn],tblDaily[EntryDate],DATE(2026,6,2),tblDaily[WardCode],"MAE")),"")</f>
        <v/>
      </c>
      <c r="G203" s="5" t="str">
        <f>IFERROR(IF(SUMIFS(tblDaily[TransfersOut],tblDaily[EntryDate],DATE(2026,6,2),tblDaily[WardCode],"MAE")=0,"",SUMIFS(tblDaily[TransfersOut],tblDaily[EntryDate],DATE(2026,6,2),tblDaily[WardCode],"MAE")),"")</f>
        <v/>
      </c>
      <c r="H203" s="5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IFERROR(IF(SUMIFS(tblDaily[Admissions],tblDaily[EntryDate],DATE(2026,6,3),tblDaily[WardCode],"MAE")=0,"",SUMIFS(tblDaily[Admissions],tblDaily[EntryDate],DATE(2026,6,3),tblDaily[WardCode],"MAE")),"")</f>
        <v/>
      </c>
      <c r="C204" s="5" t="str">
        <f>IFERROR(IF(SUMIFS(tblDaily[Discharges],tblDaily[EntryDate],DATE(2026,6,3),tblDaily[WardCode],"MAE")=0,"",SUMIFS(tblDaily[Discharges],tblDaily[EntryDate],DATE(2026,6,3),tblDaily[WardCode],"MAE")),"")</f>
        <v/>
      </c>
      <c r="D204" s="5" t="str">
        <f>IFERROR(IF(SUMIFS(tblDaily[Deaths],tblDaily[EntryDate],DATE(2026,6,3),tblDaily[WardCode],"MAE")=0,"",SUMIFS(tblDaily[Deaths],tblDaily[EntryDate],DATE(2026,6,3),tblDaily[WardCode],"MAE")),"")</f>
        <v/>
      </c>
      <c r="E204" s="5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5" t="str">
        <f>IFERROR(IF(SUMIFS(tblDaily[TransfersIn],tblDaily[EntryDate],DATE(2026,6,3),tblDaily[WardCode],"MAE")=0,"",SUMIFS(tblDaily[TransfersIn],tblDaily[EntryDate],DATE(2026,6,3),tblDaily[WardCode],"MAE")),"")</f>
        <v/>
      </c>
      <c r="G204" s="5" t="str">
        <f>IFERROR(IF(SUMIFS(tblDaily[TransfersOut],tblDaily[EntryDate],DATE(2026,6,3),tblDaily[WardCode],"MAE")=0,"",SUMIFS(tblDaily[TransfersOut],tblDaily[EntryDate],DATE(2026,6,3),tblDaily[WardCode],"MAE")),"")</f>
        <v/>
      </c>
      <c r="H204" s="5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IFERROR(IF(SUMIFS(tblDaily[Admissions],tblDaily[EntryDate],DATE(2026,6,4),tblDaily[WardCode],"MAE")=0,"",SUMIFS(tblDaily[Admissions],tblDaily[EntryDate],DATE(2026,6,4),tblDaily[WardCode],"MAE")),"")</f>
        <v/>
      </c>
      <c r="C205" s="5" t="str">
        <f>IFERROR(IF(SUMIFS(tblDaily[Discharges],tblDaily[EntryDate],DATE(2026,6,4),tblDaily[WardCode],"MAE")=0,"",SUMIFS(tblDaily[Discharges],tblDaily[EntryDate],DATE(2026,6,4),tblDaily[WardCode],"MAE")),"")</f>
        <v/>
      </c>
      <c r="D205" s="5" t="str">
        <f>IFERROR(IF(SUMIFS(tblDaily[Deaths],tblDaily[EntryDate],DATE(2026,6,4),tblDaily[WardCode],"MAE")=0,"",SUMIFS(tblDaily[Deaths],tblDaily[EntryDate],DATE(2026,6,4),tblDaily[WardCode],"MAE")),"")</f>
        <v/>
      </c>
      <c r="E205" s="5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5" t="str">
        <f>IFERROR(IF(SUMIFS(tblDaily[TransfersIn],tblDaily[EntryDate],DATE(2026,6,4),tblDaily[WardCode],"MAE")=0,"",SUMIFS(tblDaily[TransfersIn],tblDaily[EntryDate],DATE(2026,6,4),tblDaily[WardCode],"MAE")),"")</f>
        <v/>
      </c>
      <c r="G205" s="5" t="str">
        <f>IFERROR(IF(SUMIFS(tblDaily[TransfersOut],tblDaily[EntryDate],DATE(2026,6,4),tblDaily[WardCode],"MAE")=0,"",SUMIFS(tblDaily[TransfersOut],tblDaily[EntryDate],DATE(2026,6,4),tblDaily[WardCode],"MAE")),"")</f>
        <v/>
      </c>
      <c r="H205" s="5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IFERROR(IF(SUMIFS(tblDaily[Admissions],tblDaily[EntryDate],DATE(2026,6,5),tblDaily[WardCode],"MAE")=0,"",SUMIFS(tblDaily[Admissions],tblDaily[EntryDate],DATE(2026,6,5),tblDaily[WardCode],"MAE")),"")</f>
        <v/>
      </c>
      <c r="C206" s="5" t="str">
        <f>IFERROR(IF(SUMIFS(tblDaily[Discharges],tblDaily[EntryDate],DATE(2026,6,5),tblDaily[WardCode],"MAE")=0,"",SUMIFS(tblDaily[Discharges],tblDaily[EntryDate],DATE(2026,6,5),tblDaily[WardCode],"MAE")),"")</f>
        <v/>
      </c>
      <c r="D206" s="5" t="str">
        <f>IFERROR(IF(SUMIFS(tblDaily[Deaths],tblDaily[EntryDate],DATE(2026,6,5),tblDaily[WardCode],"MAE")=0,"",SUMIFS(tblDaily[Deaths],tblDaily[EntryDate],DATE(2026,6,5),tblDaily[WardCode],"MAE")),"")</f>
        <v/>
      </c>
      <c r="E206" s="5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5" t="str">
        <f>IFERROR(IF(SUMIFS(tblDaily[TransfersIn],tblDaily[EntryDate],DATE(2026,6,5),tblDaily[WardCode],"MAE")=0,"",SUMIFS(tblDaily[TransfersIn],tblDaily[EntryDate],DATE(2026,6,5),tblDaily[WardCode],"MAE")),"")</f>
        <v/>
      </c>
      <c r="G206" s="5" t="str">
        <f>IFERROR(IF(SUMIFS(tblDaily[TransfersOut],tblDaily[EntryDate],DATE(2026,6,5),tblDaily[WardCode],"MAE")=0,"",SUMIFS(tblDaily[TransfersOut],tblDaily[EntryDate],DATE(2026,6,5),tblDaily[WardCode],"MAE")),"")</f>
        <v/>
      </c>
      <c r="H206" s="5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IFERROR(IF(SUMIFS(tblDaily[Admissions],tblDaily[EntryDate],DATE(2026,6,6),tblDaily[WardCode],"MAE")=0,"",SUMIFS(tblDaily[Admissions],tblDaily[EntryDate],DATE(2026,6,6),tblDaily[WardCode],"MAE")),"")</f>
        <v/>
      </c>
      <c r="C207" s="5" t="str">
        <f>IFERROR(IF(SUMIFS(tblDaily[Discharges],tblDaily[EntryDate],DATE(2026,6,6),tblDaily[WardCode],"MAE")=0,"",SUMIFS(tblDaily[Discharges],tblDaily[EntryDate],DATE(2026,6,6),tblDaily[WardCode],"MAE")),"")</f>
        <v/>
      </c>
      <c r="D207" s="5" t="str">
        <f>IFERROR(IF(SUMIFS(tblDaily[Deaths],tblDaily[EntryDate],DATE(2026,6,6),tblDaily[WardCode],"MAE")=0,"",SUMIFS(tblDaily[Deaths],tblDaily[EntryDate],DATE(2026,6,6),tblDaily[WardCode],"MAE")),"")</f>
        <v/>
      </c>
      <c r="E207" s="5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5" t="str">
        <f>IFERROR(IF(SUMIFS(tblDaily[TransfersIn],tblDaily[EntryDate],DATE(2026,6,6),tblDaily[WardCode],"MAE")=0,"",SUMIFS(tblDaily[TransfersIn],tblDaily[EntryDate],DATE(2026,6,6),tblDaily[WardCode],"MAE")),"")</f>
        <v/>
      </c>
      <c r="G207" s="5" t="str">
        <f>IFERROR(IF(SUMIFS(tblDaily[TransfersOut],tblDaily[EntryDate],DATE(2026,6,6),tblDaily[WardCode],"MAE")=0,"",SUMIFS(tblDaily[TransfersOut],tblDaily[EntryDate],DATE(2026,6,6),tblDaily[WardCode],"MAE")),"")</f>
        <v/>
      </c>
      <c r="H207" s="5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IFERROR(IF(SUMIFS(tblDaily[Admissions],tblDaily[EntryDate],DATE(2026,6,7),tblDaily[WardCode],"MAE")=0,"",SUMIFS(tblDaily[Admissions],tblDaily[EntryDate],DATE(2026,6,7),tblDaily[WardCode],"MAE")),"")</f>
        <v/>
      </c>
      <c r="C208" s="5" t="str">
        <f>IFERROR(IF(SUMIFS(tblDaily[Discharges],tblDaily[EntryDate],DATE(2026,6,7),tblDaily[WardCode],"MAE")=0,"",SUMIFS(tblDaily[Discharges],tblDaily[EntryDate],DATE(2026,6,7),tblDaily[WardCode],"MAE")),"")</f>
        <v/>
      </c>
      <c r="D208" s="5" t="str">
        <f>IFERROR(IF(SUMIFS(tblDaily[Deaths],tblDaily[EntryDate],DATE(2026,6,7),tblDaily[WardCode],"MAE")=0,"",SUMIFS(tblDaily[Deaths],tblDaily[EntryDate],DATE(2026,6,7),tblDaily[WardCode],"MAE")),"")</f>
        <v/>
      </c>
      <c r="E208" s="5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5" t="str">
        <f>IFERROR(IF(SUMIFS(tblDaily[TransfersIn],tblDaily[EntryDate],DATE(2026,6,7),tblDaily[WardCode],"MAE")=0,"",SUMIFS(tblDaily[TransfersIn],tblDaily[EntryDate],DATE(2026,6,7),tblDaily[WardCode],"MAE")),"")</f>
        <v/>
      </c>
      <c r="G208" s="5" t="str">
        <f>IFERROR(IF(SUMIFS(tblDaily[TransfersOut],tblDaily[EntryDate],DATE(2026,6,7),tblDaily[WardCode],"MAE")=0,"",SUMIFS(tblDaily[TransfersOut],tblDaily[EntryDate],DATE(2026,6,7),tblDaily[WardCode],"MAE")),"")</f>
        <v/>
      </c>
      <c r="H208" s="5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IFERROR(IF(SUMIFS(tblDaily[Admissions],tblDaily[EntryDate],DATE(2026,6,8),tblDaily[WardCode],"MAE")=0,"",SUMIFS(tblDaily[Admissions],tblDaily[EntryDate],DATE(2026,6,8),tblDaily[WardCode],"MAE")),"")</f>
        <v/>
      </c>
      <c r="C209" s="5" t="str">
        <f>IFERROR(IF(SUMIFS(tblDaily[Discharges],tblDaily[EntryDate],DATE(2026,6,8),tblDaily[WardCode],"MAE")=0,"",SUMIFS(tblDaily[Discharges],tblDaily[EntryDate],DATE(2026,6,8),tblDaily[WardCode],"MAE")),"")</f>
        <v/>
      </c>
      <c r="D209" s="5" t="str">
        <f>IFERROR(IF(SUMIFS(tblDaily[Deaths],tblDaily[EntryDate],DATE(2026,6,8),tblDaily[WardCode],"MAE")=0,"",SUMIFS(tblDaily[Deaths],tblDaily[EntryDate],DATE(2026,6,8),tblDaily[WardCode],"MAE")),"")</f>
        <v/>
      </c>
      <c r="E209" s="5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5" t="str">
        <f>IFERROR(IF(SUMIFS(tblDaily[TransfersIn],tblDaily[EntryDate],DATE(2026,6,8),tblDaily[WardCode],"MAE")=0,"",SUMIFS(tblDaily[TransfersIn],tblDaily[EntryDate],DATE(2026,6,8),tblDaily[WardCode],"MAE")),"")</f>
        <v/>
      </c>
      <c r="G209" s="5" t="str">
        <f>IFERROR(IF(SUMIFS(tblDaily[TransfersOut],tblDaily[EntryDate],DATE(2026,6,8),tblDaily[WardCode],"MAE")=0,"",SUMIFS(tblDaily[TransfersOut],tblDaily[EntryDate],DATE(2026,6,8),tblDaily[WardCode],"MAE")),"")</f>
        <v/>
      </c>
      <c r="H209" s="5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IFERROR(IF(SUMIFS(tblDaily[Admissions],tblDaily[EntryDate],DATE(2026,6,9),tblDaily[WardCode],"MAE")=0,"",SUMIFS(tblDaily[Admissions],tblDaily[EntryDate],DATE(2026,6,9),tblDaily[WardCode],"MAE")),"")</f>
        <v/>
      </c>
      <c r="C210" s="5" t="str">
        <f>IFERROR(IF(SUMIFS(tblDaily[Discharges],tblDaily[EntryDate],DATE(2026,6,9),tblDaily[WardCode],"MAE")=0,"",SUMIFS(tblDaily[Discharges],tblDaily[EntryDate],DATE(2026,6,9),tblDaily[WardCode],"MAE")),"")</f>
        <v/>
      </c>
      <c r="D210" s="5" t="str">
        <f>IFERROR(IF(SUMIFS(tblDaily[Deaths],tblDaily[EntryDate],DATE(2026,6,9),tblDaily[WardCode],"MAE")=0,"",SUMIFS(tblDaily[Deaths],tblDaily[EntryDate],DATE(2026,6,9),tblDaily[WardCode],"MAE")),"")</f>
        <v/>
      </c>
      <c r="E210" s="5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5" t="str">
        <f>IFERROR(IF(SUMIFS(tblDaily[TransfersIn],tblDaily[EntryDate],DATE(2026,6,9),tblDaily[WardCode],"MAE")=0,"",SUMIFS(tblDaily[TransfersIn],tblDaily[EntryDate],DATE(2026,6,9),tblDaily[WardCode],"MAE")),"")</f>
        <v/>
      </c>
      <c r="G210" s="5" t="str">
        <f>IFERROR(IF(SUMIFS(tblDaily[TransfersOut],tblDaily[EntryDate],DATE(2026,6,9),tblDaily[WardCode],"MAE")=0,"",SUMIFS(tblDaily[TransfersOut],tblDaily[EntryDate],DATE(2026,6,9),tblDaily[WardCode],"MAE")),"")</f>
        <v/>
      </c>
      <c r="H210" s="5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IFERROR(IF(SUMIFS(tblDaily[Admissions],tblDaily[EntryDate],DATE(2026,6,10),tblDaily[WardCode],"MAE")=0,"",SUMIFS(tblDaily[Admissions],tblDaily[EntryDate],DATE(2026,6,10),tblDaily[WardCode],"MAE")),"")</f>
        <v/>
      </c>
      <c r="C211" s="5" t="str">
        <f>IFERROR(IF(SUMIFS(tblDaily[Discharges],tblDaily[EntryDate],DATE(2026,6,10),tblDaily[WardCode],"MAE")=0,"",SUMIFS(tblDaily[Discharges],tblDaily[EntryDate],DATE(2026,6,10),tblDaily[WardCode],"MAE")),"")</f>
        <v/>
      </c>
      <c r="D211" s="5" t="str">
        <f>IFERROR(IF(SUMIFS(tblDaily[Deaths],tblDaily[EntryDate],DATE(2026,6,10),tblDaily[WardCode],"MAE")=0,"",SUMIFS(tblDaily[Deaths],tblDaily[EntryDate],DATE(2026,6,10),tblDaily[WardCode],"MAE")),"")</f>
        <v/>
      </c>
      <c r="E211" s="5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5" t="str">
        <f>IFERROR(IF(SUMIFS(tblDaily[TransfersIn],tblDaily[EntryDate],DATE(2026,6,10),tblDaily[WardCode],"MAE")=0,"",SUMIFS(tblDaily[TransfersIn],tblDaily[EntryDate],DATE(2026,6,10),tblDaily[WardCode],"MAE")),"")</f>
        <v/>
      </c>
      <c r="G211" s="5" t="str">
        <f>IFERROR(IF(SUMIFS(tblDaily[TransfersOut],tblDaily[EntryDate],DATE(2026,6,10),tblDaily[WardCode],"MAE")=0,"",SUMIFS(tblDaily[TransfersOut],tblDaily[EntryDate],DATE(2026,6,10),tblDaily[WardCode],"MAE")),"")</f>
        <v/>
      </c>
      <c r="H211" s="5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IFERROR(IF(SUMIFS(tblDaily[Admissions],tblDaily[EntryDate],DATE(2026,6,11),tblDaily[WardCode],"MAE")=0,"",SUMIFS(tblDaily[Admissions],tblDaily[EntryDate],DATE(2026,6,11),tblDaily[WardCode],"MAE")),"")</f>
        <v/>
      </c>
      <c r="C212" s="5" t="str">
        <f>IFERROR(IF(SUMIFS(tblDaily[Discharges],tblDaily[EntryDate],DATE(2026,6,11),tblDaily[WardCode],"MAE")=0,"",SUMIFS(tblDaily[Discharges],tblDaily[EntryDate],DATE(2026,6,11),tblDaily[WardCode],"MAE")),"")</f>
        <v/>
      </c>
      <c r="D212" s="5" t="str">
        <f>IFERROR(IF(SUMIFS(tblDaily[Deaths],tblDaily[EntryDate],DATE(2026,6,11),tblDaily[WardCode],"MAE")=0,"",SUMIFS(tblDaily[Deaths],tblDaily[EntryDate],DATE(2026,6,11),tblDaily[WardCode],"MAE")),"")</f>
        <v/>
      </c>
      <c r="E212" s="5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5" t="str">
        <f>IFERROR(IF(SUMIFS(tblDaily[TransfersIn],tblDaily[EntryDate],DATE(2026,6,11),tblDaily[WardCode],"MAE")=0,"",SUMIFS(tblDaily[TransfersIn],tblDaily[EntryDate],DATE(2026,6,11),tblDaily[WardCode],"MAE")),"")</f>
        <v/>
      </c>
      <c r="G212" s="5" t="str">
        <f>IFERROR(IF(SUMIFS(tblDaily[TransfersOut],tblDaily[EntryDate],DATE(2026,6,11),tblDaily[WardCode],"MAE")=0,"",SUMIFS(tblDaily[TransfersOut],tblDaily[EntryDate],DATE(2026,6,11),tblDaily[WardCode],"MAE")),"")</f>
        <v/>
      </c>
      <c r="H212" s="5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IFERROR(IF(SUMIFS(tblDaily[Admissions],tblDaily[EntryDate],DATE(2026,6,12),tblDaily[WardCode],"MAE")=0,"",SUMIFS(tblDaily[Admissions],tblDaily[EntryDate],DATE(2026,6,12),tblDaily[WardCode],"MAE")),"")</f>
        <v/>
      </c>
      <c r="C213" s="5" t="str">
        <f>IFERROR(IF(SUMIFS(tblDaily[Discharges],tblDaily[EntryDate],DATE(2026,6,12),tblDaily[WardCode],"MAE")=0,"",SUMIFS(tblDaily[Discharges],tblDaily[EntryDate],DATE(2026,6,12),tblDaily[WardCode],"MAE")),"")</f>
        <v/>
      </c>
      <c r="D213" s="5" t="str">
        <f>IFERROR(IF(SUMIFS(tblDaily[Deaths],tblDaily[EntryDate],DATE(2026,6,12),tblDaily[WardCode],"MAE")=0,"",SUMIFS(tblDaily[Deaths],tblDaily[EntryDate],DATE(2026,6,12),tblDaily[WardCode],"MAE")),"")</f>
        <v/>
      </c>
      <c r="E213" s="5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5" t="str">
        <f>IFERROR(IF(SUMIFS(tblDaily[TransfersIn],tblDaily[EntryDate],DATE(2026,6,12),tblDaily[WardCode],"MAE")=0,"",SUMIFS(tblDaily[TransfersIn],tblDaily[EntryDate],DATE(2026,6,12),tblDaily[WardCode],"MAE")),"")</f>
        <v/>
      </c>
      <c r="G213" s="5" t="str">
        <f>IFERROR(IF(SUMIFS(tblDaily[TransfersOut],tblDaily[EntryDate],DATE(2026,6,12),tblDaily[WardCode],"MAE")=0,"",SUMIFS(tblDaily[TransfersOut],tblDaily[EntryDate],DATE(2026,6,12),tblDaily[WardCode],"MAE")),"")</f>
        <v/>
      </c>
      <c r="H213" s="5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IFERROR(IF(SUMIFS(tblDaily[Admissions],tblDaily[EntryDate],DATE(2026,6,13),tblDaily[WardCode],"MAE")=0,"",SUMIFS(tblDaily[Admissions],tblDaily[EntryDate],DATE(2026,6,13),tblDaily[WardCode],"MAE")),"")</f>
        <v/>
      </c>
      <c r="C214" s="5" t="str">
        <f>IFERROR(IF(SUMIFS(tblDaily[Discharges],tblDaily[EntryDate],DATE(2026,6,13),tblDaily[WardCode],"MAE")=0,"",SUMIFS(tblDaily[Discharges],tblDaily[EntryDate],DATE(2026,6,13),tblDaily[WardCode],"MAE")),"")</f>
        <v/>
      </c>
      <c r="D214" s="5" t="str">
        <f>IFERROR(IF(SUMIFS(tblDaily[Deaths],tblDaily[EntryDate],DATE(2026,6,13),tblDaily[WardCode],"MAE")=0,"",SUMIFS(tblDaily[Deaths],tblDaily[EntryDate],DATE(2026,6,13),tblDaily[WardCode],"MAE")),"")</f>
        <v/>
      </c>
      <c r="E214" s="5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5" t="str">
        <f>IFERROR(IF(SUMIFS(tblDaily[TransfersIn],tblDaily[EntryDate],DATE(2026,6,13),tblDaily[WardCode],"MAE")=0,"",SUMIFS(tblDaily[TransfersIn],tblDaily[EntryDate],DATE(2026,6,13),tblDaily[WardCode],"MAE")),"")</f>
        <v/>
      </c>
      <c r="G214" s="5" t="str">
        <f>IFERROR(IF(SUMIFS(tblDaily[TransfersOut],tblDaily[EntryDate],DATE(2026,6,13),tblDaily[WardCode],"MAE")=0,"",SUMIFS(tblDaily[TransfersOut],tblDaily[EntryDate],DATE(2026,6,13),tblDaily[WardCode],"MAE")),"")</f>
        <v/>
      </c>
      <c r="H214" s="5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IFERROR(IF(SUMIFS(tblDaily[Admissions],tblDaily[EntryDate],DATE(2026,6,14),tblDaily[WardCode],"MAE")=0,"",SUMIFS(tblDaily[Admissions],tblDaily[EntryDate],DATE(2026,6,14),tblDaily[WardCode],"MAE")),"")</f>
        <v/>
      </c>
      <c r="C215" s="5" t="str">
        <f>IFERROR(IF(SUMIFS(tblDaily[Discharges],tblDaily[EntryDate],DATE(2026,6,14),tblDaily[WardCode],"MAE")=0,"",SUMIFS(tblDaily[Discharges],tblDaily[EntryDate],DATE(2026,6,14),tblDaily[WardCode],"MAE")),"")</f>
        <v/>
      </c>
      <c r="D215" s="5" t="str">
        <f>IFERROR(IF(SUMIFS(tblDaily[Deaths],tblDaily[EntryDate],DATE(2026,6,14),tblDaily[WardCode],"MAE")=0,"",SUMIFS(tblDaily[Deaths],tblDaily[EntryDate],DATE(2026,6,14),tblDaily[WardCode],"MAE")),"")</f>
        <v/>
      </c>
      <c r="E215" s="5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5" t="str">
        <f>IFERROR(IF(SUMIFS(tblDaily[TransfersIn],tblDaily[EntryDate],DATE(2026,6,14),tblDaily[WardCode],"MAE")=0,"",SUMIFS(tblDaily[TransfersIn],tblDaily[EntryDate],DATE(2026,6,14),tblDaily[WardCode],"MAE")),"")</f>
        <v/>
      </c>
      <c r="G215" s="5" t="str">
        <f>IFERROR(IF(SUMIFS(tblDaily[TransfersOut],tblDaily[EntryDate],DATE(2026,6,14),tblDaily[WardCode],"MAE")=0,"",SUMIFS(tblDaily[TransfersOut],tblDaily[EntryDate],DATE(2026,6,14),tblDaily[WardCode],"MAE")),"")</f>
        <v/>
      </c>
      <c r="H215" s="5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IFERROR(IF(SUMIFS(tblDaily[Admissions],tblDaily[EntryDate],DATE(2026,6,15),tblDaily[WardCode],"MAE")=0,"",SUMIFS(tblDaily[Admissions],tblDaily[EntryDate],DATE(2026,6,15),tblDaily[WardCode],"MAE")),"")</f>
        <v/>
      </c>
      <c r="C216" s="5" t="str">
        <f>IFERROR(IF(SUMIFS(tblDaily[Discharges],tblDaily[EntryDate],DATE(2026,6,15),tblDaily[WardCode],"MAE")=0,"",SUMIFS(tblDaily[Discharges],tblDaily[EntryDate],DATE(2026,6,15),tblDaily[WardCode],"MAE")),"")</f>
        <v/>
      </c>
      <c r="D216" s="5" t="str">
        <f>IFERROR(IF(SUMIFS(tblDaily[Deaths],tblDaily[EntryDate],DATE(2026,6,15),tblDaily[WardCode],"MAE")=0,"",SUMIFS(tblDaily[Deaths],tblDaily[EntryDate],DATE(2026,6,15),tblDaily[WardCode],"MAE")),"")</f>
        <v/>
      </c>
      <c r="E216" s="5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5" t="str">
        <f>IFERROR(IF(SUMIFS(tblDaily[TransfersIn],tblDaily[EntryDate],DATE(2026,6,15),tblDaily[WardCode],"MAE")=0,"",SUMIFS(tblDaily[TransfersIn],tblDaily[EntryDate],DATE(2026,6,15),tblDaily[WardCode],"MAE")),"")</f>
        <v/>
      </c>
      <c r="G216" s="5" t="str">
        <f>IFERROR(IF(SUMIFS(tblDaily[TransfersOut],tblDaily[EntryDate],DATE(2026,6,15),tblDaily[WardCode],"MAE")=0,"",SUMIFS(tblDaily[TransfersOut],tblDaily[EntryDate],DATE(2026,6,15),tblDaily[WardCode],"MAE")),"")</f>
        <v/>
      </c>
      <c r="H216" s="5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IFERROR(IF(SUMIFS(tblDaily[Admissions],tblDaily[EntryDate],DATE(2026,6,16),tblDaily[WardCode],"MAE")=0,"",SUMIFS(tblDaily[Admissions],tblDaily[EntryDate],DATE(2026,6,16),tblDaily[WardCode],"MAE")),"")</f>
        <v/>
      </c>
      <c r="C217" s="5" t="str">
        <f>IFERROR(IF(SUMIFS(tblDaily[Discharges],tblDaily[EntryDate],DATE(2026,6,16),tblDaily[WardCode],"MAE")=0,"",SUMIFS(tblDaily[Discharges],tblDaily[EntryDate],DATE(2026,6,16),tblDaily[WardCode],"MAE")),"")</f>
        <v/>
      </c>
      <c r="D217" s="5" t="str">
        <f>IFERROR(IF(SUMIFS(tblDaily[Deaths],tblDaily[EntryDate],DATE(2026,6,16),tblDaily[WardCode],"MAE")=0,"",SUMIFS(tblDaily[Deaths],tblDaily[EntryDate],DATE(2026,6,16),tblDaily[WardCode],"MAE")),"")</f>
        <v/>
      </c>
      <c r="E217" s="5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5" t="str">
        <f>IFERROR(IF(SUMIFS(tblDaily[TransfersIn],tblDaily[EntryDate],DATE(2026,6,16),tblDaily[WardCode],"MAE")=0,"",SUMIFS(tblDaily[TransfersIn],tblDaily[EntryDate],DATE(2026,6,16),tblDaily[WardCode],"MAE")),"")</f>
        <v/>
      </c>
      <c r="G217" s="5" t="str">
        <f>IFERROR(IF(SUMIFS(tblDaily[TransfersOut],tblDaily[EntryDate],DATE(2026,6,16),tblDaily[WardCode],"MAE")=0,"",SUMIFS(tblDaily[TransfersOut],tblDaily[EntryDate],DATE(2026,6,16),tblDaily[WardCode],"MAE")),"")</f>
        <v/>
      </c>
      <c r="H217" s="5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IFERROR(IF(SUMIFS(tblDaily[Admissions],tblDaily[EntryDate],DATE(2026,6,17),tblDaily[WardCode],"MAE")=0,"",SUMIFS(tblDaily[Admissions],tblDaily[EntryDate],DATE(2026,6,17),tblDaily[WardCode],"MAE")),"")</f>
        <v/>
      </c>
      <c r="C218" s="5" t="str">
        <f>IFERROR(IF(SUMIFS(tblDaily[Discharges],tblDaily[EntryDate],DATE(2026,6,17),tblDaily[WardCode],"MAE")=0,"",SUMIFS(tblDaily[Discharges],tblDaily[EntryDate],DATE(2026,6,17),tblDaily[WardCode],"MAE")),"")</f>
        <v/>
      </c>
      <c r="D218" s="5" t="str">
        <f>IFERROR(IF(SUMIFS(tblDaily[Deaths],tblDaily[EntryDate],DATE(2026,6,17),tblDaily[WardCode],"MAE")=0,"",SUMIFS(tblDaily[Deaths],tblDaily[EntryDate],DATE(2026,6,17),tblDaily[WardCode],"MAE")),"")</f>
        <v/>
      </c>
      <c r="E218" s="5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5" t="str">
        <f>IFERROR(IF(SUMIFS(tblDaily[TransfersIn],tblDaily[EntryDate],DATE(2026,6,17),tblDaily[WardCode],"MAE")=0,"",SUMIFS(tblDaily[TransfersIn],tblDaily[EntryDate],DATE(2026,6,17),tblDaily[WardCode],"MAE")),"")</f>
        <v/>
      </c>
      <c r="G218" s="5" t="str">
        <f>IFERROR(IF(SUMIFS(tblDaily[TransfersOut],tblDaily[EntryDate],DATE(2026,6,17),tblDaily[WardCode],"MAE")=0,"",SUMIFS(tblDaily[TransfersOut],tblDaily[EntryDate],DATE(2026,6,17),tblDaily[WardCode],"MAE")),"")</f>
        <v/>
      </c>
      <c r="H218" s="5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IFERROR(IF(SUMIFS(tblDaily[Admissions],tblDaily[EntryDate],DATE(2026,6,18),tblDaily[WardCode],"MAE")=0,"",SUMIFS(tblDaily[Admissions],tblDaily[EntryDate],DATE(2026,6,18),tblDaily[WardCode],"MAE")),"")</f>
        <v/>
      </c>
      <c r="C219" s="5" t="str">
        <f>IFERROR(IF(SUMIFS(tblDaily[Discharges],tblDaily[EntryDate],DATE(2026,6,18),tblDaily[WardCode],"MAE")=0,"",SUMIFS(tblDaily[Discharges],tblDaily[EntryDate],DATE(2026,6,18),tblDaily[WardCode],"MAE")),"")</f>
        <v/>
      </c>
      <c r="D219" s="5" t="str">
        <f>IFERROR(IF(SUMIFS(tblDaily[Deaths],tblDaily[EntryDate],DATE(2026,6,18),tblDaily[WardCode],"MAE")=0,"",SUMIFS(tblDaily[Deaths],tblDaily[EntryDate],DATE(2026,6,18),tblDaily[WardCode],"MAE")),"")</f>
        <v/>
      </c>
      <c r="E219" s="5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5" t="str">
        <f>IFERROR(IF(SUMIFS(tblDaily[TransfersIn],tblDaily[EntryDate],DATE(2026,6,18),tblDaily[WardCode],"MAE")=0,"",SUMIFS(tblDaily[TransfersIn],tblDaily[EntryDate],DATE(2026,6,18),tblDaily[WardCode],"MAE")),"")</f>
        <v/>
      </c>
      <c r="G219" s="5" t="str">
        <f>IFERROR(IF(SUMIFS(tblDaily[TransfersOut],tblDaily[EntryDate],DATE(2026,6,18),tblDaily[WardCode],"MAE")=0,"",SUMIFS(tblDaily[TransfersOut],tblDaily[EntryDate],DATE(2026,6,18),tblDaily[WardCode],"MAE")),"")</f>
        <v/>
      </c>
      <c r="H219" s="5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IFERROR(IF(SUMIFS(tblDaily[Admissions],tblDaily[EntryDate],DATE(2026,6,19),tblDaily[WardCode],"MAE")=0,"",SUMIFS(tblDaily[Admissions],tblDaily[EntryDate],DATE(2026,6,19),tblDaily[WardCode],"MAE")),"")</f>
        <v/>
      </c>
      <c r="C220" s="5" t="str">
        <f>IFERROR(IF(SUMIFS(tblDaily[Discharges],tblDaily[EntryDate],DATE(2026,6,19),tblDaily[WardCode],"MAE")=0,"",SUMIFS(tblDaily[Discharges],tblDaily[EntryDate],DATE(2026,6,19),tblDaily[WardCode],"MAE")),"")</f>
        <v/>
      </c>
      <c r="D220" s="5" t="str">
        <f>IFERROR(IF(SUMIFS(tblDaily[Deaths],tblDaily[EntryDate],DATE(2026,6,19),tblDaily[WardCode],"MAE")=0,"",SUMIFS(tblDaily[Deaths],tblDaily[EntryDate],DATE(2026,6,19),tblDaily[WardCode],"MAE")),"")</f>
        <v/>
      </c>
      <c r="E220" s="5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5" t="str">
        <f>IFERROR(IF(SUMIFS(tblDaily[TransfersIn],tblDaily[EntryDate],DATE(2026,6,19),tblDaily[WardCode],"MAE")=0,"",SUMIFS(tblDaily[TransfersIn],tblDaily[EntryDate],DATE(2026,6,19),tblDaily[WardCode],"MAE")),"")</f>
        <v/>
      </c>
      <c r="G220" s="5" t="str">
        <f>IFERROR(IF(SUMIFS(tblDaily[TransfersOut],tblDaily[EntryDate],DATE(2026,6,19),tblDaily[WardCode],"MAE")=0,"",SUMIFS(tblDaily[TransfersOut],tblDaily[EntryDate],DATE(2026,6,19),tblDaily[WardCode],"MAE")),"")</f>
        <v/>
      </c>
      <c r="H220" s="5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IFERROR(IF(SUMIFS(tblDaily[Admissions],tblDaily[EntryDate],DATE(2026,6,20),tblDaily[WardCode],"MAE")=0,"",SUMIFS(tblDaily[Admissions],tblDaily[EntryDate],DATE(2026,6,20),tblDaily[WardCode],"MAE")),"")</f>
        <v/>
      </c>
      <c r="C221" s="5" t="str">
        <f>IFERROR(IF(SUMIFS(tblDaily[Discharges],tblDaily[EntryDate],DATE(2026,6,20),tblDaily[WardCode],"MAE")=0,"",SUMIFS(tblDaily[Discharges],tblDaily[EntryDate],DATE(2026,6,20),tblDaily[WardCode],"MAE")),"")</f>
        <v/>
      </c>
      <c r="D221" s="5" t="str">
        <f>IFERROR(IF(SUMIFS(tblDaily[Deaths],tblDaily[EntryDate],DATE(2026,6,20),tblDaily[WardCode],"MAE")=0,"",SUMIFS(tblDaily[Deaths],tblDaily[EntryDate],DATE(2026,6,20),tblDaily[WardCode],"MAE")),"")</f>
        <v/>
      </c>
      <c r="E221" s="5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5" t="str">
        <f>IFERROR(IF(SUMIFS(tblDaily[TransfersIn],tblDaily[EntryDate],DATE(2026,6,20),tblDaily[WardCode],"MAE")=0,"",SUMIFS(tblDaily[TransfersIn],tblDaily[EntryDate],DATE(2026,6,20),tblDaily[WardCode],"MAE")),"")</f>
        <v/>
      </c>
      <c r="G221" s="5" t="str">
        <f>IFERROR(IF(SUMIFS(tblDaily[TransfersOut],tblDaily[EntryDate],DATE(2026,6,20),tblDaily[WardCode],"MAE")=0,"",SUMIFS(tblDaily[TransfersOut],tblDaily[EntryDate],DATE(2026,6,20),tblDaily[WardCode],"MAE")),"")</f>
        <v/>
      </c>
      <c r="H221" s="5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IFERROR(IF(SUMIFS(tblDaily[Admissions],tblDaily[EntryDate],DATE(2026,6,21),tblDaily[WardCode],"MAE")=0,"",SUMIFS(tblDaily[Admissions],tblDaily[EntryDate],DATE(2026,6,21),tblDaily[WardCode],"MAE")),"")</f>
        <v/>
      </c>
      <c r="C222" s="5" t="str">
        <f>IFERROR(IF(SUMIFS(tblDaily[Discharges],tblDaily[EntryDate],DATE(2026,6,21),tblDaily[WardCode],"MAE")=0,"",SUMIFS(tblDaily[Discharges],tblDaily[EntryDate],DATE(2026,6,21),tblDaily[WardCode],"MAE")),"")</f>
        <v/>
      </c>
      <c r="D222" s="5" t="str">
        <f>IFERROR(IF(SUMIFS(tblDaily[Deaths],tblDaily[EntryDate],DATE(2026,6,21),tblDaily[WardCode],"MAE")=0,"",SUMIFS(tblDaily[Deaths],tblDaily[EntryDate],DATE(2026,6,21),tblDaily[WardCode],"MAE")),"")</f>
        <v/>
      </c>
      <c r="E222" s="5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5" t="str">
        <f>IFERROR(IF(SUMIFS(tblDaily[TransfersIn],tblDaily[EntryDate],DATE(2026,6,21),tblDaily[WardCode],"MAE")=0,"",SUMIFS(tblDaily[TransfersIn],tblDaily[EntryDate],DATE(2026,6,21),tblDaily[WardCode],"MAE")),"")</f>
        <v/>
      </c>
      <c r="G222" s="5" t="str">
        <f>IFERROR(IF(SUMIFS(tblDaily[TransfersOut],tblDaily[EntryDate],DATE(2026,6,21),tblDaily[WardCode],"MAE")=0,"",SUMIFS(tblDaily[TransfersOut],tblDaily[EntryDate],DATE(2026,6,21),tblDaily[WardCode],"MAE")),"")</f>
        <v/>
      </c>
      <c r="H222" s="5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IFERROR(IF(SUMIFS(tblDaily[Admissions],tblDaily[EntryDate],DATE(2026,6,22),tblDaily[WardCode],"MAE")=0,"",SUMIFS(tblDaily[Admissions],tblDaily[EntryDate],DATE(2026,6,22),tblDaily[WardCode],"MAE")),"")</f>
        <v/>
      </c>
      <c r="C223" s="5" t="str">
        <f>IFERROR(IF(SUMIFS(tblDaily[Discharges],tblDaily[EntryDate],DATE(2026,6,22),tblDaily[WardCode],"MAE")=0,"",SUMIFS(tblDaily[Discharges],tblDaily[EntryDate],DATE(2026,6,22),tblDaily[WardCode],"MAE")),"")</f>
        <v/>
      </c>
      <c r="D223" s="5" t="str">
        <f>IFERROR(IF(SUMIFS(tblDaily[Deaths],tblDaily[EntryDate],DATE(2026,6,22),tblDaily[WardCode],"MAE")=0,"",SUMIFS(tblDaily[Deaths],tblDaily[EntryDate],DATE(2026,6,22),tblDaily[WardCode],"MAE")),"")</f>
        <v/>
      </c>
      <c r="E223" s="5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5" t="str">
        <f>IFERROR(IF(SUMIFS(tblDaily[TransfersIn],tblDaily[EntryDate],DATE(2026,6,22),tblDaily[WardCode],"MAE")=0,"",SUMIFS(tblDaily[TransfersIn],tblDaily[EntryDate],DATE(2026,6,22),tblDaily[WardCode],"MAE")),"")</f>
        <v/>
      </c>
      <c r="G223" s="5" t="str">
        <f>IFERROR(IF(SUMIFS(tblDaily[TransfersOut],tblDaily[EntryDate],DATE(2026,6,22),tblDaily[WardCode],"MAE")=0,"",SUMIFS(tblDaily[TransfersOut],tblDaily[EntryDate],DATE(2026,6,22),tblDaily[WardCode],"MAE")),"")</f>
        <v/>
      </c>
      <c r="H223" s="5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IFERROR(IF(SUMIFS(tblDaily[Admissions],tblDaily[EntryDate],DATE(2026,6,23),tblDaily[WardCode],"MAE")=0,"",SUMIFS(tblDaily[Admissions],tblDaily[EntryDate],DATE(2026,6,23),tblDaily[WardCode],"MAE")),"")</f>
        <v/>
      </c>
      <c r="C224" s="5" t="str">
        <f>IFERROR(IF(SUMIFS(tblDaily[Discharges],tblDaily[EntryDate],DATE(2026,6,23),tblDaily[WardCode],"MAE")=0,"",SUMIFS(tblDaily[Discharges],tblDaily[EntryDate],DATE(2026,6,23),tblDaily[WardCode],"MAE")),"")</f>
        <v/>
      </c>
      <c r="D224" s="5" t="str">
        <f>IFERROR(IF(SUMIFS(tblDaily[Deaths],tblDaily[EntryDate],DATE(2026,6,23),tblDaily[WardCode],"MAE")=0,"",SUMIFS(tblDaily[Deaths],tblDaily[EntryDate],DATE(2026,6,23),tblDaily[WardCode],"MAE")),"")</f>
        <v/>
      </c>
      <c r="E224" s="5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5" t="str">
        <f>IFERROR(IF(SUMIFS(tblDaily[TransfersIn],tblDaily[EntryDate],DATE(2026,6,23),tblDaily[WardCode],"MAE")=0,"",SUMIFS(tblDaily[TransfersIn],tblDaily[EntryDate],DATE(2026,6,23),tblDaily[WardCode],"MAE")),"")</f>
        <v/>
      </c>
      <c r="G224" s="5" t="str">
        <f>IFERROR(IF(SUMIFS(tblDaily[TransfersOut],tblDaily[EntryDate],DATE(2026,6,23),tblDaily[WardCode],"MAE")=0,"",SUMIFS(tblDaily[TransfersOut],tblDaily[EntryDate],DATE(2026,6,23),tblDaily[WardCode],"MAE")),"")</f>
        <v/>
      </c>
      <c r="H224" s="5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IFERROR(IF(SUMIFS(tblDaily[Admissions],tblDaily[EntryDate],DATE(2026,6,24),tblDaily[WardCode],"MAE")=0,"",SUMIFS(tblDaily[Admissions],tblDaily[EntryDate],DATE(2026,6,24),tblDaily[WardCode],"MAE")),"")</f>
        <v/>
      </c>
      <c r="C225" s="5" t="str">
        <f>IFERROR(IF(SUMIFS(tblDaily[Discharges],tblDaily[EntryDate],DATE(2026,6,24),tblDaily[WardCode],"MAE")=0,"",SUMIFS(tblDaily[Discharges],tblDaily[EntryDate],DATE(2026,6,24),tblDaily[WardCode],"MAE")),"")</f>
        <v/>
      </c>
      <c r="D225" s="5" t="str">
        <f>IFERROR(IF(SUMIFS(tblDaily[Deaths],tblDaily[EntryDate],DATE(2026,6,24),tblDaily[WardCode],"MAE")=0,"",SUMIFS(tblDaily[Deaths],tblDaily[EntryDate],DATE(2026,6,24),tblDaily[WardCode],"MAE")),"")</f>
        <v/>
      </c>
      <c r="E225" s="5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5" t="str">
        <f>IFERROR(IF(SUMIFS(tblDaily[TransfersIn],tblDaily[EntryDate],DATE(2026,6,24),tblDaily[WardCode],"MAE")=0,"",SUMIFS(tblDaily[TransfersIn],tblDaily[EntryDate],DATE(2026,6,24),tblDaily[WardCode],"MAE")),"")</f>
        <v/>
      </c>
      <c r="G225" s="5" t="str">
        <f>IFERROR(IF(SUMIFS(tblDaily[TransfersOut],tblDaily[EntryDate],DATE(2026,6,24),tblDaily[WardCode],"MAE")=0,"",SUMIFS(tblDaily[TransfersOut],tblDaily[EntryDate],DATE(2026,6,24),tblDaily[WardCode],"MAE")),"")</f>
        <v/>
      </c>
      <c r="H225" s="5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IFERROR(IF(SUMIFS(tblDaily[Admissions],tblDaily[EntryDate],DATE(2026,6,25),tblDaily[WardCode],"MAE")=0,"",SUMIFS(tblDaily[Admissions],tblDaily[EntryDate],DATE(2026,6,25),tblDaily[WardCode],"MAE")),"")</f>
        <v/>
      </c>
      <c r="C226" s="5" t="str">
        <f>IFERROR(IF(SUMIFS(tblDaily[Discharges],tblDaily[EntryDate],DATE(2026,6,25),tblDaily[WardCode],"MAE")=0,"",SUMIFS(tblDaily[Discharges],tblDaily[EntryDate],DATE(2026,6,25),tblDaily[WardCode],"MAE")),"")</f>
        <v/>
      </c>
      <c r="D226" s="5" t="str">
        <f>IFERROR(IF(SUMIFS(tblDaily[Deaths],tblDaily[EntryDate],DATE(2026,6,25),tblDaily[WardCode],"MAE")=0,"",SUMIFS(tblDaily[Deaths],tblDaily[EntryDate],DATE(2026,6,25),tblDaily[WardCode],"MAE")),"")</f>
        <v/>
      </c>
      <c r="E226" s="5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5" t="str">
        <f>IFERROR(IF(SUMIFS(tblDaily[TransfersIn],tblDaily[EntryDate],DATE(2026,6,25),tblDaily[WardCode],"MAE")=0,"",SUMIFS(tblDaily[TransfersIn],tblDaily[EntryDate],DATE(2026,6,25),tblDaily[WardCode],"MAE")),"")</f>
        <v/>
      </c>
      <c r="G226" s="5" t="str">
        <f>IFERROR(IF(SUMIFS(tblDaily[TransfersOut],tblDaily[EntryDate],DATE(2026,6,25),tblDaily[WardCode],"MAE")=0,"",SUMIFS(tblDaily[TransfersOut],tblDaily[EntryDate],DATE(2026,6,25),tblDaily[WardCode],"MAE")),"")</f>
        <v/>
      </c>
      <c r="H226" s="5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IFERROR(IF(SUMIFS(tblDaily[Admissions],tblDaily[EntryDate],DATE(2026,6,26),tblDaily[WardCode],"MAE")=0,"",SUMIFS(tblDaily[Admissions],tblDaily[EntryDate],DATE(2026,6,26),tblDaily[WardCode],"MAE")),"")</f>
        <v/>
      </c>
      <c r="C227" s="5" t="str">
        <f>IFERROR(IF(SUMIFS(tblDaily[Discharges],tblDaily[EntryDate],DATE(2026,6,26),tblDaily[WardCode],"MAE")=0,"",SUMIFS(tblDaily[Discharges],tblDaily[EntryDate],DATE(2026,6,26),tblDaily[WardCode],"MAE")),"")</f>
        <v/>
      </c>
      <c r="D227" s="5" t="str">
        <f>IFERROR(IF(SUMIFS(tblDaily[Deaths],tblDaily[EntryDate],DATE(2026,6,26),tblDaily[WardCode],"MAE")=0,"",SUMIFS(tblDaily[Deaths],tblDaily[EntryDate],DATE(2026,6,26),tblDaily[WardCode],"MAE")),"")</f>
        <v/>
      </c>
      <c r="E227" s="5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5" t="str">
        <f>IFERROR(IF(SUMIFS(tblDaily[TransfersIn],tblDaily[EntryDate],DATE(2026,6,26),tblDaily[WardCode],"MAE")=0,"",SUMIFS(tblDaily[TransfersIn],tblDaily[EntryDate],DATE(2026,6,26),tblDaily[WardCode],"MAE")),"")</f>
        <v/>
      </c>
      <c r="G227" s="5" t="str">
        <f>IFERROR(IF(SUMIFS(tblDaily[TransfersOut],tblDaily[EntryDate],DATE(2026,6,26),tblDaily[WardCode],"MAE")=0,"",SUMIFS(tblDaily[TransfersOut],tblDaily[EntryDate],DATE(2026,6,26),tblDaily[WardCode],"MAE")),"")</f>
        <v/>
      </c>
      <c r="H227" s="5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IFERROR(IF(SUMIFS(tblDaily[Admissions],tblDaily[EntryDate],DATE(2026,6,27),tblDaily[WardCode],"MAE")=0,"",SUMIFS(tblDaily[Admissions],tblDaily[EntryDate],DATE(2026,6,27),tblDaily[WardCode],"MAE")),"")</f>
        <v/>
      </c>
      <c r="C228" s="5" t="str">
        <f>IFERROR(IF(SUMIFS(tblDaily[Discharges],tblDaily[EntryDate],DATE(2026,6,27),tblDaily[WardCode],"MAE")=0,"",SUMIFS(tblDaily[Discharges],tblDaily[EntryDate],DATE(2026,6,27),tblDaily[WardCode],"MAE")),"")</f>
        <v/>
      </c>
      <c r="D228" s="5" t="str">
        <f>IFERROR(IF(SUMIFS(tblDaily[Deaths],tblDaily[EntryDate],DATE(2026,6,27),tblDaily[WardCode],"MAE")=0,"",SUMIFS(tblDaily[Deaths],tblDaily[EntryDate],DATE(2026,6,27),tblDaily[WardCode],"MAE")),"")</f>
        <v/>
      </c>
      <c r="E228" s="5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5" t="str">
        <f>IFERROR(IF(SUMIFS(tblDaily[TransfersIn],tblDaily[EntryDate],DATE(2026,6,27),tblDaily[WardCode],"MAE")=0,"",SUMIFS(tblDaily[TransfersIn],tblDaily[EntryDate],DATE(2026,6,27),tblDaily[WardCode],"MAE")),"")</f>
        <v/>
      </c>
      <c r="G228" s="5" t="str">
        <f>IFERROR(IF(SUMIFS(tblDaily[TransfersOut],tblDaily[EntryDate],DATE(2026,6,27),tblDaily[WardCode],"MAE")=0,"",SUMIFS(tblDaily[TransfersOut],tblDaily[EntryDate],DATE(2026,6,27),tblDaily[WardCode],"MAE")),"")</f>
        <v/>
      </c>
      <c r="H228" s="5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IFERROR(IF(SUMIFS(tblDaily[Admissions],tblDaily[EntryDate],DATE(2026,6,28),tblDaily[WardCode],"MAE")=0,"",SUMIFS(tblDaily[Admissions],tblDaily[EntryDate],DATE(2026,6,28),tblDaily[WardCode],"MAE")),"")</f>
        <v/>
      </c>
      <c r="C229" s="5" t="str">
        <f>IFERROR(IF(SUMIFS(tblDaily[Discharges],tblDaily[EntryDate],DATE(2026,6,28),tblDaily[WardCode],"MAE")=0,"",SUMIFS(tblDaily[Discharges],tblDaily[EntryDate],DATE(2026,6,28),tblDaily[WardCode],"MAE")),"")</f>
        <v/>
      </c>
      <c r="D229" s="5" t="str">
        <f>IFERROR(IF(SUMIFS(tblDaily[Deaths],tblDaily[EntryDate],DATE(2026,6,28),tblDaily[WardCode],"MAE")=0,"",SUMIFS(tblDaily[Deaths],tblDaily[EntryDate],DATE(2026,6,28),tblDaily[WardCode],"MAE")),"")</f>
        <v/>
      </c>
      <c r="E229" s="5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5" t="str">
        <f>IFERROR(IF(SUMIFS(tblDaily[TransfersIn],tblDaily[EntryDate],DATE(2026,6,28),tblDaily[WardCode],"MAE")=0,"",SUMIFS(tblDaily[TransfersIn],tblDaily[EntryDate],DATE(2026,6,28),tblDaily[WardCode],"MAE")),"")</f>
        <v/>
      </c>
      <c r="G229" s="5" t="str">
        <f>IFERROR(IF(SUMIFS(tblDaily[TransfersOut],tblDaily[EntryDate],DATE(2026,6,28),tblDaily[WardCode],"MAE")=0,"",SUMIFS(tblDaily[TransfersOut],tblDaily[EntryDate],DATE(2026,6,28),tblDaily[WardCode],"MAE")),"")</f>
        <v/>
      </c>
      <c r="H229" s="5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IFERROR(IF(SUMIFS(tblDaily[Admissions],tblDaily[EntryDate],DATE(2026,6,29),tblDaily[WardCode],"MAE")=0,"",SUMIFS(tblDaily[Admissions],tblDaily[EntryDate],DATE(2026,6,29),tblDaily[WardCode],"MAE")),"")</f>
        <v/>
      </c>
      <c r="C230" s="5" t="str">
        <f>IFERROR(IF(SUMIFS(tblDaily[Discharges],tblDaily[EntryDate],DATE(2026,6,29),tblDaily[WardCode],"MAE")=0,"",SUMIFS(tblDaily[Discharges],tblDaily[EntryDate],DATE(2026,6,29),tblDaily[WardCode],"MAE")),"")</f>
        <v/>
      </c>
      <c r="D230" s="5" t="str">
        <f>IFERROR(IF(SUMIFS(tblDaily[Deaths],tblDaily[EntryDate],DATE(2026,6,29),tblDaily[WardCode],"MAE")=0,"",SUMIFS(tblDaily[Deaths],tblDaily[EntryDate],DATE(2026,6,29),tblDaily[WardCode],"MAE")),"")</f>
        <v/>
      </c>
      <c r="E230" s="5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5" t="str">
        <f>IFERROR(IF(SUMIFS(tblDaily[TransfersIn],tblDaily[EntryDate],DATE(2026,6,29),tblDaily[WardCode],"MAE")=0,"",SUMIFS(tblDaily[TransfersIn],tblDaily[EntryDate],DATE(2026,6,29),tblDaily[WardCode],"MAE")),"")</f>
        <v/>
      </c>
      <c r="G230" s="5" t="str">
        <f>IFERROR(IF(SUMIFS(tblDaily[TransfersOut],tblDaily[EntryDate],DATE(2026,6,29),tblDaily[WardCode],"MAE")=0,"",SUMIFS(tblDaily[TransfersOut],tblDaily[EntryDate],DATE(2026,6,29),tblDaily[WardCode],"MAE")),"")</f>
        <v/>
      </c>
      <c r="H230" s="5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IFERROR(IF(SUMIFS(tblDaily[Admissions],tblDaily[EntryDate],DATE(2026,6,30),tblDaily[WardCode],"MAE")=0,"",SUMIFS(tblDaily[Admissions],tblDaily[EntryDate],DATE(2026,6,30),tblDaily[WardCode],"MAE")),"")</f>
        <v/>
      </c>
      <c r="C231" s="5" t="str">
        <f>IFERROR(IF(SUMIFS(tblDaily[Discharges],tblDaily[EntryDate],DATE(2026,6,30),tblDaily[WardCode],"MAE")=0,"",SUMIFS(tblDaily[Discharges],tblDaily[EntryDate],DATE(2026,6,30),tblDaily[WardCode],"MAE")),"")</f>
        <v/>
      </c>
      <c r="D231" s="5" t="str">
        <f>IFERROR(IF(SUMIFS(tblDaily[Deaths],tblDaily[EntryDate],DATE(2026,6,30),tblDaily[WardCode],"MAE")=0,"",SUMIFS(tblDaily[Deaths],tblDaily[EntryDate],DATE(2026,6,30),tblDaily[WardCode],"MAE")),"")</f>
        <v/>
      </c>
      <c r="E231" s="5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5" t="str">
        <f>IFERROR(IF(SUMIFS(tblDaily[TransfersIn],tblDaily[EntryDate],DATE(2026,6,30),tblDaily[WardCode],"MAE")=0,"",SUMIFS(tblDaily[TransfersIn],tblDaily[EntryDate],DATE(2026,6,30),tblDaily[WardCode],"MAE")),"")</f>
        <v/>
      </c>
      <c r="G231" s="5" t="str">
        <f>IFERROR(IF(SUMIFS(tblDaily[TransfersOut],tblDaily[EntryDate],DATE(2026,6,30),tblDaily[WardCode],"MAE")=0,"",SUMIFS(tblDaily[TransfersOut],tblDaily[EntryDate],DATE(2026,6,30),tblDaily[WardCode],"MAE")),"")</f>
        <v/>
      </c>
      <c r="H231" s="5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102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89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IFERROR(IF(SUMIFS(tblDaily[Admissions],tblDaily[EntryDate],DATE(2026,7,1),tblDaily[WardCode],"MAE")=0,"",SUMIFS(tblDaily[Admissions],tblDaily[EntryDate],DATE(2026,7,1),tblDaily[WardCode],"MAE")),"")</f>
        <v/>
      </c>
      <c r="C241" s="5" t="str">
        <f>IFERROR(IF(SUMIFS(tblDaily[Discharges],tblDaily[EntryDate],DATE(2026,7,1),tblDaily[WardCode],"MAE")=0,"",SUMIFS(tblDaily[Discharges],tblDaily[EntryDate],DATE(2026,7,1),tblDaily[WardCode],"MAE")),"")</f>
        <v/>
      </c>
      <c r="D241" s="5" t="str">
        <f>IFERROR(IF(SUMIFS(tblDaily[Deaths],tblDaily[EntryDate],DATE(2026,7,1),tblDaily[WardCode],"MAE")=0,"",SUMIFS(tblDaily[Deaths],tblDaily[EntryDate],DATE(2026,7,1),tblDaily[WardCode],"MAE")),"")</f>
        <v/>
      </c>
      <c r="E241" s="5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5" t="str">
        <f>IFERROR(IF(SUMIFS(tblDaily[TransfersIn],tblDaily[EntryDate],DATE(2026,7,1),tblDaily[WardCode],"MAE")=0,"",SUMIFS(tblDaily[TransfersIn],tblDaily[EntryDate],DATE(2026,7,1),tblDaily[WardCode],"MAE")),"")</f>
        <v/>
      </c>
      <c r="G241" s="5" t="str">
        <f>IFERROR(IF(SUMIFS(tblDaily[TransfersOut],tblDaily[EntryDate],DATE(2026,7,1),tblDaily[WardCode],"MAE")=0,"",SUMIFS(tblDaily[TransfersOut],tblDaily[EntryDate],DATE(2026,7,1),tblDaily[WardCode],"MAE")),"")</f>
        <v/>
      </c>
      <c r="H241" s="5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IFERROR(IF(SUMIFS(tblDaily[Admissions],tblDaily[EntryDate],DATE(2026,7,2),tblDaily[WardCode],"MAE")=0,"",SUMIFS(tblDaily[Admissions],tblDaily[EntryDate],DATE(2026,7,2),tblDaily[WardCode],"MAE")),"")</f>
        <v/>
      </c>
      <c r="C242" s="5" t="str">
        <f>IFERROR(IF(SUMIFS(tblDaily[Discharges],tblDaily[EntryDate],DATE(2026,7,2),tblDaily[WardCode],"MAE")=0,"",SUMIFS(tblDaily[Discharges],tblDaily[EntryDate],DATE(2026,7,2),tblDaily[WardCode],"MAE")),"")</f>
        <v/>
      </c>
      <c r="D242" s="5" t="str">
        <f>IFERROR(IF(SUMIFS(tblDaily[Deaths],tblDaily[EntryDate],DATE(2026,7,2),tblDaily[WardCode],"MAE")=0,"",SUMIFS(tblDaily[Deaths],tblDaily[EntryDate],DATE(2026,7,2),tblDaily[WardCode],"MAE")),"")</f>
        <v/>
      </c>
      <c r="E242" s="5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5" t="str">
        <f>IFERROR(IF(SUMIFS(tblDaily[TransfersIn],tblDaily[EntryDate],DATE(2026,7,2),tblDaily[WardCode],"MAE")=0,"",SUMIFS(tblDaily[TransfersIn],tblDaily[EntryDate],DATE(2026,7,2),tblDaily[WardCode],"MAE")),"")</f>
        <v/>
      </c>
      <c r="G242" s="5" t="str">
        <f>IFERROR(IF(SUMIFS(tblDaily[TransfersOut],tblDaily[EntryDate],DATE(2026,7,2),tblDaily[WardCode],"MAE")=0,"",SUMIFS(tblDaily[TransfersOut],tblDaily[EntryDate],DATE(2026,7,2),tblDaily[WardCode],"MAE")),"")</f>
        <v/>
      </c>
      <c r="H242" s="5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IFERROR(IF(SUMIFS(tblDaily[Admissions],tblDaily[EntryDate],DATE(2026,7,3),tblDaily[WardCode],"MAE")=0,"",SUMIFS(tblDaily[Admissions],tblDaily[EntryDate],DATE(2026,7,3),tblDaily[WardCode],"MAE")),"")</f>
        <v/>
      </c>
      <c r="C243" s="5" t="str">
        <f>IFERROR(IF(SUMIFS(tblDaily[Discharges],tblDaily[EntryDate],DATE(2026,7,3),tblDaily[WardCode],"MAE")=0,"",SUMIFS(tblDaily[Discharges],tblDaily[EntryDate],DATE(2026,7,3),tblDaily[WardCode],"MAE")),"")</f>
        <v/>
      </c>
      <c r="D243" s="5" t="str">
        <f>IFERROR(IF(SUMIFS(tblDaily[Deaths],tblDaily[EntryDate],DATE(2026,7,3),tblDaily[WardCode],"MAE")=0,"",SUMIFS(tblDaily[Deaths],tblDaily[EntryDate],DATE(2026,7,3),tblDaily[WardCode],"MAE")),"")</f>
        <v/>
      </c>
      <c r="E243" s="5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5" t="str">
        <f>IFERROR(IF(SUMIFS(tblDaily[TransfersIn],tblDaily[EntryDate],DATE(2026,7,3),tblDaily[WardCode],"MAE")=0,"",SUMIFS(tblDaily[TransfersIn],tblDaily[EntryDate],DATE(2026,7,3),tblDaily[WardCode],"MAE")),"")</f>
        <v/>
      </c>
      <c r="G243" s="5" t="str">
        <f>IFERROR(IF(SUMIFS(tblDaily[TransfersOut],tblDaily[EntryDate],DATE(2026,7,3),tblDaily[WardCode],"MAE")=0,"",SUMIFS(tblDaily[TransfersOut],tblDaily[EntryDate],DATE(2026,7,3),tblDaily[WardCode],"MAE")),"")</f>
        <v/>
      </c>
      <c r="H243" s="5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IFERROR(IF(SUMIFS(tblDaily[Admissions],tblDaily[EntryDate],DATE(2026,7,4),tblDaily[WardCode],"MAE")=0,"",SUMIFS(tblDaily[Admissions],tblDaily[EntryDate],DATE(2026,7,4),tblDaily[WardCode],"MAE")),"")</f>
        <v/>
      </c>
      <c r="C244" s="5" t="str">
        <f>IFERROR(IF(SUMIFS(tblDaily[Discharges],tblDaily[EntryDate],DATE(2026,7,4),tblDaily[WardCode],"MAE")=0,"",SUMIFS(tblDaily[Discharges],tblDaily[EntryDate],DATE(2026,7,4),tblDaily[WardCode],"MAE")),"")</f>
        <v/>
      </c>
      <c r="D244" s="5" t="str">
        <f>IFERROR(IF(SUMIFS(tblDaily[Deaths],tblDaily[EntryDate],DATE(2026,7,4),tblDaily[WardCode],"MAE")=0,"",SUMIFS(tblDaily[Deaths],tblDaily[EntryDate],DATE(2026,7,4),tblDaily[WardCode],"MAE")),"")</f>
        <v/>
      </c>
      <c r="E244" s="5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5" t="str">
        <f>IFERROR(IF(SUMIFS(tblDaily[TransfersIn],tblDaily[EntryDate],DATE(2026,7,4),tblDaily[WardCode],"MAE")=0,"",SUMIFS(tblDaily[TransfersIn],tblDaily[EntryDate],DATE(2026,7,4),tblDaily[WardCode],"MAE")),"")</f>
        <v/>
      </c>
      <c r="G244" s="5" t="str">
        <f>IFERROR(IF(SUMIFS(tblDaily[TransfersOut],tblDaily[EntryDate],DATE(2026,7,4),tblDaily[WardCode],"MAE")=0,"",SUMIFS(tblDaily[TransfersOut],tblDaily[EntryDate],DATE(2026,7,4),tblDaily[WardCode],"MAE")),"")</f>
        <v/>
      </c>
      <c r="H244" s="5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IFERROR(IF(SUMIFS(tblDaily[Admissions],tblDaily[EntryDate],DATE(2026,7,5),tblDaily[WardCode],"MAE")=0,"",SUMIFS(tblDaily[Admissions],tblDaily[EntryDate],DATE(2026,7,5),tblDaily[WardCode],"MAE")),"")</f>
        <v/>
      </c>
      <c r="C245" s="5" t="str">
        <f>IFERROR(IF(SUMIFS(tblDaily[Discharges],tblDaily[EntryDate],DATE(2026,7,5),tblDaily[WardCode],"MAE")=0,"",SUMIFS(tblDaily[Discharges],tblDaily[EntryDate],DATE(2026,7,5),tblDaily[WardCode],"MAE")),"")</f>
        <v/>
      </c>
      <c r="D245" s="5" t="str">
        <f>IFERROR(IF(SUMIFS(tblDaily[Deaths],tblDaily[EntryDate],DATE(2026,7,5),tblDaily[WardCode],"MAE")=0,"",SUMIFS(tblDaily[Deaths],tblDaily[EntryDate],DATE(2026,7,5),tblDaily[WardCode],"MAE")),"")</f>
        <v/>
      </c>
      <c r="E245" s="5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5" t="str">
        <f>IFERROR(IF(SUMIFS(tblDaily[TransfersIn],tblDaily[EntryDate],DATE(2026,7,5),tblDaily[WardCode],"MAE")=0,"",SUMIFS(tblDaily[TransfersIn],tblDaily[EntryDate],DATE(2026,7,5),tblDaily[WardCode],"MAE")),"")</f>
        <v/>
      </c>
      <c r="G245" s="5" t="str">
        <f>IFERROR(IF(SUMIFS(tblDaily[TransfersOut],tblDaily[EntryDate],DATE(2026,7,5),tblDaily[WardCode],"MAE")=0,"",SUMIFS(tblDaily[TransfersOut],tblDaily[EntryDate],DATE(2026,7,5),tblDaily[WardCode],"MAE")),"")</f>
        <v/>
      </c>
      <c r="H245" s="5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IFERROR(IF(SUMIFS(tblDaily[Admissions],tblDaily[EntryDate],DATE(2026,7,6),tblDaily[WardCode],"MAE")=0,"",SUMIFS(tblDaily[Admissions],tblDaily[EntryDate],DATE(2026,7,6),tblDaily[WardCode],"MAE")),"")</f>
        <v/>
      </c>
      <c r="C246" s="5" t="str">
        <f>IFERROR(IF(SUMIFS(tblDaily[Discharges],tblDaily[EntryDate],DATE(2026,7,6),tblDaily[WardCode],"MAE")=0,"",SUMIFS(tblDaily[Discharges],tblDaily[EntryDate],DATE(2026,7,6),tblDaily[WardCode],"MAE")),"")</f>
        <v/>
      </c>
      <c r="D246" s="5" t="str">
        <f>IFERROR(IF(SUMIFS(tblDaily[Deaths],tblDaily[EntryDate],DATE(2026,7,6),tblDaily[WardCode],"MAE")=0,"",SUMIFS(tblDaily[Deaths],tblDaily[EntryDate],DATE(2026,7,6),tblDaily[WardCode],"MAE")),"")</f>
        <v/>
      </c>
      <c r="E246" s="5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5" t="str">
        <f>IFERROR(IF(SUMIFS(tblDaily[TransfersIn],tblDaily[EntryDate],DATE(2026,7,6),tblDaily[WardCode],"MAE")=0,"",SUMIFS(tblDaily[TransfersIn],tblDaily[EntryDate],DATE(2026,7,6),tblDaily[WardCode],"MAE")),"")</f>
        <v/>
      </c>
      <c r="G246" s="5" t="str">
        <f>IFERROR(IF(SUMIFS(tblDaily[TransfersOut],tblDaily[EntryDate],DATE(2026,7,6),tblDaily[WardCode],"MAE")=0,"",SUMIFS(tblDaily[TransfersOut],tblDaily[EntryDate],DATE(2026,7,6),tblDaily[WardCode],"MAE")),"")</f>
        <v/>
      </c>
      <c r="H246" s="5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IFERROR(IF(SUMIFS(tblDaily[Admissions],tblDaily[EntryDate],DATE(2026,7,7),tblDaily[WardCode],"MAE")=0,"",SUMIFS(tblDaily[Admissions],tblDaily[EntryDate],DATE(2026,7,7),tblDaily[WardCode],"MAE")),"")</f>
        <v/>
      </c>
      <c r="C247" s="5" t="str">
        <f>IFERROR(IF(SUMIFS(tblDaily[Discharges],tblDaily[EntryDate],DATE(2026,7,7),tblDaily[WardCode],"MAE")=0,"",SUMIFS(tblDaily[Discharges],tblDaily[EntryDate],DATE(2026,7,7),tblDaily[WardCode],"MAE")),"")</f>
        <v/>
      </c>
      <c r="D247" s="5" t="str">
        <f>IFERROR(IF(SUMIFS(tblDaily[Deaths],tblDaily[EntryDate],DATE(2026,7,7),tblDaily[WardCode],"MAE")=0,"",SUMIFS(tblDaily[Deaths],tblDaily[EntryDate],DATE(2026,7,7),tblDaily[WardCode],"MAE")),"")</f>
        <v/>
      </c>
      <c r="E247" s="5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5" t="str">
        <f>IFERROR(IF(SUMIFS(tblDaily[TransfersIn],tblDaily[EntryDate],DATE(2026,7,7),tblDaily[WardCode],"MAE")=0,"",SUMIFS(tblDaily[TransfersIn],tblDaily[EntryDate],DATE(2026,7,7),tblDaily[WardCode],"MAE")),"")</f>
        <v/>
      </c>
      <c r="G247" s="5" t="str">
        <f>IFERROR(IF(SUMIFS(tblDaily[TransfersOut],tblDaily[EntryDate],DATE(2026,7,7),tblDaily[WardCode],"MAE")=0,"",SUMIFS(tblDaily[TransfersOut],tblDaily[EntryDate],DATE(2026,7,7),tblDaily[WardCode],"MAE")),"")</f>
        <v/>
      </c>
      <c r="H247" s="5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IFERROR(IF(SUMIFS(tblDaily[Admissions],tblDaily[EntryDate],DATE(2026,7,8),tblDaily[WardCode],"MAE")=0,"",SUMIFS(tblDaily[Admissions],tblDaily[EntryDate],DATE(2026,7,8),tblDaily[WardCode],"MAE")),"")</f>
        <v/>
      </c>
      <c r="C248" s="5" t="str">
        <f>IFERROR(IF(SUMIFS(tblDaily[Discharges],tblDaily[EntryDate],DATE(2026,7,8),tblDaily[WardCode],"MAE")=0,"",SUMIFS(tblDaily[Discharges],tblDaily[EntryDate],DATE(2026,7,8),tblDaily[WardCode],"MAE")),"")</f>
        <v/>
      </c>
      <c r="D248" s="5" t="str">
        <f>IFERROR(IF(SUMIFS(tblDaily[Deaths],tblDaily[EntryDate],DATE(2026,7,8),tblDaily[WardCode],"MAE")=0,"",SUMIFS(tblDaily[Deaths],tblDaily[EntryDate],DATE(2026,7,8),tblDaily[WardCode],"MAE")),"")</f>
        <v/>
      </c>
      <c r="E248" s="5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5" t="str">
        <f>IFERROR(IF(SUMIFS(tblDaily[TransfersIn],tblDaily[EntryDate],DATE(2026,7,8),tblDaily[WardCode],"MAE")=0,"",SUMIFS(tblDaily[TransfersIn],tblDaily[EntryDate],DATE(2026,7,8),tblDaily[WardCode],"MAE")),"")</f>
        <v/>
      </c>
      <c r="G248" s="5" t="str">
        <f>IFERROR(IF(SUMIFS(tblDaily[TransfersOut],tblDaily[EntryDate],DATE(2026,7,8),tblDaily[WardCode],"MAE")=0,"",SUMIFS(tblDaily[TransfersOut],tblDaily[EntryDate],DATE(2026,7,8),tblDaily[WardCode],"MAE")),"")</f>
        <v/>
      </c>
      <c r="H248" s="5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IFERROR(IF(SUMIFS(tblDaily[Admissions],tblDaily[EntryDate],DATE(2026,7,9),tblDaily[WardCode],"MAE")=0,"",SUMIFS(tblDaily[Admissions],tblDaily[EntryDate],DATE(2026,7,9),tblDaily[WardCode],"MAE")),"")</f>
        <v/>
      </c>
      <c r="C249" s="5" t="str">
        <f>IFERROR(IF(SUMIFS(tblDaily[Discharges],tblDaily[EntryDate],DATE(2026,7,9),tblDaily[WardCode],"MAE")=0,"",SUMIFS(tblDaily[Discharges],tblDaily[EntryDate],DATE(2026,7,9),tblDaily[WardCode],"MAE")),"")</f>
        <v/>
      </c>
      <c r="D249" s="5" t="str">
        <f>IFERROR(IF(SUMIFS(tblDaily[Deaths],tblDaily[EntryDate],DATE(2026,7,9),tblDaily[WardCode],"MAE")=0,"",SUMIFS(tblDaily[Deaths],tblDaily[EntryDate],DATE(2026,7,9),tblDaily[WardCode],"MAE")),"")</f>
        <v/>
      </c>
      <c r="E249" s="5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5" t="str">
        <f>IFERROR(IF(SUMIFS(tblDaily[TransfersIn],tblDaily[EntryDate],DATE(2026,7,9),tblDaily[WardCode],"MAE")=0,"",SUMIFS(tblDaily[TransfersIn],tblDaily[EntryDate],DATE(2026,7,9),tblDaily[WardCode],"MAE")),"")</f>
        <v/>
      </c>
      <c r="G249" s="5" t="str">
        <f>IFERROR(IF(SUMIFS(tblDaily[TransfersOut],tblDaily[EntryDate],DATE(2026,7,9),tblDaily[WardCode],"MAE")=0,"",SUMIFS(tblDaily[TransfersOut],tblDaily[EntryDate],DATE(2026,7,9),tblDaily[WardCode],"MAE")),"")</f>
        <v/>
      </c>
      <c r="H249" s="5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IFERROR(IF(SUMIFS(tblDaily[Admissions],tblDaily[EntryDate],DATE(2026,7,10),tblDaily[WardCode],"MAE")=0,"",SUMIFS(tblDaily[Admissions],tblDaily[EntryDate],DATE(2026,7,10),tblDaily[WardCode],"MAE")),"")</f>
        <v/>
      </c>
      <c r="C250" s="5" t="str">
        <f>IFERROR(IF(SUMIFS(tblDaily[Discharges],tblDaily[EntryDate],DATE(2026,7,10),tblDaily[WardCode],"MAE")=0,"",SUMIFS(tblDaily[Discharges],tblDaily[EntryDate],DATE(2026,7,10),tblDaily[WardCode],"MAE")),"")</f>
        <v/>
      </c>
      <c r="D250" s="5" t="str">
        <f>IFERROR(IF(SUMIFS(tblDaily[Deaths],tblDaily[EntryDate],DATE(2026,7,10),tblDaily[WardCode],"MAE")=0,"",SUMIFS(tblDaily[Deaths],tblDaily[EntryDate],DATE(2026,7,10),tblDaily[WardCode],"MAE")),"")</f>
        <v/>
      </c>
      <c r="E250" s="5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5" t="str">
        <f>IFERROR(IF(SUMIFS(tblDaily[TransfersIn],tblDaily[EntryDate],DATE(2026,7,10),tblDaily[WardCode],"MAE")=0,"",SUMIFS(tblDaily[TransfersIn],tblDaily[EntryDate],DATE(2026,7,10),tblDaily[WardCode],"MAE")),"")</f>
        <v/>
      </c>
      <c r="G250" s="5" t="str">
        <f>IFERROR(IF(SUMIFS(tblDaily[TransfersOut],tblDaily[EntryDate],DATE(2026,7,10),tblDaily[WardCode],"MAE")=0,"",SUMIFS(tblDaily[TransfersOut],tblDaily[EntryDate],DATE(2026,7,10),tblDaily[WardCode],"MAE")),"")</f>
        <v/>
      </c>
      <c r="H250" s="5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IFERROR(IF(SUMIFS(tblDaily[Admissions],tblDaily[EntryDate],DATE(2026,7,11),tblDaily[WardCode],"MAE")=0,"",SUMIFS(tblDaily[Admissions],tblDaily[EntryDate],DATE(2026,7,11),tblDaily[WardCode],"MAE")),"")</f>
        <v/>
      </c>
      <c r="C251" s="5" t="str">
        <f>IFERROR(IF(SUMIFS(tblDaily[Discharges],tblDaily[EntryDate],DATE(2026,7,11),tblDaily[WardCode],"MAE")=0,"",SUMIFS(tblDaily[Discharges],tblDaily[EntryDate],DATE(2026,7,11),tblDaily[WardCode],"MAE")),"")</f>
        <v/>
      </c>
      <c r="D251" s="5" t="str">
        <f>IFERROR(IF(SUMIFS(tblDaily[Deaths],tblDaily[EntryDate],DATE(2026,7,11),tblDaily[WardCode],"MAE")=0,"",SUMIFS(tblDaily[Deaths],tblDaily[EntryDate],DATE(2026,7,11),tblDaily[WardCode],"MAE")),"")</f>
        <v/>
      </c>
      <c r="E251" s="5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5" t="str">
        <f>IFERROR(IF(SUMIFS(tblDaily[TransfersIn],tblDaily[EntryDate],DATE(2026,7,11),tblDaily[WardCode],"MAE")=0,"",SUMIFS(tblDaily[TransfersIn],tblDaily[EntryDate],DATE(2026,7,11),tblDaily[WardCode],"MAE")),"")</f>
        <v/>
      </c>
      <c r="G251" s="5" t="str">
        <f>IFERROR(IF(SUMIFS(tblDaily[TransfersOut],tblDaily[EntryDate],DATE(2026,7,11),tblDaily[WardCode],"MAE")=0,"",SUMIFS(tblDaily[TransfersOut],tblDaily[EntryDate],DATE(2026,7,11),tblDaily[WardCode],"MAE")),"")</f>
        <v/>
      </c>
      <c r="H251" s="5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IFERROR(IF(SUMIFS(tblDaily[Admissions],tblDaily[EntryDate],DATE(2026,7,12),tblDaily[WardCode],"MAE")=0,"",SUMIFS(tblDaily[Admissions],tblDaily[EntryDate],DATE(2026,7,12),tblDaily[WardCode],"MAE")),"")</f>
        <v/>
      </c>
      <c r="C252" s="5" t="str">
        <f>IFERROR(IF(SUMIFS(tblDaily[Discharges],tblDaily[EntryDate],DATE(2026,7,12),tblDaily[WardCode],"MAE")=0,"",SUMIFS(tblDaily[Discharges],tblDaily[EntryDate],DATE(2026,7,12),tblDaily[WardCode],"MAE")),"")</f>
        <v/>
      </c>
      <c r="D252" s="5" t="str">
        <f>IFERROR(IF(SUMIFS(tblDaily[Deaths],tblDaily[EntryDate],DATE(2026,7,12),tblDaily[WardCode],"MAE")=0,"",SUMIFS(tblDaily[Deaths],tblDaily[EntryDate],DATE(2026,7,12),tblDaily[WardCode],"MAE")),"")</f>
        <v/>
      </c>
      <c r="E252" s="5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5" t="str">
        <f>IFERROR(IF(SUMIFS(tblDaily[TransfersIn],tblDaily[EntryDate],DATE(2026,7,12),tblDaily[WardCode],"MAE")=0,"",SUMIFS(tblDaily[TransfersIn],tblDaily[EntryDate],DATE(2026,7,12),tblDaily[WardCode],"MAE")),"")</f>
        <v/>
      </c>
      <c r="G252" s="5" t="str">
        <f>IFERROR(IF(SUMIFS(tblDaily[TransfersOut],tblDaily[EntryDate],DATE(2026,7,12),tblDaily[WardCode],"MAE")=0,"",SUMIFS(tblDaily[TransfersOut],tblDaily[EntryDate],DATE(2026,7,12),tblDaily[WardCode],"MAE")),"")</f>
        <v/>
      </c>
      <c r="H252" s="5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IFERROR(IF(SUMIFS(tblDaily[Admissions],tblDaily[EntryDate],DATE(2026,7,13),tblDaily[WardCode],"MAE")=0,"",SUMIFS(tblDaily[Admissions],tblDaily[EntryDate],DATE(2026,7,13),tblDaily[WardCode],"MAE")),"")</f>
        <v/>
      </c>
      <c r="C253" s="5" t="str">
        <f>IFERROR(IF(SUMIFS(tblDaily[Discharges],tblDaily[EntryDate],DATE(2026,7,13),tblDaily[WardCode],"MAE")=0,"",SUMIFS(tblDaily[Discharges],tblDaily[EntryDate],DATE(2026,7,13),tblDaily[WardCode],"MAE")),"")</f>
        <v/>
      </c>
      <c r="D253" s="5" t="str">
        <f>IFERROR(IF(SUMIFS(tblDaily[Deaths],tblDaily[EntryDate],DATE(2026,7,13),tblDaily[WardCode],"MAE")=0,"",SUMIFS(tblDaily[Deaths],tblDaily[EntryDate],DATE(2026,7,13),tblDaily[WardCode],"MAE")),"")</f>
        <v/>
      </c>
      <c r="E253" s="5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5" t="str">
        <f>IFERROR(IF(SUMIFS(tblDaily[TransfersIn],tblDaily[EntryDate],DATE(2026,7,13),tblDaily[WardCode],"MAE")=0,"",SUMIFS(tblDaily[TransfersIn],tblDaily[EntryDate],DATE(2026,7,13),tblDaily[WardCode],"MAE")),"")</f>
        <v/>
      </c>
      <c r="G253" s="5" t="str">
        <f>IFERROR(IF(SUMIFS(tblDaily[TransfersOut],tblDaily[EntryDate],DATE(2026,7,13),tblDaily[WardCode],"MAE")=0,"",SUMIFS(tblDaily[TransfersOut],tblDaily[EntryDate],DATE(2026,7,13),tblDaily[WardCode],"MAE")),"")</f>
        <v/>
      </c>
      <c r="H253" s="5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IFERROR(IF(SUMIFS(tblDaily[Admissions],tblDaily[EntryDate],DATE(2026,7,14),tblDaily[WardCode],"MAE")=0,"",SUMIFS(tblDaily[Admissions],tblDaily[EntryDate],DATE(2026,7,14),tblDaily[WardCode],"MAE")),"")</f>
        <v/>
      </c>
      <c r="C254" s="5" t="str">
        <f>IFERROR(IF(SUMIFS(tblDaily[Discharges],tblDaily[EntryDate],DATE(2026,7,14),tblDaily[WardCode],"MAE")=0,"",SUMIFS(tblDaily[Discharges],tblDaily[EntryDate],DATE(2026,7,14),tblDaily[WardCode],"MAE")),"")</f>
        <v/>
      </c>
      <c r="D254" s="5" t="str">
        <f>IFERROR(IF(SUMIFS(tblDaily[Deaths],tblDaily[EntryDate],DATE(2026,7,14),tblDaily[WardCode],"MAE")=0,"",SUMIFS(tblDaily[Deaths],tblDaily[EntryDate],DATE(2026,7,14),tblDaily[WardCode],"MAE")),"")</f>
        <v/>
      </c>
      <c r="E254" s="5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5" t="str">
        <f>IFERROR(IF(SUMIFS(tblDaily[TransfersIn],tblDaily[EntryDate],DATE(2026,7,14),tblDaily[WardCode],"MAE")=0,"",SUMIFS(tblDaily[TransfersIn],tblDaily[EntryDate],DATE(2026,7,14),tblDaily[WardCode],"MAE")),"")</f>
        <v/>
      </c>
      <c r="G254" s="5" t="str">
        <f>IFERROR(IF(SUMIFS(tblDaily[TransfersOut],tblDaily[EntryDate],DATE(2026,7,14),tblDaily[WardCode],"MAE")=0,"",SUMIFS(tblDaily[TransfersOut],tblDaily[EntryDate],DATE(2026,7,14),tblDaily[WardCode],"MAE")),"")</f>
        <v/>
      </c>
      <c r="H254" s="5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IFERROR(IF(SUMIFS(tblDaily[Admissions],tblDaily[EntryDate],DATE(2026,7,15),tblDaily[WardCode],"MAE")=0,"",SUMIFS(tblDaily[Admissions],tblDaily[EntryDate],DATE(2026,7,15),tblDaily[WardCode],"MAE")),"")</f>
        <v/>
      </c>
      <c r="C255" s="5" t="str">
        <f>IFERROR(IF(SUMIFS(tblDaily[Discharges],tblDaily[EntryDate],DATE(2026,7,15),tblDaily[WardCode],"MAE")=0,"",SUMIFS(tblDaily[Discharges],tblDaily[EntryDate],DATE(2026,7,15),tblDaily[WardCode],"MAE")),"")</f>
        <v/>
      </c>
      <c r="D255" s="5" t="str">
        <f>IFERROR(IF(SUMIFS(tblDaily[Deaths],tblDaily[EntryDate],DATE(2026,7,15),tblDaily[WardCode],"MAE")=0,"",SUMIFS(tblDaily[Deaths],tblDaily[EntryDate],DATE(2026,7,15),tblDaily[WardCode],"MAE")),"")</f>
        <v/>
      </c>
      <c r="E255" s="5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5" t="str">
        <f>IFERROR(IF(SUMIFS(tblDaily[TransfersIn],tblDaily[EntryDate],DATE(2026,7,15),tblDaily[WardCode],"MAE")=0,"",SUMIFS(tblDaily[TransfersIn],tblDaily[EntryDate],DATE(2026,7,15),tblDaily[WardCode],"MAE")),"")</f>
        <v/>
      </c>
      <c r="G255" s="5" t="str">
        <f>IFERROR(IF(SUMIFS(tblDaily[TransfersOut],tblDaily[EntryDate],DATE(2026,7,15),tblDaily[WardCode],"MAE")=0,"",SUMIFS(tblDaily[TransfersOut],tblDaily[EntryDate],DATE(2026,7,15),tblDaily[WardCode],"MAE")),"")</f>
        <v/>
      </c>
      <c r="H255" s="5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IFERROR(IF(SUMIFS(tblDaily[Admissions],tblDaily[EntryDate],DATE(2026,7,16),tblDaily[WardCode],"MAE")=0,"",SUMIFS(tblDaily[Admissions],tblDaily[EntryDate],DATE(2026,7,16),tblDaily[WardCode],"MAE")),"")</f>
        <v/>
      </c>
      <c r="C256" s="5" t="str">
        <f>IFERROR(IF(SUMIFS(tblDaily[Discharges],tblDaily[EntryDate],DATE(2026,7,16),tblDaily[WardCode],"MAE")=0,"",SUMIFS(tblDaily[Discharges],tblDaily[EntryDate],DATE(2026,7,16),tblDaily[WardCode],"MAE")),"")</f>
        <v/>
      </c>
      <c r="D256" s="5" t="str">
        <f>IFERROR(IF(SUMIFS(tblDaily[Deaths],tblDaily[EntryDate],DATE(2026,7,16),tblDaily[WardCode],"MAE")=0,"",SUMIFS(tblDaily[Deaths],tblDaily[EntryDate],DATE(2026,7,16),tblDaily[WardCode],"MAE")),"")</f>
        <v/>
      </c>
      <c r="E256" s="5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5" t="str">
        <f>IFERROR(IF(SUMIFS(tblDaily[TransfersIn],tblDaily[EntryDate],DATE(2026,7,16),tblDaily[WardCode],"MAE")=0,"",SUMIFS(tblDaily[TransfersIn],tblDaily[EntryDate],DATE(2026,7,16),tblDaily[WardCode],"MAE")),"")</f>
        <v/>
      </c>
      <c r="G256" s="5" t="str">
        <f>IFERROR(IF(SUMIFS(tblDaily[TransfersOut],tblDaily[EntryDate],DATE(2026,7,16),tblDaily[WardCode],"MAE")=0,"",SUMIFS(tblDaily[TransfersOut],tblDaily[EntryDate],DATE(2026,7,16),tblDaily[WardCode],"MAE")),"")</f>
        <v/>
      </c>
      <c r="H256" s="5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IFERROR(IF(SUMIFS(tblDaily[Admissions],tblDaily[EntryDate],DATE(2026,7,17),tblDaily[WardCode],"MAE")=0,"",SUMIFS(tblDaily[Admissions],tblDaily[EntryDate],DATE(2026,7,17),tblDaily[WardCode],"MAE")),"")</f>
        <v/>
      </c>
      <c r="C257" s="5" t="str">
        <f>IFERROR(IF(SUMIFS(tblDaily[Discharges],tblDaily[EntryDate],DATE(2026,7,17),tblDaily[WardCode],"MAE")=0,"",SUMIFS(tblDaily[Discharges],tblDaily[EntryDate],DATE(2026,7,17),tblDaily[WardCode],"MAE")),"")</f>
        <v/>
      </c>
      <c r="D257" s="5" t="str">
        <f>IFERROR(IF(SUMIFS(tblDaily[Deaths],tblDaily[EntryDate],DATE(2026,7,17),tblDaily[WardCode],"MAE")=0,"",SUMIFS(tblDaily[Deaths],tblDaily[EntryDate],DATE(2026,7,17),tblDaily[WardCode],"MAE")),"")</f>
        <v/>
      </c>
      <c r="E257" s="5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5" t="str">
        <f>IFERROR(IF(SUMIFS(tblDaily[TransfersIn],tblDaily[EntryDate],DATE(2026,7,17),tblDaily[WardCode],"MAE")=0,"",SUMIFS(tblDaily[TransfersIn],tblDaily[EntryDate],DATE(2026,7,17),tblDaily[WardCode],"MAE")),"")</f>
        <v/>
      </c>
      <c r="G257" s="5" t="str">
        <f>IFERROR(IF(SUMIFS(tblDaily[TransfersOut],tblDaily[EntryDate],DATE(2026,7,17),tblDaily[WardCode],"MAE")=0,"",SUMIFS(tblDaily[TransfersOut],tblDaily[EntryDate],DATE(2026,7,17),tblDaily[WardCode],"MAE")),"")</f>
        <v/>
      </c>
      <c r="H257" s="5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IFERROR(IF(SUMIFS(tblDaily[Admissions],tblDaily[EntryDate],DATE(2026,7,18),tblDaily[WardCode],"MAE")=0,"",SUMIFS(tblDaily[Admissions],tblDaily[EntryDate],DATE(2026,7,18),tblDaily[WardCode],"MAE")),"")</f>
        <v/>
      </c>
      <c r="C258" s="5" t="str">
        <f>IFERROR(IF(SUMIFS(tblDaily[Discharges],tblDaily[EntryDate],DATE(2026,7,18),tblDaily[WardCode],"MAE")=0,"",SUMIFS(tblDaily[Discharges],tblDaily[EntryDate],DATE(2026,7,18),tblDaily[WardCode],"MAE")),"")</f>
        <v/>
      </c>
      <c r="D258" s="5" t="str">
        <f>IFERROR(IF(SUMIFS(tblDaily[Deaths],tblDaily[EntryDate],DATE(2026,7,18),tblDaily[WardCode],"MAE")=0,"",SUMIFS(tblDaily[Deaths],tblDaily[EntryDate],DATE(2026,7,18),tblDaily[WardCode],"MAE")),"")</f>
        <v/>
      </c>
      <c r="E258" s="5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5" t="str">
        <f>IFERROR(IF(SUMIFS(tblDaily[TransfersIn],tblDaily[EntryDate],DATE(2026,7,18),tblDaily[WardCode],"MAE")=0,"",SUMIFS(tblDaily[TransfersIn],tblDaily[EntryDate],DATE(2026,7,18),tblDaily[WardCode],"MAE")),"")</f>
        <v/>
      </c>
      <c r="G258" s="5" t="str">
        <f>IFERROR(IF(SUMIFS(tblDaily[TransfersOut],tblDaily[EntryDate],DATE(2026,7,18),tblDaily[WardCode],"MAE")=0,"",SUMIFS(tblDaily[TransfersOut],tblDaily[EntryDate],DATE(2026,7,18),tblDaily[WardCode],"MAE")),"")</f>
        <v/>
      </c>
      <c r="H258" s="5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IFERROR(IF(SUMIFS(tblDaily[Admissions],tblDaily[EntryDate],DATE(2026,7,19),tblDaily[WardCode],"MAE")=0,"",SUMIFS(tblDaily[Admissions],tblDaily[EntryDate],DATE(2026,7,19),tblDaily[WardCode],"MAE")),"")</f>
        <v/>
      </c>
      <c r="C259" s="5" t="str">
        <f>IFERROR(IF(SUMIFS(tblDaily[Discharges],tblDaily[EntryDate],DATE(2026,7,19),tblDaily[WardCode],"MAE")=0,"",SUMIFS(tblDaily[Discharges],tblDaily[EntryDate],DATE(2026,7,19),tblDaily[WardCode],"MAE")),"")</f>
        <v/>
      </c>
      <c r="D259" s="5" t="str">
        <f>IFERROR(IF(SUMIFS(tblDaily[Deaths],tblDaily[EntryDate],DATE(2026,7,19),tblDaily[WardCode],"MAE")=0,"",SUMIFS(tblDaily[Deaths],tblDaily[EntryDate],DATE(2026,7,19),tblDaily[WardCode],"MAE")),"")</f>
        <v/>
      </c>
      <c r="E259" s="5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5" t="str">
        <f>IFERROR(IF(SUMIFS(tblDaily[TransfersIn],tblDaily[EntryDate],DATE(2026,7,19),tblDaily[WardCode],"MAE")=0,"",SUMIFS(tblDaily[TransfersIn],tblDaily[EntryDate],DATE(2026,7,19),tblDaily[WardCode],"MAE")),"")</f>
        <v/>
      </c>
      <c r="G259" s="5" t="str">
        <f>IFERROR(IF(SUMIFS(tblDaily[TransfersOut],tblDaily[EntryDate],DATE(2026,7,19),tblDaily[WardCode],"MAE")=0,"",SUMIFS(tblDaily[TransfersOut],tblDaily[EntryDate],DATE(2026,7,19),tblDaily[WardCode],"MAE")),"")</f>
        <v/>
      </c>
      <c r="H259" s="5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IFERROR(IF(SUMIFS(tblDaily[Admissions],tblDaily[EntryDate],DATE(2026,7,20),tblDaily[WardCode],"MAE")=0,"",SUMIFS(tblDaily[Admissions],tblDaily[EntryDate],DATE(2026,7,20),tblDaily[WardCode],"MAE")),"")</f>
        <v/>
      </c>
      <c r="C260" s="5" t="str">
        <f>IFERROR(IF(SUMIFS(tblDaily[Discharges],tblDaily[EntryDate],DATE(2026,7,20),tblDaily[WardCode],"MAE")=0,"",SUMIFS(tblDaily[Discharges],tblDaily[EntryDate],DATE(2026,7,20),tblDaily[WardCode],"MAE")),"")</f>
        <v/>
      </c>
      <c r="D260" s="5" t="str">
        <f>IFERROR(IF(SUMIFS(tblDaily[Deaths],tblDaily[EntryDate],DATE(2026,7,20),tblDaily[WardCode],"MAE")=0,"",SUMIFS(tblDaily[Deaths],tblDaily[EntryDate],DATE(2026,7,20),tblDaily[WardCode],"MAE")),"")</f>
        <v/>
      </c>
      <c r="E260" s="5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5" t="str">
        <f>IFERROR(IF(SUMIFS(tblDaily[TransfersIn],tblDaily[EntryDate],DATE(2026,7,20),tblDaily[WardCode],"MAE")=0,"",SUMIFS(tblDaily[TransfersIn],tblDaily[EntryDate],DATE(2026,7,20),tblDaily[WardCode],"MAE")),"")</f>
        <v/>
      </c>
      <c r="G260" s="5" t="str">
        <f>IFERROR(IF(SUMIFS(tblDaily[TransfersOut],tblDaily[EntryDate],DATE(2026,7,20),tblDaily[WardCode],"MAE")=0,"",SUMIFS(tblDaily[TransfersOut],tblDaily[EntryDate],DATE(2026,7,20),tblDaily[WardCode],"MAE")),"")</f>
        <v/>
      </c>
      <c r="H260" s="5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IFERROR(IF(SUMIFS(tblDaily[Admissions],tblDaily[EntryDate],DATE(2026,7,21),tblDaily[WardCode],"MAE")=0,"",SUMIFS(tblDaily[Admissions],tblDaily[EntryDate],DATE(2026,7,21),tblDaily[WardCode],"MAE")),"")</f>
        <v/>
      </c>
      <c r="C261" s="5" t="str">
        <f>IFERROR(IF(SUMIFS(tblDaily[Discharges],tblDaily[EntryDate],DATE(2026,7,21),tblDaily[WardCode],"MAE")=0,"",SUMIFS(tblDaily[Discharges],tblDaily[EntryDate],DATE(2026,7,21),tblDaily[WardCode],"MAE")),"")</f>
        <v/>
      </c>
      <c r="D261" s="5" t="str">
        <f>IFERROR(IF(SUMIFS(tblDaily[Deaths],tblDaily[EntryDate],DATE(2026,7,21),tblDaily[WardCode],"MAE")=0,"",SUMIFS(tblDaily[Deaths],tblDaily[EntryDate],DATE(2026,7,21),tblDaily[WardCode],"MAE")),"")</f>
        <v/>
      </c>
      <c r="E261" s="5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5" t="str">
        <f>IFERROR(IF(SUMIFS(tblDaily[TransfersIn],tblDaily[EntryDate],DATE(2026,7,21),tblDaily[WardCode],"MAE")=0,"",SUMIFS(tblDaily[TransfersIn],tblDaily[EntryDate],DATE(2026,7,21),tblDaily[WardCode],"MAE")),"")</f>
        <v/>
      </c>
      <c r="G261" s="5" t="str">
        <f>IFERROR(IF(SUMIFS(tblDaily[TransfersOut],tblDaily[EntryDate],DATE(2026,7,21),tblDaily[WardCode],"MAE")=0,"",SUMIFS(tblDaily[TransfersOut],tblDaily[EntryDate],DATE(2026,7,21),tblDaily[WardCode],"MAE")),"")</f>
        <v/>
      </c>
      <c r="H261" s="5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IFERROR(IF(SUMIFS(tblDaily[Admissions],tblDaily[EntryDate],DATE(2026,7,22),tblDaily[WardCode],"MAE")=0,"",SUMIFS(tblDaily[Admissions],tblDaily[EntryDate],DATE(2026,7,22),tblDaily[WardCode],"MAE")),"")</f>
        <v/>
      </c>
      <c r="C262" s="5" t="str">
        <f>IFERROR(IF(SUMIFS(tblDaily[Discharges],tblDaily[EntryDate],DATE(2026,7,22),tblDaily[WardCode],"MAE")=0,"",SUMIFS(tblDaily[Discharges],tblDaily[EntryDate],DATE(2026,7,22),tblDaily[WardCode],"MAE")),"")</f>
        <v/>
      </c>
      <c r="D262" s="5" t="str">
        <f>IFERROR(IF(SUMIFS(tblDaily[Deaths],tblDaily[EntryDate],DATE(2026,7,22),tblDaily[WardCode],"MAE")=0,"",SUMIFS(tblDaily[Deaths],tblDaily[EntryDate],DATE(2026,7,22),tblDaily[WardCode],"MAE")),"")</f>
        <v/>
      </c>
      <c r="E262" s="5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5" t="str">
        <f>IFERROR(IF(SUMIFS(tblDaily[TransfersIn],tblDaily[EntryDate],DATE(2026,7,22),tblDaily[WardCode],"MAE")=0,"",SUMIFS(tblDaily[TransfersIn],tblDaily[EntryDate],DATE(2026,7,22),tblDaily[WardCode],"MAE")),"")</f>
        <v/>
      </c>
      <c r="G262" s="5" t="str">
        <f>IFERROR(IF(SUMIFS(tblDaily[TransfersOut],tblDaily[EntryDate],DATE(2026,7,22),tblDaily[WardCode],"MAE")=0,"",SUMIFS(tblDaily[TransfersOut],tblDaily[EntryDate],DATE(2026,7,22),tblDaily[WardCode],"MAE")),"")</f>
        <v/>
      </c>
      <c r="H262" s="5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IFERROR(IF(SUMIFS(tblDaily[Admissions],tblDaily[EntryDate],DATE(2026,7,23),tblDaily[WardCode],"MAE")=0,"",SUMIFS(tblDaily[Admissions],tblDaily[EntryDate],DATE(2026,7,23),tblDaily[WardCode],"MAE")),"")</f>
        <v/>
      </c>
      <c r="C263" s="5" t="str">
        <f>IFERROR(IF(SUMIFS(tblDaily[Discharges],tblDaily[EntryDate],DATE(2026,7,23),tblDaily[WardCode],"MAE")=0,"",SUMIFS(tblDaily[Discharges],tblDaily[EntryDate],DATE(2026,7,23),tblDaily[WardCode],"MAE")),"")</f>
        <v/>
      </c>
      <c r="D263" s="5" t="str">
        <f>IFERROR(IF(SUMIFS(tblDaily[Deaths],tblDaily[EntryDate],DATE(2026,7,23),tblDaily[WardCode],"MAE")=0,"",SUMIFS(tblDaily[Deaths],tblDaily[EntryDate],DATE(2026,7,23),tblDaily[WardCode],"MAE")),"")</f>
        <v/>
      </c>
      <c r="E263" s="5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5" t="str">
        <f>IFERROR(IF(SUMIFS(tblDaily[TransfersIn],tblDaily[EntryDate],DATE(2026,7,23),tblDaily[WardCode],"MAE")=0,"",SUMIFS(tblDaily[TransfersIn],tblDaily[EntryDate],DATE(2026,7,23),tblDaily[WardCode],"MAE")),"")</f>
        <v/>
      </c>
      <c r="G263" s="5" t="str">
        <f>IFERROR(IF(SUMIFS(tblDaily[TransfersOut],tblDaily[EntryDate],DATE(2026,7,23),tblDaily[WardCode],"MAE")=0,"",SUMIFS(tblDaily[TransfersOut],tblDaily[EntryDate],DATE(2026,7,23),tblDaily[WardCode],"MAE")),"")</f>
        <v/>
      </c>
      <c r="H263" s="5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IFERROR(IF(SUMIFS(tblDaily[Admissions],tblDaily[EntryDate],DATE(2026,7,24),tblDaily[WardCode],"MAE")=0,"",SUMIFS(tblDaily[Admissions],tblDaily[EntryDate],DATE(2026,7,24),tblDaily[WardCode],"MAE")),"")</f>
        <v/>
      </c>
      <c r="C264" s="5" t="str">
        <f>IFERROR(IF(SUMIFS(tblDaily[Discharges],tblDaily[EntryDate],DATE(2026,7,24),tblDaily[WardCode],"MAE")=0,"",SUMIFS(tblDaily[Discharges],tblDaily[EntryDate],DATE(2026,7,24),tblDaily[WardCode],"MAE")),"")</f>
        <v/>
      </c>
      <c r="D264" s="5" t="str">
        <f>IFERROR(IF(SUMIFS(tblDaily[Deaths],tblDaily[EntryDate],DATE(2026,7,24),tblDaily[WardCode],"MAE")=0,"",SUMIFS(tblDaily[Deaths],tblDaily[EntryDate],DATE(2026,7,24),tblDaily[WardCode],"MAE")),"")</f>
        <v/>
      </c>
      <c r="E264" s="5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5" t="str">
        <f>IFERROR(IF(SUMIFS(tblDaily[TransfersIn],tblDaily[EntryDate],DATE(2026,7,24),tblDaily[WardCode],"MAE")=0,"",SUMIFS(tblDaily[TransfersIn],tblDaily[EntryDate],DATE(2026,7,24),tblDaily[WardCode],"MAE")),"")</f>
        <v/>
      </c>
      <c r="G264" s="5" t="str">
        <f>IFERROR(IF(SUMIFS(tblDaily[TransfersOut],tblDaily[EntryDate],DATE(2026,7,24),tblDaily[WardCode],"MAE")=0,"",SUMIFS(tblDaily[TransfersOut],tblDaily[EntryDate],DATE(2026,7,24),tblDaily[WardCode],"MAE")),"")</f>
        <v/>
      </c>
      <c r="H264" s="5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IFERROR(IF(SUMIFS(tblDaily[Admissions],tblDaily[EntryDate],DATE(2026,7,25),tblDaily[WardCode],"MAE")=0,"",SUMIFS(tblDaily[Admissions],tblDaily[EntryDate],DATE(2026,7,25),tblDaily[WardCode],"MAE")),"")</f>
        <v/>
      </c>
      <c r="C265" s="5" t="str">
        <f>IFERROR(IF(SUMIFS(tblDaily[Discharges],tblDaily[EntryDate],DATE(2026,7,25),tblDaily[WardCode],"MAE")=0,"",SUMIFS(tblDaily[Discharges],tblDaily[EntryDate],DATE(2026,7,25),tblDaily[WardCode],"MAE")),"")</f>
        <v/>
      </c>
      <c r="D265" s="5" t="str">
        <f>IFERROR(IF(SUMIFS(tblDaily[Deaths],tblDaily[EntryDate],DATE(2026,7,25),tblDaily[WardCode],"MAE")=0,"",SUMIFS(tblDaily[Deaths],tblDaily[EntryDate],DATE(2026,7,25),tblDaily[WardCode],"MAE")),"")</f>
        <v/>
      </c>
      <c r="E265" s="5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5" t="str">
        <f>IFERROR(IF(SUMIFS(tblDaily[TransfersIn],tblDaily[EntryDate],DATE(2026,7,25),tblDaily[WardCode],"MAE")=0,"",SUMIFS(tblDaily[TransfersIn],tblDaily[EntryDate],DATE(2026,7,25),tblDaily[WardCode],"MAE")),"")</f>
        <v/>
      </c>
      <c r="G265" s="5" t="str">
        <f>IFERROR(IF(SUMIFS(tblDaily[TransfersOut],tblDaily[EntryDate],DATE(2026,7,25),tblDaily[WardCode],"MAE")=0,"",SUMIFS(tblDaily[TransfersOut],tblDaily[EntryDate],DATE(2026,7,25),tblDaily[WardCode],"MAE")),"")</f>
        <v/>
      </c>
      <c r="H265" s="5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IFERROR(IF(SUMIFS(tblDaily[Admissions],tblDaily[EntryDate],DATE(2026,7,26),tblDaily[WardCode],"MAE")=0,"",SUMIFS(tblDaily[Admissions],tblDaily[EntryDate],DATE(2026,7,26),tblDaily[WardCode],"MAE")),"")</f>
        <v/>
      </c>
      <c r="C266" s="5" t="str">
        <f>IFERROR(IF(SUMIFS(tblDaily[Discharges],tblDaily[EntryDate],DATE(2026,7,26),tblDaily[WardCode],"MAE")=0,"",SUMIFS(tblDaily[Discharges],tblDaily[EntryDate],DATE(2026,7,26),tblDaily[WardCode],"MAE")),"")</f>
        <v/>
      </c>
      <c r="D266" s="5" t="str">
        <f>IFERROR(IF(SUMIFS(tblDaily[Deaths],tblDaily[EntryDate],DATE(2026,7,26),tblDaily[WardCode],"MAE")=0,"",SUMIFS(tblDaily[Deaths],tblDaily[EntryDate],DATE(2026,7,26),tblDaily[WardCode],"MAE")),"")</f>
        <v/>
      </c>
      <c r="E266" s="5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5" t="str">
        <f>IFERROR(IF(SUMIFS(tblDaily[TransfersIn],tblDaily[EntryDate],DATE(2026,7,26),tblDaily[WardCode],"MAE")=0,"",SUMIFS(tblDaily[TransfersIn],tblDaily[EntryDate],DATE(2026,7,26),tblDaily[WardCode],"MAE")),"")</f>
        <v/>
      </c>
      <c r="G266" s="5" t="str">
        <f>IFERROR(IF(SUMIFS(tblDaily[TransfersOut],tblDaily[EntryDate],DATE(2026,7,26),tblDaily[WardCode],"MAE")=0,"",SUMIFS(tblDaily[TransfersOut],tblDaily[EntryDate],DATE(2026,7,26),tblDaily[WardCode],"MAE")),"")</f>
        <v/>
      </c>
      <c r="H266" s="5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IFERROR(IF(SUMIFS(tblDaily[Admissions],tblDaily[EntryDate],DATE(2026,7,27),tblDaily[WardCode],"MAE")=0,"",SUMIFS(tblDaily[Admissions],tblDaily[EntryDate],DATE(2026,7,27),tblDaily[WardCode],"MAE")),"")</f>
        <v/>
      </c>
      <c r="C267" s="5" t="str">
        <f>IFERROR(IF(SUMIFS(tblDaily[Discharges],tblDaily[EntryDate],DATE(2026,7,27),tblDaily[WardCode],"MAE")=0,"",SUMIFS(tblDaily[Discharges],tblDaily[EntryDate],DATE(2026,7,27),tblDaily[WardCode],"MAE")),"")</f>
        <v/>
      </c>
      <c r="D267" s="5" t="str">
        <f>IFERROR(IF(SUMIFS(tblDaily[Deaths],tblDaily[EntryDate],DATE(2026,7,27),tblDaily[WardCode],"MAE")=0,"",SUMIFS(tblDaily[Deaths],tblDaily[EntryDate],DATE(2026,7,27),tblDaily[WardCode],"MAE")),"")</f>
        <v/>
      </c>
      <c r="E267" s="5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5" t="str">
        <f>IFERROR(IF(SUMIFS(tblDaily[TransfersIn],tblDaily[EntryDate],DATE(2026,7,27),tblDaily[WardCode],"MAE")=0,"",SUMIFS(tblDaily[TransfersIn],tblDaily[EntryDate],DATE(2026,7,27),tblDaily[WardCode],"MAE")),"")</f>
        <v/>
      </c>
      <c r="G267" s="5" t="str">
        <f>IFERROR(IF(SUMIFS(tblDaily[TransfersOut],tblDaily[EntryDate],DATE(2026,7,27),tblDaily[WardCode],"MAE")=0,"",SUMIFS(tblDaily[TransfersOut],tblDaily[EntryDate],DATE(2026,7,27),tblDaily[WardCode],"MAE")),"")</f>
        <v/>
      </c>
      <c r="H267" s="5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IFERROR(IF(SUMIFS(tblDaily[Admissions],tblDaily[EntryDate],DATE(2026,7,28),tblDaily[WardCode],"MAE")=0,"",SUMIFS(tblDaily[Admissions],tblDaily[EntryDate],DATE(2026,7,28),tblDaily[WardCode],"MAE")),"")</f>
        <v/>
      </c>
      <c r="C268" s="5" t="str">
        <f>IFERROR(IF(SUMIFS(tblDaily[Discharges],tblDaily[EntryDate],DATE(2026,7,28),tblDaily[WardCode],"MAE")=0,"",SUMIFS(tblDaily[Discharges],tblDaily[EntryDate],DATE(2026,7,28),tblDaily[WardCode],"MAE")),"")</f>
        <v/>
      </c>
      <c r="D268" s="5" t="str">
        <f>IFERROR(IF(SUMIFS(tblDaily[Deaths],tblDaily[EntryDate],DATE(2026,7,28),tblDaily[WardCode],"MAE")=0,"",SUMIFS(tblDaily[Deaths],tblDaily[EntryDate],DATE(2026,7,28),tblDaily[WardCode],"MAE")),"")</f>
        <v/>
      </c>
      <c r="E268" s="5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5" t="str">
        <f>IFERROR(IF(SUMIFS(tblDaily[TransfersIn],tblDaily[EntryDate],DATE(2026,7,28),tblDaily[WardCode],"MAE")=0,"",SUMIFS(tblDaily[TransfersIn],tblDaily[EntryDate],DATE(2026,7,28),tblDaily[WardCode],"MAE")),"")</f>
        <v/>
      </c>
      <c r="G268" s="5" t="str">
        <f>IFERROR(IF(SUMIFS(tblDaily[TransfersOut],tblDaily[EntryDate],DATE(2026,7,28),tblDaily[WardCode],"MAE")=0,"",SUMIFS(tblDaily[TransfersOut],tblDaily[EntryDate],DATE(2026,7,28),tblDaily[WardCode],"MAE")),"")</f>
        <v/>
      </c>
      <c r="H268" s="5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IFERROR(IF(SUMIFS(tblDaily[Admissions],tblDaily[EntryDate],DATE(2026,7,29),tblDaily[WardCode],"MAE")=0,"",SUMIFS(tblDaily[Admissions],tblDaily[EntryDate],DATE(2026,7,29),tblDaily[WardCode],"MAE")),"")</f>
        <v/>
      </c>
      <c r="C269" s="5" t="str">
        <f>IFERROR(IF(SUMIFS(tblDaily[Discharges],tblDaily[EntryDate],DATE(2026,7,29),tblDaily[WardCode],"MAE")=0,"",SUMIFS(tblDaily[Discharges],tblDaily[EntryDate],DATE(2026,7,29),tblDaily[WardCode],"MAE")),"")</f>
        <v/>
      </c>
      <c r="D269" s="5" t="str">
        <f>IFERROR(IF(SUMIFS(tblDaily[Deaths],tblDaily[EntryDate],DATE(2026,7,29),tblDaily[WardCode],"MAE")=0,"",SUMIFS(tblDaily[Deaths],tblDaily[EntryDate],DATE(2026,7,29),tblDaily[WardCode],"MAE")),"")</f>
        <v/>
      </c>
      <c r="E269" s="5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5" t="str">
        <f>IFERROR(IF(SUMIFS(tblDaily[TransfersIn],tblDaily[EntryDate],DATE(2026,7,29),tblDaily[WardCode],"MAE")=0,"",SUMIFS(tblDaily[TransfersIn],tblDaily[EntryDate],DATE(2026,7,29),tblDaily[WardCode],"MAE")),"")</f>
        <v/>
      </c>
      <c r="G269" s="5" t="str">
        <f>IFERROR(IF(SUMIFS(tblDaily[TransfersOut],tblDaily[EntryDate],DATE(2026,7,29),tblDaily[WardCode],"MAE")=0,"",SUMIFS(tblDaily[TransfersOut],tblDaily[EntryDate],DATE(2026,7,29),tblDaily[WardCode],"MAE")),"")</f>
        <v/>
      </c>
      <c r="H269" s="5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IFERROR(IF(SUMIFS(tblDaily[Admissions],tblDaily[EntryDate],DATE(2026,7,30),tblDaily[WardCode],"MAE")=0,"",SUMIFS(tblDaily[Admissions],tblDaily[EntryDate],DATE(2026,7,30),tblDaily[WardCode],"MAE")),"")</f>
        <v/>
      </c>
      <c r="C270" s="5" t="str">
        <f>IFERROR(IF(SUMIFS(tblDaily[Discharges],tblDaily[EntryDate],DATE(2026,7,30),tblDaily[WardCode],"MAE")=0,"",SUMIFS(tblDaily[Discharges],tblDaily[EntryDate],DATE(2026,7,30),tblDaily[WardCode],"MAE")),"")</f>
        <v/>
      </c>
      <c r="D270" s="5" t="str">
        <f>IFERROR(IF(SUMIFS(tblDaily[Deaths],tblDaily[EntryDate],DATE(2026,7,30),tblDaily[WardCode],"MAE")=0,"",SUMIFS(tblDaily[Deaths],tblDaily[EntryDate],DATE(2026,7,30),tblDaily[WardCode],"MAE")),"")</f>
        <v/>
      </c>
      <c r="E270" s="5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5" t="str">
        <f>IFERROR(IF(SUMIFS(tblDaily[TransfersIn],tblDaily[EntryDate],DATE(2026,7,30),tblDaily[WardCode],"MAE")=0,"",SUMIFS(tblDaily[TransfersIn],tblDaily[EntryDate],DATE(2026,7,30),tblDaily[WardCode],"MAE")),"")</f>
        <v/>
      </c>
      <c r="G270" s="5" t="str">
        <f>IFERROR(IF(SUMIFS(tblDaily[TransfersOut],tblDaily[EntryDate],DATE(2026,7,30),tblDaily[WardCode],"MAE")=0,"",SUMIFS(tblDaily[TransfersOut],tblDaily[EntryDate],DATE(2026,7,30),tblDaily[WardCode],"MAE")),"")</f>
        <v/>
      </c>
      <c r="H270" s="5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IFERROR(IF(SUMIFS(tblDaily[Admissions],tblDaily[EntryDate],DATE(2026,7,31),tblDaily[WardCode],"MAE")=0,"",SUMIFS(tblDaily[Admissions],tblDaily[EntryDate],DATE(2026,7,31),tblDaily[WardCode],"MAE")),"")</f>
        <v/>
      </c>
      <c r="C271" s="5" t="str">
        <f>IFERROR(IF(SUMIFS(tblDaily[Discharges],tblDaily[EntryDate],DATE(2026,7,31),tblDaily[WardCode],"MAE")=0,"",SUMIFS(tblDaily[Discharges],tblDaily[EntryDate],DATE(2026,7,31),tblDaily[WardCode],"MAE")),"")</f>
        <v/>
      </c>
      <c r="D271" s="5" t="str">
        <f>IFERROR(IF(SUMIFS(tblDaily[Deaths],tblDaily[EntryDate],DATE(2026,7,31),tblDaily[WardCode],"MAE")=0,"",SUMIFS(tblDaily[Deaths],tblDaily[EntryDate],DATE(2026,7,31),tblDaily[WardCode],"MAE")),"")</f>
        <v/>
      </c>
      <c r="E271" s="5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5" t="str">
        <f>IFERROR(IF(SUMIFS(tblDaily[TransfersIn],tblDaily[EntryDate],DATE(2026,7,31),tblDaily[WardCode],"MAE")=0,"",SUMIFS(tblDaily[TransfersIn],tblDaily[EntryDate],DATE(2026,7,31),tblDaily[WardCode],"MAE")),"")</f>
        <v/>
      </c>
      <c r="G271" s="5" t="str">
        <f>IFERROR(IF(SUMIFS(tblDaily[TransfersOut],tblDaily[EntryDate],DATE(2026,7,31),tblDaily[WardCode],"MAE")=0,"",SUMIFS(tblDaily[TransfersOut],tblDaily[EntryDate],DATE(2026,7,31),tblDaily[WardCode],"MAE")),"")</f>
        <v/>
      </c>
      <c r="H271" s="5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95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102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89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IFERROR(IF(SUMIFS(tblDaily[Admissions],tblDaily[EntryDate],DATE(2026,8,1),tblDaily[WardCode],"MAE")=0,"",SUMIFS(tblDaily[Admissions],tblDaily[EntryDate],DATE(2026,8,1),tblDaily[WardCode],"MAE")),"")</f>
        <v/>
      </c>
      <c r="C280" s="5" t="str">
        <f>IFERROR(IF(SUMIFS(tblDaily[Discharges],tblDaily[EntryDate],DATE(2026,8,1),tblDaily[WardCode],"MAE")=0,"",SUMIFS(tblDaily[Discharges],tblDaily[EntryDate],DATE(2026,8,1),tblDaily[WardCode],"MAE")),"")</f>
        <v/>
      </c>
      <c r="D280" s="5" t="str">
        <f>IFERROR(IF(SUMIFS(tblDaily[Deaths],tblDaily[EntryDate],DATE(2026,8,1),tblDaily[WardCode],"MAE")=0,"",SUMIFS(tblDaily[Deaths],tblDaily[EntryDate],DATE(2026,8,1),tblDaily[WardCode],"MAE")),"")</f>
        <v/>
      </c>
      <c r="E280" s="5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5" t="str">
        <f>IFERROR(IF(SUMIFS(tblDaily[TransfersIn],tblDaily[EntryDate],DATE(2026,8,1),tblDaily[WardCode],"MAE")=0,"",SUMIFS(tblDaily[TransfersIn],tblDaily[EntryDate],DATE(2026,8,1),tblDaily[WardCode],"MAE")),"")</f>
        <v/>
      </c>
      <c r="G280" s="5" t="str">
        <f>IFERROR(IF(SUMIFS(tblDaily[TransfersOut],tblDaily[EntryDate],DATE(2026,8,1),tblDaily[WardCode],"MAE")=0,"",SUMIFS(tblDaily[TransfersOut],tblDaily[EntryDate],DATE(2026,8,1),tblDaily[WardCode],"MAE")),"")</f>
        <v/>
      </c>
      <c r="H280" s="5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IFERROR(IF(SUMIFS(tblDaily[Admissions],tblDaily[EntryDate],DATE(2026,8,2),tblDaily[WardCode],"MAE")=0,"",SUMIFS(tblDaily[Admissions],tblDaily[EntryDate],DATE(2026,8,2),tblDaily[WardCode],"MAE")),"")</f>
        <v/>
      </c>
      <c r="C281" s="5" t="str">
        <f>IFERROR(IF(SUMIFS(tblDaily[Discharges],tblDaily[EntryDate],DATE(2026,8,2),tblDaily[WardCode],"MAE")=0,"",SUMIFS(tblDaily[Discharges],tblDaily[EntryDate],DATE(2026,8,2),tblDaily[WardCode],"MAE")),"")</f>
        <v/>
      </c>
      <c r="D281" s="5" t="str">
        <f>IFERROR(IF(SUMIFS(tblDaily[Deaths],tblDaily[EntryDate],DATE(2026,8,2),tblDaily[WardCode],"MAE")=0,"",SUMIFS(tblDaily[Deaths],tblDaily[EntryDate],DATE(2026,8,2),tblDaily[WardCode],"MAE")),"")</f>
        <v/>
      </c>
      <c r="E281" s="5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5" t="str">
        <f>IFERROR(IF(SUMIFS(tblDaily[TransfersIn],tblDaily[EntryDate],DATE(2026,8,2),tblDaily[WardCode],"MAE")=0,"",SUMIFS(tblDaily[TransfersIn],tblDaily[EntryDate],DATE(2026,8,2),tblDaily[WardCode],"MAE")),"")</f>
        <v/>
      </c>
      <c r="G281" s="5" t="str">
        <f>IFERROR(IF(SUMIFS(tblDaily[TransfersOut],tblDaily[EntryDate],DATE(2026,8,2),tblDaily[WardCode],"MAE")=0,"",SUMIFS(tblDaily[TransfersOut],tblDaily[EntryDate],DATE(2026,8,2),tblDaily[WardCode],"MAE")),"")</f>
        <v/>
      </c>
      <c r="H281" s="5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IFERROR(IF(SUMIFS(tblDaily[Admissions],tblDaily[EntryDate],DATE(2026,8,3),tblDaily[WardCode],"MAE")=0,"",SUMIFS(tblDaily[Admissions],tblDaily[EntryDate],DATE(2026,8,3),tblDaily[WardCode],"MAE")),"")</f>
        <v/>
      </c>
      <c r="C282" s="5" t="str">
        <f>IFERROR(IF(SUMIFS(tblDaily[Discharges],tblDaily[EntryDate],DATE(2026,8,3),tblDaily[WardCode],"MAE")=0,"",SUMIFS(tblDaily[Discharges],tblDaily[EntryDate],DATE(2026,8,3),tblDaily[WardCode],"MAE")),"")</f>
        <v/>
      </c>
      <c r="D282" s="5" t="str">
        <f>IFERROR(IF(SUMIFS(tblDaily[Deaths],tblDaily[EntryDate],DATE(2026,8,3),tblDaily[WardCode],"MAE")=0,"",SUMIFS(tblDaily[Deaths],tblDaily[EntryDate],DATE(2026,8,3),tblDaily[WardCode],"MAE")),"")</f>
        <v/>
      </c>
      <c r="E282" s="5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5" t="str">
        <f>IFERROR(IF(SUMIFS(tblDaily[TransfersIn],tblDaily[EntryDate],DATE(2026,8,3),tblDaily[WardCode],"MAE")=0,"",SUMIFS(tblDaily[TransfersIn],tblDaily[EntryDate],DATE(2026,8,3),tblDaily[WardCode],"MAE")),"")</f>
        <v/>
      </c>
      <c r="G282" s="5" t="str">
        <f>IFERROR(IF(SUMIFS(tblDaily[TransfersOut],tblDaily[EntryDate],DATE(2026,8,3),tblDaily[WardCode],"MAE")=0,"",SUMIFS(tblDaily[TransfersOut],tblDaily[EntryDate],DATE(2026,8,3),tblDaily[WardCode],"MAE")),"")</f>
        <v/>
      </c>
      <c r="H282" s="5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IFERROR(IF(SUMIFS(tblDaily[Admissions],tblDaily[EntryDate],DATE(2026,8,4),tblDaily[WardCode],"MAE")=0,"",SUMIFS(tblDaily[Admissions],tblDaily[EntryDate],DATE(2026,8,4),tblDaily[WardCode],"MAE")),"")</f>
        <v/>
      </c>
      <c r="C283" s="5" t="str">
        <f>IFERROR(IF(SUMIFS(tblDaily[Discharges],tblDaily[EntryDate],DATE(2026,8,4),tblDaily[WardCode],"MAE")=0,"",SUMIFS(tblDaily[Discharges],tblDaily[EntryDate],DATE(2026,8,4),tblDaily[WardCode],"MAE")),"")</f>
        <v/>
      </c>
      <c r="D283" s="5" t="str">
        <f>IFERROR(IF(SUMIFS(tblDaily[Deaths],tblDaily[EntryDate],DATE(2026,8,4),tblDaily[WardCode],"MAE")=0,"",SUMIFS(tblDaily[Deaths],tblDaily[EntryDate],DATE(2026,8,4),tblDaily[WardCode],"MAE")),"")</f>
        <v/>
      </c>
      <c r="E283" s="5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5" t="str">
        <f>IFERROR(IF(SUMIFS(tblDaily[TransfersIn],tblDaily[EntryDate],DATE(2026,8,4),tblDaily[WardCode],"MAE")=0,"",SUMIFS(tblDaily[TransfersIn],tblDaily[EntryDate],DATE(2026,8,4),tblDaily[WardCode],"MAE")),"")</f>
        <v/>
      </c>
      <c r="G283" s="5" t="str">
        <f>IFERROR(IF(SUMIFS(tblDaily[TransfersOut],tblDaily[EntryDate],DATE(2026,8,4),tblDaily[WardCode],"MAE")=0,"",SUMIFS(tblDaily[TransfersOut],tblDaily[EntryDate],DATE(2026,8,4),tblDaily[WardCode],"MAE")),"")</f>
        <v/>
      </c>
      <c r="H283" s="5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IFERROR(IF(SUMIFS(tblDaily[Admissions],tblDaily[EntryDate],DATE(2026,8,5),tblDaily[WardCode],"MAE")=0,"",SUMIFS(tblDaily[Admissions],tblDaily[EntryDate],DATE(2026,8,5),tblDaily[WardCode],"MAE")),"")</f>
        <v/>
      </c>
      <c r="C284" s="5" t="str">
        <f>IFERROR(IF(SUMIFS(tblDaily[Discharges],tblDaily[EntryDate],DATE(2026,8,5),tblDaily[WardCode],"MAE")=0,"",SUMIFS(tblDaily[Discharges],tblDaily[EntryDate],DATE(2026,8,5),tblDaily[WardCode],"MAE")),"")</f>
        <v/>
      </c>
      <c r="D284" s="5" t="str">
        <f>IFERROR(IF(SUMIFS(tblDaily[Deaths],tblDaily[EntryDate],DATE(2026,8,5),tblDaily[WardCode],"MAE")=0,"",SUMIFS(tblDaily[Deaths],tblDaily[EntryDate],DATE(2026,8,5),tblDaily[WardCode],"MAE")),"")</f>
        <v/>
      </c>
      <c r="E284" s="5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5" t="str">
        <f>IFERROR(IF(SUMIFS(tblDaily[TransfersIn],tblDaily[EntryDate],DATE(2026,8,5),tblDaily[WardCode],"MAE")=0,"",SUMIFS(tblDaily[TransfersIn],tblDaily[EntryDate],DATE(2026,8,5),tblDaily[WardCode],"MAE")),"")</f>
        <v/>
      </c>
      <c r="G284" s="5" t="str">
        <f>IFERROR(IF(SUMIFS(tblDaily[TransfersOut],tblDaily[EntryDate],DATE(2026,8,5),tblDaily[WardCode],"MAE")=0,"",SUMIFS(tblDaily[TransfersOut],tblDaily[EntryDate],DATE(2026,8,5),tblDaily[WardCode],"MAE")),"")</f>
        <v/>
      </c>
      <c r="H284" s="5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IFERROR(IF(SUMIFS(tblDaily[Admissions],tblDaily[EntryDate],DATE(2026,8,6),tblDaily[WardCode],"MAE")=0,"",SUMIFS(tblDaily[Admissions],tblDaily[EntryDate],DATE(2026,8,6),tblDaily[WardCode],"MAE")),"")</f>
        <v/>
      </c>
      <c r="C285" s="5" t="str">
        <f>IFERROR(IF(SUMIFS(tblDaily[Discharges],tblDaily[EntryDate],DATE(2026,8,6),tblDaily[WardCode],"MAE")=0,"",SUMIFS(tblDaily[Discharges],tblDaily[EntryDate],DATE(2026,8,6),tblDaily[WardCode],"MAE")),"")</f>
        <v/>
      </c>
      <c r="D285" s="5" t="str">
        <f>IFERROR(IF(SUMIFS(tblDaily[Deaths],tblDaily[EntryDate],DATE(2026,8,6),tblDaily[WardCode],"MAE")=0,"",SUMIFS(tblDaily[Deaths],tblDaily[EntryDate],DATE(2026,8,6),tblDaily[WardCode],"MAE")),"")</f>
        <v/>
      </c>
      <c r="E285" s="5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5" t="str">
        <f>IFERROR(IF(SUMIFS(tblDaily[TransfersIn],tblDaily[EntryDate],DATE(2026,8,6),tblDaily[WardCode],"MAE")=0,"",SUMIFS(tblDaily[TransfersIn],tblDaily[EntryDate],DATE(2026,8,6),tblDaily[WardCode],"MAE")),"")</f>
        <v/>
      </c>
      <c r="G285" s="5" t="str">
        <f>IFERROR(IF(SUMIFS(tblDaily[TransfersOut],tblDaily[EntryDate],DATE(2026,8,6),tblDaily[WardCode],"MAE")=0,"",SUMIFS(tblDaily[TransfersOut],tblDaily[EntryDate],DATE(2026,8,6),tblDaily[WardCode],"MAE")),"")</f>
        <v/>
      </c>
      <c r="H285" s="5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IFERROR(IF(SUMIFS(tblDaily[Admissions],tblDaily[EntryDate],DATE(2026,8,7),tblDaily[WardCode],"MAE")=0,"",SUMIFS(tblDaily[Admissions],tblDaily[EntryDate],DATE(2026,8,7),tblDaily[WardCode],"MAE")),"")</f>
        <v/>
      </c>
      <c r="C286" s="5" t="str">
        <f>IFERROR(IF(SUMIFS(tblDaily[Discharges],tblDaily[EntryDate],DATE(2026,8,7),tblDaily[WardCode],"MAE")=0,"",SUMIFS(tblDaily[Discharges],tblDaily[EntryDate],DATE(2026,8,7),tblDaily[WardCode],"MAE")),"")</f>
        <v/>
      </c>
      <c r="D286" s="5" t="str">
        <f>IFERROR(IF(SUMIFS(tblDaily[Deaths],tblDaily[EntryDate],DATE(2026,8,7),tblDaily[WardCode],"MAE")=0,"",SUMIFS(tblDaily[Deaths],tblDaily[EntryDate],DATE(2026,8,7),tblDaily[WardCode],"MAE")),"")</f>
        <v/>
      </c>
      <c r="E286" s="5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5" t="str">
        <f>IFERROR(IF(SUMIFS(tblDaily[TransfersIn],tblDaily[EntryDate],DATE(2026,8,7),tblDaily[WardCode],"MAE")=0,"",SUMIFS(tblDaily[TransfersIn],tblDaily[EntryDate],DATE(2026,8,7),tblDaily[WardCode],"MAE")),"")</f>
        <v/>
      </c>
      <c r="G286" s="5" t="str">
        <f>IFERROR(IF(SUMIFS(tblDaily[TransfersOut],tblDaily[EntryDate],DATE(2026,8,7),tblDaily[WardCode],"MAE")=0,"",SUMIFS(tblDaily[TransfersOut],tblDaily[EntryDate],DATE(2026,8,7),tblDaily[WardCode],"MAE")),"")</f>
        <v/>
      </c>
      <c r="H286" s="5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IFERROR(IF(SUMIFS(tblDaily[Admissions],tblDaily[EntryDate],DATE(2026,8,8),tblDaily[WardCode],"MAE")=0,"",SUMIFS(tblDaily[Admissions],tblDaily[EntryDate],DATE(2026,8,8),tblDaily[WardCode],"MAE")),"")</f>
        <v/>
      </c>
      <c r="C287" s="5" t="str">
        <f>IFERROR(IF(SUMIFS(tblDaily[Discharges],tblDaily[EntryDate],DATE(2026,8,8),tblDaily[WardCode],"MAE")=0,"",SUMIFS(tblDaily[Discharges],tblDaily[EntryDate],DATE(2026,8,8),tblDaily[WardCode],"MAE")),"")</f>
        <v/>
      </c>
      <c r="D287" s="5" t="str">
        <f>IFERROR(IF(SUMIFS(tblDaily[Deaths],tblDaily[EntryDate],DATE(2026,8,8),tblDaily[WardCode],"MAE")=0,"",SUMIFS(tblDaily[Deaths],tblDaily[EntryDate],DATE(2026,8,8),tblDaily[WardCode],"MAE")),"")</f>
        <v/>
      </c>
      <c r="E287" s="5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5" t="str">
        <f>IFERROR(IF(SUMIFS(tblDaily[TransfersIn],tblDaily[EntryDate],DATE(2026,8,8),tblDaily[WardCode],"MAE")=0,"",SUMIFS(tblDaily[TransfersIn],tblDaily[EntryDate],DATE(2026,8,8),tblDaily[WardCode],"MAE")),"")</f>
        <v/>
      </c>
      <c r="G287" s="5" t="str">
        <f>IFERROR(IF(SUMIFS(tblDaily[TransfersOut],tblDaily[EntryDate],DATE(2026,8,8),tblDaily[WardCode],"MAE")=0,"",SUMIFS(tblDaily[TransfersOut],tblDaily[EntryDate],DATE(2026,8,8),tblDaily[WardCode],"MAE")),"")</f>
        <v/>
      </c>
      <c r="H287" s="5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IFERROR(IF(SUMIFS(tblDaily[Admissions],tblDaily[EntryDate],DATE(2026,8,9),tblDaily[WardCode],"MAE")=0,"",SUMIFS(tblDaily[Admissions],tblDaily[EntryDate],DATE(2026,8,9),tblDaily[WardCode],"MAE")),"")</f>
        <v/>
      </c>
      <c r="C288" s="5" t="str">
        <f>IFERROR(IF(SUMIFS(tblDaily[Discharges],tblDaily[EntryDate],DATE(2026,8,9),tblDaily[WardCode],"MAE")=0,"",SUMIFS(tblDaily[Discharges],tblDaily[EntryDate],DATE(2026,8,9),tblDaily[WardCode],"MAE")),"")</f>
        <v/>
      </c>
      <c r="D288" s="5" t="str">
        <f>IFERROR(IF(SUMIFS(tblDaily[Deaths],tblDaily[EntryDate],DATE(2026,8,9),tblDaily[WardCode],"MAE")=0,"",SUMIFS(tblDaily[Deaths],tblDaily[EntryDate],DATE(2026,8,9),tblDaily[WardCode],"MAE")),"")</f>
        <v/>
      </c>
      <c r="E288" s="5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5" t="str">
        <f>IFERROR(IF(SUMIFS(tblDaily[TransfersIn],tblDaily[EntryDate],DATE(2026,8,9),tblDaily[WardCode],"MAE")=0,"",SUMIFS(tblDaily[TransfersIn],tblDaily[EntryDate],DATE(2026,8,9),tblDaily[WardCode],"MAE")),"")</f>
        <v/>
      </c>
      <c r="G288" s="5" t="str">
        <f>IFERROR(IF(SUMIFS(tblDaily[TransfersOut],tblDaily[EntryDate],DATE(2026,8,9),tblDaily[WardCode],"MAE")=0,"",SUMIFS(tblDaily[TransfersOut],tblDaily[EntryDate],DATE(2026,8,9),tblDaily[WardCode],"MAE")),"")</f>
        <v/>
      </c>
      <c r="H288" s="5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IFERROR(IF(SUMIFS(tblDaily[Admissions],tblDaily[EntryDate],DATE(2026,8,10),tblDaily[WardCode],"MAE")=0,"",SUMIFS(tblDaily[Admissions],tblDaily[EntryDate],DATE(2026,8,10),tblDaily[WardCode],"MAE")),"")</f>
        <v/>
      </c>
      <c r="C289" s="5" t="str">
        <f>IFERROR(IF(SUMIFS(tblDaily[Discharges],tblDaily[EntryDate],DATE(2026,8,10),tblDaily[WardCode],"MAE")=0,"",SUMIFS(tblDaily[Discharges],tblDaily[EntryDate],DATE(2026,8,10),tblDaily[WardCode],"MAE")),"")</f>
        <v/>
      </c>
      <c r="D289" s="5" t="str">
        <f>IFERROR(IF(SUMIFS(tblDaily[Deaths],tblDaily[EntryDate],DATE(2026,8,10),tblDaily[WardCode],"MAE")=0,"",SUMIFS(tblDaily[Deaths],tblDaily[EntryDate],DATE(2026,8,10),tblDaily[WardCode],"MAE")),"")</f>
        <v/>
      </c>
      <c r="E289" s="5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5" t="str">
        <f>IFERROR(IF(SUMIFS(tblDaily[TransfersIn],tblDaily[EntryDate],DATE(2026,8,10),tblDaily[WardCode],"MAE")=0,"",SUMIFS(tblDaily[TransfersIn],tblDaily[EntryDate],DATE(2026,8,10),tblDaily[WardCode],"MAE")),"")</f>
        <v/>
      </c>
      <c r="G289" s="5" t="str">
        <f>IFERROR(IF(SUMIFS(tblDaily[TransfersOut],tblDaily[EntryDate],DATE(2026,8,10),tblDaily[WardCode],"MAE")=0,"",SUMIFS(tblDaily[TransfersOut],tblDaily[EntryDate],DATE(2026,8,10),tblDaily[WardCode],"MAE")),"")</f>
        <v/>
      </c>
      <c r="H289" s="5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IFERROR(IF(SUMIFS(tblDaily[Admissions],tblDaily[EntryDate],DATE(2026,8,11),tblDaily[WardCode],"MAE")=0,"",SUMIFS(tblDaily[Admissions],tblDaily[EntryDate],DATE(2026,8,11),tblDaily[WardCode],"MAE")),"")</f>
        <v/>
      </c>
      <c r="C290" s="5" t="str">
        <f>IFERROR(IF(SUMIFS(tblDaily[Discharges],tblDaily[EntryDate],DATE(2026,8,11),tblDaily[WardCode],"MAE")=0,"",SUMIFS(tblDaily[Discharges],tblDaily[EntryDate],DATE(2026,8,11),tblDaily[WardCode],"MAE")),"")</f>
        <v/>
      </c>
      <c r="D290" s="5" t="str">
        <f>IFERROR(IF(SUMIFS(tblDaily[Deaths],tblDaily[EntryDate],DATE(2026,8,11),tblDaily[WardCode],"MAE")=0,"",SUMIFS(tblDaily[Deaths],tblDaily[EntryDate],DATE(2026,8,11),tblDaily[WardCode],"MAE")),"")</f>
        <v/>
      </c>
      <c r="E290" s="5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5" t="str">
        <f>IFERROR(IF(SUMIFS(tblDaily[TransfersIn],tblDaily[EntryDate],DATE(2026,8,11),tblDaily[WardCode],"MAE")=0,"",SUMIFS(tblDaily[TransfersIn],tblDaily[EntryDate],DATE(2026,8,11),tblDaily[WardCode],"MAE")),"")</f>
        <v/>
      </c>
      <c r="G290" s="5" t="str">
        <f>IFERROR(IF(SUMIFS(tblDaily[TransfersOut],tblDaily[EntryDate],DATE(2026,8,11),tblDaily[WardCode],"MAE")=0,"",SUMIFS(tblDaily[TransfersOut],tblDaily[EntryDate],DATE(2026,8,11),tblDaily[WardCode],"MAE")),"")</f>
        <v/>
      </c>
      <c r="H290" s="5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IFERROR(IF(SUMIFS(tblDaily[Admissions],tblDaily[EntryDate],DATE(2026,8,12),tblDaily[WardCode],"MAE")=0,"",SUMIFS(tblDaily[Admissions],tblDaily[EntryDate],DATE(2026,8,12),tblDaily[WardCode],"MAE")),"")</f>
        <v/>
      </c>
      <c r="C291" s="5" t="str">
        <f>IFERROR(IF(SUMIFS(tblDaily[Discharges],tblDaily[EntryDate],DATE(2026,8,12),tblDaily[WardCode],"MAE")=0,"",SUMIFS(tblDaily[Discharges],tblDaily[EntryDate],DATE(2026,8,12),tblDaily[WardCode],"MAE")),"")</f>
        <v/>
      </c>
      <c r="D291" s="5" t="str">
        <f>IFERROR(IF(SUMIFS(tblDaily[Deaths],tblDaily[EntryDate],DATE(2026,8,12),tblDaily[WardCode],"MAE")=0,"",SUMIFS(tblDaily[Deaths],tblDaily[EntryDate],DATE(2026,8,12),tblDaily[WardCode],"MAE")),"")</f>
        <v/>
      </c>
      <c r="E291" s="5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5" t="str">
        <f>IFERROR(IF(SUMIFS(tblDaily[TransfersIn],tblDaily[EntryDate],DATE(2026,8,12),tblDaily[WardCode],"MAE")=0,"",SUMIFS(tblDaily[TransfersIn],tblDaily[EntryDate],DATE(2026,8,12),tblDaily[WardCode],"MAE")),"")</f>
        <v/>
      </c>
      <c r="G291" s="5" t="str">
        <f>IFERROR(IF(SUMIFS(tblDaily[TransfersOut],tblDaily[EntryDate],DATE(2026,8,12),tblDaily[WardCode],"MAE")=0,"",SUMIFS(tblDaily[TransfersOut],tblDaily[EntryDate],DATE(2026,8,12),tblDaily[WardCode],"MAE")),"")</f>
        <v/>
      </c>
      <c r="H291" s="5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IFERROR(IF(SUMIFS(tblDaily[Admissions],tblDaily[EntryDate],DATE(2026,8,13),tblDaily[WardCode],"MAE")=0,"",SUMIFS(tblDaily[Admissions],tblDaily[EntryDate],DATE(2026,8,13),tblDaily[WardCode],"MAE")),"")</f>
        <v/>
      </c>
      <c r="C292" s="5" t="str">
        <f>IFERROR(IF(SUMIFS(tblDaily[Discharges],tblDaily[EntryDate],DATE(2026,8,13),tblDaily[WardCode],"MAE")=0,"",SUMIFS(tblDaily[Discharges],tblDaily[EntryDate],DATE(2026,8,13),tblDaily[WardCode],"MAE")),"")</f>
        <v/>
      </c>
      <c r="D292" s="5" t="str">
        <f>IFERROR(IF(SUMIFS(tblDaily[Deaths],tblDaily[EntryDate],DATE(2026,8,13),tblDaily[WardCode],"MAE")=0,"",SUMIFS(tblDaily[Deaths],tblDaily[EntryDate],DATE(2026,8,13),tblDaily[WardCode],"MAE")),"")</f>
        <v/>
      </c>
      <c r="E292" s="5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5" t="str">
        <f>IFERROR(IF(SUMIFS(tblDaily[TransfersIn],tblDaily[EntryDate],DATE(2026,8,13),tblDaily[WardCode],"MAE")=0,"",SUMIFS(tblDaily[TransfersIn],tblDaily[EntryDate],DATE(2026,8,13),tblDaily[WardCode],"MAE")),"")</f>
        <v/>
      </c>
      <c r="G292" s="5" t="str">
        <f>IFERROR(IF(SUMIFS(tblDaily[TransfersOut],tblDaily[EntryDate],DATE(2026,8,13),tblDaily[WardCode],"MAE")=0,"",SUMIFS(tblDaily[TransfersOut],tblDaily[EntryDate],DATE(2026,8,13),tblDaily[WardCode],"MAE")),"")</f>
        <v/>
      </c>
      <c r="H292" s="5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IFERROR(IF(SUMIFS(tblDaily[Admissions],tblDaily[EntryDate],DATE(2026,8,14),tblDaily[WardCode],"MAE")=0,"",SUMIFS(tblDaily[Admissions],tblDaily[EntryDate],DATE(2026,8,14),tblDaily[WardCode],"MAE")),"")</f>
        <v/>
      </c>
      <c r="C293" s="5" t="str">
        <f>IFERROR(IF(SUMIFS(tblDaily[Discharges],tblDaily[EntryDate],DATE(2026,8,14),tblDaily[WardCode],"MAE")=0,"",SUMIFS(tblDaily[Discharges],tblDaily[EntryDate],DATE(2026,8,14),tblDaily[WardCode],"MAE")),"")</f>
        <v/>
      </c>
      <c r="D293" s="5" t="str">
        <f>IFERROR(IF(SUMIFS(tblDaily[Deaths],tblDaily[EntryDate],DATE(2026,8,14),tblDaily[WardCode],"MAE")=0,"",SUMIFS(tblDaily[Deaths],tblDaily[EntryDate],DATE(2026,8,14),tblDaily[WardCode],"MAE")),"")</f>
        <v/>
      </c>
      <c r="E293" s="5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5" t="str">
        <f>IFERROR(IF(SUMIFS(tblDaily[TransfersIn],tblDaily[EntryDate],DATE(2026,8,14),tblDaily[WardCode],"MAE")=0,"",SUMIFS(tblDaily[TransfersIn],tblDaily[EntryDate],DATE(2026,8,14),tblDaily[WardCode],"MAE")),"")</f>
        <v/>
      </c>
      <c r="G293" s="5" t="str">
        <f>IFERROR(IF(SUMIFS(tblDaily[TransfersOut],tblDaily[EntryDate],DATE(2026,8,14),tblDaily[WardCode],"MAE")=0,"",SUMIFS(tblDaily[TransfersOut],tblDaily[EntryDate],DATE(2026,8,14),tblDaily[WardCode],"MAE")),"")</f>
        <v/>
      </c>
      <c r="H293" s="5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IFERROR(IF(SUMIFS(tblDaily[Admissions],tblDaily[EntryDate],DATE(2026,8,15),tblDaily[WardCode],"MAE")=0,"",SUMIFS(tblDaily[Admissions],tblDaily[EntryDate],DATE(2026,8,15),tblDaily[WardCode],"MAE")),"")</f>
        <v/>
      </c>
      <c r="C294" s="5" t="str">
        <f>IFERROR(IF(SUMIFS(tblDaily[Discharges],tblDaily[EntryDate],DATE(2026,8,15),tblDaily[WardCode],"MAE")=0,"",SUMIFS(tblDaily[Discharges],tblDaily[EntryDate],DATE(2026,8,15),tblDaily[WardCode],"MAE")),"")</f>
        <v/>
      </c>
      <c r="D294" s="5" t="str">
        <f>IFERROR(IF(SUMIFS(tblDaily[Deaths],tblDaily[EntryDate],DATE(2026,8,15),tblDaily[WardCode],"MAE")=0,"",SUMIFS(tblDaily[Deaths],tblDaily[EntryDate],DATE(2026,8,15),tblDaily[WardCode],"MAE")),"")</f>
        <v/>
      </c>
      <c r="E294" s="5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5" t="str">
        <f>IFERROR(IF(SUMIFS(tblDaily[TransfersIn],tblDaily[EntryDate],DATE(2026,8,15),tblDaily[WardCode],"MAE")=0,"",SUMIFS(tblDaily[TransfersIn],tblDaily[EntryDate],DATE(2026,8,15),tblDaily[WardCode],"MAE")),"")</f>
        <v/>
      </c>
      <c r="G294" s="5" t="str">
        <f>IFERROR(IF(SUMIFS(tblDaily[TransfersOut],tblDaily[EntryDate],DATE(2026,8,15),tblDaily[WardCode],"MAE")=0,"",SUMIFS(tblDaily[TransfersOut],tblDaily[EntryDate],DATE(2026,8,15),tblDaily[WardCode],"MAE")),"")</f>
        <v/>
      </c>
      <c r="H294" s="5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IFERROR(IF(SUMIFS(tblDaily[Admissions],tblDaily[EntryDate],DATE(2026,8,16),tblDaily[WardCode],"MAE")=0,"",SUMIFS(tblDaily[Admissions],tblDaily[EntryDate],DATE(2026,8,16),tblDaily[WardCode],"MAE")),"")</f>
        <v/>
      </c>
      <c r="C295" s="5" t="str">
        <f>IFERROR(IF(SUMIFS(tblDaily[Discharges],tblDaily[EntryDate],DATE(2026,8,16),tblDaily[WardCode],"MAE")=0,"",SUMIFS(tblDaily[Discharges],tblDaily[EntryDate],DATE(2026,8,16),tblDaily[WardCode],"MAE")),"")</f>
        <v/>
      </c>
      <c r="D295" s="5" t="str">
        <f>IFERROR(IF(SUMIFS(tblDaily[Deaths],tblDaily[EntryDate],DATE(2026,8,16),tblDaily[WardCode],"MAE")=0,"",SUMIFS(tblDaily[Deaths],tblDaily[EntryDate],DATE(2026,8,16),tblDaily[WardCode],"MAE")),"")</f>
        <v/>
      </c>
      <c r="E295" s="5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5" t="str">
        <f>IFERROR(IF(SUMIFS(tblDaily[TransfersIn],tblDaily[EntryDate],DATE(2026,8,16),tblDaily[WardCode],"MAE")=0,"",SUMIFS(tblDaily[TransfersIn],tblDaily[EntryDate],DATE(2026,8,16),tblDaily[WardCode],"MAE")),"")</f>
        <v/>
      </c>
      <c r="G295" s="5" t="str">
        <f>IFERROR(IF(SUMIFS(tblDaily[TransfersOut],tblDaily[EntryDate],DATE(2026,8,16),tblDaily[WardCode],"MAE")=0,"",SUMIFS(tblDaily[TransfersOut],tblDaily[EntryDate],DATE(2026,8,16),tblDaily[WardCode],"MAE")),"")</f>
        <v/>
      </c>
      <c r="H295" s="5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IFERROR(IF(SUMIFS(tblDaily[Admissions],tblDaily[EntryDate],DATE(2026,8,17),tblDaily[WardCode],"MAE")=0,"",SUMIFS(tblDaily[Admissions],tblDaily[EntryDate],DATE(2026,8,17),tblDaily[WardCode],"MAE")),"")</f>
        <v/>
      </c>
      <c r="C296" s="5" t="str">
        <f>IFERROR(IF(SUMIFS(tblDaily[Discharges],tblDaily[EntryDate],DATE(2026,8,17),tblDaily[WardCode],"MAE")=0,"",SUMIFS(tblDaily[Discharges],tblDaily[EntryDate],DATE(2026,8,17),tblDaily[WardCode],"MAE")),"")</f>
        <v/>
      </c>
      <c r="D296" s="5" t="str">
        <f>IFERROR(IF(SUMIFS(tblDaily[Deaths],tblDaily[EntryDate],DATE(2026,8,17),tblDaily[WardCode],"MAE")=0,"",SUMIFS(tblDaily[Deaths],tblDaily[EntryDate],DATE(2026,8,17),tblDaily[WardCode],"MAE")),"")</f>
        <v/>
      </c>
      <c r="E296" s="5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5" t="str">
        <f>IFERROR(IF(SUMIFS(tblDaily[TransfersIn],tblDaily[EntryDate],DATE(2026,8,17),tblDaily[WardCode],"MAE")=0,"",SUMIFS(tblDaily[TransfersIn],tblDaily[EntryDate],DATE(2026,8,17),tblDaily[WardCode],"MAE")),"")</f>
        <v/>
      </c>
      <c r="G296" s="5" t="str">
        <f>IFERROR(IF(SUMIFS(tblDaily[TransfersOut],tblDaily[EntryDate],DATE(2026,8,17),tblDaily[WardCode],"MAE")=0,"",SUMIFS(tblDaily[TransfersOut],tblDaily[EntryDate],DATE(2026,8,17),tblDaily[WardCode],"MAE")),"")</f>
        <v/>
      </c>
      <c r="H296" s="5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IFERROR(IF(SUMIFS(tblDaily[Admissions],tblDaily[EntryDate],DATE(2026,8,18),tblDaily[WardCode],"MAE")=0,"",SUMIFS(tblDaily[Admissions],tblDaily[EntryDate],DATE(2026,8,18),tblDaily[WardCode],"MAE")),"")</f>
        <v/>
      </c>
      <c r="C297" s="5" t="str">
        <f>IFERROR(IF(SUMIFS(tblDaily[Discharges],tblDaily[EntryDate],DATE(2026,8,18),tblDaily[WardCode],"MAE")=0,"",SUMIFS(tblDaily[Discharges],tblDaily[EntryDate],DATE(2026,8,18),tblDaily[WardCode],"MAE")),"")</f>
        <v/>
      </c>
      <c r="D297" s="5" t="str">
        <f>IFERROR(IF(SUMIFS(tblDaily[Deaths],tblDaily[EntryDate],DATE(2026,8,18),tblDaily[WardCode],"MAE")=0,"",SUMIFS(tblDaily[Deaths],tblDaily[EntryDate],DATE(2026,8,18),tblDaily[WardCode],"MAE")),"")</f>
        <v/>
      </c>
      <c r="E297" s="5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5" t="str">
        <f>IFERROR(IF(SUMIFS(tblDaily[TransfersIn],tblDaily[EntryDate],DATE(2026,8,18),tblDaily[WardCode],"MAE")=0,"",SUMIFS(tblDaily[TransfersIn],tblDaily[EntryDate],DATE(2026,8,18),tblDaily[WardCode],"MAE")),"")</f>
        <v/>
      </c>
      <c r="G297" s="5" t="str">
        <f>IFERROR(IF(SUMIFS(tblDaily[TransfersOut],tblDaily[EntryDate],DATE(2026,8,18),tblDaily[WardCode],"MAE")=0,"",SUMIFS(tblDaily[TransfersOut],tblDaily[EntryDate],DATE(2026,8,18),tblDaily[WardCode],"MAE")),"")</f>
        <v/>
      </c>
      <c r="H297" s="5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IFERROR(IF(SUMIFS(tblDaily[Admissions],tblDaily[EntryDate],DATE(2026,8,19),tblDaily[WardCode],"MAE")=0,"",SUMIFS(tblDaily[Admissions],tblDaily[EntryDate],DATE(2026,8,19),tblDaily[WardCode],"MAE")),"")</f>
        <v/>
      </c>
      <c r="C298" s="5" t="str">
        <f>IFERROR(IF(SUMIFS(tblDaily[Discharges],tblDaily[EntryDate],DATE(2026,8,19),tblDaily[WardCode],"MAE")=0,"",SUMIFS(tblDaily[Discharges],tblDaily[EntryDate],DATE(2026,8,19),tblDaily[WardCode],"MAE")),"")</f>
        <v/>
      </c>
      <c r="D298" s="5" t="str">
        <f>IFERROR(IF(SUMIFS(tblDaily[Deaths],tblDaily[EntryDate],DATE(2026,8,19),tblDaily[WardCode],"MAE")=0,"",SUMIFS(tblDaily[Deaths],tblDaily[EntryDate],DATE(2026,8,19),tblDaily[WardCode],"MAE")),"")</f>
        <v/>
      </c>
      <c r="E298" s="5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5" t="str">
        <f>IFERROR(IF(SUMIFS(tblDaily[TransfersIn],tblDaily[EntryDate],DATE(2026,8,19),tblDaily[WardCode],"MAE")=0,"",SUMIFS(tblDaily[TransfersIn],tblDaily[EntryDate],DATE(2026,8,19),tblDaily[WardCode],"MAE")),"")</f>
        <v/>
      </c>
      <c r="G298" s="5" t="str">
        <f>IFERROR(IF(SUMIFS(tblDaily[TransfersOut],tblDaily[EntryDate],DATE(2026,8,19),tblDaily[WardCode],"MAE")=0,"",SUMIFS(tblDaily[TransfersOut],tblDaily[EntryDate],DATE(2026,8,19),tblDaily[WardCode],"MAE")),"")</f>
        <v/>
      </c>
      <c r="H298" s="5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IFERROR(IF(SUMIFS(tblDaily[Admissions],tblDaily[EntryDate],DATE(2026,8,20),tblDaily[WardCode],"MAE")=0,"",SUMIFS(tblDaily[Admissions],tblDaily[EntryDate],DATE(2026,8,20),tblDaily[WardCode],"MAE")),"")</f>
        <v/>
      </c>
      <c r="C299" s="5" t="str">
        <f>IFERROR(IF(SUMIFS(tblDaily[Discharges],tblDaily[EntryDate],DATE(2026,8,20),tblDaily[WardCode],"MAE")=0,"",SUMIFS(tblDaily[Discharges],tblDaily[EntryDate],DATE(2026,8,20),tblDaily[WardCode],"MAE")),"")</f>
        <v/>
      </c>
      <c r="D299" s="5" t="str">
        <f>IFERROR(IF(SUMIFS(tblDaily[Deaths],tblDaily[EntryDate],DATE(2026,8,20),tblDaily[WardCode],"MAE")=0,"",SUMIFS(tblDaily[Deaths],tblDaily[EntryDate],DATE(2026,8,20),tblDaily[WardCode],"MAE")),"")</f>
        <v/>
      </c>
      <c r="E299" s="5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5" t="str">
        <f>IFERROR(IF(SUMIFS(tblDaily[TransfersIn],tblDaily[EntryDate],DATE(2026,8,20),tblDaily[WardCode],"MAE")=0,"",SUMIFS(tblDaily[TransfersIn],tblDaily[EntryDate],DATE(2026,8,20),tblDaily[WardCode],"MAE")),"")</f>
        <v/>
      </c>
      <c r="G299" s="5" t="str">
        <f>IFERROR(IF(SUMIFS(tblDaily[TransfersOut],tblDaily[EntryDate],DATE(2026,8,20),tblDaily[WardCode],"MAE")=0,"",SUMIFS(tblDaily[TransfersOut],tblDaily[EntryDate],DATE(2026,8,20),tblDaily[WardCode],"MAE")),"")</f>
        <v/>
      </c>
      <c r="H299" s="5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IFERROR(IF(SUMIFS(tblDaily[Admissions],tblDaily[EntryDate],DATE(2026,8,21),tblDaily[WardCode],"MAE")=0,"",SUMIFS(tblDaily[Admissions],tblDaily[EntryDate],DATE(2026,8,21),tblDaily[WardCode],"MAE")),"")</f>
        <v/>
      </c>
      <c r="C300" s="5" t="str">
        <f>IFERROR(IF(SUMIFS(tblDaily[Discharges],tblDaily[EntryDate],DATE(2026,8,21),tblDaily[WardCode],"MAE")=0,"",SUMIFS(tblDaily[Discharges],tblDaily[EntryDate],DATE(2026,8,21),tblDaily[WardCode],"MAE")),"")</f>
        <v/>
      </c>
      <c r="D300" s="5" t="str">
        <f>IFERROR(IF(SUMIFS(tblDaily[Deaths],tblDaily[EntryDate],DATE(2026,8,21),tblDaily[WardCode],"MAE")=0,"",SUMIFS(tblDaily[Deaths],tblDaily[EntryDate],DATE(2026,8,21),tblDaily[WardCode],"MAE")),"")</f>
        <v/>
      </c>
      <c r="E300" s="5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5" t="str">
        <f>IFERROR(IF(SUMIFS(tblDaily[TransfersIn],tblDaily[EntryDate],DATE(2026,8,21),tblDaily[WardCode],"MAE")=0,"",SUMIFS(tblDaily[TransfersIn],tblDaily[EntryDate],DATE(2026,8,21),tblDaily[WardCode],"MAE")),"")</f>
        <v/>
      </c>
      <c r="G300" s="5" t="str">
        <f>IFERROR(IF(SUMIFS(tblDaily[TransfersOut],tblDaily[EntryDate],DATE(2026,8,21),tblDaily[WardCode],"MAE")=0,"",SUMIFS(tblDaily[TransfersOut],tblDaily[EntryDate],DATE(2026,8,21),tblDaily[WardCode],"MAE")),"")</f>
        <v/>
      </c>
      <c r="H300" s="5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IFERROR(IF(SUMIFS(tblDaily[Admissions],tblDaily[EntryDate],DATE(2026,8,22),tblDaily[WardCode],"MAE")=0,"",SUMIFS(tblDaily[Admissions],tblDaily[EntryDate],DATE(2026,8,22),tblDaily[WardCode],"MAE")),"")</f>
        <v/>
      </c>
      <c r="C301" s="5" t="str">
        <f>IFERROR(IF(SUMIFS(tblDaily[Discharges],tblDaily[EntryDate],DATE(2026,8,22),tblDaily[WardCode],"MAE")=0,"",SUMIFS(tblDaily[Discharges],tblDaily[EntryDate],DATE(2026,8,22),tblDaily[WardCode],"MAE")),"")</f>
        <v/>
      </c>
      <c r="D301" s="5" t="str">
        <f>IFERROR(IF(SUMIFS(tblDaily[Deaths],tblDaily[EntryDate],DATE(2026,8,22),tblDaily[WardCode],"MAE")=0,"",SUMIFS(tblDaily[Deaths],tblDaily[EntryDate],DATE(2026,8,22),tblDaily[WardCode],"MAE")),"")</f>
        <v/>
      </c>
      <c r="E301" s="5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5" t="str">
        <f>IFERROR(IF(SUMIFS(tblDaily[TransfersIn],tblDaily[EntryDate],DATE(2026,8,22),tblDaily[WardCode],"MAE")=0,"",SUMIFS(tblDaily[TransfersIn],tblDaily[EntryDate],DATE(2026,8,22),tblDaily[WardCode],"MAE")),"")</f>
        <v/>
      </c>
      <c r="G301" s="5" t="str">
        <f>IFERROR(IF(SUMIFS(tblDaily[TransfersOut],tblDaily[EntryDate],DATE(2026,8,22),tblDaily[WardCode],"MAE")=0,"",SUMIFS(tblDaily[TransfersOut],tblDaily[EntryDate],DATE(2026,8,22),tblDaily[WardCode],"MAE")),"")</f>
        <v/>
      </c>
      <c r="H301" s="5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IFERROR(IF(SUMIFS(tblDaily[Admissions],tblDaily[EntryDate],DATE(2026,8,23),tblDaily[WardCode],"MAE")=0,"",SUMIFS(tblDaily[Admissions],tblDaily[EntryDate],DATE(2026,8,23),tblDaily[WardCode],"MAE")),"")</f>
        <v/>
      </c>
      <c r="C302" s="5" t="str">
        <f>IFERROR(IF(SUMIFS(tblDaily[Discharges],tblDaily[EntryDate],DATE(2026,8,23),tblDaily[WardCode],"MAE")=0,"",SUMIFS(tblDaily[Discharges],tblDaily[EntryDate],DATE(2026,8,23),tblDaily[WardCode],"MAE")),"")</f>
        <v/>
      </c>
      <c r="D302" s="5" t="str">
        <f>IFERROR(IF(SUMIFS(tblDaily[Deaths],tblDaily[EntryDate],DATE(2026,8,23),tblDaily[WardCode],"MAE")=0,"",SUMIFS(tblDaily[Deaths],tblDaily[EntryDate],DATE(2026,8,23),tblDaily[WardCode],"MAE")),"")</f>
        <v/>
      </c>
      <c r="E302" s="5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5" t="str">
        <f>IFERROR(IF(SUMIFS(tblDaily[TransfersIn],tblDaily[EntryDate],DATE(2026,8,23),tblDaily[WardCode],"MAE")=0,"",SUMIFS(tblDaily[TransfersIn],tblDaily[EntryDate],DATE(2026,8,23),tblDaily[WardCode],"MAE")),"")</f>
        <v/>
      </c>
      <c r="G302" s="5" t="str">
        <f>IFERROR(IF(SUMIFS(tblDaily[TransfersOut],tblDaily[EntryDate],DATE(2026,8,23),tblDaily[WardCode],"MAE")=0,"",SUMIFS(tblDaily[TransfersOut],tblDaily[EntryDate],DATE(2026,8,23),tblDaily[WardCode],"MAE")),"")</f>
        <v/>
      </c>
      <c r="H302" s="5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IFERROR(IF(SUMIFS(tblDaily[Admissions],tblDaily[EntryDate],DATE(2026,8,24),tblDaily[WardCode],"MAE")=0,"",SUMIFS(tblDaily[Admissions],tblDaily[EntryDate],DATE(2026,8,24),tblDaily[WardCode],"MAE")),"")</f>
        <v/>
      </c>
      <c r="C303" s="5" t="str">
        <f>IFERROR(IF(SUMIFS(tblDaily[Discharges],tblDaily[EntryDate],DATE(2026,8,24),tblDaily[WardCode],"MAE")=0,"",SUMIFS(tblDaily[Discharges],tblDaily[EntryDate],DATE(2026,8,24),tblDaily[WardCode],"MAE")),"")</f>
        <v/>
      </c>
      <c r="D303" s="5" t="str">
        <f>IFERROR(IF(SUMIFS(tblDaily[Deaths],tblDaily[EntryDate],DATE(2026,8,24),tblDaily[WardCode],"MAE")=0,"",SUMIFS(tblDaily[Deaths],tblDaily[EntryDate],DATE(2026,8,24),tblDaily[WardCode],"MAE")),"")</f>
        <v/>
      </c>
      <c r="E303" s="5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5" t="str">
        <f>IFERROR(IF(SUMIFS(tblDaily[TransfersIn],tblDaily[EntryDate],DATE(2026,8,24),tblDaily[WardCode],"MAE")=0,"",SUMIFS(tblDaily[TransfersIn],tblDaily[EntryDate],DATE(2026,8,24),tblDaily[WardCode],"MAE")),"")</f>
        <v/>
      </c>
      <c r="G303" s="5" t="str">
        <f>IFERROR(IF(SUMIFS(tblDaily[TransfersOut],tblDaily[EntryDate],DATE(2026,8,24),tblDaily[WardCode],"MAE")=0,"",SUMIFS(tblDaily[TransfersOut],tblDaily[EntryDate],DATE(2026,8,24),tblDaily[WardCode],"MAE")),"")</f>
        <v/>
      </c>
      <c r="H303" s="5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IFERROR(IF(SUMIFS(tblDaily[Admissions],tblDaily[EntryDate],DATE(2026,8,25),tblDaily[WardCode],"MAE")=0,"",SUMIFS(tblDaily[Admissions],tblDaily[EntryDate],DATE(2026,8,25),tblDaily[WardCode],"MAE")),"")</f>
        <v/>
      </c>
      <c r="C304" s="5" t="str">
        <f>IFERROR(IF(SUMIFS(tblDaily[Discharges],tblDaily[EntryDate],DATE(2026,8,25),tblDaily[WardCode],"MAE")=0,"",SUMIFS(tblDaily[Discharges],tblDaily[EntryDate],DATE(2026,8,25),tblDaily[WardCode],"MAE")),"")</f>
        <v/>
      </c>
      <c r="D304" s="5" t="str">
        <f>IFERROR(IF(SUMIFS(tblDaily[Deaths],tblDaily[EntryDate],DATE(2026,8,25),tblDaily[WardCode],"MAE")=0,"",SUMIFS(tblDaily[Deaths],tblDaily[EntryDate],DATE(2026,8,25),tblDaily[WardCode],"MAE")),"")</f>
        <v/>
      </c>
      <c r="E304" s="5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5" t="str">
        <f>IFERROR(IF(SUMIFS(tblDaily[TransfersIn],tblDaily[EntryDate],DATE(2026,8,25),tblDaily[WardCode],"MAE")=0,"",SUMIFS(tblDaily[TransfersIn],tblDaily[EntryDate],DATE(2026,8,25),tblDaily[WardCode],"MAE")),"")</f>
        <v/>
      </c>
      <c r="G304" s="5" t="str">
        <f>IFERROR(IF(SUMIFS(tblDaily[TransfersOut],tblDaily[EntryDate],DATE(2026,8,25),tblDaily[WardCode],"MAE")=0,"",SUMIFS(tblDaily[TransfersOut],tblDaily[EntryDate],DATE(2026,8,25),tblDaily[WardCode],"MAE")),"")</f>
        <v/>
      </c>
      <c r="H304" s="5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IFERROR(IF(SUMIFS(tblDaily[Admissions],tblDaily[EntryDate],DATE(2026,8,26),tblDaily[WardCode],"MAE")=0,"",SUMIFS(tblDaily[Admissions],tblDaily[EntryDate],DATE(2026,8,26),tblDaily[WardCode],"MAE")),"")</f>
        <v/>
      </c>
      <c r="C305" s="5" t="str">
        <f>IFERROR(IF(SUMIFS(tblDaily[Discharges],tblDaily[EntryDate],DATE(2026,8,26),tblDaily[WardCode],"MAE")=0,"",SUMIFS(tblDaily[Discharges],tblDaily[EntryDate],DATE(2026,8,26),tblDaily[WardCode],"MAE")),"")</f>
        <v/>
      </c>
      <c r="D305" s="5" t="str">
        <f>IFERROR(IF(SUMIFS(tblDaily[Deaths],tblDaily[EntryDate],DATE(2026,8,26),tblDaily[WardCode],"MAE")=0,"",SUMIFS(tblDaily[Deaths],tblDaily[EntryDate],DATE(2026,8,26),tblDaily[WardCode],"MAE")),"")</f>
        <v/>
      </c>
      <c r="E305" s="5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5" t="str">
        <f>IFERROR(IF(SUMIFS(tblDaily[TransfersIn],tblDaily[EntryDate],DATE(2026,8,26),tblDaily[WardCode],"MAE")=0,"",SUMIFS(tblDaily[TransfersIn],tblDaily[EntryDate],DATE(2026,8,26),tblDaily[WardCode],"MAE")),"")</f>
        <v/>
      </c>
      <c r="G305" s="5" t="str">
        <f>IFERROR(IF(SUMIFS(tblDaily[TransfersOut],tblDaily[EntryDate],DATE(2026,8,26),tblDaily[WardCode],"MAE")=0,"",SUMIFS(tblDaily[TransfersOut],tblDaily[EntryDate],DATE(2026,8,26),tblDaily[WardCode],"MAE")),"")</f>
        <v/>
      </c>
      <c r="H305" s="5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IFERROR(IF(SUMIFS(tblDaily[Admissions],tblDaily[EntryDate],DATE(2026,8,27),tblDaily[WardCode],"MAE")=0,"",SUMIFS(tblDaily[Admissions],tblDaily[EntryDate],DATE(2026,8,27),tblDaily[WardCode],"MAE")),"")</f>
        <v/>
      </c>
      <c r="C306" s="5" t="str">
        <f>IFERROR(IF(SUMIFS(tblDaily[Discharges],tblDaily[EntryDate],DATE(2026,8,27),tblDaily[WardCode],"MAE")=0,"",SUMIFS(tblDaily[Discharges],tblDaily[EntryDate],DATE(2026,8,27),tblDaily[WardCode],"MAE")),"")</f>
        <v/>
      </c>
      <c r="D306" s="5" t="str">
        <f>IFERROR(IF(SUMIFS(tblDaily[Deaths],tblDaily[EntryDate],DATE(2026,8,27),tblDaily[WardCode],"MAE")=0,"",SUMIFS(tblDaily[Deaths],tblDaily[EntryDate],DATE(2026,8,27),tblDaily[WardCode],"MAE")),"")</f>
        <v/>
      </c>
      <c r="E306" s="5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5" t="str">
        <f>IFERROR(IF(SUMIFS(tblDaily[TransfersIn],tblDaily[EntryDate],DATE(2026,8,27),tblDaily[WardCode],"MAE")=0,"",SUMIFS(tblDaily[TransfersIn],tblDaily[EntryDate],DATE(2026,8,27),tblDaily[WardCode],"MAE")),"")</f>
        <v/>
      </c>
      <c r="G306" s="5" t="str">
        <f>IFERROR(IF(SUMIFS(tblDaily[TransfersOut],tblDaily[EntryDate],DATE(2026,8,27),tblDaily[WardCode],"MAE")=0,"",SUMIFS(tblDaily[TransfersOut],tblDaily[EntryDate],DATE(2026,8,27),tblDaily[WardCode],"MAE")),"")</f>
        <v/>
      </c>
      <c r="H306" s="5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IFERROR(IF(SUMIFS(tblDaily[Admissions],tblDaily[EntryDate],DATE(2026,8,28),tblDaily[WardCode],"MAE")=0,"",SUMIFS(tblDaily[Admissions],tblDaily[EntryDate],DATE(2026,8,28),tblDaily[WardCode],"MAE")),"")</f>
        <v/>
      </c>
      <c r="C307" s="5" t="str">
        <f>IFERROR(IF(SUMIFS(tblDaily[Discharges],tblDaily[EntryDate],DATE(2026,8,28),tblDaily[WardCode],"MAE")=0,"",SUMIFS(tblDaily[Discharges],tblDaily[EntryDate],DATE(2026,8,28),tblDaily[WardCode],"MAE")),"")</f>
        <v/>
      </c>
      <c r="D307" s="5" t="str">
        <f>IFERROR(IF(SUMIFS(tblDaily[Deaths],tblDaily[EntryDate],DATE(2026,8,28),tblDaily[WardCode],"MAE")=0,"",SUMIFS(tblDaily[Deaths],tblDaily[EntryDate],DATE(2026,8,28),tblDaily[WardCode],"MAE")),"")</f>
        <v/>
      </c>
      <c r="E307" s="5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5" t="str">
        <f>IFERROR(IF(SUMIFS(tblDaily[TransfersIn],tblDaily[EntryDate],DATE(2026,8,28),tblDaily[WardCode],"MAE")=0,"",SUMIFS(tblDaily[TransfersIn],tblDaily[EntryDate],DATE(2026,8,28),tblDaily[WardCode],"MAE")),"")</f>
        <v/>
      </c>
      <c r="G307" s="5" t="str">
        <f>IFERROR(IF(SUMIFS(tblDaily[TransfersOut],tblDaily[EntryDate],DATE(2026,8,28),tblDaily[WardCode],"MAE")=0,"",SUMIFS(tblDaily[TransfersOut],tblDaily[EntryDate],DATE(2026,8,28),tblDaily[WardCode],"MAE")),"")</f>
        <v/>
      </c>
      <c r="H307" s="5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IFERROR(IF(SUMIFS(tblDaily[Admissions],tblDaily[EntryDate],DATE(2026,8,29),tblDaily[WardCode],"MAE")=0,"",SUMIFS(tblDaily[Admissions],tblDaily[EntryDate],DATE(2026,8,29),tblDaily[WardCode],"MAE")),"")</f>
        <v/>
      </c>
      <c r="C308" s="5" t="str">
        <f>IFERROR(IF(SUMIFS(tblDaily[Discharges],tblDaily[EntryDate],DATE(2026,8,29),tblDaily[WardCode],"MAE")=0,"",SUMIFS(tblDaily[Discharges],tblDaily[EntryDate],DATE(2026,8,29),tblDaily[WardCode],"MAE")),"")</f>
        <v/>
      </c>
      <c r="D308" s="5" t="str">
        <f>IFERROR(IF(SUMIFS(tblDaily[Deaths],tblDaily[EntryDate],DATE(2026,8,29),tblDaily[WardCode],"MAE")=0,"",SUMIFS(tblDaily[Deaths],tblDaily[EntryDate],DATE(2026,8,29),tblDaily[WardCode],"MAE")),"")</f>
        <v/>
      </c>
      <c r="E308" s="5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5" t="str">
        <f>IFERROR(IF(SUMIFS(tblDaily[TransfersIn],tblDaily[EntryDate],DATE(2026,8,29),tblDaily[WardCode],"MAE")=0,"",SUMIFS(tblDaily[TransfersIn],tblDaily[EntryDate],DATE(2026,8,29),tblDaily[WardCode],"MAE")),"")</f>
        <v/>
      </c>
      <c r="G308" s="5" t="str">
        <f>IFERROR(IF(SUMIFS(tblDaily[TransfersOut],tblDaily[EntryDate],DATE(2026,8,29),tblDaily[WardCode],"MAE")=0,"",SUMIFS(tblDaily[TransfersOut],tblDaily[EntryDate],DATE(2026,8,29),tblDaily[WardCode],"MAE")),"")</f>
        <v/>
      </c>
      <c r="H308" s="5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IFERROR(IF(SUMIFS(tblDaily[Admissions],tblDaily[EntryDate],DATE(2026,8,30),tblDaily[WardCode],"MAE")=0,"",SUMIFS(tblDaily[Admissions],tblDaily[EntryDate],DATE(2026,8,30),tblDaily[WardCode],"MAE")),"")</f>
        <v/>
      </c>
      <c r="C309" s="5" t="str">
        <f>IFERROR(IF(SUMIFS(tblDaily[Discharges],tblDaily[EntryDate],DATE(2026,8,30),tblDaily[WardCode],"MAE")=0,"",SUMIFS(tblDaily[Discharges],tblDaily[EntryDate],DATE(2026,8,30),tblDaily[WardCode],"MAE")),"")</f>
        <v/>
      </c>
      <c r="D309" s="5" t="str">
        <f>IFERROR(IF(SUMIFS(tblDaily[Deaths],tblDaily[EntryDate],DATE(2026,8,30),tblDaily[WardCode],"MAE")=0,"",SUMIFS(tblDaily[Deaths],tblDaily[EntryDate],DATE(2026,8,30),tblDaily[WardCode],"MAE")),"")</f>
        <v/>
      </c>
      <c r="E309" s="5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5" t="str">
        <f>IFERROR(IF(SUMIFS(tblDaily[TransfersIn],tblDaily[EntryDate],DATE(2026,8,30),tblDaily[WardCode],"MAE")=0,"",SUMIFS(tblDaily[TransfersIn],tblDaily[EntryDate],DATE(2026,8,30),tblDaily[WardCode],"MAE")),"")</f>
        <v/>
      </c>
      <c r="G309" s="5" t="str">
        <f>IFERROR(IF(SUMIFS(tblDaily[TransfersOut],tblDaily[EntryDate],DATE(2026,8,30),tblDaily[WardCode],"MAE")=0,"",SUMIFS(tblDaily[TransfersOut],tblDaily[EntryDate],DATE(2026,8,30),tblDaily[WardCode],"MAE")),"")</f>
        <v/>
      </c>
      <c r="H309" s="5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IFERROR(IF(SUMIFS(tblDaily[Admissions],tblDaily[EntryDate],DATE(2026,8,31),tblDaily[WardCode],"MAE")=0,"",SUMIFS(tblDaily[Admissions],tblDaily[EntryDate],DATE(2026,8,31),tblDaily[WardCode],"MAE")),"")</f>
        <v/>
      </c>
      <c r="C310" s="5" t="str">
        <f>IFERROR(IF(SUMIFS(tblDaily[Discharges],tblDaily[EntryDate],DATE(2026,8,31),tblDaily[WardCode],"MAE")=0,"",SUMIFS(tblDaily[Discharges],tblDaily[EntryDate],DATE(2026,8,31),tblDaily[WardCode],"MAE")),"")</f>
        <v/>
      </c>
      <c r="D310" s="5" t="str">
        <f>IFERROR(IF(SUMIFS(tblDaily[Deaths],tblDaily[EntryDate],DATE(2026,8,31),tblDaily[WardCode],"MAE")=0,"",SUMIFS(tblDaily[Deaths],tblDaily[EntryDate],DATE(2026,8,31),tblDaily[WardCode],"MAE")),"")</f>
        <v/>
      </c>
      <c r="E310" s="5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5" t="str">
        <f>IFERROR(IF(SUMIFS(tblDaily[TransfersIn],tblDaily[EntryDate],DATE(2026,8,31),tblDaily[WardCode],"MAE")=0,"",SUMIFS(tblDaily[TransfersIn],tblDaily[EntryDate],DATE(2026,8,31),tblDaily[WardCode],"MAE")),"")</f>
        <v/>
      </c>
      <c r="G310" s="5" t="str">
        <f>IFERROR(IF(SUMIFS(tblDaily[TransfersOut],tblDaily[EntryDate],DATE(2026,8,31),tblDaily[WardCode],"MAE")=0,"",SUMIFS(tblDaily[TransfersOut],tblDaily[EntryDate],DATE(2026,8,31),tblDaily[WardCode],"MAE")),"")</f>
        <v/>
      </c>
      <c r="H310" s="5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95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102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89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IFERROR(IF(SUMIFS(tblDaily[Admissions],tblDaily[EntryDate],DATE(2026,9,1),tblDaily[WardCode],"MAE")=0,"",SUMIFS(tblDaily[Admissions],tblDaily[EntryDate],DATE(2026,9,1),tblDaily[WardCode],"MAE")),"")</f>
        <v/>
      </c>
      <c r="C319" s="5" t="str">
        <f>IFERROR(IF(SUMIFS(tblDaily[Discharges],tblDaily[EntryDate],DATE(2026,9,1),tblDaily[WardCode],"MAE")=0,"",SUMIFS(tblDaily[Discharges],tblDaily[EntryDate],DATE(2026,9,1),tblDaily[WardCode],"MAE")),"")</f>
        <v/>
      </c>
      <c r="D319" s="5" t="str">
        <f>IFERROR(IF(SUMIFS(tblDaily[Deaths],tblDaily[EntryDate],DATE(2026,9,1),tblDaily[WardCode],"MAE")=0,"",SUMIFS(tblDaily[Deaths],tblDaily[EntryDate],DATE(2026,9,1),tblDaily[WardCode],"MAE")),"")</f>
        <v/>
      </c>
      <c r="E319" s="5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5" t="str">
        <f>IFERROR(IF(SUMIFS(tblDaily[TransfersIn],tblDaily[EntryDate],DATE(2026,9,1),tblDaily[WardCode],"MAE")=0,"",SUMIFS(tblDaily[TransfersIn],tblDaily[EntryDate],DATE(2026,9,1),tblDaily[WardCode],"MAE")),"")</f>
        <v/>
      </c>
      <c r="G319" s="5" t="str">
        <f>IFERROR(IF(SUMIFS(tblDaily[TransfersOut],tblDaily[EntryDate],DATE(2026,9,1),tblDaily[WardCode],"MAE")=0,"",SUMIFS(tblDaily[TransfersOut],tblDaily[EntryDate],DATE(2026,9,1),tblDaily[WardCode],"MAE")),"")</f>
        <v/>
      </c>
      <c r="H319" s="5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IFERROR(IF(SUMIFS(tblDaily[Admissions],tblDaily[EntryDate],DATE(2026,9,2),tblDaily[WardCode],"MAE")=0,"",SUMIFS(tblDaily[Admissions],tblDaily[EntryDate],DATE(2026,9,2),tblDaily[WardCode],"MAE")),"")</f>
        <v/>
      </c>
      <c r="C320" s="5" t="str">
        <f>IFERROR(IF(SUMIFS(tblDaily[Discharges],tblDaily[EntryDate],DATE(2026,9,2),tblDaily[WardCode],"MAE")=0,"",SUMIFS(tblDaily[Discharges],tblDaily[EntryDate],DATE(2026,9,2),tblDaily[WardCode],"MAE")),"")</f>
        <v/>
      </c>
      <c r="D320" s="5" t="str">
        <f>IFERROR(IF(SUMIFS(tblDaily[Deaths],tblDaily[EntryDate],DATE(2026,9,2),tblDaily[WardCode],"MAE")=0,"",SUMIFS(tblDaily[Deaths],tblDaily[EntryDate],DATE(2026,9,2),tblDaily[WardCode],"MAE")),"")</f>
        <v/>
      </c>
      <c r="E320" s="5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5" t="str">
        <f>IFERROR(IF(SUMIFS(tblDaily[TransfersIn],tblDaily[EntryDate],DATE(2026,9,2),tblDaily[WardCode],"MAE")=0,"",SUMIFS(tblDaily[TransfersIn],tblDaily[EntryDate],DATE(2026,9,2),tblDaily[WardCode],"MAE")),"")</f>
        <v/>
      </c>
      <c r="G320" s="5" t="str">
        <f>IFERROR(IF(SUMIFS(tblDaily[TransfersOut],tblDaily[EntryDate],DATE(2026,9,2),tblDaily[WardCode],"MAE")=0,"",SUMIFS(tblDaily[TransfersOut],tblDaily[EntryDate],DATE(2026,9,2),tblDaily[WardCode],"MAE")),"")</f>
        <v/>
      </c>
      <c r="H320" s="5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IFERROR(IF(SUMIFS(tblDaily[Admissions],tblDaily[EntryDate],DATE(2026,9,3),tblDaily[WardCode],"MAE")=0,"",SUMIFS(tblDaily[Admissions],tblDaily[EntryDate],DATE(2026,9,3),tblDaily[WardCode],"MAE")),"")</f>
        <v/>
      </c>
      <c r="C321" s="5" t="str">
        <f>IFERROR(IF(SUMIFS(tblDaily[Discharges],tblDaily[EntryDate],DATE(2026,9,3),tblDaily[WardCode],"MAE")=0,"",SUMIFS(tblDaily[Discharges],tblDaily[EntryDate],DATE(2026,9,3),tblDaily[WardCode],"MAE")),"")</f>
        <v/>
      </c>
      <c r="D321" s="5" t="str">
        <f>IFERROR(IF(SUMIFS(tblDaily[Deaths],tblDaily[EntryDate],DATE(2026,9,3),tblDaily[WardCode],"MAE")=0,"",SUMIFS(tblDaily[Deaths],tblDaily[EntryDate],DATE(2026,9,3),tblDaily[WardCode],"MAE")),"")</f>
        <v/>
      </c>
      <c r="E321" s="5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5" t="str">
        <f>IFERROR(IF(SUMIFS(tblDaily[TransfersIn],tblDaily[EntryDate],DATE(2026,9,3),tblDaily[WardCode],"MAE")=0,"",SUMIFS(tblDaily[TransfersIn],tblDaily[EntryDate],DATE(2026,9,3),tblDaily[WardCode],"MAE")),"")</f>
        <v/>
      </c>
      <c r="G321" s="5" t="str">
        <f>IFERROR(IF(SUMIFS(tblDaily[TransfersOut],tblDaily[EntryDate],DATE(2026,9,3),tblDaily[WardCode],"MAE")=0,"",SUMIFS(tblDaily[TransfersOut],tblDaily[EntryDate],DATE(2026,9,3),tblDaily[WardCode],"MAE")),"")</f>
        <v/>
      </c>
      <c r="H321" s="5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IFERROR(IF(SUMIFS(tblDaily[Admissions],tblDaily[EntryDate],DATE(2026,9,4),tblDaily[WardCode],"MAE")=0,"",SUMIFS(tblDaily[Admissions],tblDaily[EntryDate],DATE(2026,9,4),tblDaily[WardCode],"MAE")),"")</f>
        <v/>
      </c>
      <c r="C322" s="5" t="str">
        <f>IFERROR(IF(SUMIFS(tblDaily[Discharges],tblDaily[EntryDate],DATE(2026,9,4),tblDaily[WardCode],"MAE")=0,"",SUMIFS(tblDaily[Discharges],tblDaily[EntryDate],DATE(2026,9,4),tblDaily[WardCode],"MAE")),"")</f>
        <v/>
      </c>
      <c r="D322" s="5" t="str">
        <f>IFERROR(IF(SUMIFS(tblDaily[Deaths],tblDaily[EntryDate],DATE(2026,9,4),tblDaily[WardCode],"MAE")=0,"",SUMIFS(tblDaily[Deaths],tblDaily[EntryDate],DATE(2026,9,4),tblDaily[WardCode],"MAE")),"")</f>
        <v/>
      </c>
      <c r="E322" s="5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5" t="str">
        <f>IFERROR(IF(SUMIFS(tblDaily[TransfersIn],tblDaily[EntryDate],DATE(2026,9,4),tblDaily[WardCode],"MAE")=0,"",SUMIFS(tblDaily[TransfersIn],tblDaily[EntryDate],DATE(2026,9,4),tblDaily[WardCode],"MAE")),"")</f>
        <v/>
      </c>
      <c r="G322" s="5" t="str">
        <f>IFERROR(IF(SUMIFS(tblDaily[TransfersOut],tblDaily[EntryDate],DATE(2026,9,4),tblDaily[WardCode],"MAE")=0,"",SUMIFS(tblDaily[TransfersOut],tblDaily[EntryDate],DATE(2026,9,4),tblDaily[WardCode],"MAE")),"")</f>
        <v/>
      </c>
      <c r="H322" s="5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IFERROR(IF(SUMIFS(tblDaily[Admissions],tblDaily[EntryDate],DATE(2026,9,5),tblDaily[WardCode],"MAE")=0,"",SUMIFS(tblDaily[Admissions],tblDaily[EntryDate],DATE(2026,9,5),tblDaily[WardCode],"MAE")),"")</f>
        <v/>
      </c>
      <c r="C323" s="5" t="str">
        <f>IFERROR(IF(SUMIFS(tblDaily[Discharges],tblDaily[EntryDate],DATE(2026,9,5),tblDaily[WardCode],"MAE")=0,"",SUMIFS(tblDaily[Discharges],tblDaily[EntryDate],DATE(2026,9,5),tblDaily[WardCode],"MAE")),"")</f>
        <v/>
      </c>
      <c r="D323" s="5" t="str">
        <f>IFERROR(IF(SUMIFS(tblDaily[Deaths],tblDaily[EntryDate],DATE(2026,9,5),tblDaily[WardCode],"MAE")=0,"",SUMIFS(tblDaily[Deaths],tblDaily[EntryDate],DATE(2026,9,5),tblDaily[WardCode],"MAE")),"")</f>
        <v/>
      </c>
      <c r="E323" s="5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5" t="str">
        <f>IFERROR(IF(SUMIFS(tblDaily[TransfersIn],tblDaily[EntryDate],DATE(2026,9,5),tblDaily[WardCode],"MAE")=0,"",SUMIFS(tblDaily[TransfersIn],tblDaily[EntryDate],DATE(2026,9,5),tblDaily[WardCode],"MAE")),"")</f>
        <v/>
      </c>
      <c r="G323" s="5" t="str">
        <f>IFERROR(IF(SUMIFS(tblDaily[TransfersOut],tblDaily[EntryDate],DATE(2026,9,5),tblDaily[WardCode],"MAE")=0,"",SUMIFS(tblDaily[TransfersOut],tblDaily[EntryDate],DATE(2026,9,5),tblDaily[WardCode],"MAE")),"")</f>
        <v/>
      </c>
      <c r="H323" s="5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IFERROR(IF(SUMIFS(tblDaily[Admissions],tblDaily[EntryDate],DATE(2026,9,6),tblDaily[WardCode],"MAE")=0,"",SUMIFS(tblDaily[Admissions],tblDaily[EntryDate],DATE(2026,9,6),tblDaily[WardCode],"MAE")),"")</f>
        <v/>
      </c>
      <c r="C324" s="5" t="str">
        <f>IFERROR(IF(SUMIFS(tblDaily[Discharges],tblDaily[EntryDate],DATE(2026,9,6),tblDaily[WardCode],"MAE")=0,"",SUMIFS(tblDaily[Discharges],tblDaily[EntryDate],DATE(2026,9,6),tblDaily[WardCode],"MAE")),"")</f>
        <v/>
      </c>
      <c r="D324" s="5" t="str">
        <f>IFERROR(IF(SUMIFS(tblDaily[Deaths],tblDaily[EntryDate],DATE(2026,9,6),tblDaily[WardCode],"MAE")=0,"",SUMIFS(tblDaily[Deaths],tblDaily[EntryDate],DATE(2026,9,6),tblDaily[WardCode],"MAE")),"")</f>
        <v/>
      </c>
      <c r="E324" s="5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5" t="str">
        <f>IFERROR(IF(SUMIFS(tblDaily[TransfersIn],tblDaily[EntryDate],DATE(2026,9,6),tblDaily[WardCode],"MAE")=0,"",SUMIFS(tblDaily[TransfersIn],tblDaily[EntryDate],DATE(2026,9,6),tblDaily[WardCode],"MAE")),"")</f>
        <v/>
      </c>
      <c r="G324" s="5" t="str">
        <f>IFERROR(IF(SUMIFS(tblDaily[TransfersOut],tblDaily[EntryDate],DATE(2026,9,6),tblDaily[WardCode],"MAE")=0,"",SUMIFS(tblDaily[TransfersOut],tblDaily[EntryDate],DATE(2026,9,6),tblDaily[WardCode],"MAE")),"")</f>
        <v/>
      </c>
      <c r="H324" s="5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IFERROR(IF(SUMIFS(tblDaily[Admissions],tblDaily[EntryDate],DATE(2026,9,7),tblDaily[WardCode],"MAE")=0,"",SUMIFS(tblDaily[Admissions],tblDaily[EntryDate],DATE(2026,9,7),tblDaily[WardCode],"MAE")),"")</f>
        <v/>
      </c>
      <c r="C325" s="5" t="str">
        <f>IFERROR(IF(SUMIFS(tblDaily[Discharges],tblDaily[EntryDate],DATE(2026,9,7),tblDaily[WardCode],"MAE")=0,"",SUMIFS(tblDaily[Discharges],tblDaily[EntryDate],DATE(2026,9,7),tblDaily[WardCode],"MAE")),"")</f>
        <v/>
      </c>
      <c r="D325" s="5" t="str">
        <f>IFERROR(IF(SUMIFS(tblDaily[Deaths],tblDaily[EntryDate],DATE(2026,9,7),tblDaily[WardCode],"MAE")=0,"",SUMIFS(tblDaily[Deaths],tblDaily[EntryDate],DATE(2026,9,7),tblDaily[WardCode],"MAE")),"")</f>
        <v/>
      </c>
      <c r="E325" s="5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5" t="str">
        <f>IFERROR(IF(SUMIFS(tblDaily[TransfersIn],tblDaily[EntryDate],DATE(2026,9,7),tblDaily[WardCode],"MAE")=0,"",SUMIFS(tblDaily[TransfersIn],tblDaily[EntryDate],DATE(2026,9,7),tblDaily[WardCode],"MAE")),"")</f>
        <v/>
      </c>
      <c r="G325" s="5" t="str">
        <f>IFERROR(IF(SUMIFS(tblDaily[TransfersOut],tblDaily[EntryDate],DATE(2026,9,7),tblDaily[WardCode],"MAE")=0,"",SUMIFS(tblDaily[TransfersOut],tblDaily[EntryDate],DATE(2026,9,7),tblDaily[WardCode],"MAE")),"")</f>
        <v/>
      </c>
      <c r="H325" s="5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IFERROR(IF(SUMIFS(tblDaily[Admissions],tblDaily[EntryDate],DATE(2026,9,8),tblDaily[WardCode],"MAE")=0,"",SUMIFS(tblDaily[Admissions],tblDaily[EntryDate],DATE(2026,9,8),tblDaily[WardCode],"MAE")),"")</f>
        <v/>
      </c>
      <c r="C326" s="5" t="str">
        <f>IFERROR(IF(SUMIFS(tblDaily[Discharges],tblDaily[EntryDate],DATE(2026,9,8),tblDaily[WardCode],"MAE")=0,"",SUMIFS(tblDaily[Discharges],tblDaily[EntryDate],DATE(2026,9,8),tblDaily[WardCode],"MAE")),"")</f>
        <v/>
      </c>
      <c r="D326" s="5" t="str">
        <f>IFERROR(IF(SUMIFS(tblDaily[Deaths],tblDaily[EntryDate],DATE(2026,9,8),tblDaily[WardCode],"MAE")=0,"",SUMIFS(tblDaily[Deaths],tblDaily[EntryDate],DATE(2026,9,8),tblDaily[WardCode],"MAE")),"")</f>
        <v/>
      </c>
      <c r="E326" s="5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5" t="str">
        <f>IFERROR(IF(SUMIFS(tblDaily[TransfersIn],tblDaily[EntryDate],DATE(2026,9,8),tblDaily[WardCode],"MAE")=0,"",SUMIFS(tblDaily[TransfersIn],tblDaily[EntryDate],DATE(2026,9,8),tblDaily[WardCode],"MAE")),"")</f>
        <v/>
      </c>
      <c r="G326" s="5" t="str">
        <f>IFERROR(IF(SUMIFS(tblDaily[TransfersOut],tblDaily[EntryDate],DATE(2026,9,8),tblDaily[WardCode],"MAE")=0,"",SUMIFS(tblDaily[TransfersOut],tblDaily[EntryDate],DATE(2026,9,8),tblDaily[WardCode],"MAE")),"")</f>
        <v/>
      </c>
      <c r="H326" s="5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IFERROR(IF(SUMIFS(tblDaily[Admissions],tblDaily[EntryDate],DATE(2026,9,9),tblDaily[WardCode],"MAE")=0,"",SUMIFS(tblDaily[Admissions],tblDaily[EntryDate],DATE(2026,9,9),tblDaily[WardCode],"MAE")),"")</f>
        <v/>
      </c>
      <c r="C327" s="5" t="str">
        <f>IFERROR(IF(SUMIFS(tblDaily[Discharges],tblDaily[EntryDate],DATE(2026,9,9),tblDaily[WardCode],"MAE")=0,"",SUMIFS(tblDaily[Discharges],tblDaily[EntryDate],DATE(2026,9,9),tblDaily[WardCode],"MAE")),"")</f>
        <v/>
      </c>
      <c r="D327" s="5" t="str">
        <f>IFERROR(IF(SUMIFS(tblDaily[Deaths],tblDaily[EntryDate],DATE(2026,9,9),tblDaily[WardCode],"MAE")=0,"",SUMIFS(tblDaily[Deaths],tblDaily[EntryDate],DATE(2026,9,9),tblDaily[WardCode],"MAE")),"")</f>
        <v/>
      </c>
      <c r="E327" s="5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5" t="str">
        <f>IFERROR(IF(SUMIFS(tblDaily[TransfersIn],tblDaily[EntryDate],DATE(2026,9,9),tblDaily[WardCode],"MAE")=0,"",SUMIFS(tblDaily[TransfersIn],tblDaily[EntryDate],DATE(2026,9,9),tblDaily[WardCode],"MAE")),"")</f>
        <v/>
      </c>
      <c r="G327" s="5" t="str">
        <f>IFERROR(IF(SUMIFS(tblDaily[TransfersOut],tblDaily[EntryDate],DATE(2026,9,9),tblDaily[WardCode],"MAE")=0,"",SUMIFS(tblDaily[TransfersOut],tblDaily[EntryDate],DATE(2026,9,9),tblDaily[WardCode],"MAE")),"")</f>
        <v/>
      </c>
      <c r="H327" s="5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IFERROR(IF(SUMIFS(tblDaily[Admissions],tblDaily[EntryDate],DATE(2026,9,10),tblDaily[WardCode],"MAE")=0,"",SUMIFS(tblDaily[Admissions],tblDaily[EntryDate],DATE(2026,9,10),tblDaily[WardCode],"MAE")),"")</f>
        <v/>
      </c>
      <c r="C328" s="5" t="str">
        <f>IFERROR(IF(SUMIFS(tblDaily[Discharges],tblDaily[EntryDate],DATE(2026,9,10),tblDaily[WardCode],"MAE")=0,"",SUMIFS(tblDaily[Discharges],tblDaily[EntryDate],DATE(2026,9,10),tblDaily[WardCode],"MAE")),"")</f>
        <v/>
      </c>
      <c r="D328" s="5" t="str">
        <f>IFERROR(IF(SUMIFS(tblDaily[Deaths],tblDaily[EntryDate],DATE(2026,9,10),tblDaily[WardCode],"MAE")=0,"",SUMIFS(tblDaily[Deaths],tblDaily[EntryDate],DATE(2026,9,10),tblDaily[WardCode],"MAE")),"")</f>
        <v/>
      </c>
      <c r="E328" s="5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5" t="str">
        <f>IFERROR(IF(SUMIFS(tblDaily[TransfersIn],tblDaily[EntryDate],DATE(2026,9,10),tblDaily[WardCode],"MAE")=0,"",SUMIFS(tblDaily[TransfersIn],tblDaily[EntryDate],DATE(2026,9,10),tblDaily[WardCode],"MAE")),"")</f>
        <v/>
      </c>
      <c r="G328" s="5" t="str">
        <f>IFERROR(IF(SUMIFS(tblDaily[TransfersOut],tblDaily[EntryDate],DATE(2026,9,10),tblDaily[WardCode],"MAE")=0,"",SUMIFS(tblDaily[TransfersOut],tblDaily[EntryDate],DATE(2026,9,10),tblDaily[WardCode],"MAE")),"")</f>
        <v/>
      </c>
      <c r="H328" s="5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IFERROR(IF(SUMIFS(tblDaily[Admissions],tblDaily[EntryDate],DATE(2026,9,11),tblDaily[WardCode],"MAE")=0,"",SUMIFS(tblDaily[Admissions],tblDaily[EntryDate],DATE(2026,9,11),tblDaily[WardCode],"MAE")),"")</f>
        <v/>
      </c>
      <c r="C329" s="5" t="str">
        <f>IFERROR(IF(SUMIFS(tblDaily[Discharges],tblDaily[EntryDate],DATE(2026,9,11),tblDaily[WardCode],"MAE")=0,"",SUMIFS(tblDaily[Discharges],tblDaily[EntryDate],DATE(2026,9,11),tblDaily[WardCode],"MAE")),"")</f>
        <v/>
      </c>
      <c r="D329" s="5" t="str">
        <f>IFERROR(IF(SUMIFS(tblDaily[Deaths],tblDaily[EntryDate],DATE(2026,9,11),tblDaily[WardCode],"MAE")=0,"",SUMIFS(tblDaily[Deaths],tblDaily[EntryDate],DATE(2026,9,11),tblDaily[WardCode],"MAE")),"")</f>
        <v/>
      </c>
      <c r="E329" s="5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5" t="str">
        <f>IFERROR(IF(SUMIFS(tblDaily[TransfersIn],tblDaily[EntryDate],DATE(2026,9,11),tblDaily[WardCode],"MAE")=0,"",SUMIFS(tblDaily[TransfersIn],tblDaily[EntryDate],DATE(2026,9,11),tblDaily[WardCode],"MAE")),"")</f>
        <v/>
      </c>
      <c r="G329" s="5" t="str">
        <f>IFERROR(IF(SUMIFS(tblDaily[TransfersOut],tblDaily[EntryDate],DATE(2026,9,11),tblDaily[WardCode],"MAE")=0,"",SUMIFS(tblDaily[TransfersOut],tblDaily[EntryDate],DATE(2026,9,11),tblDaily[WardCode],"MAE")),"")</f>
        <v/>
      </c>
      <c r="H329" s="5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IFERROR(IF(SUMIFS(tblDaily[Admissions],tblDaily[EntryDate],DATE(2026,9,12),tblDaily[WardCode],"MAE")=0,"",SUMIFS(tblDaily[Admissions],tblDaily[EntryDate],DATE(2026,9,12),tblDaily[WardCode],"MAE")),"")</f>
        <v/>
      </c>
      <c r="C330" s="5" t="str">
        <f>IFERROR(IF(SUMIFS(tblDaily[Discharges],tblDaily[EntryDate],DATE(2026,9,12),tblDaily[WardCode],"MAE")=0,"",SUMIFS(tblDaily[Discharges],tblDaily[EntryDate],DATE(2026,9,12),tblDaily[WardCode],"MAE")),"")</f>
        <v/>
      </c>
      <c r="D330" s="5" t="str">
        <f>IFERROR(IF(SUMIFS(tblDaily[Deaths],tblDaily[EntryDate],DATE(2026,9,12),tblDaily[WardCode],"MAE")=0,"",SUMIFS(tblDaily[Deaths],tblDaily[EntryDate],DATE(2026,9,12),tblDaily[WardCode],"MAE")),"")</f>
        <v/>
      </c>
      <c r="E330" s="5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5" t="str">
        <f>IFERROR(IF(SUMIFS(tblDaily[TransfersIn],tblDaily[EntryDate],DATE(2026,9,12),tblDaily[WardCode],"MAE")=0,"",SUMIFS(tblDaily[TransfersIn],tblDaily[EntryDate],DATE(2026,9,12),tblDaily[WardCode],"MAE")),"")</f>
        <v/>
      </c>
      <c r="G330" s="5" t="str">
        <f>IFERROR(IF(SUMIFS(tblDaily[TransfersOut],tblDaily[EntryDate],DATE(2026,9,12),tblDaily[WardCode],"MAE")=0,"",SUMIFS(tblDaily[TransfersOut],tblDaily[EntryDate],DATE(2026,9,12),tblDaily[WardCode],"MAE")),"")</f>
        <v/>
      </c>
      <c r="H330" s="5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IFERROR(IF(SUMIFS(tblDaily[Admissions],tblDaily[EntryDate],DATE(2026,9,13),tblDaily[WardCode],"MAE")=0,"",SUMIFS(tblDaily[Admissions],tblDaily[EntryDate],DATE(2026,9,13),tblDaily[WardCode],"MAE")),"")</f>
        <v/>
      </c>
      <c r="C331" s="5" t="str">
        <f>IFERROR(IF(SUMIFS(tblDaily[Discharges],tblDaily[EntryDate],DATE(2026,9,13),tblDaily[WardCode],"MAE")=0,"",SUMIFS(tblDaily[Discharges],tblDaily[EntryDate],DATE(2026,9,13),tblDaily[WardCode],"MAE")),"")</f>
        <v/>
      </c>
      <c r="D331" s="5" t="str">
        <f>IFERROR(IF(SUMIFS(tblDaily[Deaths],tblDaily[EntryDate],DATE(2026,9,13),tblDaily[WardCode],"MAE")=0,"",SUMIFS(tblDaily[Deaths],tblDaily[EntryDate],DATE(2026,9,13),tblDaily[WardCode],"MAE")),"")</f>
        <v/>
      </c>
      <c r="E331" s="5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5" t="str">
        <f>IFERROR(IF(SUMIFS(tblDaily[TransfersIn],tblDaily[EntryDate],DATE(2026,9,13),tblDaily[WardCode],"MAE")=0,"",SUMIFS(tblDaily[TransfersIn],tblDaily[EntryDate],DATE(2026,9,13),tblDaily[WardCode],"MAE")),"")</f>
        <v/>
      </c>
      <c r="G331" s="5" t="str">
        <f>IFERROR(IF(SUMIFS(tblDaily[TransfersOut],tblDaily[EntryDate],DATE(2026,9,13),tblDaily[WardCode],"MAE")=0,"",SUMIFS(tblDaily[TransfersOut],tblDaily[EntryDate],DATE(2026,9,13),tblDaily[WardCode],"MAE")),"")</f>
        <v/>
      </c>
      <c r="H331" s="5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IFERROR(IF(SUMIFS(tblDaily[Admissions],tblDaily[EntryDate],DATE(2026,9,14),tblDaily[WardCode],"MAE")=0,"",SUMIFS(tblDaily[Admissions],tblDaily[EntryDate],DATE(2026,9,14),tblDaily[WardCode],"MAE")),"")</f>
        <v/>
      </c>
      <c r="C332" s="5" t="str">
        <f>IFERROR(IF(SUMIFS(tblDaily[Discharges],tblDaily[EntryDate],DATE(2026,9,14),tblDaily[WardCode],"MAE")=0,"",SUMIFS(tblDaily[Discharges],tblDaily[EntryDate],DATE(2026,9,14),tblDaily[WardCode],"MAE")),"")</f>
        <v/>
      </c>
      <c r="D332" s="5" t="str">
        <f>IFERROR(IF(SUMIFS(tblDaily[Deaths],tblDaily[EntryDate],DATE(2026,9,14),tblDaily[WardCode],"MAE")=0,"",SUMIFS(tblDaily[Deaths],tblDaily[EntryDate],DATE(2026,9,14),tblDaily[WardCode],"MAE")),"")</f>
        <v/>
      </c>
      <c r="E332" s="5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5" t="str">
        <f>IFERROR(IF(SUMIFS(tblDaily[TransfersIn],tblDaily[EntryDate],DATE(2026,9,14),tblDaily[WardCode],"MAE")=0,"",SUMIFS(tblDaily[TransfersIn],tblDaily[EntryDate],DATE(2026,9,14),tblDaily[WardCode],"MAE")),"")</f>
        <v/>
      </c>
      <c r="G332" s="5" t="str">
        <f>IFERROR(IF(SUMIFS(tblDaily[TransfersOut],tblDaily[EntryDate],DATE(2026,9,14),tblDaily[WardCode],"MAE")=0,"",SUMIFS(tblDaily[TransfersOut],tblDaily[EntryDate],DATE(2026,9,14),tblDaily[WardCode],"MAE")),"")</f>
        <v/>
      </c>
      <c r="H332" s="5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IFERROR(IF(SUMIFS(tblDaily[Admissions],tblDaily[EntryDate],DATE(2026,9,15),tblDaily[WardCode],"MAE")=0,"",SUMIFS(tblDaily[Admissions],tblDaily[EntryDate],DATE(2026,9,15),tblDaily[WardCode],"MAE")),"")</f>
        <v/>
      </c>
      <c r="C333" s="5" t="str">
        <f>IFERROR(IF(SUMIFS(tblDaily[Discharges],tblDaily[EntryDate],DATE(2026,9,15),tblDaily[WardCode],"MAE")=0,"",SUMIFS(tblDaily[Discharges],tblDaily[EntryDate],DATE(2026,9,15),tblDaily[WardCode],"MAE")),"")</f>
        <v/>
      </c>
      <c r="D333" s="5" t="str">
        <f>IFERROR(IF(SUMIFS(tblDaily[Deaths],tblDaily[EntryDate],DATE(2026,9,15),tblDaily[WardCode],"MAE")=0,"",SUMIFS(tblDaily[Deaths],tblDaily[EntryDate],DATE(2026,9,15),tblDaily[WardCode],"MAE")),"")</f>
        <v/>
      </c>
      <c r="E333" s="5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5" t="str">
        <f>IFERROR(IF(SUMIFS(tblDaily[TransfersIn],tblDaily[EntryDate],DATE(2026,9,15),tblDaily[WardCode],"MAE")=0,"",SUMIFS(tblDaily[TransfersIn],tblDaily[EntryDate],DATE(2026,9,15),tblDaily[WardCode],"MAE")),"")</f>
        <v/>
      </c>
      <c r="G333" s="5" t="str">
        <f>IFERROR(IF(SUMIFS(tblDaily[TransfersOut],tblDaily[EntryDate],DATE(2026,9,15),tblDaily[WardCode],"MAE")=0,"",SUMIFS(tblDaily[TransfersOut],tblDaily[EntryDate],DATE(2026,9,15),tblDaily[WardCode],"MAE")),"")</f>
        <v/>
      </c>
      <c r="H333" s="5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IFERROR(IF(SUMIFS(tblDaily[Admissions],tblDaily[EntryDate],DATE(2026,9,16),tblDaily[WardCode],"MAE")=0,"",SUMIFS(tblDaily[Admissions],tblDaily[EntryDate],DATE(2026,9,16),tblDaily[WardCode],"MAE")),"")</f>
        <v/>
      </c>
      <c r="C334" s="5" t="str">
        <f>IFERROR(IF(SUMIFS(tblDaily[Discharges],tblDaily[EntryDate],DATE(2026,9,16),tblDaily[WardCode],"MAE")=0,"",SUMIFS(tblDaily[Discharges],tblDaily[EntryDate],DATE(2026,9,16),tblDaily[WardCode],"MAE")),"")</f>
        <v/>
      </c>
      <c r="D334" s="5" t="str">
        <f>IFERROR(IF(SUMIFS(tblDaily[Deaths],tblDaily[EntryDate],DATE(2026,9,16),tblDaily[WardCode],"MAE")=0,"",SUMIFS(tblDaily[Deaths],tblDaily[EntryDate],DATE(2026,9,16),tblDaily[WardCode],"MAE")),"")</f>
        <v/>
      </c>
      <c r="E334" s="5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5" t="str">
        <f>IFERROR(IF(SUMIFS(tblDaily[TransfersIn],tblDaily[EntryDate],DATE(2026,9,16),tblDaily[WardCode],"MAE")=0,"",SUMIFS(tblDaily[TransfersIn],tblDaily[EntryDate],DATE(2026,9,16),tblDaily[WardCode],"MAE")),"")</f>
        <v/>
      </c>
      <c r="G334" s="5" t="str">
        <f>IFERROR(IF(SUMIFS(tblDaily[TransfersOut],tblDaily[EntryDate],DATE(2026,9,16),tblDaily[WardCode],"MAE")=0,"",SUMIFS(tblDaily[TransfersOut],tblDaily[EntryDate],DATE(2026,9,16),tblDaily[WardCode],"MAE")),"")</f>
        <v/>
      </c>
      <c r="H334" s="5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IFERROR(IF(SUMIFS(tblDaily[Admissions],tblDaily[EntryDate],DATE(2026,9,17),tblDaily[WardCode],"MAE")=0,"",SUMIFS(tblDaily[Admissions],tblDaily[EntryDate],DATE(2026,9,17),tblDaily[WardCode],"MAE")),"")</f>
        <v/>
      </c>
      <c r="C335" s="5" t="str">
        <f>IFERROR(IF(SUMIFS(tblDaily[Discharges],tblDaily[EntryDate],DATE(2026,9,17),tblDaily[WardCode],"MAE")=0,"",SUMIFS(tblDaily[Discharges],tblDaily[EntryDate],DATE(2026,9,17),tblDaily[WardCode],"MAE")),"")</f>
        <v/>
      </c>
      <c r="D335" s="5" t="str">
        <f>IFERROR(IF(SUMIFS(tblDaily[Deaths],tblDaily[EntryDate],DATE(2026,9,17),tblDaily[WardCode],"MAE")=0,"",SUMIFS(tblDaily[Deaths],tblDaily[EntryDate],DATE(2026,9,17),tblDaily[WardCode],"MAE")),"")</f>
        <v/>
      </c>
      <c r="E335" s="5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5" t="str">
        <f>IFERROR(IF(SUMIFS(tblDaily[TransfersIn],tblDaily[EntryDate],DATE(2026,9,17),tblDaily[WardCode],"MAE")=0,"",SUMIFS(tblDaily[TransfersIn],tblDaily[EntryDate],DATE(2026,9,17),tblDaily[WardCode],"MAE")),"")</f>
        <v/>
      </c>
      <c r="G335" s="5" t="str">
        <f>IFERROR(IF(SUMIFS(tblDaily[TransfersOut],tblDaily[EntryDate],DATE(2026,9,17),tblDaily[WardCode],"MAE")=0,"",SUMIFS(tblDaily[TransfersOut],tblDaily[EntryDate],DATE(2026,9,17),tblDaily[WardCode],"MAE")),"")</f>
        <v/>
      </c>
      <c r="H335" s="5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IFERROR(IF(SUMIFS(tblDaily[Admissions],tblDaily[EntryDate],DATE(2026,9,18),tblDaily[WardCode],"MAE")=0,"",SUMIFS(tblDaily[Admissions],tblDaily[EntryDate],DATE(2026,9,18),tblDaily[WardCode],"MAE")),"")</f>
        <v/>
      </c>
      <c r="C336" s="5" t="str">
        <f>IFERROR(IF(SUMIFS(tblDaily[Discharges],tblDaily[EntryDate],DATE(2026,9,18),tblDaily[WardCode],"MAE")=0,"",SUMIFS(tblDaily[Discharges],tblDaily[EntryDate],DATE(2026,9,18),tblDaily[WardCode],"MAE")),"")</f>
        <v/>
      </c>
      <c r="D336" s="5" t="str">
        <f>IFERROR(IF(SUMIFS(tblDaily[Deaths],tblDaily[EntryDate],DATE(2026,9,18),tblDaily[WardCode],"MAE")=0,"",SUMIFS(tblDaily[Deaths],tblDaily[EntryDate],DATE(2026,9,18),tblDaily[WardCode],"MAE")),"")</f>
        <v/>
      </c>
      <c r="E336" s="5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5" t="str">
        <f>IFERROR(IF(SUMIFS(tblDaily[TransfersIn],tblDaily[EntryDate],DATE(2026,9,18),tblDaily[WardCode],"MAE")=0,"",SUMIFS(tblDaily[TransfersIn],tblDaily[EntryDate],DATE(2026,9,18),tblDaily[WardCode],"MAE")),"")</f>
        <v/>
      </c>
      <c r="G336" s="5" t="str">
        <f>IFERROR(IF(SUMIFS(tblDaily[TransfersOut],tblDaily[EntryDate],DATE(2026,9,18),tblDaily[WardCode],"MAE")=0,"",SUMIFS(tblDaily[TransfersOut],tblDaily[EntryDate],DATE(2026,9,18),tblDaily[WardCode],"MAE")),"")</f>
        <v/>
      </c>
      <c r="H336" s="5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IFERROR(IF(SUMIFS(tblDaily[Admissions],tblDaily[EntryDate],DATE(2026,9,19),tblDaily[WardCode],"MAE")=0,"",SUMIFS(tblDaily[Admissions],tblDaily[EntryDate],DATE(2026,9,19),tblDaily[WardCode],"MAE")),"")</f>
        <v/>
      </c>
      <c r="C337" s="5" t="str">
        <f>IFERROR(IF(SUMIFS(tblDaily[Discharges],tblDaily[EntryDate],DATE(2026,9,19),tblDaily[WardCode],"MAE")=0,"",SUMIFS(tblDaily[Discharges],tblDaily[EntryDate],DATE(2026,9,19),tblDaily[WardCode],"MAE")),"")</f>
        <v/>
      </c>
      <c r="D337" s="5" t="str">
        <f>IFERROR(IF(SUMIFS(tblDaily[Deaths],tblDaily[EntryDate],DATE(2026,9,19),tblDaily[WardCode],"MAE")=0,"",SUMIFS(tblDaily[Deaths],tblDaily[EntryDate],DATE(2026,9,19),tblDaily[WardCode],"MAE")),"")</f>
        <v/>
      </c>
      <c r="E337" s="5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5" t="str">
        <f>IFERROR(IF(SUMIFS(tblDaily[TransfersIn],tblDaily[EntryDate],DATE(2026,9,19),tblDaily[WardCode],"MAE")=0,"",SUMIFS(tblDaily[TransfersIn],tblDaily[EntryDate],DATE(2026,9,19),tblDaily[WardCode],"MAE")),"")</f>
        <v/>
      </c>
      <c r="G337" s="5" t="str">
        <f>IFERROR(IF(SUMIFS(tblDaily[TransfersOut],tblDaily[EntryDate],DATE(2026,9,19),tblDaily[WardCode],"MAE")=0,"",SUMIFS(tblDaily[TransfersOut],tblDaily[EntryDate],DATE(2026,9,19),tblDaily[WardCode],"MAE")),"")</f>
        <v/>
      </c>
      <c r="H337" s="5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IFERROR(IF(SUMIFS(tblDaily[Admissions],tblDaily[EntryDate],DATE(2026,9,20),tblDaily[WardCode],"MAE")=0,"",SUMIFS(tblDaily[Admissions],tblDaily[EntryDate],DATE(2026,9,20),tblDaily[WardCode],"MAE")),"")</f>
        <v/>
      </c>
      <c r="C338" s="5" t="str">
        <f>IFERROR(IF(SUMIFS(tblDaily[Discharges],tblDaily[EntryDate],DATE(2026,9,20),tblDaily[WardCode],"MAE")=0,"",SUMIFS(tblDaily[Discharges],tblDaily[EntryDate],DATE(2026,9,20),tblDaily[WardCode],"MAE")),"")</f>
        <v/>
      </c>
      <c r="D338" s="5" t="str">
        <f>IFERROR(IF(SUMIFS(tblDaily[Deaths],tblDaily[EntryDate],DATE(2026,9,20),tblDaily[WardCode],"MAE")=0,"",SUMIFS(tblDaily[Deaths],tblDaily[EntryDate],DATE(2026,9,20),tblDaily[WardCode],"MAE")),"")</f>
        <v/>
      </c>
      <c r="E338" s="5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5" t="str">
        <f>IFERROR(IF(SUMIFS(tblDaily[TransfersIn],tblDaily[EntryDate],DATE(2026,9,20),tblDaily[WardCode],"MAE")=0,"",SUMIFS(tblDaily[TransfersIn],tblDaily[EntryDate],DATE(2026,9,20),tblDaily[WardCode],"MAE")),"")</f>
        <v/>
      </c>
      <c r="G338" s="5" t="str">
        <f>IFERROR(IF(SUMIFS(tblDaily[TransfersOut],tblDaily[EntryDate],DATE(2026,9,20),tblDaily[WardCode],"MAE")=0,"",SUMIFS(tblDaily[TransfersOut],tblDaily[EntryDate],DATE(2026,9,20),tblDaily[WardCode],"MAE")),"")</f>
        <v/>
      </c>
      <c r="H338" s="5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IFERROR(IF(SUMIFS(tblDaily[Admissions],tblDaily[EntryDate],DATE(2026,9,21),tblDaily[WardCode],"MAE")=0,"",SUMIFS(tblDaily[Admissions],tblDaily[EntryDate],DATE(2026,9,21),tblDaily[WardCode],"MAE")),"")</f>
        <v/>
      </c>
      <c r="C339" s="5" t="str">
        <f>IFERROR(IF(SUMIFS(tblDaily[Discharges],tblDaily[EntryDate],DATE(2026,9,21),tblDaily[WardCode],"MAE")=0,"",SUMIFS(tblDaily[Discharges],tblDaily[EntryDate],DATE(2026,9,21),tblDaily[WardCode],"MAE")),"")</f>
        <v/>
      </c>
      <c r="D339" s="5" t="str">
        <f>IFERROR(IF(SUMIFS(tblDaily[Deaths],tblDaily[EntryDate],DATE(2026,9,21),tblDaily[WardCode],"MAE")=0,"",SUMIFS(tblDaily[Deaths],tblDaily[EntryDate],DATE(2026,9,21),tblDaily[WardCode],"MAE")),"")</f>
        <v/>
      </c>
      <c r="E339" s="5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5" t="str">
        <f>IFERROR(IF(SUMIFS(tblDaily[TransfersIn],tblDaily[EntryDate],DATE(2026,9,21),tblDaily[WardCode],"MAE")=0,"",SUMIFS(tblDaily[TransfersIn],tblDaily[EntryDate],DATE(2026,9,21),tblDaily[WardCode],"MAE")),"")</f>
        <v/>
      </c>
      <c r="G339" s="5" t="str">
        <f>IFERROR(IF(SUMIFS(tblDaily[TransfersOut],tblDaily[EntryDate],DATE(2026,9,21),tblDaily[WardCode],"MAE")=0,"",SUMIFS(tblDaily[TransfersOut],tblDaily[EntryDate],DATE(2026,9,21),tblDaily[WardCode],"MAE")),"")</f>
        <v/>
      </c>
      <c r="H339" s="5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IFERROR(IF(SUMIFS(tblDaily[Admissions],tblDaily[EntryDate],DATE(2026,9,22),tblDaily[WardCode],"MAE")=0,"",SUMIFS(tblDaily[Admissions],tblDaily[EntryDate],DATE(2026,9,22),tblDaily[WardCode],"MAE")),"")</f>
        <v/>
      </c>
      <c r="C340" s="5" t="str">
        <f>IFERROR(IF(SUMIFS(tblDaily[Discharges],tblDaily[EntryDate],DATE(2026,9,22),tblDaily[WardCode],"MAE")=0,"",SUMIFS(tblDaily[Discharges],tblDaily[EntryDate],DATE(2026,9,22),tblDaily[WardCode],"MAE")),"")</f>
        <v/>
      </c>
      <c r="D340" s="5" t="str">
        <f>IFERROR(IF(SUMIFS(tblDaily[Deaths],tblDaily[EntryDate],DATE(2026,9,22),tblDaily[WardCode],"MAE")=0,"",SUMIFS(tblDaily[Deaths],tblDaily[EntryDate],DATE(2026,9,22),tblDaily[WardCode],"MAE")),"")</f>
        <v/>
      </c>
      <c r="E340" s="5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5" t="str">
        <f>IFERROR(IF(SUMIFS(tblDaily[TransfersIn],tblDaily[EntryDate],DATE(2026,9,22),tblDaily[WardCode],"MAE")=0,"",SUMIFS(tblDaily[TransfersIn],tblDaily[EntryDate],DATE(2026,9,22),tblDaily[WardCode],"MAE")),"")</f>
        <v/>
      </c>
      <c r="G340" s="5" t="str">
        <f>IFERROR(IF(SUMIFS(tblDaily[TransfersOut],tblDaily[EntryDate],DATE(2026,9,22),tblDaily[WardCode],"MAE")=0,"",SUMIFS(tblDaily[TransfersOut],tblDaily[EntryDate],DATE(2026,9,22),tblDaily[WardCode],"MAE")),"")</f>
        <v/>
      </c>
      <c r="H340" s="5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IFERROR(IF(SUMIFS(tblDaily[Admissions],tblDaily[EntryDate],DATE(2026,9,23),tblDaily[WardCode],"MAE")=0,"",SUMIFS(tblDaily[Admissions],tblDaily[EntryDate],DATE(2026,9,23),tblDaily[WardCode],"MAE")),"")</f>
        <v/>
      </c>
      <c r="C341" s="5" t="str">
        <f>IFERROR(IF(SUMIFS(tblDaily[Discharges],tblDaily[EntryDate],DATE(2026,9,23),tblDaily[WardCode],"MAE")=0,"",SUMIFS(tblDaily[Discharges],tblDaily[EntryDate],DATE(2026,9,23),tblDaily[WardCode],"MAE")),"")</f>
        <v/>
      </c>
      <c r="D341" s="5" t="str">
        <f>IFERROR(IF(SUMIFS(tblDaily[Deaths],tblDaily[EntryDate],DATE(2026,9,23),tblDaily[WardCode],"MAE")=0,"",SUMIFS(tblDaily[Deaths],tblDaily[EntryDate],DATE(2026,9,23),tblDaily[WardCode],"MAE")),"")</f>
        <v/>
      </c>
      <c r="E341" s="5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5" t="str">
        <f>IFERROR(IF(SUMIFS(tblDaily[TransfersIn],tblDaily[EntryDate],DATE(2026,9,23),tblDaily[WardCode],"MAE")=0,"",SUMIFS(tblDaily[TransfersIn],tblDaily[EntryDate],DATE(2026,9,23),tblDaily[WardCode],"MAE")),"")</f>
        <v/>
      </c>
      <c r="G341" s="5" t="str">
        <f>IFERROR(IF(SUMIFS(tblDaily[TransfersOut],tblDaily[EntryDate],DATE(2026,9,23),tblDaily[WardCode],"MAE")=0,"",SUMIFS(tblDaily[TransfersOut],tblDaily[EntryDate],DATE(2026,9,23),tblDaily[WardCode],"MAE")),"")</f>
        <v/>
      </c>
      <c r="H341" s="5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IFERROR(IF(SUMIFS(tblDaily[Admissions],tblDaily[EntryDate],DATE(2026,9,24),tblDaily[WardCode],"MAE")=0,"",SUMIFS(tblDaily[Admissions],tblDaily[EntryDate],DATE(2026,9,24),tblDaily[WardCode],"MAE")),"")</f>
        <v/>
      </c>
      <c r="C342" s="5" t="str">
        <f>IFERROR(IF(SUMIFS(tblDaily[Discharges],tblDaily[EntryDate],DATE(2026,9,24),tblDaily[WardCode],"MAE")=0,"",SUMIFS(tblDaily[Discharges],tblDaily[EntryDate],DATE(2026,9,24),tblDaily[WardCode],"MAE")),"")</f>
        <v/>
      </c>
      <c r="D342" s="5" t="str">
        <f>IFERROR(IF(SUMIFS(tblDaily[Deaths],tblDaily[EntryDate],DATE(2026,9,24),tblDaily[WardCode],"MAE")=0,"",SUMIFS(tblDaily[Deaths],tblDaily[EntryDate],DATE(2026,9,24),tblDaily[WardCode],"MAE")),"")</f>
        <v/>
      </c>
      <c r="E342" s="5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5" t="str">
        <f>IFERROR(IF(SUMIFS(tblDaily[TransfersIn],tblDaily[EntryDate],DATE(2026,9,24),tblDaily[WardCode],"MAE")=0,"",SUMIFS(tblDaily[TransfersIn],tblDaily[EntryDate],DATE(2026,9,24),tblDaily[WardCode],"MAE")),"")</f>
        <v/>
      </c>
      <c r="G342" s="5" t="str">
        <f>IFERROR(IF(SUMIFS(tblDaily[TransfersOut],tblDaily[EntryDate],DATE(2026,9,24),tblDaily[WardCode],"MAE")=0,"",SUMIFS(tblDaily[TransfersOut],tblDaily[EntryDate],DATE(2026,9,24),tblDaily[WardCode],"MAE")),"")</f>
        <v/>
      </c>
      <c r="H342" s="5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IFERROR(IF(SUMIFS(tblDaily[Admissions],tblDaily[EntryDate],DATE(2026,9,25),tblDaily[WardCode],"MAE")=0,"",SUMIFS(tblDaily[Admissions],tblDaily[EntryDate],DATE(2026,9,25),tblDaily[WardCode],"MAE")),"")</f>
        <v/>
      </c>
      <c r="C343" s="5" t="str">
        <f>IFERROR(IF(SUMIFS(tblDaily[Discharges],tblDaily[EntryDate],DATE(2026,9,25),tblDaily[WardCode],"MAE")=0,"",SUMIFS(tblDaily[Discharges],tblDaily[EntryDate],DATE(2026,9,25),tblDaily[WardCode],"MAE")),"")</f>
        <v/>
      </c>
      <c r="D343" s="5" t="str">
        <f>IFERROR(IF(SUMIFS(tblDaily[Deaths],tblDaily[EntryDate],DATE(2026,9,25),tblDaily[WardCode],"MAE")=0,"",SUMIFS(tblDaily[Deaths],tblDaily[EntryDate],DATE(2026,9,25),tblDaily[WardCode],"MAE")),"")</f>
        <v/>
      </c>
      <c r="E343" s="5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5" t="str">
        <f>IFERROR(IF(SUMIFS(tblDaily[TransfersIn],tblDaily[EntryDate],DATE(2026,9,25),tblDaily[WardCode],"MAE")=0,"",SUMIFS(tblDaily[TransfersIn],tblDaily[EntryDate],DATE(2026,9,25),tblDaily[WardCode],"MAE")),"")</f>
        <v/>
      </c>
      <c r="G343" s="5" t="str">
        <f>IFERROR(IF(SUMIFS(tblDaily[TransfersOut],tblDaily[EntryDate],DATE(2026,9,25),tblDaily[WardCode],"MAE")=0,"",SUMIFS(tblDaily[TransfersOut],tblDaily[EntryDate],DATE(2026,9,25),tblDaily[WardCode],"MAE")),"")</f>
        <v/>
      </c>
      <c r="H343" s="5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IFERROR(IF(SUMIFS(tblDaily[Admissions],tblDaily[EntryDate],DATE(2026,9,26),tblDaily[WardCode],"MAE")=0,"",SUMIFS(tblDaily[Admissions],tblDaily[EntryDate],DATE(2026,9,26),tblDaily[WardCode],"MAE")),"")</f>
        <v/>
      </c>
      <c r="C344" s="5" t="str">
        <f>IFERROR(IF(SUMIFS(tblDaily[Discharges],tblDaily[EntryDate],DATE(2026,9,26),tblDaily[WardCode],"MAE")=0,"",SUMIFS(tblDaily[Discharges],tblDaily[EntryDate],DATE(2026,9,26),tblDaily[WardCode],"MAE")),"")</f>
        <v/>
      </c>
      <c r="D344" s="5" t="str">
        <f>IFERROR(IF(SUMIFS(tblDaily[Deaths],tblDaily[EntryDate],DATE(2026,9,26),tblDaily[WardCode],"MAE")=0,"",SUMIFS(tblDaily[Deaths],tblDaily[EntryDate],DATE(2026,9,26),tblDaily[WardCode],"MAE")),"")</f>
        <v/>
      </c>
      <c r="E344" s="5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5" t="str">
        <f>IFERROR(IF(SUMIFS(tblDaily[TransfersIn],tblDaily[EntryDate],DATE(2026,9,26),tblDaily[WardCode],"MAE")=0,"",SUMIFS(tblDaily[TransfersIn],tblDaily[EntryDate],DATE(2026,9,26),tblDaily[WardCode],"MAE")),"")</f>
        <v/>
      </c>
      <c r="G344" s="5" t="str">
        <f>IFERROR(IF(SUMIFS(tblDaily[TransfersOut],tblDaily[EntryDate],DATE(2026,9,26),tblDaily[WardCode],"MAE")=0,"",SUMIFS(tblDaily[TransfersOut],tblDaily[EntryDate],DATE(2026,9,26),tblDaily[WardCode],"MAE")),"")</f>
        <v/>
      </c>
      <c r="H344" s="5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IFERROR(IF(SUMIFS(tblDaily[Admissions],tblDaily[EntryDate],DATE(2026,9,27),tblDaily[WardCode],"MAE")=0,"",SUMIFS(tblDaily[Admissions],tblDaily[EntryDate],DATE(2026,9,27),tblDaily[WardCode],"MAE")),"")</f>
        <v/>
      </c>
      <c r="C345" s="5" t="str">
        <f>IFERROR(IF(SUMIFS(tblDaily[Discharges],tblDaily[EntryDate],DATE(2026,9,27),tblDaily[WardCode],"MAE")=0,"",SUMIFS(tblDaily[Discharges],tblDaily[EntryDate],DATE(2026,9,27),tblDaily[WardCode],"MAE")),"")</f>
        <v/>
      </c>
      <c r="D345" s="5" t="str">
        <f>IFERROR(IF(SUMIFS(tblDaily[Deaths],tblDaily[EntryDate],DATE(2026,9,27),tblDaily[WardCode],"MAE")=0,"",SUMIFS(tblDaily[Deaths],tblDaily[EntryDate],DATE(2026,9,27),tblDaily[WardCode],"MAE")),"")</f>
        <v/>
      </c>
      <c r="E345" s="5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5" t="str">
        <f>IFERROR(IF(SUMIFS(tblDaily[TransfersIn],tblDaily[EntryDate],DATE(2026,9,27),tblDaily[WardCode],"MAE")=0,"",SUMIFS(tblDaily[TransfersIn],tblDaily[EntryDate],DATE(2026,9,27),tblDaily[WardCode],"MAE")),"")</f>
        <v/>
      </c>
      <c r="G345" s="5" t="str">
        <f>IFERROR(IF(SUMIFS(tblDaily[TransfersOut],tblDaily[EntryDate],DATE(2026,9,27),tblDaily[WardCode],"MAE")=0,"",SUMIFS(tblDaily[TransfersOut],tblDaily[EntryDate],DATE(2026,9,27),tblDaily[WardCode],"MAE")),"")</f>
        <v/>
      </c>
      <c r="H345" s="5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IFERROR(IF(SUMIFS(tblDaily[Admissions],tblDaily[EntryDate],DATE(2026,9,28),tblDaily[WardCode],"MAE")=0,"",SUMIFS(tblDaily[Admissions],tblDaily[EntryDate],DATE(2026,9,28),tblDaily[WardCode],"MAE")),"")</f>
        <v/>
      </c>
      <c r="C346" s="5" t="str">
        <f>IFERROR(IF(SUMIFS(tblDaily[Discharges],tblDaily[EntryDate],DATE(2026,9,28),tblDaily[WardCode],"MAE")=0,"",SUMIFS(tblDaily[Discharges],tblDaily[EntryDate],DATE(2026,9,28),tblDaily[WardCode],"MAE")),"")</f>
        <v/>
      </c>
      <c r="D346" s="5" t="str">
        <f>IFERROR(IF(SUMIFS(tblDaily[Deaths],tblDaily[EntryDate],DATE(2026,9,28),tblDaily[WardCode],"MAE")=0,"",SUMIFS(tblDaily[Deaths],tblDaily[EntryDate],DATE(2026,9,28),tblDaily[WardCode],"MAE")),"")</f>
        <v/>
      </c>
      <c r="E346" s="5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5" t="str">
        <f>IFERROR(IF(SUMIFS(tblDaily[TransfersIn],tblDaily[EntryDate],DATE(2026,9,28),tblDaily[WardCode],"MAE")=0,"",SUMIFS(tblDaily[TransfersIn],tblDaily[EntryDate],DATE(2026,9,28),tblDaily[WardCode],"MAE")),"")</f>
        <v/>
      </c>
      <c r="G346" s="5" t="str">
        <f>IFERROR(IF(SUMIFS(tblDaily[TransfersOut],tblDaily[EntryDate],DATE(2026,9,28),tblDaily[WardCode],"MAE")=0,"",SUMIFS(tblDaily[TransfersOut],tblDaily[EntryDate],DATE(2026,9,28),tblDaily[WardCode],"MAE")),"")</f>
        <v/>
      </c>
      <c r="H346" s="5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IFERROR(IF(SUMIFS(tblDaily[Admissions],tblDaily[EntryDate],DATE(2026,9,29),tblDaily[WardCode],"MAE")=0,"",SUMIFS(tblDaily[Admissions],tblDaily[EntryDate],DATE(2026,9,29),tblDaily[WardCode],"MAE")),"")</f>
        <v/>
      </c>
      <c r="C347" s="5" t="str">
        <f>IFERROR(IF(SUMIFS(tblDaily[Discharges],tblDaily[EntryDate],DATE(2026,9,29),tblDaily[WardCode],"MAE")=0,"",SUMIFS(tblDaily[Discharges],tblDaily[EntryDate],DATE(2026,9,29),tblDaily[WardCode],"MAE")),"")</f>
        <v/>
      </c>
      <c r="D347" s="5" t="str">
        <f>IFERROR(IF(SUMIFS(tblDaily[Deaths],tblDaily[EntryDate],DATE(2026,9,29),tblDaily[WardCode],"MAE")=0,"",SUMIFS(tblDaily[Deaths],tblDaily[EntryDate],DATE(2026,9,29),tblDaily[WardCode],"MAE")),"")</f>
        <v/>
      </c>
      <c r="E347" s="5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5" t="str">
        <f>IFERROR(IF(SUMIFS(tblDaily[TransfersIn],tblDaily[EntryDate],DATE(2026,9,29),tblDaily[WardCode],"MAE")=0,"",SUMIFS(tblDaily[TransfersIn],tblDaily[EntryDate],DATE(2026,9,29),tblDaily[WardCode],"MAE")),"")</f>
        <v/>
      </c>
      <c r="G347" s="5" t="str">
        <f>IFERROR(IF(SUMIFS(tblDaily[TransfersOut],tblDaily[EntryDate],DATE(2026,9,29),tblDaily[WardCode],"MAE")=0,"",SUMIFS(tblDaily[TransfersOut],tblDaily[EntryDate],DATE(2026,9,29),tblDaily[WardCode],"MAE")),"")</f>
        <v/>
      </c>
      <c r="H347" s="5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IFERROR(IF(SUMIFS(tblDaily[Admissions],tblDaily[EntryDate],DATE(2026,9,30),tblDaily[WardCode],"MAE")=0,"",SUMIFS(tblDaily[Admissions],tblDaily[EntryDate],DATE(2026,9,30),tblDaily[WardCode],"MAE")),"")</f>
        <v/>
      </c>
      <c r="C348" s="5" t="str">
        <f>IFERROR(IF(SUMIFS(tblDaily[Discharges],tblDaily[EntryDate],DATE(2026,9,30),tblDaily[WardCode],"MAE")=0,"",SUMIFS(tblDaily[Discharges],tblDaily[EntryDate],DATE(2026,9,30),tblDaily[WardCode],"MAE")),"")</f>
        <v/>
      </c>
      <c r="D348" s="5" t="str">
        <f>IFERROR(IF(SUMIFS(tblDaily[Deaths],tblDaily[EntryDate],DATE(2026,9,30),tblDaily[WardCode],"MAE")=0,"",SUMIFS(tblDaily[Deaths],tblDaily[EntryDate],DATE(2026,9,30),tblDaily[WardCode],"MAE")),"")</f>
        <v/>
      </c>
      <c r="E348" s="5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5" t="str">
        <f>IFERROR(IF(SUMIFS(tblDaily[TransfersIn],tblDaily[EntryDate],DATE(2026,9,30),tblDaily[WardCode],"MAE")=0,"",SUMIFS(tblDaily[TransfersIn],tblDaily[EntryDate],DATE(2026,9,30),tblDaily[WardCode],"MAE")),"")</f>
        <v/>
      </c>
      <c r="G348" s="5" t="str">
        <f>IFERROR(IF(SUMIFS(tblDaily[TransfersOut],tblDaily[EntryDate],DATE(2026,9,30),tblDaily[WardCode],"MAE")=0,"",SUMIFS(tblDaily[TransfersOut],tblDaily[EntryDate],DATE(2026,9,30),tblDaily[WardCode],"MAE")),"")</f>
        <v/>
      </c>
      <c r="H348" s="5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102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89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IFERROR(IF(SUMIFS(tblDaily[Admissions],tblDaily[EntryDate],DATE(2026,10,1),tblDaily[WardCode],"MAE")=0,"",SUMIFS(tblDaily[Admissions],tblDaily[EntryDate],DATE(2026,10,1),tblDaily[WardCode],"MAE")),"")</f>
        <v/>
      </c>
      <c r="C358" s="5" t="str">
        <f>IFERROR(IF(SUMIFS(tblDaily[Discharges],tblDaily[EntryDate],DATE(2026,10,1),tblDaily[WardCode],"MAE")=0,"",SUMIFS(tblDaily[Discharges],tblDaily[EntryDate],DATE(2026,10,1),tblDaily[WardCode],"MAE")),"")</f>
        <v/>
      </c>
      <c r="D358" s="5" t="str">
        <f>IFERROR(IF(SUMIFS(tblDaily[Deaths],tblDaily[EntryDate],DATE(2026,10,1),tblDaily[WardCode],"MAE")=0,"",SUMIFS(tblDaily[Deaths],tblDaily[EntryDate],DATE(2026,10,1),tblDaily[WardCode],"MAE")),"")</f>
        <v/>
      </c>
      <c r="E358" s="5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5" t="str">
        <f>IFERROR(IF(SUMIFS(tblDaily[TransfersIn],tblDaily[EntryDate],DATE(2026,10,1),tblDaily[WardCode],"MAE")=0,"",SUMIFS(tblDaily[TransfersIn],tblDaily[EntryDate],DATE(2026,10,1),tblDaily[WardCode],"MAE")),"")</f>
        <v/>
      </c>
      <c r="G358" s="5" t="str">
        <f>IFERROR(IF(SUMIFS(tblDaily[TransfersOut],tblDaily[EntryDate],DATE(2026,10,1),tblDaily[WardCode],"MAE")=0,"",SUMIFS(tblDaily[TransfersOut],tblDaily[EntryDate],DATE(2026,10,1),tblDaily[WardCode],"MAE")),"")</f>
        <v/>
      </c>
      <c r="H358" s="5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IFERROR(IF(SUMIFS(tblDaily[Admissions],tblDaily[EntryDate],DATE(2026,10,2),tblDaily[WardCode],"MAE")=0,"",SUMIFS(tblDaily[Admissions],tblDaily[EntryDate],DATE(2026,10,2),tblDaily[WardCode],"MAE")),"")</f>
        <v/>
      </c>
      <c r="C359" s="5" t="str">
        <f>IFERROR(IF(SUMIFS(tblDaily[Discharges],tblDaily[EntryDate],DATE(2026,10,2),tblDaily[WardCode],"MAE")=0,"",SUMIFS(tblDaily[Discharges],tblDaily[EntryDate],DATE(2026,10,2),tblDaily[WardCode],"MAE")),"")</f>
        <v/>
      </c>
      <c r="D359" s="5" t="str">
        <f>IFERROR(IF(SUMIFS(tblDaily[Deaths],tblDaily[EntryDate],DATE(2026,10,2),tblDaily[WardCode],"MAE")=0,"",SUMIFS(tblDaily[Deaths],tblDaily[EntryDate],DATE(2026,10,2),tblDaily[WardCode],"MAE")),"")</f>
        <v/>
      </c>
      <c r="E359" s="5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5" t="str">
        <f>IFERROR(IF(SUMIFS(tblDaily[TransfersIn],tblDaily[EntryDate],DATE(2026,10,2),tblDaily[WardCode],"MAE")=0,"",SUMIFS(tblDaily[TransfersIn],tblDaily[EntryDate],DATE(2026,10,2),tblDaily[WardCode],"MAE")),"")</f>
        <v/>
      </c>
      <c r="G359" s="5" t="str">
        <f>IFERROR(IF(SUMIFS(tblDaily[TransfersOut],tblDaily[EntryDate],DATE(2026,10,2),tblDaily[WardCode],"MAE")=0,"",SUMIFS(tblDaily[TransfersOut],tblDaily[EntryDate],DATE(2026,10,2),tblDaily[WardCode],"MAE")),"")</f>
        <v/>
      </c>
      <c r="H359" s="5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IFERROR(IF(SUMIFS(tblDaily[Admissions],tblDaily[EntryDate],DATE(2026,10,3),tblDaily[WardCode],"MAE")=0,"",SUMIFS(tblDaily[Admissions],tblDaily[EntryDate],DATE(2026,10,3),tblDaily[WardCode],"MAE")),"")</f>
        <v/>
      </c>
      <c r="C360" s="5" t="str">
        <f>IFERROR(IF(SUMIFS(tblDaily[Discharges],tblDaily[EntryDate],DATE(2026,10,3),tblDaily[WardCode],"MAE")=0,"",SUMIFS(tblDaily[Discharges],tblDaily[EntryDate],DATE(2026,10,3),tblDaily[WardCode],"MAE")),"")</f>
        <v/>
      </c>
      <c r="D360" s="5" t="str">
        <f>IFERROR(IF(SUMIFS(tblDaily[Deaths],tblDaily[EntryDate],DATE(2026,10,3),tblDaily[WardCode],"MAE")=0,"",SUMIFS(tblDaily[Deaths],tblDaily[EntryDate],DATE(2026,10,3),tblDaily[WardCode],"MAE")),"")</f>
        <v/>
      </c>
      <c r="E360" s="5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5" t="str">
        <f>IFERROR(IF(SUMIFS(tblDaily[TransfersIn],tblDaily[EntryDate],DATE(2026,10,3),tblDaily[WardCode],"MAE")=0,"",SUMIFS(tblDaily[TransfersIn],tblDaily[EntryDate],DATE(2026,10,3),tblDaily[WardCode],"MAE")),"")</f>
        <v/>
      </c>
      <c r="G360" s="5" t="str">
        <f>IFERROR(IF(SUMIFS(tblDaily[TransfersOut],tblDaily[EntryDate],DATE(2026,10,3),tblDaily[WardCode],"MAE")=0,"",SUMIFS(tblDaily[TransfersOut],tblDaily[EntryDate],DATE(2026,10,3),tblDaily[WardCode],"MAE")),"")</f>
        <v/>
      </c>
      <c r="H360" s="5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IFERROR(IF(SUMIFS(tblDaily[Admissions],tblDaily[EntryDate],DATE(2026,10,4),tblDaily[WardCode],"MAE")=0,"",SUMIFS(tblDaily[Admissions],tblDaily[EntryDate],DATE(2026,10,4),tblDaily[WardCode],"MAE")),"")</f>
        <v/>
      </c>
      <c r="C361" s="5" t="str">
        <f>IFERROR(IF(SUMIFS(tblDaily[Discharges],tblDaily[EntryDate],DATE(2026,10,4),tblDaily[WardCode],"MAE")=0,"",SUMIFS(tblDaily[Discharges],tblDaily[EntryDate],DATE(2026,10,4),tblDaily[WardCode],"MAE")),"")</f>
        <v/>
      </c>
      <c r="D361" s="5" t="str">
        <f>IFERROR(IF(SUMIFS(tblDaily[Deaths],tblDaily[EntryDate],DATE(2026,10,4),tblDaily[WardCode],"MAE")=0,"",SUMIFS(tblDaily[Deaths],tblDaily[EntryDate],DATE(2026,10,4),tblDaily[WardCode],"MAE")),"")</f>
        <v/>
      </c>
      <c r="E361" s="5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5" t="str">
        <f>IFERROR(IF(SUMIFS(tblDaily[TransfersIn],tblDaily[EntryDate],DATE(2026,10,4),tblDaily[WardCode],"MAE")=0,"",SUMIFS(tblDaily[TransfersIn],tblDaily[EntryDate],DATE(2026,10,4),tblDaily[WardCode],"MAE")),"")</f>
        <v/>
      </c>
      <c r="G361" s="5" t="str">
        <f>IFERROR(IF(SUMIFS(tblDaily[TransfersOut],tblDaily[EntryDate],DATE(2026,10,4),tblDaily[WardCode],"MAE")=0,"",SUMIFS(tblDaily[TransfersOut],tblDaily[EntryDate],DATE(2026,10,4),tblDaily[WardCode],"MAE")),"")</f>
        <v/>
      </c>
      <c r="H361" s="5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IFERROR(IF(SUMIFS(tblDaily[Admissions],tblDaily[EntryDate],DATE(2026,10,5),tblDaily[WardCode],"MAE")=0,"",SUMIFS(tblDaily[Admissions],tblDaily[EntryDate],DATE(2026,10,5),tblDaily[WardCode],"MAE")),"")</f>
        <v/>
      </c>
      <c r="C362" s="5" t="str">
        <f>IFERROR(IF(SUMIFS(tblDaily[Discharges],tblDaily[EntryDate],DATE(2026,10,5),tblDaily[WardCode],"MAE")=0,"",SUMIFS(tblDaily[Discharges],tblDaily[EntryDate],DATE(2026,10,5),tblDaily[WardCode],"MAE")),"")</f>
        <v/>
      </c>
      <c r="D362" s="5" t="str">
        <f>IFERROR(IF(SUMIFS(tblDaily[Deaths],tblDaily[EntryDate],DATE(2026,10,5),tblDaily[WardCode],"MAE")=0,"",SUMIFS(tblDaily[Deaths],tblDaily[EntryDate],DATE(2026,10,5),tblDaily[WardCode],"MAE")),"")</f>
        <v/>
      </c>
      <c r="E362" s="5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5" t="str">
        <f>IFERROR(IF(SUMIFS(tblDaily[TransfersIn],tblDaily[EntryDate],DATE(2026,10,5),tblDaily[WardCode],"MAE")=0,"",SUMIFS(tblDaily[TransfersIn],tblDaily[EntryDate],DATE(2026,10,5),tblDaily[WardCode],"MAE")),"")</f>
        <v/>
      </c>
      <c r="G362" s="5" t="str">
        <f>IFERROR(IF(SUMIFS(tblDaily[TransfersOut],tblDaily[EntryDate],DATE(2026,10,5),tblDaily[WardCode],"MAE")=0,"",SUMIFS(tblDaily[TransfersOut],tblDaily[EntryDate],DATE(2026,10,5),tblDaily[WardCode],"MAE")),"")</f>
        <v/>
      </c>
      <c r="H362" s="5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IFERROR(IF(SUMIFS(tblDaily[Admissions],tblDaily[EntryDate],DATE(2026,10,6),tblDaily[WardCode],"MAE")=0,"",SUMIFS(tblDaily[Admissions],tblDaily[EntryDate],DATE(2026,10,6),tblDaily[WardCode],"MAE")),"")</f>
        <v/>
      </c>
      <c r="C363" s="5" t="str">
        <f>IFERROR(IF(SUMIFS(tblDaily[Discharges],tblDaily[EntryDate],DATE(2026,10,6),tblDaily[WardCode],"MAE")=0,"",SUMIFS(tblDaily[Discharges],tblDaily[EntryDate],DATE(2026,10,6),tblDaily[WardCode],"MAE")),"")</f>
        <v/>
      </c>
      <c r="D363" s="5" t="str">
        <f>IFERROR(IF(SUMIFS(tblDaily[Deaths],tblDaily[EntryDate],DATE(2026,10,6),tblDaily[WardCode],"MAE")=0,"",SUMIFS(tblDaily[Deaths],tblDaily[EntryDate],DATE(2026,10,6),tblDaily[WardCode],"MAE")),"")</f>
        <v/>
      </c>
      <c r="E363" s="5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5" t="str">
        <f>IFERROR(IF(SUMIFS(tblDaily[TransfersIn],tblDaily[EntryDate],DATE(2026,10,6),tblDaily[WardCode],"MAE")=0,"",SUMIFS(tblDaily[TransfersIn],tblDaily[EntryDate],DATE(2026,10,6),tblDaily[WardCode],"MAE")),"")</f>
        <v/>
      </c>
      <c r="G363" s="5" t="str">
        <f>IFERROR(IF(SUMIFS(tblDaily[TransfersOut],tblDaily[EntryDate],DATE(2026,10,6),tblDaily[WardCode],"MAE")=0,"",SUMIFS(tblDaily[TransfersOut],tblDaily[EntryDate],DATE(2026,10,6),tblDaily[WardCode],"MAE")),"")</f>
        <v/>
      </c>
      <c r="H363" s="5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IFERROR(IF(SUMIFS(tblDaily[Admissions],tblDaily[EntryDate],DATE(2026,10,7),tblDaily[WardCode],"MAE")=0,"",SUMIFS(tblDaily[Admissions],tblDaily[EntryDate],DATE(2026,10,7),tblDaily[WardCode],"MAE")),"")</f>
        <v/>
      </c>
      <c r="C364" s="5" t="str">
        <f>IFERROR(IF(SUMIFS(tblDaily[Discharges],tblDaily[EntryDate],DATE(2026,10,7),tblDaily[WardCode],"MAE")=0,"",SUMIFS(tblDaily[Discharges],tblDaily[EntryDate],DATE(2026,10,7),tblDaily[WardCode],"MAE")),"")</f>
        <v/>
      </c>
      <c r="D364" s="5" t="str">
        <f>IFERROR(IF(SUMIFS(tblDaily[Deaths],tblDaily[EntryDate],DATE(2026,10,7),tblDaily[WardCode],"MAE")=0,"",SUMIFS(tblDaily[Deaths],tblDaily[EntryDate],DATE(2026,10,7),tblDaily[WardCode],"MAE")),"")</f>
        <v/>
      </c>
      <c r="E364" s="5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5" t="str">
        <f>IFERROR(IF(SUMIFS(tblDaily[TransfersIn],tblDaily[EntryDate],DATE(2026,10,7),tblDaily[WardCode],"MAE")=0,"",SUMIFS(tblDaily[TransfersIn],tblDaily[EntryDate],DATE(2026,10,7),tblDaily[WardCode],"MAE")),"")</f>
        <v/>
      </c>
      <c r="G364" s="5" t="str">
        <f>IFERROR(IF(SUMIFS(tblDaily[TransfersOut],tblDaily[EntryDate],DATE(2026,10,7),tblDaily[WardCode],"MAE")=0,"",SUMIFS(tblDaily[TransfersOut],tblDaily[EntryDate],DATE(2026,10,7),tblDaily[WardCode],"MAE")),"")</f>
        <v/>
      </c>
      <c r="H364" s="5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IFERROR(IF(SUMIFS(tblDaily[Admissions],tblDaily[EntryDate],DATE(2026,10,8),tblDaily[WardCode],"MAE")=0,"",SUMIFS(tblDaily[Admissions],tblDaily[EntryDate],DATE(2026,10,8),tblDaily[WardCode],"MAE")),"")</f>
        <v/>
      </c>
      <c r="C365" s="5" t="str">
        <f>IFERROR(IF(SUMIFS(tblDaily[Discharges],tblDaily[EntryDate],DATE(2026,10,8),tblDaily[WardCode],"MAE")=0,"",SUMIFS(tblDaily[Discharges],tblDaily[EntryDate],DATE(2026,10,8),tblDaily[WardCode],"MAE")),"")</f>
        <v/>
      </c>
      <c r="D365" s="5" t="str">
        <f>IFERROR(IF(SUMIFS(tblDaily[Deaths],tblDaily[EntryDate],DATE(2026,10,8),tblDaily[WardCode],"MAE")=0,"",SUMIFS(tblDaily[Deaths],tblDaily[EntryDate],DATE(2026,10,8),tblDaily[WardCode],"MAE")),"")</f>
        <v/>
      </c>
      <c r="E365" s="5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5" t="str">
        <f>IFERROR(IF(SUMIFS(tblDaily[TransfersIn],tblDaily[EntryDate],DATE(2026,10,8),tblDaily[WardCode],"MAE")=0,"",SUMIFS(tblDaily[TransfersIn],tblDaily[EntryDate],DATE(2026,10,8),tblDaily[WardCode],"MAE")),"")</f>
        <v/>
      </c>
      <c r="G365" s="5" t="str">
        <f>IFERROR(IF(SUMIFS(tblDaily[TransfersOut],tblDaily[EntryDate],DATE(2026,10,8),tblDaily[WardCode],"MAE")=0,"",SUMIFS(tblDaily[TransfersOut],tblDaily[EntryDate],DATE(2026,10,8),tblDaily[WardCode],"MAE")),"")</f>
        <v/>
      </c>
      <c r="H365" s="5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IFERROR(IF(SUMIFS(tblDaily[Admissions],tblDaily[EntryDate],DATE(2026,10,9),tblDaily[WardCode],"MAE")=0,"",SUMIFS(tblDaily[Admissions],tblDaily[EntryDate],DATE(2026,10,9),tblDaily[WardCode],"MAE")),"")</f>
        <v/>
      </c>
      <c r="C366" s="5" t="str">
        <f>IFERROR(IF(SUMIFS(tblDaily[Discharges],tblDaily[EntryDate],DATE(2026,10,9),tblDaily[WardCode],"MAE")=0,"",SUMIFS(tblDaily[Discharges],tblDaily[EntryDate],DATE(2026,10,9),tblDaily[WardCode],"MAE")),"")</f>
        <v/>
      </c>
      <c r="D366" s="5" t="str">
        <f>IFERROR(IF(SUMIFS(tblDaily[Deaths],tblDaily[EntryDate],DATE(2026,10,9),tblDaily[WardCode],"MAE")=0,"",SUMIFS(tblDaily[Deaths],tblDaily[EntryDate],DATE(2026,10,9),tblDaily[WardCode],"MAE")),"")</f>
        <v/>
      </c>
      <c r="E366" s="5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5" t="str">
        <f>IFERROR(IF(SUMIFS(tblDaily[TransfersIn],tblDaily[EntryDate],DATE(2026,10,9),tblDaily[WardCode],"MAE")=0,"",SUMIFS(tblDaily[TransfersIn],tblDaily[EntryDate],DATE(2026,10,9),tblDaily[WardCode],"MAE")),"")</f>
        <v/>
      </c>
      <c r="G366" s="5" t="str">
        <f>IFERROR(IF(SUMIFS(tblDaily[TransfersOut],tblDaily[EntryDate],DATE(2026,10,9),tblDaily[WardCode],"MAE")=0,"",SUMIFS(tblDaily[TransfersOut],tblDaily[EntryDate],DATE(2026,10,9),tblDaily[WardCode],"MAE")),"")</f>
        <v/>
      </c>
      <c r="H366" s="5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IFERROR(IF(SUMIFS(tblDaily[Admissions],tblDaily[EntryDate],DATE(2026,10,10),tblDaily[WardCode],"MAE")=0,"",SUMIFS(tblDaily[Admissions],tblDaily[EntryDate],DATE(2026,10,10),tblDaily[WardCode],"MAE")),"")</f>
        <v/>
      </c>
      <c r="C367" s="5" t="str">
        <f>IFERROR(IF(SUMIFS(tblDaily[Discharges],tblDaily[EntryDate],DATE(2026,10,10),tblDaily[WardCode],"MAE")=0,"",SUMIFS(tblDaily[Discharges],tblDaily[EntryDate],DATE(2026,10,10),tblDaily[WardCode],"MAE")),"")</f>
        <v/>
      </c>
      <c r="D367" s="5" t="str">
        <f>IFERROR(IF(SUMIFS(tblDaily[Deaths],tblDaily[EntryDate],DATE(2026,10,10),tblDaily[WardCode],"MAE")=0,"",SUMIFS(tblDaily[Deaths],tblDaily[EntryDate],DATE(2026,10,10),tblDaily[WardCode],"MAE")),"")</f>
        <v/>
      </c>
      <c r="E367" s="5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5" t="str">
        <f>IFERROR(IF(SUMIFS(tblDaily[TransfersIn],tblDaily[EntryDate],DATE(2026,10,10),tblDaily[WardCode],"MAE")=0,"",SUMIFS(tblDaily[TransfersIn],tblDaily[EntryDate],DATE(2026,10,10),tblDaily[WardCode],"MAE")),"")</f>
        <v/>
      </c>
      <c r="G367" s="5" t="str">
        <f>IFERROR(IF(SUMIFS(tblDaily[TransfersOut],tblDaily[EntryDate],DATE(2026,10,10),tblDaily[WardCode],"MAE")=0,"",SUMIFS(tblDaily[TransfersOut],tblDaily[EntryDate],DATE(2026,10,10),tblDaily[WardCode],"MAE")),"")</f>
        <v/>
      </c>
      <c r="H367" s="5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IFERROR(IF(SUMIFS(tblDaily[Admissions],tblDaily[EntryDate],DATE(2026,10,11),tblDaily[WardCode],"MAE")=0,"",SUMIFS(tblDaily[Admissions],tblDaily[EntryDate],DATE(2026,10,11),tblDaily[WardCode],"MAE")),"")</f>
        <v/>
      </c>
      <c r="C368" s="5" t="str">
        <f>IFERROR(IF(SUMIFS(tblDaily[Discharges],tblDaily[EntryDate],DATE(2026,10,11),tblDaily[WardCode],"MAE")=0,"",SUMIFS(tblDaily[Discharges],tblDaily[EntryDate],DATE(2026,10,11),tblDaily[WardCode],"MAE")),"")</f>
        <v/>
      </c>
      <c r="D368" s="5" t="str">
        <f>IFERROR(IF(SUMIFS(tblDaily[Deaths],tblDaily[EntryDate],DATE(2026,10,11),tblDaily[WardCode],"MAE")=0,"",SUMIFS(tblDaily[Deaths],tblDaily[EntryDate],DATE(2026,10,11),tblDaily[WardCode],"MAE")),"")</f>
        <v/>
      </c>
      <c r="E368" s="5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5" t="str">
        <f>IFERROR(IF(SUMIFS(tblDaily[TransfersIn],tblDaily[EntryDate],DATE(2026,10,11),tblDaily[WardCode],"MAE")=0,"",SUMIFS(tblDaily[TransfersIn],tblDaily[EntryDate],DATE(2026,10,11),tblDaily[WardCode],"MAE")),"")</f>
        <v/>
      </c>
      <c r="G368" s="5" t="str">
        <f>IFERROR(IF(SUMIFS(tblDaily[TransfersOut],tblDaily[EntryDate],DATE(2026,10,11),tblDaily[WardCode],"MAE")=0,"",SUMIFS(tblDaily[TransfersOut],tblDaily[EntryDate],DATE(2026,10,11),tblDaily[WardCode],"MAE")),"")</f>
        <v/>
      </c>
      <c r="H368" s="5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IFERROR(IF(SUMIFS(tblDaily[Admissions],tblDaily[EntryDate],DATE(2026,10,12),tblDaily[WardCode],"MAE")=0,"",SUMIFS(tblDaily[Admissions],tblDaily[EntryDate],DATE(2026,10,12),tblDaily[WardCode],"MAE")),"")</f>
        <v/>
      </c>
      <c r="C369" s="5" t="str">
        <f>IFERROR(IF(SUMIFS(tblDaily[Discharges],tblDaily[EntryDate],DATE(2026,10,12),tblDaily[WardCode],"MAE")=0,"",SUMIFS(tblDaily[Discharges],tblDaily[EntryDate],DATE(2026,10,12),tblDaily[WardCode],"MAE")),"")</f>
        <v/>
      </c>
      <c r="D369" s="5" t="str">
        <f>IFERROR(IF(SUMIFS(tblDaily[Deaths],tblDaily[EntryDate],DATE(2026,10,12),tblDaily[WardCode],"MAE")=0,"",SUMIFS(tblDaily[Deaths],tblDaily[EntryDate],DATE(2026,10,12),tblDaily[WardCode],"MAE")),"")</f>
        <v/>
      </c>
      <c r="E369" s="5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5" t="str">
        <f>IFERROR(IF(SUMIFS(tblDaily[TransfersIn],tblDaily[EntryDate],DATE(2026,10,12),tblDaily[WardCode],"MAE")=0,"",SUMIFS(tblDaily[TransfersIn],tblDaily[EntryDate],DATE(2026,10,12),tblDaily[WardCode],"MAE")),"")</f>
        <v/>
      </c>
      <c r="G369" s="5" t="str">
        <f>IFERROR(IF(SUMIFS(tblDaily[TransfersOut],tblDaily[EntryDate],DATE(2026,10,12),tblDaily[WardCode],"MAE")=0,"",SUMIFS(tblDaily[TransfersOut],tblDaily[EntryDate],DATE(2026,10,12),tblDaily[WardCode],"MAE")),"")</f>
        <v/>
      </c>
      <c r="H369" s="5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IFERROR(IF(SUMIFS(tblDaily[Admissions],tblDaily[EntryDate],DATE(2026,10,13),tblDaily[WardCode],"MAE")=0,"",SUMIFS(tblDaily[Admissions],tblDaily[EntryDate],DATE(2026,10,13),tblDaily[WardCode],"MAE")),"")</f>
        <v/>
      </c>
      <c r="C370" s="5" t="str">
        <f>IFERROR(IF(SUMIFS(tblDaily[Discharges],tblDaily[EntryDate],DATE(2026,10,13),tblDaily[WardCode],"MAE")=0,"",SUMIFS(tblDaily[Discharges],tblDaily[EntryDate],DATE(2026,10,13),tblDaily[WardCode],"MAE")),"")</f>
        <v/>
      </c>
      <c r="D370" s="5" t="str">
        <f>IFERROR(IF(SUMIFS(tblDaily[Deaths],tblDaily[EntryDate],DATE(2026,10,13),tblDaily[WardCode],"MAE")=0,"",SUMIFS(tblDaily[Deaths],tblDaily[EntryDate],DATE(2026,10,13),tblDaily[WardCode],"MAE")),"")</f>
        <v/>
      </c>
      <c r="E370" s="5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5" t="str">
        <f>IFERROR(IF(SUMIFS(tblDaily[TransfersIn],tblDaily[EntryDate],DATE(2026,10,13),tblDaily[WardCode],"MAE")=0,"",SUMIFS(tblDaily[TransfersIn],tblDaily[EntryDate],DATE(2026,10,13),tblDaily[WardCode],"MAE")),"")</f>
        <v/>
      </c>
      <c r="G370" s="5" t="str">
        <f>IFERROR(IF(SUMIFS(tblDaily[TransfersOut],tblDaily[EntryDate],DATE(2026,10,13),tblDaily[WardCode],"MAE")=0,"",SUMIFS(tblDaily[TransfersOut],tblDaily[EntryDate],DATE(2026,10,13),tblDaily[WardCode],"MAE")),"")</f>
        <v/>
      </c>
      <c r="H370" s="5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IFERROR(IF(SUMIFS(tblDaily[Admissions],tblDaily[EntryDate],DATE(2026,10,14),tblDaily[WardCode],"MAE")=0,"",SUMIFS(tblDaily[Admissions],tblDaily[EntryDate],DATE(2026,10,14),tblDaily[WardCode],"MAE")),"")</f>
        <v/>
      </c>
      <c r="C371" s="5" t="str">
        <f>IFERROR(IF(SUMIFS(tblDaily[Discharges],tblDaily[EntryDate],DATE(2026,10,14),tblDaily[WardCode],"MAE")=0,"",SUMIFS(tblDaily[Discharges],tblDaily[EntryDate],DATE(2026,10,14),tblDaily[WardCode],"MAE")),"")</f>
        <v/>
      </c>
      <c r="D371" s="5" t="str">
        <f>IFERROR(IF(SUMIFS(tblDaily[Deaths],tblDaily[EntryDate],DATE(2026,10,14),tblDaily[WardCode],"MAE")=0,"",SUMIFS(tblDaily[Deaths],tblDaily[EntryDate],DATE(2026,10,14),tblDaily[WardCode],"MAE")),"")</f>
        <v/>
      </c>
      <c r="E371" s="5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5" t="str">
        <f>IFERROR(IF(SUMIFS(tblDaily[TransfersIn],tblDaily[EntryDate],DATE(2026,10,14),tblDaily[WardCode],"MAE")=0,"",SUMIFS(tblDaily[TransfersIn],tblDaily[EntryDate],DATE(2026,10,14),tblDaily[WardCode],"MAE")),"")</f>
        <v/>
      </c>
      <c r="G371" s="5" t="str">
        <f>IFERROR(IF(SUMIFS(tblDaily[TransfersOut],tblDaily[EntryDate],DATE(2026,10,14),tblDaily[WardCode],"MAE")=0,"",SUMIFS(tblDaily[TransfersOut],tblDaily[EntryDate],DATE(2026,10,14),tblDaily[WardCode],"MAE")),"")</f>
        <v/>
      </c>
      <c r="H371" s="5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IFERROR(IF(SUMIFS(tblDaily[Admissions],tblDaily[EntryDate],DATE(2026,10,15),tblDaily[WardCode],"MAE")=0,"",SUMIFS(tblDaily[Admissions],tblDaily[EntryDate],DATE(2026,10,15),tblDaily[WardCode],"MAE")),"")</f>
        <v/>
      </c>
      <c r="C372" s="5" t="str">
        <f>IFERROR(IF(SUMIFS(tblDaily[Discharges],tblDaily[EntryDate],DATE(2026,10,15),tblDaily[WardCode],"MAE")=0,"",SUMIFS(tblDaily[Discharges],tblDaily[EntryDate],DATE(2026,10,15),tblDaily[WardCode],"MAE")),"")</f>
        <v/>
      </c>
      <c r="D372" s="5" t="str">
        <f>IFERROR(IF(SUMIFS(tblDaily[Deaths],tblDaily[EntryDate],DATE(2026,10,15),tblDaily[WardCode],"MAE")=0,"",SUMIFS(tblDaily[Deaths],tblDaily[EntryDate],DATE(2026,10,15),tblDaily[WardCode],"MAE")),"")</f>
        <v/>
      </c>
      <c r="E372" s="5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5" t="str">
        <f>IFERROR(IF(SUMIFS(tblDaily[TransfersIn],tblDaily[EntryDate],DATE(2026,10,15),tblDaily[WardCode],"MAE")=0,"",SUMIFS(tblDaily[TransfersIn],tblDaily[EntryDate],DATE(2026,10,15),tblDaily[WardCode],"MAE")),"")</f>
        <v/>
      </c>
      <c r="G372" s="5" t="str">
        <f>IFERROR(IF(SUMIFS(tblDaily[TransfersOut],tblDaily[EntryDate],DATE(2026,10,15),tblDaily[WardCode],"MAE")=0,"",SUMIFS(tblDaily[TransfersOut],tblDaily[EntryDate],DATE(2026,10,15),tblDaily[WardCode],"MAE")),"")</f>
        <v/>
      </c>
      <c r="H372" s="5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IFERROR(IF(SUMIFS(tblDaily[Admissions],tblDaily[EntryDate],DATE(2026,10,16),tblDaily[WardCode],"MAE")=0,"",SUMIFS(tblDaily[Admissions],tblDaily[EntryDate],DATE(2026,10,16),tblDaily[WardCode],"MAE")),"")</f>
        <v/>
      </c>
      <c r="C373" s="5" t="str">
        <f>IFERROR(IF(SUMIFS(tblDaily[Discharges],tblDaily[EntryDate],DATE(2026,10,16),tblDaily[WardCode],"MAE")=0,"",SUMIFS(tblDaily[Discharges],tblDaily[EntryDate],DATE(2026,10,16),tblDaily[WardCode],"MAE")),"")</f>
        <v/>
      </c>
      <c r="D373" s="5" t="str">
        <f>IFERROR(IF(SUMIFS(tblDaily[Deaths],tblDaily[EntryDate],DATE(2026,10,16),tblDaily[WardCode],"MAE")=0,"",SUMIFS(tblDaily[Deaths],tblDaily[EntryDate],DATE(2026,10,16),tblDaily[WardCode],"MAE")),"")</f>
        <v/>
      </c>
      <c r="E373" s="5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5" t="str">
        <f>IFERROR(IF(SUMIFS(tblDaily[TransfersIn],tblDaily[EntryDate],DATE(2026,10,16),tblDaily[WardCode],"MAE")=0,"",SUMIFS(tblDaily[TransfersIn],tblDaily[EntryDate],DATE(2026,10,16),tblDaily[WardCode],"MAE")),"")</f>
        <v/>
      </c>
      <c r="G373" s="5" t="str">
        <f>IFERROR(IF(SUMIFS(tblDaily[TransfersOut],tblDaily[EntryDate],DATE(2026,10,16),tblDaily[WardCode],"MAE")=0,"",SUMIFS(tblDaily[TransfersOut],tblDaily[EntryDate],DATE(2026,10,16),tblDaily[WardCode],"MAE")),"")</f>
        <v/>
      </c>
      <c r="H373" s="5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IFERROR(IF(SUMIFS(tblDaily[Admissions],tblDaily[EntryDate],DATE(2026,10,17),tblDaily[WardCode],"MAE")=0,"",SUMIFS(tblDaily[Admissions],tblDaily[EntryDate],DATE(2026,10,17),tblDaily[WardCode],"MAE")),"")</f>
        <v/>
      </c>
      <c r="C374" s="5" t="str">
        <f>IFERROR(IF(SUMIFS(tblDaily[Discharges],tblDaily[EntryDate],DATE(2026,10,17),tblDaily[WardCode],"MAE")=0,"",SUMIFS(tblDaily[Discharges],tblDaily[EntryDate],DATE(2026,10,17),tblDaily[WardCode],"MAE")),"")</f>
        <v/>
      </c>
      <c r="D374" s="5" t="str">
        <f>IFERROR(IF(SUMIFS(tblDaily[Deaths],tblDaily[EntryDate],DATE(2026,10,17),tblDaily[WardCode],"MAE")=0,"",SUMIFS(tblDaily[Deaths],tblDaily[EntryDate],DATE(2026,10,17),tblDaily[WardCode],"MAE")),"")</f>
        <v/>
      </c>
      <c r="E374" s="5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5" t="str">
        <f>IFERROR(IF(SUMIFS(tblDaily[TransfersIn],tblDaily[EntryDate],DATE(2026,10,17),tblDaily[WardCode],"MAE")=0,"",SUMIFS(tblDaily[TransfersIn],tblDaily[EntryDate],DATE(2026,10,17),tblDaily[WardCode],"MAE")),"")</f>
        <v/>
      </c>
      <c r="G374" s="5" t="str">
        <f>IFERROR(IF(SUMIFS(tblDaily[TransfersOut],tblDaily[EntryDate],DATE(2026,10,17),tblDaily[WardCode],"MAE")=0,"",SUMIFS(tblDaily[TransfersOut],tblDaily[EntryDate],DATE(2026,10,17),tblDaily[WardCode],"MAE")),"")</f>
        <v/>
      </c>
      <c r="H374" s="5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IFERROR(IF(SUMIFS(tblDaily[Admissions],tblDaily[EntryDate],DATE(2026,10,18),tblDaily[WardCode],"MAE")=0,"",SUMIFS(tblDaily[Admissions],tblDaily[EntryDate],DATE(2026,10,18),tblDaily[WardCode],"MAE")),"")</f>
        <v/>
      </c>
      <c r="C375" s="5" t="str">
        <f>IFERROR(IF(SUMIFS(tblDaily[Discharges],tblDaily[EntryDate],DATE(2026,10,18),tblDaily[WardCode],"MAE")=0,"",SUMIFS(tblDaily[Discharges],tblDaily[EntryDate],DATE(2026,10,18),tblDaily[WardCode],"MAE")),"")</f>
        <v/>
      </c>
      <c r="D375" s="5" t="str">
        <f>IFERROR(IF(SUMIFS(tblDaily[Deaths],tblDaily[EntryDate],DATE(2026,10,18),tblDaily[WardCode],"MAE")=0,"",SUMIFS(tblDaily[Deaths],tblDaily[EntryDate],DATE(2026,10,18),tblDaily[WardCode],"MAE")),"")</f>
        <v/>
      </c>
      <c r="E375" s="5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5" t="str">
        <f>IFERROR(IF(SUMIFS(tblDaily[TransfersIn],tblDaily[EntryDate],DATE(2026,10,18),tblDaily[WardCode],"MAE")=0,"",SUMIFS(tblDaily[TransfersIn],tblDaily[EntryDate],DATE(2026,10,18),tblDaily[WardCode],"MAE")),"")</f>
        <v/>
      </c>
      <c r="G375" s="5" t="str">
        <f>IFERROR(IF(SUMIFS(tblDaily[TransfersOut],tblDaily[EntryDate],DATE(2026,10,18),tblDaily[WardCode],"MAE")=0,"",SUMIFS(tblDaily[TransfersOut],tblDaily[EntryDate],DATE(2026,10,18),tblDaily[WardCode],"MAE")),"")</f>
        <v/>
      </c>
      <c r="H375" s="5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IFERROR(IF(SUMIFS(tblDaily[Admissions],tblDaily[EntryDate],DATE(2026,10,19),tblDaily[WardCode],"MAE")=0,"",SUMIFS(tblDaily[Admissions],tblDaily[EntryDate],DATE(2026,10,19),tblDaily[WardCode],"MAE")),"")</f>
        <v/>
      </c>
      <c r="C376" s="5" t="str">
        <f>IFERROR(IF(SUMIFS(tblDaily[Discharges],tblDaily[EntryDate],DATE(2026,10,19),tblDaily[WardCode],"MAE")=0,"",SUMIFS(tblDaily[Discharges],tblDaily[EntryDate],DATE(2026,10,19),tblDaily[WardCode],"MAE")),"")</f>
        <v/>
      </c>
      <c r="D376" s="5" t="str">
        <f>IFERROR(IF(SUMIFS(tblDaily[Deaths],tblDaily[EntryDate],DATE(2026,10,19),tblDaily[WardCode],"MAE")=0,"",SUMIFS(tblDaily[Deaths],tblDaily[EntryDate],DATE(2026,10,19),tblDaily[WardCode],"MAE")),"")</f>
        <v/>
      </c>
      <c r="E376" s="5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5" t="str">
        <f>IFERROR(IF(SUMIFS(tblDaily[TransfersIn],tblDaily[EntryDate],DATE(2026,10,19),tblDaily[WardCode],"MAE")=0,"",SUMIFS(tblDaily[TransfersIn],tblDaily[EntryDate],DATE(2026,10,19),tblDaily[WardCode],"MAE")),"")</f>
        <v/>
      </c>
      <c r="G376" s="5" t="str">
        <f>IFERROR(IF(SUMIFS(tblDaily[TransfersOut],tblDaily[EntryDate],DATE(2026,10,19),tblDaily[WardCode],"MAE")=0,"",SUMIFS(tblDaily[TransfersOut],tblDaily[EntryDate],DATE(2026,10,19),tblDaily[WardCode],"MAE")),"")</f>
        <v/>
      </c>
      <c r="H376" s="5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IFERROR(IF(SUMIFS(tblDaily[Admissions],tblDaily[EntryDate],DATE(2026,10,20),tblDaily[WardCode],"MAE")=0,"",SUMIFS(tblDaily[Admissions],tblDaily[EntryDate],DATE(2026,10,20),tblDaily[WardCode],"MAE")),"")</f>
        <v/>
      </c>
      <c r="C377" s="5" t="str">
        <f>IFERROR(IF(SUMIFS(tblDaily[Discharges],tblDaily[EntryDate],DATE(2026,10,20),tblDaily[WardCode],"MAE")=0,"",SUMIFS(tblDaily[Discharges],tblDaily[EntryDate],DATE(2026,10,20),tblDaily[WardCode],"MAE")),"")</f>
        <v/>
      </c>
      <c r="D377" s="5" t="str">
        <f>IFERROR(IF(SUMIFS(tblDaily[Deaths],tblDaily[EntryDate],DATE(2026,10,20),tblDaily[WardCode],"MAE")=0,"",SUMIFS(tblDaily[Deaths],tblDaily[EntryDate],DATE(2026,10,20),tblDaily[WardCode],"MAE")),"")</f>
        <v/>
      </c>
      <c r="E377" s="5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5" t="str">
        <f>IFERROR(IF(SUMIFS(tblDaily[TransfersIn],tblDaily[EntryDate],DATE(2026,10,20),tblDaily[WardCode],"MAE")=0,"",SUMIFS(tblDaily[TransfersIn],tblDaily[EntryDate],DATE(2026,10,20),tblDaily[WardCode],"MAE")),"")</f>
        <v/>
      </c>
      <c r="G377" s="5" t="str">
        <f>IFERROR(IF(SUMIFS(tblDaily[TransfersOut],tblDaily[EntryDate],DATE(2026,10,20),tblDaily[WardCode],"MAE")=0,"",SUMIFS(tblDaily[TransfersOut],tblDaily[EntryDate],DATE(2026,10,20),tblDaily[WardCode],"MAE")),"")</f>
        <v/>
      </c>
      <c r="H377" s="5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IFERROR(IF(SUMIFS(tblDaily[Admissions],tblDaily[EntryDate],DATE(2026,10,21),tblDaily[WardCode],"MAE")=0,"",SUMIFS(tblDaily[Admissions],tblDaily[EntryDate],DATE(2026,10,21),tblDaily[WardCode],"MAE")),"")</f>
        <v/>
      </c>
      <c r="C378" s="5" t="str">
        <f>IFERROR(IF(SUMIFS(tblDaily[Discharges],tblDaily[EntryDate],DATE(2026,10,21),tblDaily[WardCode],"MAE")=0,"",SUMIFS(tblDaily[Discharges],tblDaily[EntryDate],DATE(2026,10,21),tblDaily[WardCode],"MAE")),"")</f>
        <v/>
      </c>
      <c r="D378" s="5" t="str">
        <f>IFERROR(IF(SUMIFS(tblDaily[Deaths],tblDaily[EntryDate],DATE(2026,10,21),tblDaily[WardCode],"MAE")=0,"",SUMIFS(tblDaily[Deaths],tblDaily[EntryDate],DATE(2026,10,21),tblDaily[WardCode],"MAE")),"")</f>
        <v/>
      </c>
      <c r="E378" s="5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5" t="str">
        <f>IFERROR(IF(SUMIFS(tblDaily[TransfersIn],tblDaily[EntryDate],DATE(2026,10,21),tblDaily[WardCode],"MAE")=0,"",SUMIFS(tblDaily[TransfersIn],tblDaily[EntryDate],DATE(2026,10,21),tblDaily[WardCode],"MAE")),"")</f>
        <v/>
      </c>
      <c r="G378" s="5" t="str">
        <f>IFERROR(IF(SUMIFS(tblDaily[TransfersOut],tblDaily[EntryDate],DATE(2026,10,21),tblDaily[WardCode],"MAE")=0,"",SUMIFS(tblDaily[TransfersOut],tblDaily[EntryDate],DATE(2026,10,21),tblDaily[WardCode],"MAE")),"")</f>
        <v/>
      </c>
      <c r="H378" s="5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IFERROR(IF(SUMIFS(tblDaily[Admissions],tblDaily[EntryDate],DATE(2026,10,22),tblDaily[WardCode],"MAE")=0,"",SUMIFS(tblDaily[Admissions],tblDaily[EntryDate],DATE(2026,10,22),tblDaily[WardCode],"MAE")),"")</f>
        <v/>
      </c>
      <c r="C379" s="5" t="str">
        <f>IFERROR(IF(SUMIFS(tblDaily[Discharges],tblDaily[EntryDate],DATE(2026,10,22),tblDaily[WardCode],"MAE")=0,"",SUMIFS(tblDaily[Discharges],tblDaily[EntryDate],DATE(2026,10,22),tblDaily[WardCode],"MAE")),"")</f>
        <v/>
      </c>
      <c r="D379" s="5" t="str">
        <f>IFERROR(IF(SUMIFS(tblDaily[Deaths],tblDaily[EntryDate],DATE(2026,10,22),tblDaily[WardCode],"MAE")=0,"",SUMIFS(tblDaily[Deaths],tblDaily[EntryDate],DATE(2026,10,22),tblDaily[WardCode],"MAE")),"")</f>
        <v/>
      </c>
      <c r="E379" s="5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5" t="str">
        <f>IFERROR(IF(SUMIFS(tblDaily[TransfersIn],tblDaily[EntryDate],DATE(2026,10,22),tblDaily[WardCode],"MAE")=0,"",SUMIFS(tblDaily[TransfersIn],tblDaily[EntryDate],DATE(2026,10,22),tblDaily[WardCode],"MAE")),"")</f>
        <v/>
      </c>
      <c r="G379" s="5" t="str">
        <f>IFERROR(IF(SUMIFS(tblDaily[TransfersOut],tblDaily[EntryDate],DATE(2026,10,22),tblDaily[WardCode],"MAE")=0,"",SUMIFS(tblDaily[TransfersOut],tblDaily[EntryDate],DATE(2026,10,22),tblDaily[WardCode],"MAE")),"")</f>
        <v/>
      </c>
      <c r="H379" s="5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IFERROR(IF(SUMIFS(tblDaily[Admissions],tblDaily[EntryDate],DATE(2026,10,23),tblDaily[WardCode],"MAE")=0,"",SUMIFS(tblDaily[Admissions],tblDaily[EntryDate],DATE(2026,10,23),tblDaily[WardCode],"MAE")),"")</f>
        <v/>
      </c>
      <c r="C380" s="5" t="str">
        <f>IFERROR(IF(SUMIFS(tblDaily[Discharges],tblDaily[EntryDate],DATE(2026,10,23),tblDaily[WardCode],"MAE")=0,"",SUMIFS(tblDaily[Discharges],tblDaily[EntryDate],DATE(2026,10,23),tblDaily[WardCode],"MAE")),"")</f>
        <v/>
      </c>
      <c r="D380" s="5" t="str">
        <f>IFERROR(IF(SUMIFS(tblDaily[Deaths],tblDaily[EntryDate],DATE(2026,10,23),tblDaily[WardCode],"MAE")=0,"",SUMIFS(tblDaily[Deaths],tblDaily[EntryDate],DATE(2026,10,23),tblDaily[WardCode],"MAE")),"")</f>
        <v/>
      </c>
      <c r="E380" s="5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5" t="str">
        <f>IFERROR(IF(SUMIFS(tblDaily[TransfersIn],tblDaily[EntryDate],DATE(2026,10,23),tblDaily[WardCode],"MAE")=0,"",SUMIFS(tblDaily[TransfersIn],tblDaily[EntryDate],DATE(2026,10,23),tblDaily[WardCode],"MAE")),"")</f>
        <v/>
      </c>
      <c r="G380" s="5" t="str">
        <f>IFERROR(IF(SUMIFS(tblDaily[TransfersOut],tblDaily[EntryDate],DATE(2026,10,23),tblDaily[WardCode],"MAE")=0,"",SUMIFS(tblDaily[TransfersOut],tblDaily[EntryDate],DATE(2026,10,23),tblDaily[WardCode],"MAE")),"")</f>
        <v/>
      </c>
      <c r="H380" s="5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IFERROR(IF(SUMIFS(tblDaily[Admissions],tblDaily[EntryDate],DATE(2026,10,24),tblDaily[WardCode],"MAE")=0,"",SUMIFS(tblDaily[Admissions],tblDaily[EntryDate],DATE(2026,10,24),tblDaily[WardCode],"MAE")),"")</f>
        <v/>
      </c>
      <c r="C381" s="5" t="str">
        <f>IFERROR(IF(SUMIFS(tblDaily[Discharges],tblDaily[EntryDate],DATE(2026,10,24),tblDaily[WardCode],"MAE")=0,"",SUMIFS(tblDaily[Discharges],tblDaily[EntryDate],DATE(2026,10,24),tblDaily[WardCode],"MAE")),"")</f>
        <v/>
      </c>
      <c r="D381" s="5" t="str">
        <f>IFERROR(IF(SUMIFS(tblDaily[Deaths],tblDaily[EntryDate],DATE(2026,10,24),tblDaily[WardCode],"MAE")=0,"",SUMIFS(tblDaily[Deaths],tblDaily[EntryDate],DATE(2026,10,24),tblDaily[WardCode],"MAE")),"")</f>
        <v/>
      </c>
      <c r="E381" s="5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5" t="str">
        <f>IFERROR(IF(SUMIFS(tblDaily[TransfersIn],tblDaily[EntryDate],DATE(2026,10,24),tblDaily[WardCode],"MAE")=0,"",SUMIFS(tblDaily[TransfersIn],tblDaily[EntryDate],DATE(2026,10,24),tblDaily[WardCode],"MAE")),"")</f>
        <v/>
      </c>
      <c r="G381" s="5" t="str">
        <f>IFERROR(IF(SUMIFS(tblDaily[TransfersOut],tblDaily[EntryDate],DATE(2026,10,24),tblDaily[WardCode],"MAE")=0,"",SUMIFS(tblDaily[TransfersOut],tblDaily[EntryDate],DATE(2026,10,24),tblDaily[WardCode],"MAE")),"")</f>
        <v/>
      </c>
      <c r="H381" s="5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IFERROR(IF(SUMIFS(tblDaily[Admissions],tblDaily[EntryDate],DATE(2026,10,25),tblDaily[WardCode],"MAE")=0,"",SUMIFS(tblDaily[Admissions],tblDaily[EntryDate],DATE(2026,10,25),tblDaily[WardCode],"MAE")),"")</f>
        <v/>
      </c>
      <c r="C382" s="5" t="str">
        <f>IFERROR(IF(SUMIFS(tblDaily[Discharges],tblDaily[EntryDate],DATE(2026,10,25),tblDaily[WardCode],"MAE")=0,"",SUMIFS(tblDaily[Discharges],tblDaily[EntryDate],DATE(2026,10,25),tblDaily[WardCode],"MAE")),"")</f>
        <v/>
      </c>
      <c r="D382" s="5" t="str">
        <f>IFERROR(IF(SUMIFS(tblDaily[Deaths],tblDaily[EntryDate],DATE(2026,10,25),tblDaily[WardCode],"MAE")=0,"",SUMIFS(tblDaily[Deaths],tblDaily[EntryDate],DATE(2026,10,25),tblDaily[WardCode],"MAE")),"")</f>
        <v/>
      </c>
      <c r="E382" s="5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5" t="str">
        <f>IFERROR(IF(SUMIFS(tblDaily[TransfersIn],tblDaily[EntryDate],DATE(2026,10,25),tblDaily[WardCode],"MAE")=0,"",SUMIFS(tblDaily[TransfersIn],tblDaily[EntryDate],DATE(2026,10,25),tblDaily[WardCode],"MAE")),"")</f>
        <v/>
      </c>
      <c r="G382" s="5" t="str">
        <f>IFERROR(IF(SUMIFS(tblDaily[TransfersOut],tblDaily[EntryDate],DATE(2026,10,25),tblDaily[WardCode],"MAE")=0,"",SUMIFS(tblDaily[TransfersOut],tblDaily[EntryDate],DATE(2026,10,25),tblDaily[WardCode],"MAE")),"")</f>
        <v/>
      </c>
      <c r="H382" s="5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IFERROR(IF(SUMIFS(tblDaily[Admissions],tblDaily[EntryDate],DATE(2026,10,26),tblDaily[WardCode],"MAE")=0,"",SUMIFS(tblDaily[Admissions],tblDaily[EntryDate],DATE(2026,10,26),tblDaily[WardCode],"MAE")),"")</f>
        <v/>
      </c>
      <c r="C383" s="5" t="str">
        <f>IFERROR(IF(SUMIFS(tblDaily[Discharges],tblDaily[EntryDate],DATE(2026,10,26),tblDaily[WardCode],"MAE")=0,"",SUMIFS(tblDaily[Discharges],tblDaily[EntryDate],DATE(2026,10,26),tblDaily[WardCode],"MAE")),"")</f>
        <v/>
      </c>
      <c r="D383" s="5" t="str">
        <f>IFERROR(IF(SUMIFS(tblDaily[Deaths],tblDaily[EntryDate],DATE(2026,10,26),tblDaily[WardCode],"MAE")=0,"",SUMIFS(tblDaily[Deaths],tblDaily[EntryDate],DATE(2026,10,26),tblDaily[WardCode],"MAE")),"")</f>
        <v/>
      </c>
      <c r="E383" s="5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5" t="str">
        <f>IFERROR(IF(SUMIFS(tblDaily[TransfersIn],tblDaily[EntryDate],DATE(2026,10,26),tblDaily[WardCode],"MAE")=0,"",SUMIFS(tblDaily[TransfersIn],tblDaily[EntryDate],DATE(2026,10,26),tblDaily[WardCode],"MAE")),"")</f>
        <v/>
      </c>
      <c r="G383" s="5" t="str">
        <f>IFERROR(IF(SUMIFS(tblDaily[TransfersOut],tblDaily[EntryDate],DATE(2026,10,26),tblDaily[WardCode],"MAE")=0,"",SUMIFS(tblDaily[TransfersOut],tblDaily[EntryDate],DATE(2026,10,26),tblDaily[WardCode],"MAE")),"")</f>
        <v/>
      </c>
      <c r="H383" s="5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IFERROR(IF(SUMIFS(tblDaily[Admissions],tblDaily[EntryDate],DATE(2026,10,27),tblDaily[WardCode],"MAE")=0,"",SUMIFS(tblDaily[Admissions],tblDaily[EntryDate],DATE(2026,10,27),tblDaily[WardCode],"MAE")),"")</f>
        <v/>
      </c>
      <c r="C384" s="5" t="str">
        <f>IFERROR(IF(SUMIFS(tblDaily[Discharges],tblDaily[EntryDate],DATE(2026,10,27),tblDaily[WardCode],"MAE")=0,"",SUMIFS(tblDaily[Discharges],tblDaily[EntryDate],DATE(2026,10,27),tblDaily[WardCode],"MAE")),"")</f>
        <v/>
      </c>
      <c r="D384" s="5" t="str">
        <f>IFERROR(IF(SUMIFS(tblDaily[Deaths],tblDaily[EntryDate],DATE(2026,10,27),tblDaily[WardCode],"MAE")=0,"",SUMIFS(tblDaily[Deaths],tblDaily[EntryDate],DATE(2026,10,27),tblDaily[WardCode],"MAE")),"")</f>
        <v/>
      </c>
      <c r="E384" s="5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5" t="str">
        <f>IFERROR(IF(SUMIFS(tblDaily[TransfersIn],tblDaily[EntryDate],DATE(2026,10,27),tblDaily[WardCode],"MAE")=0,"",SUMIFS(tblDaily[TransfersIn],tblDaily[EntryDate],DATE(2026,10,27),tblDaily[WardCode],"MAE")),"")</f>
        <v/>
      </c>
      <c r="G384" s="5" t="str">
        <f>IFERROR(IF(SUMIFS(tblDaily[TransfersOut],tblDaily[EntryDate],DATE(2026,10,27),tblDaily[WardCode],"MAE")=0,"",SUMIFS(tblDaily[TransfersOut],tblDaily[EntryDate],DATE(2026,10,27),tblDaily[WardCode],"MAE")),"")</f>
        <v/>
      </c>
      <c r="H384" s="5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IFERROR(IF(SUMIFS(tblDaily[Admissions],tblDaily[EntryDate],DATE(2026,10,28),tblDaily[WardCode],"MAE")=0,"",SUMIFS(tblDaily[Admissions],tblDaily[EntryDate],DATE(2026,10,28),tblDaily[WardCode],"MAE")),"")</f>
        <v/>
      </c>
      <c r="C385" s="5" t="str">
        <f>IFERROR(IF(SUMIFS(tblDaily[Discharges],tblDaily[EntryDate],DATE(2026,10,28),tblDaily[WardCode],"MAE")=0,"",SUMIFS(tblDaily[Discharges],tblDaily[EntryDate],DATE(2026,10,28),tblDaily[WardCode],"MAE")),"")</f>
        <v/>
      </c>
      <c r="D385" s="5" t="str">
        <f>IFERROR(IF(SUMIFS(tblDaily[Deaths],tblDaily[EntryDate],DATE(2026,10,28),tblDaily[WardCode],"MAE")=0,"",SUMIFS(tblDaily[Deaths],tblDaily[EntryDate],DATE(2026,10,28),tblDaily[WardCode],"MAE")),"")</f>
        <v/>
      </c>
      <c r="E385" s="5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5" t="str">
        <f>IFERROR(IF(SUMIFS(tblDaily[TransfersIn],tblDaily[EntryDate],DATE(2026,10,28),tblDaily[WardCode],"MAE")=0,"",SUMIFS(tblDaily[TransfersIn],tblDaily[EntryDate],DATE(2026,10,28),tblDaily[WardCode],"MAE")),"")</f>
        <v/>
      </c>
      <c r="G385" s="5" t="str">
        <f>IFERROR(IF(SUMIFS(tblDaily[TransfersOut],tblDaily[EntryDate],DATE(2026,10,28),tblDaily[WardCode],"MAE")=0,"",SUMIFS(tblDaily[TransfersOut],tblDaily[EntryDate],DATE(2026,10,28),tblDaily[WardCode],"MAE")),"")</f>
        <v/>
      </c>
      <c r="H385" s="5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IFERROR(IF(SUMIFS(tblDaily[Admissions],tblDaily[EntryDate],DATE(2026,10,29),tblDaily[WardCode],"MAE")=0,"",SUMIFS(tblDaily[Admissions],tblDaily[EntryDate],DATE(2026,10,29),tblDaily[WardCode],"MAE")),"")</f>
        <v/>
      </c>
      <c r="C386" s="5" t="str">
        <f>IFERROR(IF(SUMIFS(tblDaily[Discharges],tblDaily[EntryDate],DATE(2026,10,29),tblDaily[WardCode],"MAE")=0,"",SUMIFS(tblDaily[Discharges],tblDaily[EntryDate],DATE(2026,10,29),tblDaily[WardCode],"MAE")),"")</f>
        <v/>
      </c>
      <c r="D386" s="5" t="str">
        <f>IFERROR(IF(SUMIFS(tblDaily[Deaths],tblDaily[EntryDate],DATE(2026,10,29),tblDaily[WardCode],"MAE")=0,"",SUMIFS(tblDaily[Deaths],tblDaily[EntryDate],DATE(2026,10,29),tblDaily[WardCode],"MAE")),"")</f>
        <v/>
      </c>
      <c r="E386" s="5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5" t="str">
        <f>IFERROR(IF(SUMIFS(tblDaily[TransfersIn],tblDaily[EntryDate],DATE(2026,10,29),tblDaily[WardCode],"MAE")=0,"",SUMIFS(tblDaily[TransfersIn],tblDaily[EntryDate],DATE(2026,10,29),tblDaily[WardCode],"MAE")),"")</f>
        <v/>
      </c>
      <c r="G386" s="5" t="str">
        <f>IFERROR(IF(SUMIFS(tblDaily[TransfersOut],tblDaily[EntryDate],DATE(2026,10,29),tblDaily[WardCode],"MAE")=0,"",SUMIFS(tblDaily[TransfersOut],tblDaily[EntryDate],DATE(2026,10,29),tblDaily[WardCode],"MAE")),"")</f>
        <v/>
      </c>
      <c r="H386" s="5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IFERROR(IF(SUMIFS(tblDaily[Admissions],tblDaily[EntryDate],DATE(2026,10,30),tblDaily[WardCode],"MAE")=0,"",SUMIFS(tblDaily[Admissions],tblDaily[EntryDate],DATE(2026,10,30),tblDaily[WardCode],"MAE")),"")</f>
        <v/>
      </c>
      <c r="C387" s="5" t="str">
        <f>IFERROR(IF(SUMIFS(tblDaily[Discharges],tblDaily[EntryDate],DATE(2026,10,30),tblDaily[WardCode],"MAE")=0,"",SUMIFS(tblDaily[Discharges],tblDaily[EntryDate],DATE(2026,10,30),tblDaily[WardCode],"MAE")),"")</f>
        <v/>
      </c>
      <c r="D387" s="5" t="str">
        <f>IFERROR(IF(SUMIFS(tblDaily[Deaths],tblDaily[EntryDate],DATE(2026,10,30),tblDaily[WardCode],"MAE")=0,"",SUMIFS(tblDaily[Deaths],tblDaily[EntryDate],DATE(2026,10,30),tblDaily[WardCode],"MAE")),"")</f>
        <v/>
      </c>
      <c r="E387" s="5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5" t="str">
        <f>IFERROR(IF(SUMIFS(tblDaily[TransfersIn],tblDaily[EntryDate],DATE(2026,10,30),tblDaily[WardCode],"MAE")=0,"",SUMIFS(tblDaily[TransfersIn],tblDaily[EntryDate],DATE(2026,10,30),tblDaily[WardCode],"MAE")),"")</f>
        <v/>
      </c>
      <c r="G387" s="5" t="str">
        <f>IFERROR(IF(SUMIFS(tblDaily[TransfersOut],tblDaily[EntryDate],DATE(2026,10,30),tblDaily[WardCode],"MAE")=0,"",SUMIFS(tblDaily[TransfersOut],tblDaily[EntryDate],DATE(2026,10,30),tblDaily[WardCode],"MAE")),"")</f>
        <v/>
      </c>
      <c r="H387" s="5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IFERROR(IF(SUMIFS(tblDaily[Admissions],tblDaily[EntryDate],DATE(2026,10,31),tblDaily[WardCode],"MAE")=0,"",SUMIFS(tblDaily[Admissions],tblDaily[EntryDate],DATE(2026,10,31),tblDaily[WardCode],"MAE")),"")</f>
        <v/>
      </c>
      <c r="C388" s="5" t="str">
        <f>IFERROR(IF(SUMIFS(tblDaily[Discharges],tblDaily[EntryDate],DATE(2026,10,31),tblDaily[WardCode],"MAE")=0,"",SUMIFS(tblDaily[Discharges],tblDaily[EntryDate],DATE(2026,10,31),tblDaily[WardCode],"MAE")),"")</f>
        <v/>
      </c>
      <c r="D388" s="5" t="str">
        <f>IFERROR(IF(SUMIFS(tblDaily[Deaths],tblDaily[EntryDate],DATE(2026,10,31),tblDaily[WardCode],"MAE")=0,"",SUMIFS(tblDaily[Deaths],tblDaily[EntryDate],DATE(2026,10,31),tblDaily[WardCode],"MAE")),"")</f>
        <v/>
      </c>
      <c r="E388" s="5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5" t="str">
        <f>IFERROR(IF(SUMIFS(tblDaily[TransfersIn],tblDaily[EntryDate],DATE(2026,10,31),tblDaily[WardCode],"MAE")=0,"",SUMIFS(tblDaily[TransfersIn],tblDaily[EntryDate],DATE(2026,10,31),tblDaily[WardCode],"MAE")),"")</f>
        <v/>
      </c>
      <c r="G388" s="5" t="str">
        <f>IFERROR(IF(SUMIFS(tblDaily[TransfersOut],tblDaily[EntryDate],DATE(2026,10,31),tblDaily[WardCode],"MAE")=0,"",SUMIFS(tblDaily[TransfersOut],tblDaily[EntryDate],DATE(2026,10,31),tblDaily[WardCode],"MAE")),"")</f>
        <v/>
      </c>
      <c r="H388" s="5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95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102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89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IFERROR(IF(SUMIFS(tblDaily[Admissions],tblDaily[EntryDate],DATE(2026,11,1),tblDaily[WardCode],"MAE")=0,"",SUMIFS(tblDaily[Admissions],tblDaily[EntryDate],DATE(2026,11,1),tblDaily[WardCode],"MAE")),"")</f>
        <v/>
      </c>
      <c r="C397" s="5" t="str">
        <f>IFERROR(IF(SUMIFS(tblDaily[Discharges],tblDaily[EntryDate],DATE(2026,11,1),tblDaily[WardCode],"MAE")=0,"",SUMIFS(tblDaily[Discharges],tblDaily[EntryDate],DATE(2026,11,1),tblDaily[WardCode],"MAE")),"")</f>
        <v/>
      </c>
      <c r="D397" s="5" t="str">
        <f>IFERROR(IF(SUMIFS(tblDaily[Deaths],tblDaily[EntryDate],DATE(2026,11,1),tblDaily[WardCode],"MAE")=0,"",SUMIFS(tblDaily[Deaths],tblDaily[EntryDate],DATE(2026,11,1),tblDaily[WardCode],"MAE")),"")</f>
        <v/>
      </c>
      <c r="E397" s="5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5" t="str">
        <f>IFERROR(IF(SUMIFS(tblDaily[TransfersIn],tblDaily[EntryDate],DATE(2026,11,1),tblDaily[WardCode],"MAE")=0,"",SUMIFS(tblDaily[TransfersIn],tblDaily[EntryDate],DATE(2026,11,1),tblDaily[WardCode],"MAE")),"")</f>
        <v/>
      </c>
      <c r="G397" s="5" t="str">
        <f>IFERROR(IF(SUMIFS(tblDaily[TransfersOut],tblDaily[EntryDate],DATE(2026,11,1),tblDaily[WardCode],"MAE")=0,"",SUMIFS(tblDaily[TransfersOut],tblDaily[EntryDate],DATE(2026,11,1),tblDaily[WardCode],"MAE")),"")</f>
        <v/>
      </c>
      <c r="H397" s="5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IFERROR(IF(SUMIFS(tblDaily[Admissions],tblDaily[EntryDate],DATE(2026,11,2),tblDaily[WardCode],"MAE")=0,"",SUMIFS(tblDaily[Admissions],tblDaily[EntryDate],DATE(2026,11,2),tblDaily[WardCode],"MAE")),"")</f>
        <v/>
      </c>
      <c r="C398" s="5" t="str">
        <f>IFERROR(IF(SUMIFS(tblDaily[Discharges],tblDaily[EntryDate],DATE(2026,11,2),tblDaily[WardCode],"MAE")=0,"",SUMIFS(tblDaily[Discharges],tblDaily[EntryDate],DATE(2026,11,2),tblDaily[WardCode],"MAE")),"")</f>
        <v/>
      </c>
      <c r="D398" s="5" t="str">
        <f>IFERROR(IF(SUMIFS(tblDaily[Deaths],tblDaily[EntryDate],DATE(2026,11,2),tblDaily[WardCode],"MAE")=0,"",SUMIFS(tblDaily[Deaths],tblDaily[EntryDate],DATE(2026,11,2),tblDaily[WardCode],"MAE")),"")</f>
        <v/>
      </c>
      <c r="E398" s="5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5" t="str">
        <f>IFERROR(IF(SUMIFS(tblDaily[TransfersIn],tblDaily[EntryDate],DATE(2026,11,2),tblDaily[WardCode],"MAE")=0,"",SUMIFS(tblDaily[TransfersIn],tblDaily[EntryDate],DATE(2026,11,2),tblDaily[WardCode],"MAE")),"")</f>
        <v/>
      </c>
      <c r="G398" s="5" t="str">
        <f>IFERROR(IF(SUMIFS(tblDaily[TransfersOut],tblDaily[EntryDate],DATE(2026,11,2),tblDaily[WardCode],"MAE")=0,"",SUMIFS(tblDaily[TransfersOut],tblDaily[EntryDate],DATE(2026,11,2),tblDaily[WardCode],"MAE")),"")</f>
        <v/>
      </c>
      <c r="H398" s="5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IFERROR(IF(SUMIFS(tblDaily[Admissions],tblDaily[EntryDate],DATE(2026,11,3),tblDaily[WardCode],"MAE")=0,"",SUMIFS(tblDaily[Admissions],tblDaily[EntryDate],DATE(2026,11,3),tblDaily[WardCode],"MAE")),"")</f>
        <v/>
      </c>
      <c r="C399" s="5" t="str">
        <f>IFERROR(IF(SUMIFS(tblDaily[Discharges],tblDaily[EntryDate],DATE(2026,11,3),tblDaily[WardCode],"MAE")=0,"",SUMIFS(tblDaily[Discharges],tblDaily[EntryDate],DATE(2026,11,3),tblDaily[WardCode],"MAE")),"")</f>
        <v/>
      </c>
      <c r="D399" s="5" t="str">
        <f>IFERROR(IF(SUMIFS(tblDaily[Deaths],tblDaily[EntryDate],DATE(2026,11,3),tblDaily[WardCode],"MAE")=0,"",SUMIFS(tblDaily[Deaths],tblDaily[EntryDate],DATE(2026,11,3),tblDaily[WardCode],"MAE")),"")</f>
        <v/>
      </c>
      <c r="E399" s="5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5" t="str">
        <f>IFERROR(IF(SUMIFS(tblDaily[TransfersIn],tblDaily[EntryDate],DATE(2026,11,3),tblDaily[WardCode],"MAE")=0,"",SUMIFS(tblDaily[TransfersIn],tblDaily[EntryDate],DATE(2026,11,3),tblDaily[WardCode],"MAE")),"")</f>
        <v/>
      </c>
      <c r="G399" s="5" t="str">
        <f>IFERROR(IF(SUMIFS(tblDaily[TransfersOut],tblDaily[EntryDate],DATE(2026,11,3),tblDaily[WardCode],"MAE")=0,"",SUMIFS(tblDaily[TransfersOut],tblDaily[EntryDate],DATE(2026,11,3),tblDaily[WardCode],"MAE")),"")</f>
        <v/>
      </c>
      <c r="H399" s="5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IFERROR(IF(SUMIFS(tblDaily[Admissions],tblDaily[EntryDate],DATE(2026,11,4),tblDaily[WardCode],"MAE")=0,"",SUMIFS(tblDaily[Admissions],tblDaily[EntryDate],DATE(2026,11,4),tblDaily[WardCode],"MAE")),"")</f>
        <v/>
      </c>
      <c r="C400" s="5" t="str">
        <f>IFERROR(IF(SUMIFS(tblDaily[Discharges],tblDaily[EntryDate],DATE(2026,11,4),tblDaily[WardCode],"MAE")=0,"",SUMIFS(tblDaily[Discharges],tblDaily[EntryDate],DATE(2026,11,4),tblDaily[WardCode],"MAE")),"")</f>
        <v/>
      </c>
      <c r="D400" s="5" t="str">
        <f>IFERROR(IF(SUMIFS(tblDaily[Deaths],tblDaily[EntryDate],DATE(2026,11,4),tblDaily[WardCode],"MAE")=0,"",SUMIFS(tblDaily[Deaths],tblDaily[EntryDate],DATE(2026,11,4),tblDaily[WardCode],"MAE")),"")</f>
        <v/>
      </c>
      <c r="E400" s="5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5" t="str">
        <f>IFERROR(IF(SUMIFS(tblDaily[TransfersIn],tblDaily[EntryDate],DATE(2026,11,4),tblDaily[WardCode],"MAE")=0,"",SUMIFS(tblDaily[TransfersIn],tblDaily[EntryDate],DATE(2026,11,4),tblDaily[WardCode],"MAE")),"")</f>
        <v/>
      </c>
      <c r="G400" s="5" t="str">
        <f>IFERROR(IF(SUMIFS(tblDaily[TransfersOut],tblDaily[EntryDate],DATE(2026,11,4),tblDaily[WardCode],"MAE")=0,"",SUMIFS(tblDaily[TransfersOut],tblDaily[EntryDate],DATE(2026,11,4),tblDaily[WardCode],"MAE")),"")</f>
        <v/>
      </c>
      <c r="H400" s="5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IFERROR(IF(SUMIFS(tblDaily[Admissions],tblDaily[EntryDate],DATE(2026,11,5),tblDaily[WardCode],"MAE")=0,"",SUMIFS(tblDaily[Admissions],tblDaily[EntryDate],DATE(2026,11,5),tblDaily[WardCode],"MAE")),"")</f>
        <v/>
      </c>
      <c r="C401" s="5" t="str">
        <f>IFERROR(IF(SUMIFS(tblDaily[Discharges],tblDaily[EntryDate],DATE(2026,11,5),tblDaily[WardCode],"MAE")=0,"",SUMIFS(tblDaily[Discharges],tblDaily[EntryDate],DATE(2026,11,5),tblDaily[WardCode],"MAE")),"")</f>
        <v/>
      </c>
      <c r="D401" s="5" t="str">
        <f>IFERROR(IF(SUMIFS(tblDaily[Deaths],tblDaily[EntryDate],DATE(2026,11,5),tblDaily[WardCode],"MAE")=0,"",SUMIFS(tblDaily[Deaths],tblDaily[EntryDate],DATE(2026,11,5),tblDaily[WardCode],"MAE")),"")</f>
        <v/>
      </c>
      <c r="E401" s="5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5" t="str">
        <f>IFERROR(IF(SUMIFS(tblDaily[TransfersIn],tblDaily[EntryDate],DATE(2026,11,5),tblDaily[WardCode],"MAE")=0,"",SUMIFS(tblDaily[TransfersIn],tblDaily[EntryDate],DATE(2026,11,5),tblDaily[WardCode],"MAE")),"")</f>
        <v/>
      </c>
      <c r="G401" s="5" t="str">
        <f>IFERROR(IF(SUMIFS(tblDaily[TransfersOut],tblDaily[EntryDate],DATE(2026,11,5),tblDaily[WardCode],"MAE")=0,"",SUMIFS(tblDaily[TransfersOut],tblDaily[EntryDate],DATE(2026,11,5),tblDaily[WardCode],"MAE")),"")</f>
        <v/>
      </c>
      <c r="H401" s="5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IFERROR(IF(SUMIFS(tblDaily[Admissions],tblDaily[EntryDate],DATE(2026,11,6),tblDaily[WardCode],"MAE")=0,"",SUMIFS(tblDaily[Admissions],tblDaily[EntryDate],DATE(2026,11,6),tblDaily[WardCode],"MAE")),"")</f>
        <v/>
      </c>
      <c r="C402" s="5" t="str">
        <f>IFERROR(IF(SUMIFS(tblDaily[Discharges],tblDaily[EntryDate],DATE(2026,11,6),tblDaily[WardCode],"MAE")=0,"",SUMIFS(tblDaily[Discharges],tblDaily[EntryDate],DATE(2026,11,6),tblDaily[WardCode],"MAE")),"")</f>
        <v/>
      </c>
      <c r="D402" s="5" t="str">
        <f>IFERROR(IF(SUMIFS(tblDaily[Deaths],tblDaily[EntryDate],DATE(2026,11,6),tblDaily[WardCode],"MAE")=0,"",SUMIFS(tblDaily[Deaths],tblDaily[EntryDate],DATE(2026,11,6),tblDaily[WardCode],"MAE")),"")</f>
        <v/>
      </c>
      <c r="E402" s="5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5" t="str">
        <f>IFERROR(IF(SUMIFS(tblDaily[TransfersIn],tblDaily[EntryDate],DATE(2026,11,6),tblDaily[WardCode],"MAE")=0,"",SUMIFS(tblDaily[TransfersIn],tblDaily[EntryDate],DATE(2026,11,6),tblDaily[WardCode],"MAE")),"")</f>
        <v/>
      </c>
      <c r="G402" s="5" t="str">
        <f>IFERROR(IF(SUMIFS(tblDaily[TransfersOut],tblDaily[EntryDate],DATE(2026,11,6),tblDaily[WardCode],"MAE")=0,"",SUMIFS(tblDaily[TransfersOut],tblDaily[EntryDate],DATE(2026,11,6),tblDaily[WardCode],"MAE")),"")</f>
        <v/>
      </c>
      <c r="H402" s="5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IFERROR(IF(SUMIFS(tblDaily[Admissions],tblDaily[EntryDate],DATE(2026,11,7),tblDaily[WardCode],"MAE")=0,"",SUMIFS(tblDaily[Admissions],tblDaily[EntryDate],DATE(2026,11,7),tblDaily[WardCode],"MAE")),"")</f>
        <v/>
      </c>
      <c r="C403" s="5" t="str">
        <f>IFERROR(IF(SUMIFS(tblDaily[Discharges],tblDaily[EntryDate],DATE(2026,11,7),tblDaily[WardCode],"MAE")=0,"",SUMIFS(tblDaily[Discharges],tblDaily[EntryDate],DATE(2026,11,7),tblDaily[WardCode],"MAE")),"")</f>
        <v/>
      </c>
      <c r="D403" s="5" t="str">
        <f>IFERROR(IF(SUMIFS(tblDaily[Deaths],tblDaily[EntryDate],DATE(2026,11,7),tblDaily[WardCode],"MAE")=0,"",SUMIFS(tblDaily[Deaths],tblDaily[EntryDate],DATE(2026,11,7),tblDaily[WardCode],"MAE")),"")</f>
        <v/>
      </c>
      <c r="E403" s="5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5" t="str">
        <f>IFERROR(IF(SUMIFS(tblDaily[TransfersIn],tblDaily[EntryDate],DATE(2026,11,7),tblDaily[WardCode],"MAE")=0,"",SUMIFS(tblDaily[TransfersIn],tblDaily[EntryDate],DATE(2026,11,7),tblDaily[WardCode],"MAE")),"")</f>
        <v/>
      </c>
      <c r="G403" s="5" t="str">
        <f>IFERROR(IF(SUMIFS(tblDaily[TransfersOut],tblDaily[EntryDate],DATE(2026,11,7),tblDaily[WardCode],"MAE")=0,"",SUMIFS(tblDaily[TransfersOut],tblDaily[EntryDate],DATE(2026,11,7),tblDaily[WardCode],"MAE")),"")</f>
        <v/>
      </c>
      <c r="H403" s="5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IFERROR(IF(SUMIFS(tblDaily[Admissions],tblDaily[EntryDate],DATE(2026,11,8),tblDaily[WardCode],"MAE")=0,"",SUMIFS(tblDaily[Admissions],tblDaily[EntryDate],DATE(2026,11,8),tblDaily[WardCode],"MAE")),"")</f>
        <v/>
      </c>
      <c r="C404" s="5" t="str">
        <f>IFERROR(IF(SUMIFS(tblDaily[Discharges],tblDaily[EntryDate],DATE(2026,11,8),tblDaily[WardCode],"MAE")=0,"",SUMIFS(tblDaily[Discharges],tblDaily[EntryDate],DATE(2026,11,8),tblDaily[WardCode],"MAE")),"")</f>
        <v/>
      </c>
      <c r="D404" s="5" t="str">
        <f>IFERROR(IF(SUMIFS(tblDaily[Deaths],tblDaily[EntryDate],DATE(2026,11,8),tblDaily[WardCode],"MAE")=0,"",SUMIFS(tblDaily[Deaths],tblDaily[EntryDate],DATE(2026,11,8),tblDaily[WardCode],"MAE")),"")</f>
        <v/>
      </c>
      <c r="E404" s="5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5" t="str">
        <f>IFERROR(IF(SUMIFS(tblDaily[TransfersIn],tblDaily[EntryDate],DATE(2026,11,8),tblDaily[WardCode],"MAE")=0,"",SUMIFS(tblDaily[TransfersIn],tblDaily[EntryDate],DATE(2026,11,8),tblDaily[WardCode],"MAE")),"")</f>
        <v/>
      </c>
      <c r="G404" s="5" t="str">
        <f>IFERROR(IF(SUMIFS(tblDaily[TransfersOut],tblDaily[EntryDate],DATE(2026,11,8),tblDaily[WardCode],"MAE")=0,"",SUMIFS(tblDaily[TransfersOut],tblDaily[EntryDate],DATE(2026,11,8),tblDaily[WardCode],"MAE")),"")</f>
        <v/>
      </c>
      <c r="H404" s="5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IFERROR(IF(SUMIFS(tblDaily[Admissions],tblDaily[EntryDate],DATE(2026,11,9),tblDaily[WardCode],"MAE")=0,"",SUMIFS(tblDaily[Admissions],tblDaily[EntryDate],DATE(2026,11,9),tblDaily[WardCode],"MAE")),"")</f>
        <v/>
      </c>
      <c r="C405" s="5" t="str">
        <f>IFERROR(IF(SUMIFS(tblDaily[Discharges],tblDaily[EntryDate],DATE(2026,11,9),tblDaily[WardCode],"MAE")=0,"",SUMIFS(tblDaily[Discharges],tblDaily[EntryDate],DATE(2026,11,9),tblDaily[WardCode],"MAE")),"")</f>
        <v/>
      </c>
      <c r="D405" s="5" t="str">
        <f>IFERROR(IF(SUMIFS(tblDaily[Deaths],tblDaily[EntryDate],DATE(2026,11,9),tblDaily[WardCode],"MAE")=0,"",SUMIFS(tblDaily[Deaths],tblDaily[EntryDate],DATE(2026,11,9),tblDaily[WardCode],"MAE")),"")</f>
        <v/>
      </c>
      <c r="E405" s="5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5" t="str">
        <f>IFERROR(IF(SUMIFS(tblDaily[TransfersIn],tblDaily[EntryDate],DATE(2026,11,9),tblDaily[WardCode],"MAE")=0,"",SUMIFS(tblDaily[TransfersIn],tblDaily[EntryDate],DATE(2026,11,9),tblDaily[WardCode],"MAE")),"")</f>
        <v/>
      </c>
      <c r="G405" s="5" t="str">
        <f>IFERROR(IF(SUMIFS(tblDaily[TransfersOut],tblDaily[EntryDate],DATE(2026,11,9),tblDaily[WardCode],"MAE")=0,"",SUMIFS(tblDaily[TransfersOut],tblDaily[EntryDate],DATE(2026,11,9),tblDaily[WardCode],"MAE")),"")</f>
        <v/>
      </c>
      <c r="H405" s="5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IFERROR(IF(SUMIFS(tblDaily[Admissions],tblDaily[EntryDate],DATE(2026,11,10),tblDaily[WardCode],"MAE")=0,"",SUMIFS(tblDaily[Admissions],tblDaily[EntryDate],DATE(2026,11,10),tblDaily[WardCode],"MAE")),"")</f>
        <v/>
      </c>
      <c r="C406" s="5" t="str">
        <f>IFERROR(IF(SUMIFS(tblDaily[Discharges],tblDaily[EntryDate],DATE(2026,11,10),tblDaily[WardCode],"MAE")=0,"",SUMIFS(tblDaily[Discharges],tblDaily[EntryDate],DATE(2026,11,10),tblDaily[WardCode],"MAE")),"")</f>
        <v/>
      </c>
      <c r="D406" s="5" t="str">
        <f>IFERROR(IF(SUMIFS(tblDaily[Deaths],tblDaily[EntryDate],DATE(2026,11,10),tblDaily[WardCode],"MAE")=0,"",SUMIFS(tblDaily[Deaths],tblDaily[EntryDate],DATE(2026,11,10),tblDaily[WardCode],"MAE")),"")</f>
        <v/>
      </c>
      <c r="E406" s="5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5" t="str">
        <f>IFERROR(IF(SUMIFS(tblDaily[TransfersIn],tblDaily[EntryDate],DATE(2026,11,10),tblDaily[WardCode],"MAE")=0,"",SUMIFS(tblDaily[TransfersIn],tblDaily[EntryDate],DATE(2026,11,10),tblDaily[WardCode],"MAE")),"")</f>
        <v/>
      </c>
      <c r="G406" s="5" t="str">
        <f>IFERROR(IF(SUMIFS(tblDaily[TransfersOut],tblDaily[EntryDate],DATE(2026,11,10),tblDaily[WardCode],"MAE")=0,"",SUMIFS(tblDaily[TransfersOut],tblDaily[EntryDate],DATE(2026,11,10),tblDaily[WardCode],"MAE")),"")</f>
        <v/>
      </c>
      <c r="H406" s="5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IFERROR(IF(SUMIFS(tblDaily[Admissions],tblDaily[EntryDate],DATE(2026,11,11),tblDaily[WardCode],"MAE")=0,"",SUMIFS(tblDaily[Admissions],tblDaily[EntryDate],DATE(2026,11,11),tblDaily[WardCode],"MAE")),"")</f>
        <v/>
      </c>
      <c r="C407" s="5" t="str">
        <f>IFERROR(IF(SUMIFS(tblDaily[Discharges],tblDaily[EntryDate],DATE(2026,11,11),tblDaily[WardCode],"MAE")=0,"",SUMIFS(tblDaily[Discharges],tblDaily[EntryDate],DATE(2026,11,11),tblDaily[WardCode],"MAE")),"")</f>
        <v/>
      </c>
      <c r="D407" s="5" t="str">
        <f>IFERROR(IF(SUMIFS(tblDaily[Deaths],tblDaily[EntryDate],DATE(2026,11,11),tblDaily[WardCode],"MAE")=0,"",SUMIFS(tblDaily[Deaths],tblDaily[EntryDate],DATE(2026,11,11),tblDaily[WardCode],"MAE")),"")</f>
        <v/>
      </c>
      <c r="E407" s="5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5" t="str">
        <f>IFERROR(IF(SUMIFS(tblDaily[TransfersIn],tblDaily[EntryDate],DATE(2026,11,11),tblDaily[WardCode],"MAE")=0,"",SUMIFS(tblDaily[TransfersIn],tblDaily[EntryDate],DATE(2026,11,11),tblDaily[WardCode],"MAE")),"")</f>
        <v/>
      </c>
      <c r="G407" s="5" t="str">
        <f>IFERROR(IF(SUMIFS(tblDaily[TransfersOut],tblDaily[EntryDate],DATE(2026,11,11),tblDaily[WardCode],"MAE")=0,"",SUMIFS(tblDaily[TransfersOut],tblDaily[EntryDate],DATE(2026,11,11),tblDaily[WardCode],"MAE")),"")</f>
        <v/>
      </c>
      <c r="H407" s="5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IFERROR(IF(SUMIFS(tblDaily[Admissions],tblDaily[EntryDate],DATE(2026,11,12),tblDaily[WardCode],"MAE")=0,"",SUMIFS(tblDaily[Admissions],tblDaily[EntryDate],DATE(2026,11,12),tblDaily[WardCode],"MAE")),"")</f>
        <v/>
      </c>
      <c r="C408" s="5" t="str">
        <f>IFERROR(IF(SUMIFS(tblDaily[Discharges],tblDaily[EntryDate],DATE(2026,11,12),tblDaily[WardCode],"MAE")=0,"",SUMIFS(tblDaily[Discharges],tblDaily[EntryDate],DATE(2026,11,12),tblDaily[WardCode],"MAE")),"")</f>
        <v/>
      </c>
      <c r="D408" s="5" t="str">
        <f>IFERROR(IF(SUMIFS(tblDaily[Deaths],tblDaily[EntryDate],DATE(2026,11,12),tblDaily[WardCode],"MAE")=0,"",SUMIFS(tblDaily[Deaths],tblDaily[EntryDate],DATE(2026,11,12),tblDaily[WardCode],"MAE")),"")</f>
        <v/>
      </c>
      <c r="E408" s="5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5" t="str">
        <f>IFERROR(IF(SUMIFS(tblDaily[TransfersIn],tblDaily[EntryDate],DATE(2026,11,12),tblDaily[WardCode],"MAE")=0,"",SUMIFS(tblDaily[TransfersIn],tblDaily[EntryDate],DATE(2026,11,12),tblDaily[WardCode],"MAE")),"")</f>
        <v/>
      </c>
      <c r="G408" s="5" t="str">
        <f>IFERROR(IF(SUMIFS(tblDaily[TransfersOut],tblDaily[EntryDate],DATE(2026,11,12),tblDaily[WardCode],"MAE")=0,"",SUMIFS(tblDaily[TransfersOut],tblDaily[EntryDate],DATE(2026,11,12),tblDaily[WardCode],"MAE")),"")</f>
        <v/>
      </c>
      <c r="H408" s="5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IFERROR(IF(SUMIFS(tblDaily[Admissions],tblDaily[EntryDate],DATE(2026,11,13),tblDaily[WardCode],"MAE")=0,"",SUMIFS(tblDaily[Admissions],tblDaily[EntryDate],DATE(2026,11,13),tblDaily[WardCode],"MAE")),"")</f>
        <v/>
      </c>
      <c r="C409" s="5" t="str">
        <f>IFERROR(IF(SUMIFS(tblDaily[Discharges],tblDaily[EntryDate],DATE(2026,11,13),tblDaily[WardCode],"MAE")=0,"",SUMIFS(tblDaily[Discharges],tblDaily[EntryDate],DATE(2026,11,13),tblDaily[WardCode],"MAE")),"")</f>
        <v/>
      </c>
      <c r="D409" s="5" t="str">
        <f>IFERROR(IF(SUMIFS(tblDaily[Deaths],tblDaily[EntryDate],DATE(2026,11,13),tblDaily[WardCode],"MAE")=0,"",SUMIFS(tblDaily[Deaths],tblDaily[EntryDate],DATE(2026,11,13),tblDaily[WardCode],"MAE")),"")</f>
        <v/>
      </c>
      <c r="E409" s="5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5" t="str">
        <f>IFERROR(IF(SUMIFS(tblDaily[TransfersIn],tblDaily[EntryDate],DATE(2026,11,13),tblDaily[WardCode],"MAE")=0,"",SUMIFS(tblDaily[TransfersIn],tblDaily[EntryDate],DATE(2026,11,13),tblDaily[WardCode],"MAE")),"")</f>
        <v/>
      </c>
      <c r="G409" s="5" t="str">
        <f>IFERROR(IF(SUMIFS(tblDaily[TransfersOut],tblDaily[EntryDate],DATE(2026,11,13),tblDaily[WardCode],"MAE")=0,"",SUMIFS(tblDaily[TransfersOut],tblDaily[EntryDate],DATE(2026,11,13),tblDaily[WardCode],"MAE")),"")</f>
        <v/>
      </c>
      <c r="H409" s="5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IFERROR(IF(SUMIFS(tblDaily[Admissions],tblDaily[EntryDate],DATE(2026,11,14),tblDaily[WardCode],"MAE")=0,"",SUMIFS(tblDaily[Admissions],tblDaily[EntryDate],DATE(2026,11,14),tblDaily[WardCode],"MAE")),"")</f>
        <v/>
      </c>
      <c r="C410" s="5" t="str">
        <f>IFERROR(IF(SUMIFS(tblDaily[Discharges],tblDaily[EntryDate],DATE(2026,11,14),tblDaily[WardCode],"MAE")=0,"",SUMIFS(tblDaily[Discharges],tblDaily[EntryDate],DATE(2026,11,14),tblDaily[WardCode],"MAE")),"")</f>
        <v/>
      </c>
      <c r="D410" s="5" t="str">
        <f>IFERROR(IF(SUMIFS(tblDaily[Deaths],tblDaily[EntryDate],DATE(2026,11,14),tblDaily[WardCode],"MAE")=0,"",SUMIFS(tblDaily[Deaths],tblDaily[EntryDate],DATE(2026,11,14),tblDaily[WardCode],"MAE")),"")</f>
        <v/>
      </c>
      <c r="E410" s="5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5" t="str">
        <f>IFERROR(IF(SUMIFS(tblDaily[TransfersIn],tblDaily[EntryDate],DATE(2026,11,14),tblDaily[WardCode],"MAE")=0,"",SUMIFS(tblDaily[TransfersIn],tblDaily[EntryDate],DATE(2026,11,14),tblDaily[WardCode],"MAE")),"")</f>
        <v/>
      </c>
      <c r="G410" s="5" t="str">
        <f>IFERROR(IF(SUMIFS(tblDaily[TransfersOut],tblDaily[EntryDate],DATE(2026,11,14),tblDaily[WardCode],"MAE")=0,"",SUMIFS(tblDaily[TransfersOut],tblDaily[EntryDate],DATE(2026,11,14),tblDaily[WardCode],"MAE")),"")</f>
        <v/>
      </c>
      <c r="H410" s="5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IFERROR(IF(SUMIFS(tblDaily[Admissions],tblDaily[EntryDate],DATE(2026,11,15),tblDaily[WardCode],"MAE")=0,"",SUMIFS(tblDaily[Admissions],tblDaily[EntryDate],DATE(2026,11,15),tblDaily[WardCode],"MAE")),"")</f>
        <v/>
      </c>
      <c r="C411" s="5" t="str">
        <f>IFERROR(IF(SUMIFS(tblDaily[Discharges],tblDaily[EntryDate],DATE(2026,11,15),tblDaily[WardCode],"MAE")=0,"",SUMIFS(tblDaily[Discharges],tblDaily[EntryDate],DATE(2026,11,15),tblDaily[WardCode],"MAE")),"")</f>
        <v/>
      </c>
      <c r="D411" s="5" t="str">
        <f>IFERROR(IF(SUMIFS(tblDaily[Deaths],tblDaily[EntryDate],DATE(2026,11,15),tblDaily[WardCode],"MAE")=0,"",SUMIFS(tblDaily[Deaths],tblDaily[EntryDate],DATE(2026,11,15),tblDaily[WardCode],"MAE")),"")</f>
        <v/>
      </c>
      <c r="E411" s="5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5" t="str">
        <f>IFERROR(IF(SUMIFS(tblDaily[TransfersIn],tblDaily[EntryDate],DATE(2026,11,15),tblDaily[WardCode],"MAE")=0,"",SUMIFS(tblDaily[TransfersIn],tblDaily[EntryDate],DATE(2026,11,15),tblDaily[WardCode],"MAE")),"")</f>
        <v/>
      </c>
      <c r="G411" s="5" t="str">
        <f>IFERROR(IF(SUMIFS(tblDaily[TransfersOut],tblDaily[EntryDate],DATE(2026,11,15),tblDaily[WardCode],"MAE")=0,"",SUMIFS(tblDaily[TransfersOut],tblDaily[EntryDate],DATE(2026,11,15),tblDaily[WardCode],"MAE")),"")</f>
        <v/>
      </c>
      <c r="H411" s="5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IFERROR(IF(SUMIFS(tblDaily[Admissions],tblDaily[EntryDate],DATE(2026,11,16),tblDaily[WardCode],"MAE")=0,"",SUMIFS(tblDaily[Admissions],tblDaily[EntryDate],DATE(2026,11,16),tblDaily[WardCode],"MAE")),"")</f>
        <v/>
      </c>
      <c r="C412" s="5" t="str">
        <f>IFERROR(IF(SUMIFS(tblDaily[Discharges],tblDaily[EntryDate],DATE(2026,11,16),tblDaily[WardCode],"MAE")=0,"",SUMIFS(tblDaily[Discharges],tblDaily[EntryDate],DATE(2026,11,16),tblDaily[WardCode],"MAE")),"")</f>
        <v/>
      </c>
      <c r="D412" s="5" t="str">
        <f>IFERROR(IF(SUMIFS(tblDaily[Deaths],tblDaily[EntryDate],DATE(2026,11,16),tblDaily[WardCode],"MAE")=0,"",SUMIFS(tblDaily[Deaths],tblDaily[EntryDate],DATE(2026,11,16),tblDaily[WardCode],"MAE")),"")</f>
        <v/>
      </c>
      <c r="E412" s="5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5" t="str">
        <f>IFERROR(IF(SUMIFS(tblDaily[TransfersIn],tblDaily[EntryDate],DATE(2026,11,16),tblDaily[WardCode],"MAE")=0,"",SUMIFS(tblDaily[TransfersIn],tblDaily[EntryDate],DATE(2026,11,16),tblDaily[WardCode],"MAE")),"")</f>
        <v/>
      </c>
      <c r="G412" s="5" t="str">
        <f>IFERROR(IF(SUMIFS(tblDaily[TransfersOut],tblDaily[EntryDate],DATE(2026,11,16),tblDaily[WardCode],"MAE")=0,"",SUMIFS(tblDaily[TransfersOut],tblDaily[EntryDate],DATE(2026,11,16),tblDaily[WardCode],"MAE")),"")</f>
        <v/>
      </c>
      <c r="H412" s="5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IFERROR(IF(SUMIFS(tblDaily[Admissions],tblDaily[EntryDate],DATE(2026,11,17),tblDaily[WardCode],"MAE")=0,"",SUMIFS(tblDaily[Admissions],tblDaily[EntryDate],DATE(2026,11,17),tblDaily[WardCode],"MAE")),"")</f>
        <v/>
      </c>
      <c r="C413" s="5" t="str">
        <f>IFERROR(IF(SUMIFS(tblDaily[Discharges],tblDaily[EntryDate],DATE(2026,11,17),tblDaily[WardCode],"MAE")=0,"",SUMIFS(tblDaily[Discharges],tblDaily[EntryDate],DATE(2026,11,17),tblDaily[WardCode],"MAE")),"")</f>
        <v/>
      </c>
      <c r="D413" s="5" t="str">
        <f>IFERROR(IF(SUMIFS(tblDaily[Deaths],tblDaily[EntryDate],DATE(2026,11,17),tblDaily[WardCode],"MAE")=0,"",SUMIFS(tblDaily[Deaths],tblDaily[EntryDate],DATE(2026,11,17),tblDaily[WardCode],"MAE")),"")</f>
        <v/>
      </c>
      <c r="E413" s="5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5" t="str">
        <f>IFERROR(IF(SUMIFS(tblDaily[TransfersIn],tblDaily[EntryDate],DATE(2026,11,17),tblDaily[WardCode],"MAE")=0,"",SUMIFS(tblDaily[TransfersIn],tblDaily[EntryDate],DATE(2026,11,17),tblDaily[WardCode],"MAE")),"")</f>
        <v/>
      </c>
      <c r="G413" s="5" t="str">
        <f>IFERROR(IF(SUMIFS(tblDaily[TransfersOut],tblDaily[EntryDate],DATE(2026,11,17),tblDaily[WardCode],"MAE")=0,"",SUMIFS(tblDaily[TransfersOut],tblDaily[EntryDate],DATE(2026,11,17),tblDaily[WardCode],"MAE")),"")</f>
        <v/>
      </c>
      <c r="H413" s="5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IFERROR(IF(SUMIFS(tblDaily[Admissions],tblDaily[EntryDate],DATE(2026,11,18),tblDaily[WardCode],"MAE")=0,"",SUMIFS(tblDaily[Admissions],tblDaily[EntryDate],DATE(2026,11,18),tblDaily[WardCode],"MAE")),"")</f>
        <v/>
      </c>
      <c r="C414" s="5" t="str">
        <f>IFERROR(IF(SUMIFS(tblDaily[Discharges],tblDaily[EntryDate],DATE(2026,11,18),tblDaily[WardCode],"MAE")=0,"",SUMIFS(tblDaily[Discharges],tblDaily[EntryDate],DATE(2026,11,18),tblDaily[WardCode],"MAE")),"")</f>
        <v/>
      </c>
      <c r="D414" s="5" t="str">
        <f>IFERROR(IF(SUMIFS(tblDaily[Deaths],tblDaily[EntryDate],DATE(2026,11,18),tblDaily[WardCode],"MAE")=0,"",SUMIFS(tblDaily[Deaths],tblDaily[EntryDate],DATE(2026,11,18),tblDaily[WardCode],"MAE")),"")</f>
        <v/>
      </c>
      <c r="E414" s="5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5" t="str">
        <f>IFERROR(IF(SUMIFS(tblDaily[TransfersIn],tblDaily[EntryDate],DATE(2026,11,18),tblDaily[WardCode],"MAE")=0,"",SUMIFS(tblDaily[TransfersIn],tblDaily[EntryDate],DATE(2026,11,18),tblDaily[WardCode],"MAE")),"")</f>
        <v/>
      </c>
      <c r="G414" s="5" t="str">
        <f>IFERROR(IF(SUMIFS(tblDaily[TransfersOut],tblDaily[EntryDate],DATE(2026,11,18),tblDaily[WardCode],"MAE")=0,"",SUMIFS(tblDaily[TransfersOut],tblDaily[EntryDate],DATE(2026,11,18),tblDaily[WardCode],"MAE")),"")</f>
        <v/>
      </c>
      <c r="H414" s="5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IFERROR(IF(SUMIFS(tblDaily[Admissions],tblDaily[EntryDate],DATE(2026,11,19),tblDaily[WardCode],"MAE")=0,"",SUMIFS(tblDaily[Admissions],tblDaily[EntryDate],DATE(2026,11,19),tblDaily[WardCode],"MAE")),"")</f>
        <v/>
      </c>
      <c r="C415" s="5" t="str">
        <f>IFERROR(IF(SUMIFS(tblDaily[Discharges],tblDaily[EntryDate],DATE(2026,11,19),tblDaily[WardCode],"MAE")=0,"",SUMIFS(tblDaily[Discharges],tblDaily[EntryDate],DATE(2026,11,19),tblDaily[WardCode],"MAE")),"")</f>
        <v/>
      </c>
      <c r="D415" s="5" t="str">
        <f>IFERROR(IF(SUMIFS(tblDaily[Deaths],tblDaily[EntryDate],DATE(2026,11,19),tblDaily[WardCode],"MAE")=0,"",SUMIFS(tblDaily[Deaths],tblDaily[EntryDate],DATE(2026,11,19),tblDaily[WardCode],"MAE")),"")</f>
        <v/>
      </c>
      <c r="E415" s="5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5" t="str">
        <f>IFERROR(IF(SUMIFS(tblDaily[TransfersIn],tblDaily[EntryDate],DATE(2026,11,19),tblDaily[WardCode],"MAE")=0,"",SUMIFS(tblDaily[TransfersIn],tblDaily[EntryDate],DATE(2026,11,19),tblDaily[WardCode],"MAE")),"")</f>
        <v/>
      </c>
      <c r="G415" s="5" t="str">
        <f>IFERROR(IF(SUMIFS(tblDaily[TransfersOut],tblDaily[EntryDate],DATE(2026,11,19),tblDaily[WardCode],"MAE")=0,"",SUMIFS(tblDaily[TransfersOut],tblDaily[EntryDate],DATE(2026,11,19),tblDaily[WardCode],"MAE")),"")</f>
        <v/>
      </c>
      <c r="H415" s="5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IFERROR(IF(SUMIFS(tblDaily[Admissions],tblDaily[EntryDate],DATE(2026,11,20),tblDaily[WardCode],"MAE")=0,"",SUMIFS(tblDaily[Admissions],tblDaily[EntryDate],DATE(2026,11,20),tblDaily[WardCode],"MAE")),"")</f>
        <v/>
      </c>
      <c r="C416" s="5" t="str">
        <f>IFERROR(IF(SUMIFS(tblDaily[Discharges],tblDaily[EntryDate],DATE(2026,11,20),tblDaily[WardCode],"MAE")=0,"",SUMIFS(tblDaily[Discharges],tblDaily[EntryDate],DATE(2026,11,20),tblDaily[WardCode],"MAE")),"")</f>
        <v/>
      </c>
      <c r="D416" s="5" t="str">
        <f>IFERROR(IF(SUMIFS(tblDaily[Deaths],tblDaily[EntryDate],DATE(2026,11,20),tblDaily[WardCode],"MAE")=0,"",SUMIFS(tblDaily[Deaths],tblDaily[EntryDate],DATE(2026,11,20),tblDaily[WardCode],"MAE")),"")</f>
        <v/>
      </c>
      <c r="E416" s="5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5" t="str">
        <f>IFERROR(IF(SUMIFS(tblDaily[TransfersIn],tblDaily[EntryDate],DATE(2026,11,20),tblDaily[WardCode],"MAE")=0,"",SUMIFS(tblDaily[TransfersIn],tblDaily[EntryDate],DATE(2026,11,20),tblDaily[WardCode],"MAE")),"")</f>
        <v/>
      </c>
      <c r="G416" s="5" t="str">
        <f>IFERROR(IF(SUMIFS(tblDaily[TransfersOut],tblDaily[EntryDate],DATE(2026,11,20),tblDaily[WardCode],"MAE")=0,"",SUMIFS(tblDaily[TransfersOut],tblDaily[EntryDate],DATE(2026,11,20),tblDaily[WardCode],"MAE")),"")</f>
        <v/>
      </c>
      <c r="H416" s="5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IFERROR(IF(SUMIFS(tblDaily[Admissions],tblDaily[EntryDate],DATE(2026,11,21),tblDaily[WardCode],"MAE")=0,"",SUMIFS(tblDaily[Admissions],tblDaily[EntryDate],DATE(2026,11,21),tblDaily[WardCode],"MAE")),"")</f>
        <v/>
      </c>
      <c r="C417" s="5" t="str">
        <f>IFERROR(IF(SUMIFS(tblDaily[Discharges],tblDaily[EntryDate],DATE(2026,11,21),tblDaily[WardCode],"MAE")=0,"",SUMIFS(tblDaily[Discharges],tblDaily[EntryDate],DATE(2026,11,21),tblDaily[WardCode],"MAE")),"")</f>
        <v/>
      </c>
      <c r="D417" s="5" t="str">
        <f>IFERROR(IF(SUMIFS(tblDaily[Deaths],tblDaily[EntryDate],DATE(2026,11,21),tblDaily[WardCode],"MAE")=0,"",SUMIFS(tblDaily[Deaths],tblDaily[EntryDate],DATE(2026,11,21),tblDaily[WardCode],"MAE")),"")</f>
        <v/>
      </c>
      <c r="E417" s="5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5" t="str">
        <f>IFERROR(IF(SUMIFS(tblDaily[TransfersIn],tblDaily[EntryDate],DATE(2026,11,21),tblDaily[WardCode],"MAE")=0,"",SUMIFS(tblDaily[TransfersIn],tblDaily[EntryDate],DATE(2026,11,21),tblDaily[WardCode],"MAE")),"")</f>
        <v/>
      </c>
      <c r="G417" s="5" t="str">
        <f>IFERROR(IF(SUMIFS(tblDaily[TransfersOut],tblDaily[EntryDate],DATE(2026,11,21),tblDaily[WardCode],"MAE")=0,"",SUMIFS(tblDaily[TransfersOut],tblDaily[EntryDate],DATE(2026,11,21),tblDaily[WardCode],"MAE")),"")</f>
        <v/>
      </c>
      <c r="H417" s="5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IFERROR(IF(SUMIFS(tblDaily[Admissions],tblDaily[EntryDate],DATE(2026,11,22),tblDaily[WardCode],"MAE")=0,"",SUMIFS(tblDaily[Admissions],tblDaily[EntryDate],DATE(2026,11,22),tblDaily[WardCode],"MAE")),"")</f>
        <v/>
      </c>
      <c r="C418" s="5" t="str">
        <f>IFERROR(IF(SUMIFS(tblDaily[Discharges],tblDaily[EntryDate],DATE(2026,11,22),tblDaily[WardCode],"MAE")=0,"",SUMIFS(tblDaily[Discharges],tblDaily[EntryDate],DATE(2026,11,22),tblDaily[WardCode],"MAE")),"")</f>
        <v/>
      </c>
      <c r="D418" s="5" t="str">
        <f>IFERROR(IF(SUMIFS(tblDaily[Deaths],tblDaily[EntryDate],DATE(2026,11,22),tblDaily[WardCode],"MAE")=0,"",SUMIFS(tblDaily[Deaths],tblDaily[EntryDate],DATE(2026,11,22),tblDaily[WardCode],"MAE")),"")</f>
        <v/>
      </c>
      <c r="E418" s="5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5" t="str">
        <f>IFERROR(IF(SUMIFS(tblDaily[TransfersIn],tblDaily[EntryDate],DATE(2026,11,22),tblDaily[WardCode],"MAE")=0,"",SUMIFS(tblDaily[TransfersIn],tblDaily[EntryDate],DATE(2026,11,22),tblDaily[WardCode],"MAE")),"")</f>
        <v/>
      </c>
      <c r="G418" s="5" t="str">
        <f>IFERROR(IF(SUMIFS(tblDaily[TransfersOut],tblDaily[EntryDate],DATE(2026,11,22),tblDaily[WardCode],"MAE")=0,"",SUMIFS(tblDaily[TransfersOut],tblDaily[EntryDate],DATE(2026,11,22),tblDaily[WardCode],"MAE")),"")</f>
        <v/>
      </c>
      <c r="H418" s="5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IFERROR(IF(SUMIFS(tblDaily[Admissions],tblDaily[EntryDate],DATE(2026,11,23),tblDaily[WardCode],"MAE")=0,"",SUMIFS(tblDaily[Admissions],tblDaily[EntryDate],DATE(2026,11,23),tblDaily[WardCode],"MAE")),"")</f>
        <v/>
      </c>
      <c r="C419" s="5" t="str">
        <f>IFERROR(IF(SUMIFS(tblDaily[Discharges],tblDaily[EntryDate],DATE(2026,11,23),tblDaily[WardCode],"MAE")=0,"",SUMIFS(tblDaily[Discharges],tblDaily[EntryDate],DATE(2026,11,23),tblDaily[WardCode],"MAE")),"")</f>
        <v/>
      </c>
      <c r="D419" s="5" t="str">
        <f>IFERROR(IF(SUMIFS(tblDaily[Deaths],tblDaily[EntryDate],DATE(2026,11,23),tblDaily[WardCode],"MAE")=0,"",SUMIFS(tblDaily[Deaths],tblDaily[EntryDate],DATE(2026,11,23),tblDaily[WardCode],"MAE")),"")</f>
        <v/>
      </c>
      <c r="E419" s="5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5" t="str">
        <f>IFERROR(IF(SUMIFS(tblDaily[TransfersIn],tblDaily[EntryDate],DATE(2026,11,23),tblDaily[WardCode],"MAE")=0,"",SUMIFS(tblDaily[TransfersIn],tblDaily[EntryDate],DATE(2026,11,23),tblDaily[WardCode],"MAE")),"")</f>
        <v/>
      </c>
      <c r="G419" s="5" t="str">
        <f>IFERROR(IF(SUMIFS(tblDaily[TransfersOut],tblDaily[EntryDate],DATE(2026,11,23),tblDaily[WardCode],"MAE")=0,"",SUMIFS(tblDaily[TransfersOut],tblDaily[EntryDate],DATE(2026,11,23),tblDaily[WardCode],"MAE")),"")</f>
        <v/>
      </c>
      <c r="H419" s="5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IFERROR(IF(SUMIFS(tblDaily[Admissions],tblDaily[EntryDate],DATE(2026,11,24),tblDaily[WardCode],"MAE")=0,"",SUMIFS(tblDaily[Admissions],tblDaily[EntryDate],DATE(2026,11,24),tblDaily[WardCode],"MAE")),"")</f>
        <v/>
      </c>
      <c r="C420" s="5" t="str">
        <f>IFERROR(IF(SUMIFS(tblDaily[Discharges],tblDaily[EntryDate],DATE(2026,11,24),tblDaily[WardCode],"MAE")=0,"",SUMIFS(tblDaily[Discharges],tblDaily[EntryDate],DATE(2026,11,24),tblDaily[WardCode],"MAE")),"")</f>
        <v/>
      </c>
      <c r="D420" s="5" t="str">
        <f>IFERROR(IF(SUMIFS(tblDaily[Deaths],tblDaily[EntryDate],DATE(2026,11,24),tblDaily[WardCode],"MAE")=0,"",SUMIFS(tblDaily[Deaths],tblDaily[EntryDate],DATE(2026,11,24),tblDaily[WardCode],"MAE")),"")</f>
        <v/>
      </c>
      <c r="E420" s="5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5" t="str">
        <f>IFERROR(IF(SUMIFS(tblDaily[TransfersIn],tblDaily[EntryDate],DATE(2026,11,24),tblDaily[WardCode],"MAE")=0,"",SUMIFS(tblDaily[TransfersIn],tblDaily[EntryDate],DATE(2026,11,24),tblDaily[WardCode],"MAE")),"")</f>
        <v/>
      </c>
      <c r="G420" s="5" t="str">
        <f>IFERROR(IF(SUMIFS(tblDaily[TransfersOut],tblDaily[EntryDate],DATE(2026,11,24),tblDaily[WardCode],"MAE")=0,"",SUMIFS(tblDaily[TransfersOut],tblDaily[EntryDate],DATE(2026,11,24),tblDaily[WardCode],"MAE")),"")</f>
        <v/>
      </c>
      <c r="H420" s="5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IFERROR(IF(SUMIFS(tblDaily[Admissions],tblDaily[EntryDate],DATE(2026,11,25),tblDaily[WardCode],"MAE")=0,"",SUMIFS(tblDaily[Admissions],tblDaily[EntryDate],DATE(2026,11,25),tblDaily[WardCode],"MAE")),"")</f>
        <v/>
      </c>
      <c r="C421" s="5" t="str">
        <f>IFERROR(IF(SUMIFS(tblDaily[Discharges],tblDaily[EntryDate],DATE(2026,11,25),tblDaily[WardCode],"MAE")=0,"",SUMIFS(tblDaily[Discharges],tblDaily[EntryDate],DATE(2026,11,25),tblDaily[WardCode],"MAE")),"")</f>
        <v/>
      </c>
      <c r="D421" s="5" t="str">
        <f>IFERROR(IF(SUMIFS(tblDaily[Deaths],tblDaily[EntryDate],DATE(2026,11,25),tblDaily[WardCode],"MAE")=0,"",SUMIFS(tblDaily[Deaths],tblDaily[EntryDate],DATE(2026,11,25),tblDaily[WardCode],"MAE")),"")</f>
        <v/>
      </c>
      <c r="E421" s="5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5" t="str">
        <f>IFERROR(IF(SUMIFS(tblDaily[TransfersIn],tblDaily[EntryDate],DATE(2026,11,25),tblDaily[WardCode],"MAE")=0,"",SUMIFS(tblDaily[TransfersIn],tblDaily[EntryDate],DATE(2026,11,25),tblDaily[WardCode],"MAE")),"")</f>
        <v/>
      </c>
      <c r="G421" s="5" t="str">
        <f>IFERROR(IF(SUMIFS(tblDaily[TransfersOut],tblDaily[EntryDate],DATE(2026,11,25),tblDaily[WardCode],"MAE")=0,"",SUMIFS(tblDaily[TransfersOut],tblDaily[EntryDate],DATE(2026,11,25),tblDaily[WardCode],"MAE")),"")</f>
        <v/>
      </c>
      <c r="H421" s="5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IFERROR(IF(SUMIFS(tblDaily[Admissions],tblDaily[EntryDate],DATE(2026,11,26),tblDaily[WardCode],"MAE")=0,"",SUMIFS(tblDaily[Admissions],tblDaily[EntryDate],DATE(2026,11,26),tblDaily[WardCode],"MAE")),"")</f>
        <v/>
      </c>
      <c r="C422" s="5" t="str">
        <f>IFERROR(IF(SUMIFS(tblDaily[Discharges],tblDaily[EntryDate],DATE(2026,11,26),tblDaily[WardCode],"MAE")=0,"",SUMIFS(tblDaily[Discharges],tblDaily[EntryDate],DATE(2026,11,26),tblDaily[WardCode],"MAE")),"")</f>
        <v/>
      </c>
      <c r="D422" s="5" t="str">
        <f>IFERROR(IF(SUMIFS(tblDaily[Deaths],tblDaily[EntryDate],DATE(2026,11,26),tblDaily[WardCode],"MAE")=0,"",SUMIFS(tblDaily[Deaths],tblDaily[EntryDate],DATE(2026,11,26),tblDaily[WardCode],"MAE")),"")</f>
        <v/>
      </c>
      <c r="E422" s="5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5" t="str">
        <f>IFERROR(IF(SUMIFS(tblDaily[TransfersIn],tblDaily[EntryDate],DATE(2026,11,26),tblDaily[WardCode],"MAE")=0,"",SUMIFS(tblDaily[TransfersIn],tblDaily[EntryDate],DATE(2026,11,26),tblDaily[WardCode],"MAE")),"")</f>
        <v/>
      </c>
      <c r="G422" s="5" t="str">
        <f>IFERROR(IF(SUMIFS(tblDaily[TransfersOut],tblDaily[EntryDate],DATE(2026,11,26),tblDaily[WardCode],"MAE")=0,"",SUMIFS(tblDaily[TransfersOut],tblDaily[EntryDate],DATE(2026,11,26),tblDaily[WardCode],"MAE")),"")</f>
        <v/>
      </c>
      <c r="H422" s="5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IFERROR(IF(SUMIFS(tblDaily[Admissions],tblDaily[EntryDate],DATE(2026,11,27),tblDaily[WardCode],"MAE")=0,"",SUMIFS(tblDaily[Admissions],tblDaily[EntryDate],DATE(2026,11,27),tblDaily[WardCode],"MAE")),"")</f>
        <v/>
      </c>
      <c r="C423" s="5" t="str">
        <f>IFERROR(IF(SUMIFS(tblDaily[Discharges],tblDaily[EntryDate],DATE(2026,11,27),tblDaily[WardCode],"MAE")=0,"",SUMIFS(tblDaily[Discharges],tblDaily[EntryDate],DATE(2026,11,27),tblDaily[WardCode],"MAE")),"")</f>
        <v/>
      </c>
      <c r="D423" s="5" t="str">
        <f>IFERROR(IF(SUMIFS(tblDaily[Deaths],tblDaily[EntryDate],DATE(2026,11,27),tblDaily[WardCode],"MAE")=0,"",SUMIFS(tblDaily[Deaths],tblDaily[EntryDate],DATE(2026,11,27),tblDaily[WardCode],"MAE")),"")</f>
        <v/>
      </c>
      <c r="E423" s="5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5" t="str">
        <f>IFERROR(IF(SUMIFS(tblDaily[TransfersIn],tblDaily[EntryDate],DATE(2026,11,27),tblDaily[WardCode],"MAE")=0,"",SUMIFS(tblDaily[TransfersIn],tblDaily[EntryDate],DATE(2026,11,27),tblDaily[WardCode],"MAE")),"")</f>
        <v/>
      </c>
      <c r="G423" s="5" t="str">
        <f>IFERROR(IF(SUMIFS(tblDaily[TransfersOut],tblDaily[EntryDate],DATE(2026,11,27),tblDaily[WardCode],"MAE")=0,"",SUMIFS(tblDaily[TransfersOut],tblDaily[EntryDate],DATE(2026,11,27),tblDaily[WardCode],"MAE")),"")</f>
        <v/>
      </c>
      <c r="H423" s="5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IFERROR(IF(SUMIFS(tblDaily[Admissions],tblDaily[EntryDate],DATE(2026,11,28),tblDaily[WardCode],"MAE")=0,"",SUMIFS(tblDaily[Admissions],tblDaily[EntryDate],DATE(2026,11,28),tblDaily[WardCode],"MAE")),"")</f>
        <v/>
      </c>
      <c r="C424" s="5" t="str">
        <f>IFERROR(IF(SUMIFS(tblDaily[Discharges],tblDaily[EntryDate],DATE(2026,11,28),tblDaily[WardCode],"MAE")=0,"",SUMIFS(tblDaily[Discharges],tblDaily[EntryDate],DATE(2026,11,28),tblDaily[WardCode],"MAE")),"")</f>
        <v/>
      </c>
      <c r="D424" s="5" t="str">
        <f>IFERROR(IF(SUMIFS(tblDaily[Deaths],tblDaily[EntryDate],DATE(2026,11,28),tblDaily[WardCode],"MAE")=0,"",SUMIFS(tblDaily[Deaths],tblDaily[EntryDate],DATE(2026,11,28),tblDaily[WardCode],"MAE")),"")</f>
        <v/>
      </c>
      <c r="E424" s="5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5" t="str">
        <f>IFERROR(IF(SUMIFS(tblDaily[TransfersIn],tblDaily[EntryDate],DATE(2026,11,28),tblDaily[WardCode],"MAE")=0,"",SUMIFS(tblDaily[TransfersIn],tblDaily[EntryDate],DATE(2026,11,28),tblDaily[WardCode],"MAE")),"")</f>
        <v/>
      </c>
      <c r="G424" s="5" t="str">
        <f>IFERROR(IF(SUMIFS(tblDaily[TransfersOut],tblDaily[EntryDate],DATE(2026,11,28),tblDaily[WardCode],"MAE")=0,"",SUMIFS(tblDaily[TransfersOut],tblDaily[EntryDate],DATE(2026,11,28),tblDaily[WardCode],"MAE")),"")</f>
        <v/>
      </c>
      <c r="H424" s="5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IFERROR(IF(SUMIFS(tblDaily[Admissions],tblDaily[EntryDate],DATE(2026,11,29),tblDaily[WardCode],"MAE")=0,"",SUMIFS(tblDaily[Admissions],tblDaily[EntryDate],DATE(2026,11,29),tblDaily[WardCode],"MAE")),"")</f>
        <v/>
      </c>
      <c r="C425" s="5" t="str">
        <f>IFERROR(IF(SUMIFS(tblDaily[Discharges],tblDaily[EntryDate],DATE(2026,11,29),tblDaily[WardCode],"MAE")=0,"",SUMIFS(tblDaily[Discharges],tblDaily[EntryDate],DATE(2026,11,29),tblDaily[WardCode],"MAE")),"")</f>
        <v/>
      </c>
      <c r="D425" s="5" t="str">
        <f>IFERROR(IF(SUMIFS(tblDaily[Deaths],tblDaily[EntryDate],DATE(2026,11,29),tblDaily[WardCode],"MAE")=0,"",SUMIFS(tblDaily[Deaths],tblDaily[EntryDate],DATE(2026,11,29),tblDaily[WardCode],"MAE")),"")</f>
        <v/>
      </c>
      <c r="E425" s="5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5" t="str">
        <f>IFERROR(IF(SUMIFS(tblDaily[TransfersIn],tblDaily[EntryDate],DATE(2026,11,29),tblDaily[WardCode],"MAE")=0,"",SUMIFS(tblDaily[TransfersIn],tblDaily[EntryDate],DATE(2026,11,29),tblDaily[WardCode],"MAE")),"")</f>
        <v/>
      </c>
      <c r="G425" s="5" t="str">
        <f>IFERROR(IF(SUMIFS(tblDaily[TransfersOut],tblDaily[EntryDate],DATE(2026,11,29),tblDaily[WardCode],"MAE")=0,"",SUMIFS(tblDaily[TransfersOut],tblDaily[EntryDate],DATE(2026,11,29),tblDaily[WardCode],"MAE")),"")</f>
        <v/>
      </c>
      <c r="H425" s="5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IFERROR(IF(SUMIFS(tblDaily[Admissions],tblDaily[EntryDate],DATE(2026,11,30),tblDaily[WardCode],"MAE")=0,"",SUMIFS(tblDaily[Admissions],tblDaily[EntryDate],DATE(2026,11,30),tblDaily[WardCode],"MAE")),"")</f>
        <v/>
      </c>
      <c r="C426" s="5" t="str">
        <f>IFERROR(IF(SUMIFS(tblDaily[Discharges],tblDaily[EntryDate],DATE(2026,11,30),tblDaily[WardCode],"MAE")=0,"",SUMIFS(tblDaily[Discharges],tblDaily[EntryDate],DATE(2026,11,30),tblDaily[WardCode],"MAE")),"")</f>
        <v/>
      </c>
      <c r="D426" s="5" t="str">
        <f>IFERROR(IF(SUMIFS(tblDaily[Deaths],tblDaily[EntryDate],DATE(2026,11,30),tblDaily[WardCode],"MAE")=0,"",SUMIFS(tblDaily[Deaths],tblDaily[EntryDate],DATE(2026,11,30),tblDaily[WardCode],"MAE")),"")</f>
        <v/>
      </c>
      <c r="E426" s="5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5" t="str">
        <f>IFERROR(IF(SUMIFS(tblDaily[TransfersIn],tblDaily[EntryDate],DATE(2026,11,30),tblDaily[WardCode],"MAE")=0,"",SUMIFS(tblDaily[TransfersIn],tblDaily[EntryDate],DATE(2026,11,30),tblDaily[WardCode],"MAE")),"")</f>
        <v/>
      </c>
      <c r="G426" s="5" t="str">
        <f>IFERROR(IF(SUMIFS(tblDaily[TransfersOut],tblDaily[EntryDate],DATE(2026,11,30),tblDaily[WardCode],"MAE")=0,"",SUMIFS(tblDaily[TransfersOut],tblDaily[EntryDate],DATE(2026,11,30),tblDaily[WardCode],"MAE")),"")</f>
        <v/>
      </c>
      <c r="H426" s="5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102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89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IFERROR(IF(SUMIFS(tblDaily[Admissions],tblDaily[EntryDate],DATE(2026,12,1),tblDaily[WardCode],"MAE")=0,"",SUMIFS(tblDaily[Admissions],tblDaily[EntryDate],DATE(2026,12,1),tblDaily[WardCode],"MAE")),"")</f>
        <v/>
      </c>
      <c r="C436" s="5" t="str">
        <f>IFERROR(IF(SUMIFS(tblDaily[Discharges],tblDaily[EntryDate],DATE(2026,12,1),tblDaily[WardCode],"MAE")=0,"",SUMIFS(tblDaily[Discharges],tblDaily[EntryDate],DATE(2026,12,1),tblDaily[WardCode],"MAE")),"")</f>
        <v/>
      </c>
      <c r="D436" s="5" t="str">
        <f>IFERROR(IF(SUMIFS(tblDaily[Deaths],tblDaily[EntryDate],DATE(2026,12,1),tblDaily[WardCode],"MAE")=0,"",SUMIFS(tblDaily[Deaths],tblDaily[EntryDate],DATE(2026,12,1),tblDaily[WardCode],"MAE")),"")</f>
        <v/>
      </c>
      <c r="E436" s="5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5" t="str">
        <f>IFERROR(IF(SUMIFS(tblDaily[TransfersIn],tblDaily[EntryDate],DATE(2026,12,1),tblDaily[WardCode],"MAE")=0,"",SUMIFS(tblDaily[TransfersIn],tblDaily[EntryDate],DATE(2026,12,1),tblDaily[WardCode],"MAE")),"")</f>
        <v/>
      </c>
      <c r="G436" s="5" t="str">
        <f>IFERROR(IF(SUMIFS(tblDaily[TransfersOut],tblDaily[EntryDate],DATE(2026,12,1),tblDaily[WardCode],"MAE")=0,"",SUMIFS(tblDaily[TransfersOut],tblDaily[EntryDate],DATE(2026,12,1),tblDaily[WardCode],"MAE")),"")</f>
        <v/>
      </c>
      <c r="H436" s="5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IFERROR(IF(SUMIFS(tblDaily[Admissions],tblDaily[EntryDate],DATE(2026,12,2),tblDaily[WardCode],"MAE")=0,"",SUMIFS(tblDaily[Admissions],tblDaily[EntryDate],DATE(2026,12,2),tblDaily[WardCode],"MAE")),"")</f>
        <v/>
      </c>
      <c r="C437" s="5" t="str">
        <f>IFERROR(IF(SUMIFS(tblDaily[Discharges],tblDaily[EntryDate],DATE(2026,12,2),tblDaily[WardCode],"MAE")=0,"",SUMIFS(tblDaily[Discharges],tblDaily[EntryDate],DATE(2026,12,2),tblDaily[WardCode],"MAE")),"")</f>
        <v/>
      </c>
      <c r="D437" s="5" t="str">
        <f>IFERROR(IF(SUMIFS(tblDaily[Deaths],tblDaily[EntryDate],DATE(2026,12,2),tblDaily[WardCode],"MAE")=0,"",SUMIFS(tblDaily[Deaths],tblDaily[EntryDate],DATE(2026,12,2),tblDaily[WardCode],"MAE")),"")</f>
        <v/>
      </c>
      <c r="E437" s="5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5" t="str">
        <f>IFERROR(IF(SUMIFS(tblDaily[TransfersIn],tblDaily[EntryDate],DATE(2026,12,2),tblDaily[WardCode],"MAE")=0,"",SUMIFS(tblDaily[TransfersIn],tblDaily[EntryDate],DATE(2026,12,2),tblDaily[WardCode],"MAE")),"")</f>
        <v/>
      </c>
      <c r="G437" s="5" t="str">
        <f>IFERROR(IF(SUMIFS(tblDaily[TransfersOut],tblDaily[EntryDate],DATE(2026,12,2),tblDaily[WardCode],"MAE")=0,"",SUMIFS(tblDaily[TransfersOut],tblDaily[EntryDate],DATE(2026,12,2),tblDaily[WardCode],"MAE")),"")</f>
        <v/>
      </c>
      <c r="H437" s="5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IFERROR(IF(SUMIFS(tblDaily[Admissions],tblDaily[EntryDate],DATE(2026,12,3),tblDaily[WardCode],"MAE")=0,"",SUMIFS(tblDaily[Admissions],tblDaily[EntryDate],DATE(2026,12,3),tblDaily[WardCode],"MAE")),"")</f>
        <v/>
      </c>
      <c r="C438" s="5" t="str">
        <f>IFERROR(IF(SUMIFS(tblDaily[Discharges],tblDaily[EntryDate],DATE(2026,12,3),tblDaily[WardCode],"MAE")=0,"",SUMIFS(tblDaily[Discharges],tblDaily[EntryDate],DATE(2026,12,3),tblDaily[WardCode],"MAE")),"")</f>
        <v/>
      </c>
      <c r="D438" s="5" t="str">
        <f>IFERROR(IF(SUMIFS(tblDaily[Deaths],tblDaily[EntryDate],DATE(2026,12,3),tblDaily[WardCode],"MAE")=0,"",SUMIFS(tblDaily[Deaths],tblDaily[EntryDate],DATE(2026,12,3),tblDaily[WardCode],"MAE")),"")</f>
        <v/>
      </c>
      <c r="E438" s="5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5" t="str">
        <f>IFERROR(IF(SUMIFS(tblDaily[TransfersIn],tblDaily[EntryDate],DATE(2026,12,3),tblDaily[WardCode],"MAE")=0,"",SUMIFS(tblDaily[TransfersIn],tblDaily[EntryDate],DATE(2026,12,3),tblDaily[WardCode],"MAE")),"")</f>
        <v/>
      </c>
      <c r="G438" s="5" t="str">
        <f>IFERROR(IF(SUMIFS(tblDaily[TransfersOut],tblDaily[EntryDate],DATE(2026,12,3),tblDaily[WardCode],"MAE")=0,"",SUMIFS(tblDaily[TransfersOut],tblDaily[EntryDate],DATE(2026,12,3),tblDaily[WardCode],"MAE")),"")</f>
        <v/>
      </c>
      <c r="H438" s="5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IFERROR(IF(SUMIFS(tblDaily[Admissions],tblDaily[EntryDate],DATE(2026,12,4),tblDaily[WardCode],"MAE")=0,"",SUMIFS(tblDaily[Admissions],tblDaily[EntryDate],DATE(2026,12,4),tblDaily[WardCode],"MAE")),"")</f>
        <v/>
      </c>
      <c r="C439" s="5" t="str">
        <f>IFERROR(IF(SUMIFS(tblDaily[Discharges],tblDaily[EntryDate],DATE(2026,12,4),tblDaily[WardCode],"MAE")=0,"",SUMIFS(tblDaily[Discharges],tblDaily[EntryDate],DATE(2026,12,4),tblDaily[WardCode],"MAE")),"")</f>
        <v/>
      </c>
      <c r="D439" s="5" t="str">
        <f>IFERROR(IF(SUMIFS(tblDaily[Deaths],tblDaily[EntryDate],DATE(2026,12,4),tblDaily[WardCode],"MAE")=0,"",SUMIFS(tblDaily[Deaths],tblDaily[EntryDate],DATE(2026,12,4),tblDaily[WardCode],"MAE")),"")</f>
        <v/>
      </c>
      <c r="E439" s="5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5" t="str">
        <f>IFERROR(IF(SUMIFS(tblDaily[TransfersIn],tblDaily[EntryDate],DATE(2026,12,4),tblDaily[WardCode],"MAE")=0,"",SUMIFS(tblDaily[TransfersIn],tblDaily[EntryDate],DATE(2026,12,4),tblDaily[WardCode],"MAE")),"")</f>
        <v/>
      </c>
      <c r="G439" s="5" t="str">
        <f>IFERROR(IF(SUMIFS(tblDaily[TransfersOut],tblDaily[EntryDate],DATE(2026,12,4),tblDaily[WardCode],"MAE")=0,"",SUMIFS(tblDaily[TransfersOut],tblDaily[EntryDate],DATE(2026,12,4),tblDaily[WardCode],"MAE")),"")</f>
        <v/>
      </c>
      <c r="H439" s="5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IFERROR(IF(SUMIFS(tblDaily[Admissions],tblDaily[EntryDate],DATE(2026,12,5),tblDaily[WardCode],"MAE")=0,"",SUMIFS(tblDaily[Admissions],tblDaily[EntryDate],DATE(2026,12,5),tblDaily[WardCode],"MAE")),"")</f>
        <v/>
      </c>
      <c r="C440" s="5" t="str">
        <f>IFERROR(IF(SUMIFS(tblDaily[Discharges],tblDaily[EntryDate],DATE(2026,12,5),tblDaily[WardCode],"MAE")=0,"",SUMIFS(tblDaily[Discharges],tblDaily[EntryDate],DATE(2026,12,5),tblDaily[WardCode],"MAE")),"")</f>
        <v/>
      </c>
      <c r="D440" s="5" t="str">
        <f>IFERROR(IF(SUMIFS(tblDaily[Deaths],tblDaily[EntryDate],DATE(2026,12,5),tblDaily[WardCode],"MAE")=0,"",SUMIFS(tblDaily[Deaths],tblDaily[EntryDate],DATE(2026,12,5),tblDaily[WardCode],"MAE")),"")</f>
        <v/>
      </c>
      <c r="E440" s="5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5" t="str">
        <f>IFERROR(IF(SUMIFS(tblDaily[TransfersIn],tblDaily[EntryDate],DATE(2026,12,5),tblDaily[WardCode],"MAE")=0,"",SUMIFS(tblDaily[TransfersIn],tblDaily[EntryDate],DATE(2026,12,5),tblDaily[WardCode],"MAE")),"")</f>
        <v/>
      </c>
      <c r="G440" s="5" t="str">
        <f>IFERROR(IF(SUMIFS(tblDaily[TransfersOut],tblDaily[EntryDate],DATE(2026,12,5),tblDaily[WardCode],"MAE")=0,"",SUMIFS(tblDaily[TransfersOut],tblDaily[EntryDate],DATE(2026,12,5),tblDaily[WardCode],"MAE")),"")</f>
        <v/>
      </c>
      <c r="H440" s="5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IFERROR(IF(SUMIFS(tblDaily[Admissions],tblDaily[EntryDate],DATE(2026,12,6),tblDaily[WardCode],"MAE")=0,"",SUMIFS(tblDaily[Admissions],tblDaily[EntryDate],DATE(2026,12,6),tblDaily[WardCode],"MAE")),"")</f>
        <v/>
      </c>
      <c r="C441" s="5" t="str">
        <f>IFERROR(IF(SUMIFS(tblDaily[Discharges],tblDaily[EntryDate],DATE(2026,12,6),tblDaily[WardCode],"MAE")=0,"",SUMIFS(tblDaily[Discharges],tblDaily[EntryDate],DATE(2026,12,6),tblDaily[WardCode],"MAE")),"")</f>
        <v/>
      </c>
      <c r="D441" s="5" t="str">
        <f>IFERROR(IF(SUMIFS(tblDaily[Deaths],tblDaily[EntryDate],DATE(2026,12,6),tblDaily[WardCode],"MAE")=0,"",SUMIFS(tblDaily[Deaths],tblDaily[EntryDate],DATE(2026,12,6),tblDaily[WardCode],"MAE")),"")</f>
        <v/>
      </c>
      <c r="E441" s="5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5" t="str">
        <f>IFERROR(IF(SUMIFS(tblDaily[TransfersIn],tblDaily[EntryDate],DATE(2026,12,6),tblDaily[WardCode],"MAE")=0,"",SUMIFS(tblDaily[TransfersIn],tblDaily[EntryDate],DATE(2026,12,6),tblDaily[WardCode],"MAE")),"")</f>
        <v/>
      </c>
      <c r="G441" s="5" t="str">
        <f>IFERROR(IF(SUMIFS(tblDaily[TransfersOut],tblDaily[EntryDate],DATE(2026,12,6),tblDaily[WardCode],"MAE")=0,"",SUMIFS(tblDaily[TransfersOut],tblDaily[EntryDate],DATE(2026,12,6),tblDaily[WardCode],"MAE")),"")</f>
        <v/>
      </c>
      <c r="H441" s="5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IFERROR(IF(SUMIFS(tblDaily[Admissions],tblDaily[EntryDate],DATE(2026,12,7),tblDaily[WardCode],"MAE")=0,"",SUMIFS(tblDaily[Admissions],tblDaily[EntryDate],DATE(2026,12,7),tblDaily[WardCode],"MAE")),"")</f>
        <v/>
      </c>
      <c r="C442" s="5" t="str">
        <f>IFERROR(IF(SUMIFS(tblDaily[Discharges],tblDaily[EntryDate],DATE(2026,12,7),tblDaily[WardCode],"MAE")=0,"",SUMIFS(tblDaily[Discharges],tblDaily[EntryDate],DATE(2026,12,7),tblDaily[WardCode],"MAE")),"")</f>
        <v/>
      </c>
      <c r="D442" s="5" t="str">
        <f>IFERROR(IF(SUMIFS(tblDaily[Deaths],tblDaily[EntryDate],DATE(2026,12,7),tblDaily[WardCode],"MAE")=0,"",SUMIFS(tblDaily[Deaths],tblDaily[EntryDate],DATE(2026,12,7),tblDaily[WardCode],"MAE")),"")</f>
        <v/>
      </c>
      <c r="E442" s="5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5" t="str">
        <f>IFERROR(IF(SUMIFS(tblDaily[TransfersIn],tblDaily[EntryDate],DATE(2026,12,7),tblDaily[WardCode],"MAE")=0,"",SUMIFS(tblDaily[TransfersIn],tblDaily[EntryDate],DATE(2026,12,7),tblDaily[WardCode],"MAE")),"")</f>
        <v/>
      </c>
      <c r="G442" s="5" t="str">
        <f>IFERROR(IF(SUMIFS(tblDaily[TransfersOut],tblDaily[EntryDate],DATE(2026,12,7),tblDaily[WardCode],"MAE")=0,"",SUMIFS(tblDaily[TransfersOut],tblDaily[EntryDate],DATE(2026,12,7),tblDaily[WardCode],"MAE")),"")</f>
        <v/>
      </c>
      <c r="H442" s="5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IFERROR(IF(SUMIFS(tblDaily[Admissions],tblDaily[EntryDate],DATE(2026,12,8),tblDaily[WardCode],"MAE")=0,"",SUMIFS(tblDaily[Admissions],tblDaily[EntryDate],DATE(2026,12,8),tblDaily[WardCode],"MAE")),"")</f>
        <v/>
      </c>
      <c r="C443" s="5" t="str">
        <f>IFERROR(IF(SUMIFS(tblDaily[Discharges],tblDaily[EntryDate],DATE(2026,12,8),tblDaily[WardCode],"MAE")=0,"",SUMIFS(tblDaily[Discharges],tblDaily[EntryDate],DATE(2026,12,8),tblDaily[WardCode],"MAE")),"")</f>
        <v/>
      </c>
      <c r="D443" s="5" t="str">
        <f>IFERROR(IF(SUMIFS(tblDaily[Deaths],tblDaily[EntryDate],DATE(2026,12,8),tblDaily[WardCode],"MAE")=0,"",SUMIFS(tblDaily[Deaths],tblDaily[EntryDate],DATE(2026,12,8),tblDaily[WardCode],"MAE")),"")</f>
        <v/>
      </c>
      <c r="E443" s="5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5" t="str">
        <f>IFERROR(IF(SUMIFS(tblDaily[TransfersIn],tblDaily[EntryDate],DATE(2026,12,8),tblDaily[WardCode],"MAE")=0,"",SUMIFS(tblDaily[TransfersIn],tblDaily[EntryDate],DATE(2026,12,8),tblDaily[WardCode],"MAE")),"")</f>
        <v/>
      </c>
      <c r="G443" s="5" t="str">
        <f>IFERROR(IF(SUMIFS(tblDaily[TransfersOut],tblDaily[EntryDate],DATE(2026,12,8),tblDaily[WardCode],"MAE")=0,"",SUMIFS(tblDaily[TransfersOut],tblDaily[EntryDate],DATE(2026,12,8),tblDaily[WardCode],"MAE")),"")</f>
        <v/>
      </c>
      <c r="H443" s="5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IFERROR(IF(SUMIFS(tblDaily[Admissions],tblDaily[EntryDate],DATE(2026,12,9),tblDaily[WardCode],"MAE")=0,"",SUMIFS(tblDaily[Admissions],tblDaily[EntryDate],DATE(2026,12,9),tblDaily[WardCode],"MAE")),"")</f>
        <v/>
      </c>
      <c r="C444" s="5" t="str">
        <f>IFERROR(IF(SUMIFS(tblDaily[Discharges],tblDaily[EntryDate],DATE(2026,12,9),tblDaily[WardCode],"MAE")=0,"",SUMIFS(tblDaily[Discharges],tblDaily[EntryDate],DATE(2026,12,9),tblDaily[WardCode],"MAE")),"")</f>
        <v/>
      </c>
      <c r="D444" s="5" t="str">
        <f>IFERROR(IF(SUMIFS(tblDaily[Deaths],tblDaily[EntryDate],DATE(2026,12,9),tblDaily[WardCode],"MAE")=0,"",SUMIFS(tblDaily[Deaths],tblDaily[EntryDate],DATE(2026,12,9),tblDaily[WardCode],"MAE")),"")</f>
        <v/>
      </c>
      <c r="E444" s="5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5" t="str">
        <f>IFERROR(IF(SUMIFS(tblDaily[TransfersIn],tblDaily[EntryDate],DATE(2026,12,9),tblDaily[WardCode],"MAE")=0,"",SUMIFS(tblDaily[TransfersIn],tblDaily[EntryDate],DATE(2026,12,9),tblDaily[WardCode],"MAE")),"")</f>
        <v/>
      </c>
      <c r="G444" s="5" t="str">
        <f>IFERROR(IF(SUMIFS(tblDaily[TransfersOut],tblDaily[EntryDate],DATE(2026,12,9),tblDaily[WardCode],"MAE")=0,"",SUMIFS(tblDaily[TransfersOut],tblDaily[EntryDate],DATE(2026,12,9),tblDaily[WardCode],"MAE")),"")</f>
        <v/>
      </c>
      <c r="H444" s="5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IFERROR(IF(SUMIFS(tblDaily[Admissions],tblDaily[EntryDate],DATE(2026,12,10),tblDaily[WardCode],"MAE")=0,"",SUMIFS(tblDaily[Admissions],tblDaily[EntryDate],DATE(2026,12,10),tblDaily[WardCode],"MAE")),"")</f>
        <v/>
      </c>
      <c r="C445" s="5" t="str">
        <f>IFERROR(IF(SUMIFS(tblDaily[Discharges],tblDaily[EntryDate],DATE(2026,12,10),tblDaily[WardCode],"MAE")=0,"",SUMIFS(tblDaily[Discharges],tblDaily[EntryDate],DATE(2026,12,10),tblDaily[WardCode],"MAE")),"")</f>
        <v/>
      </c>
      <c r="D445" s="5" t="str">
        <f>IFERROR(IF(SUMIFS(tblDaily[Deaths],tblDaily[EntryDate],DATE(2026,12,10),tblDaily[WardCode],"MAE")=0,"",SUMIFS(tblDaily[Deaths],tblDaily[EntryDate],DATE(2026,12,10),tblDaily[WardCode],"MAE")),"")</f>
        <v/>
      </c>
      <c r="E445" s="5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5" t="str">
        <f>IFERROR(IF(SUMIFS(tblDaily[TransfersIn],tblDaily[EntryDate],DATE(2026,12,10),tblDaily[WardCode],"MAE")=0,"",SUMIFS(tblDaily[TransfersIn],tblDaily[EntryDate],DATE(2026,12,10),tblDaily[WardCode],"MAE")),"")</f>
        <v/>
      </c>
      <c r="G445" s="5" t="str">
        <f>IFERROR(IF(SUMIFS(tblDaily[TransfersOut],tblDaily[EntryDate],DATE(2026,12,10),tblDaily[WardCode],"MAE")=0,"",SUMIFS(tblDaily[TransfersOut],tblDaily[EntryDate],DATE(2026,12,10),tblDaily[WardCode],"MAE")),"")</f>
        <v/>
      </c>
      <c r="H445" s="5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IFERROR(IF(SUMIFS(tblDaily[Admissions],tblDaily[EntryDate],DATE(2026,12,11),tblDaily[WardCode],"MAE")=0,"",SUMIFS(tblDaily[Admissions],tblDaily[EntryDate],DATE(2026,12,11),tblDaily[WardCode],"MAE")),"")</f>
        <v/>
      </c>
      <c r="C446" s="5" t="str">
        <f>IFERROR(IF(SUMIFS(tblDaily[Discharges],tblDaily[EntryDate],DATE(2026,12,11),tblDaily[WardCode],"MAE")=0,"",SUMIFS(tblDaily[Discharges],tblDaily[EntryDate],DATE(2026,12,11),tblDaily[WardCode],"MAE")),"")</f>
        <v/>
      </c>
      <c r="D446" s="5" t="str">
        <f>IFERROR(IF(SUMIFS(tblDaily[Deaths],tblDaily[EntryDate],DATE(2026,12,11),tblDaily[WardCode],"MAE")=0,"",SUMIFS(tblDaily[Deaths],tblDaily[EntryDate],DATE(2026,12,11),tblDaily[WardCode],"MAE")),"")</f>
        <v/>
      </c>
      <c r="E446" s="5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5" t="str">
        <f>IFERROR(IF(SUMIFS(tblDaily[TransfersIn],tblDaily[EntryDate],DATE(2026,12,11),tblDaily[WardCode],"MAE")=0,"",SUMIFS(tblDaily[TransfersIn],tblDaily[EntryDate],DATE(2026,12,11),tblDaily[WardCode],"MAE")),"")</f>
        <v/>
      </c>
      <c r="G446" s="5" t="str">
        <f>IFERROR(IF(SUMIFS(tblDaily[TransfersOut],tblDaily[EntryDate],DATE(2026,12,11),tblDaily[WardCode],"MAE")=0,"",SUMIFS(tblDaily[TransfersOut],tblDaily[EntryDate],DATE(2026,12,11),tblDaily[WardCode],"MAE")),"")</f>
        <v/>
      </c>
      <c r="H446" s="5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IFERROR(IF(SUMIFS(tblDaily[Admissions],tblDaily[EntryDate],DATE(2026,12,12),tblDaily[WardCode],"MAE")=0,"",SUMIFS(tblDaily[Admissions],tblDaily[EntryDate],DATE(2026,12,12),tblDaily[WardCode],"MAE")),"")</f>
        <v/>
      </c>
      <c r="C447" s="5" t="str">
        <f>IFERROR(IF(SUMIFS(tblDaily[Discharges],tblDaily[EntryDate],DATE(2026,12,12),tblDaily[WardCode],"MAE")=0,"",SUMIFS(tblDaily[Discharges],tblDaily[EntryDate],DATE(2026,12,12),tblDaily[WardCode],"MAE")),"")</f>
        <v/>
      </c>
      <c r="D447" s="5" t="str">
        <f>IFERROR(IF(SUMIFS(tblDaily[Deaths],tblDaily[EntryDate],DATE(2026,12,12),tblDaily[WardCode],"MAE")=0,"",SUMIFS(tblDaily[Deaths],tblDaily[EntryDate],DATE(2026,12,12),tblDaily[WardCode],"MAE")),"")</f>
        <v/>
      </c>
      <c r="E447" s="5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5" t="str">
        <f>IFERROR(IF(SUMIFS(tblDaily[TransfersIn],tblDaily[EntryDate],DATE(2026,12,12),tblDaily[WardCode],"MAE")=0,"",SUMIFS(tblDaily[TransfersIn],tblDaily[EntryDate],DATE(2026,12,12),tblDaily[WardCode],"MAE")),"")</f>
        <v/>
      </c>
      <c r="G447" s="5" t="str">
        <f>IFERROR(IF(SUMIFS(tblDaily[TransfersOut],tblDaily[EntryDate],DATE(2026,12,12),tblDaily[WardCode],"MAE")=0,"",SUMIFS(tblDaily[TransfersOut],tblDaily[EntryDate],DATE(2026,12,12),tblDaily[WardCode],"MAE")),"")</f>
        <v/>
      </c>
      <c r="H447" s="5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IFERROR(IF(SUMIFS(tblDaily[Admissions],tblDaily[EntryDate],DATE(2026,12,13),tblDaily[WardCode],"MAE")=0,"",SUMIFS(tblDaily[Admissions],tblDaily[EntryDate],DATE(2026,12,13),tblDaily[WardCode],"MAE")),"")</f>
        <v/>
      </c>
      <c r="C448" s="5" t="str">
        <f>IFERROR(IF(SUMIFS(tblDaily[Discharges],tblDaily[EntryDate],DATE(2026,12,13),tblDaily[WardCode],"MAE")=0,"",SUMIFS(tblDaily[Discharges],tblDaily[EntryDate],DATE(2026,12,13),tblDaily[WardCode],"MAE")),"")</f>
        <v/>
      </c>
      <c r="D448" s="5" t="str">
        <f>IFERROR(IF(SUMIFS(tblDaily[Deaths],tblDaily[EntryDate],DATE(2026,12,13),tblDaily[WardCode],"MAE")=0,"",SUMIFS(tblDaily[Deaths],tblDaily[EntryDate],DATE(2026,12,13),tblDaily[WardCode],"MAE")),"")</f>
        <v/>
      </c>
      <c r="E448" s="5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5" t="str">
        <f>IFERROR(IF(SUMIFS(tblDaily[TransfersIn],tblDaily[EntryDate],DATE(2026,12,13),tblDaily[WardCode],"MAE")=0,"",SUMIFS(tblDaily[TransfersIn],tblDaily[EntryDate],DATE(2026,12,13),tblDaily[WardCode],"MAE")),"")</f>
        <v/>
      </c>
      <c r="G448" s="5" t="str">
        <f>IFERROR(IF(SUMIFS(tblDaily[TransfersOut],tblDaily[EntryDate],DATE(2026,12,13),tblDaily[WardCode],"MAE")=0,"",SUMIFS(tblDaily[TransfersOut],tblDaily[EntryDate],DATE(2026,12,13),tblDaily[WardCode],"MAE")),"")</f>
        <v/>
      </c>
      <c r="H448" s="5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IFERROR(IF(SUMIFS(tblDaily[Admissions],tblDaily[EntryDate],DATE(2026,12,14),tblDaily[WardCode],"MAE")=0,"",SUMIFS(tblDaily[Admissions],tblDaily[EntryDate],DATE(2026,12,14),tblDaily[WardCode],"MAE")),"")</f>
        <v/>
      </c>
      <c r="C449" s="5" t="str">
        <f>IFERROR(IF(SUMIFS(tblDaily[Discharges],tblDaily[EntryDate],DATE(2026,12,14),tblDaily[WardCode],"MAE")=0,"",SUMIFS(tblDaily[Discharges],tblDaily[EntryDate],DATE(2026,12,14),tblDaily[WardCode],"MAE")),"")</f>
        <v/>
      </c>
      <c r="D449" s="5" t="str">
        <f>IFERROR(IF(SUMIFS(tblDaily[Deaths],tblDaily[EntryDate],DATE(2026,12,14),tblDaily[WardCode],"MAE")=0,"",SUMIFS(tblDaily[Deaths],tblDaily[EntryDate],DATE(2026,12,14),tblDaily[WardCode],"MAE")),"")</f>
        <v/>
      </c>
      <c r="E449" s="5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5" t="str">
        <f>IFERROR(IF(SUMIFS(tblDaily[TransfersIn],tblDaily[EntryDate],DATE(2026,12,14),tblDaily[WardCode],"MAE")=0,"",SUMIFS(tblDaily[TransfersIn],tblDaily[EntryDate],DATE(2026,12,14),tblDaily[WardCode],"MAE")),"")</f>
        <v/>
      </c>
      <c r="G449" s="5" t="str">
        <f>IFERROR(IF(SUMIFS(tblDaily[TransfersOut],tblDaily[EntryDate],DATE(2026,12,14),tblDaily[WardCode],"MAE")=0,"",SUMIFS(tblDaily[TransfersOut],tblDaily[EntryDate],DATE(2026,12,14),tblDaily[WardCode],"MAE")),"")</f>
        <v/>
      </c>
      <c r="H449" s="5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IFERROR(IF(SUMIFS(tblDaily[Admissions],tblDaily[EntryDate],DATE(2026,12,15),tblDaily[WardCode],"MAE")=0,"",SUMIFS(tblDaily[Admissions],tblDaily[EntryDate],DATE(2026,12,15),tblDaily[WardCode],"MAE")),"")</f>
        <v/>
      </c>
      <c r="C450" s="5" t="str">
        <f>IFERROR(IF(SUMIFS(tblDaily[Discharges],tblDaily[EntryDate],DATE(2026,12,15),tblDaily[WardCode],"MAE")=0,"",SUMIFS(tblDaily[Discharges],tblDaily[EntryDate],DATE(2026,12,15),tblDaily[WardCode],"MAE")),"")</f>
        <v/>
      </c>
      <c r="D450" s="5" t="str">
        <f>IFERROR(IF(SUMIFS(tblDaily[Deaths],tblDaily[EntryDate],DATE(2026,12,15),tblDaily[WardCode],"MAE")=0,"",SUMIFS(tblDaily[Deaths],tblDaily[EntryDate],DATE(2026,12,15),tblDaily[WardCode],"MAE")),"")</f>
        <v/>
      </c>
      <c r="E450" s="5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5" t="str">
        <f>IFERROR(IF(SUMIFS(tblDaily[TransfersIn],tblDaily[EntryDate],DATE(2026,12,15),tblDaily[WardCode],"MAE")=0,"",SUMIFS(tblDaily[TransfersIn],tblDaily[EntryDate],DATE(2026,12,15),tblDaily[WardCode],"MAE")),"")</f>
        <v/>
      </c>
      <c r="G450" s="5" t="str">
        <f>IFERROR(IF(SUMIFS(tblDaily[TransfersOut],tblDaily[EntryDate],DATE(2026,12,15),tblDaily[WardCode],"MAE")=0,"",SUMIFS(tblDaily[TransfersOut],tblDaily[EntryDate],DATE(2026,12,15),tblDaily[WardCode],"MAE")),"")</f>
        <v/>
      </c>
      <c r="H450" s="5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IFERROR(IF(SUMIFS(tblDaily[Admissions],tblDaily[EntryDate],DATE(2026,12,16),tblDaily[WardCode],"MAE")=0,"",SUMIFS(tblDaily[Admissions],tblDaily[EntryDate],DATE(2026,12,16),tblDaily[WardCode],"MAE")),"")</f>
        <v/>
      </c>
      <c r="C451" s="5" t="str">
        <f>IFERROR(IF(SUMIFS(tblDaily[Discharges],tblDaily[EntryDate],DATE(2026,12,16),tblDaily[WardCode],"MAE")=0,"",SUMIFS(tblDaily[Discharges],tblDaily[EntryDate],DATE(2026,12,16),tblDaily[WardCode],"MAE")),"")</f>
        <v/>
      </c>
      <c r="D451" s="5" t="str">
        <f>IFERROR(IF(SUMIFS(tblDaily[Deaths],tblDaily[EntryDate],DATE(2026,12,16),tblDaily[WardCode],"MAE")=0,"",SUMIFS(tblDaily[Deaths],tblDaily[EntryDate],DATE(2026,12,16),tblDaily[WardCode],"MAE")),"")</f>
        <v/>
      </c>
      <c r="E451" s="5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5" t="str">
        <f>IFERROR(IF(SUMIFS(tblDaily[TransfersIn],tblDaily[EntryDate],DATE(2026,12,16),tblDaily[WardCode],"MAE")=0,"",SUMIFS(tblDaily[TransfersIn],tblDaily[EntryDate],DATE(2026,12,16),tblDaily[WardCode],"MAE")),"")</f>
        <v/>
      </c>
      <c r="G451" s="5" t="str">
        <f>IFERROR(IF(SUMIFS(tblDaily[TransfersOut],tblDaily[EntryDate],DATE(2026,12,16),tblDaily[WardCode],"MAE")=0,"",SUMIFS(tblDaily[TransfersOut],tblDaily[EntryDate],DATE(2026,12,16),tblDaily[WardCode],"MAE")),"")</f>
        <v/>
      </c>
      <c r="H451" s="5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IFERROR(IF(SUMIFS(tblDaily[Admissions],tblDaily[EntryDate],DATE(2026,12,17),tblDaily[WardCode],"MAE")=0,"",SUMIFS(tblDaily[Admissions],tblDaily[EntryDate],DATE(2026,12,17),tblDaily[WardCode],"MAE")),"")</f>
        <v/>
      </c>
      <c r="C452" s="5" t="str">
        <f>IFERROR(IF(SUMIFS(tblDaily[Discharges],tblDaily[EntryDate],DATE(2026,12,17),tblDaily[WardCode],"MAE")=0,"",SUMIFS(tblDaily[Discharges],tblDaily[EntryDate],DATE(2026,12,17),tblDaily[WardCode],"MAE")),"")</f>
        <v/>
      </c>
      <c r="D452" s="5" t="str">
        <f>IFERROR(IF(SUMIFS(tblDaily[Deaths],tblDaily[EntryDate],DATE(2026,12,17),tblDaily[WardCode],"MAE")=0,"",SUMIFS(tblDaily[Deaths],tblDaily[EntryDate],DATE(2026,12,17),tblDaily[WardCode],"MAE")),"")</f>
        <v/>
      </c>
      <c r="E452" s="5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5" t="str">
        <f>IFERROR(IF(SUMIFS(tblDaily[TransfersIn],tblDaily[EntryDate],DATE(2026,12,17),tblDaily[WardCode],"MAE")=0,"",SUMIFS(tblDaily[TransfersIn],tblDaily[EntryDate],DATE(2026,12,17),tblDaily[WardCode],"MAE")),"")</f>
        <v/>
      </c>
      <c r="G452" s="5" t="str">
        <f>IFERROR(IF(SUMIFS(tblDaily[TransfersOut],tblDaily[EntryDate],DATE(2026,12,17),tblDaily[WardCode],"MAE")=0,"",SUMIFS(tblDaily[TransfersOut],tblDaily[EntryDate],DATE(2026,12,17),tblDaily[WardCode],"MAE")),"")</f>
        <v/>
      </c>
      <c r="H452" s="5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IFERROR(IF(SUMIFS(tblDaily[Admissions],tblDaily[EntryDate],DATE(2026,12,18),tblDaily[WardCode],"MAE")=0,"",SUMIFS(tblDaily[Admissions],tblDaily[EntryDate],DATE(2026,12,18),tblDaily[WardCode],"MAE")),"")</f>
        <v/>
      </c>
      <c r="C453" s="5" t="str">
        <f>IFERROR(IF(SUMIFS(tblDaily[Discharges],tblDaily[EntryDate],DATE(2026,12,18),tblDaily[WardCode],"MAE")=0,"",SUMIFS(tblDaily[Discharges],tblDaily[EntryDate],DATE(2026,12,18),tblDaily[WardCode],"MAE")),"")</f>
        <v/>
      </c>
      <c r="D453" s="5" t="str">
        <f>IFERROR(IF(SUMIFS(tblDaily[Deaths],tblDaily[EntryDate],DATE(2026,12,18),tblDaily[WardCode],"MAE")=0,"",SUMIFS(tblDaily[Deaths],tblDaily[EntryDate],DATE(2026,12,18),tblDaily[WardCode],"MAE")),"")</f>
        <v/>
      </c>
      <c r="E453" s="5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5" t="str">
        <f>IFERROR(IF(SUMIFS(tblDaily[TransfersIn],tblDaily[EntryDate],DATE(2026,12,18),tblDaily[WardCode],"MAE")=0,"",SUMIFS(tblDaily[TransfersIn],tblDaily[EntryDate],DATE(2026,12,18),tblDaily[WardCode],"MAE")),"")</f>
        <v/>
      </c>
      <c r="G453" s="5" t="str">
        <f>IFERROR(IF(SUMIFS(tblDaily[TransfersOut],tblDaily[EntryDate],DATE(2026,12,18),tblDaily[WardCode],"MAE")=0,"",SUMIFS(tblDaily[TransfersOut],tblDaily[EntryDate],DATE(2026,12,18),tblDaily[WardCode],"MAE")),"")</f>
        <v/>
      </c>
      <c r="H453" s="5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IFERROR(IF(SUMIFS(tblDaily[Admissions],tblDaily[EntryDate],DATE(2026,12,19),tblDaily[WardCode],"MAE")=0,"",SUMIFS(tblDaily[Admissions],tblDaily[EntryDate],DATE(2026,12,19),tblDaily[WardCode],"MAE")),"")</f>
        <v/>
      </c>
      <c r="C454" s="5" t="str">
        <f>IFERROR(IF(SUMIFS(tblDaily[Discharges],tblDaily[EntryDate],DATE(2026,12,19),tblDaily[WardCode],"MAE")=0,"",SUMIFS(tblDaily[Discharges],tblDaily[EntryDate],DATE(2026,12,19),tblDaily[WardCode],"MAE")),"")</f>
        <v/>
      </c>
      <c r="D454" s="5" t="str">
        <f>IFERROR(IF(SUMIFS(tblDaily[Deaths],tblDaily[EntryDate],DATE(2026,12,19),tblDaily[WardCode],"MAE")=0,"",SUMIFS(tblDaily[Deaths],tblDaily[EntryDate],DATE(2026,12,19),tblDaily[WardCode],"MAE")),"")</f>
        <v/>
      </c>
      <c r="E454" s="5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5" t="str">
        <f>IFERROR(IF(SUMIFS(tblDaily[TransfersIn],tblDaily[EntryDate],DATE(2026,12,19),tblDaily[WardCode],"MAE")=0,"",SUMIFS(tblDaily[TransfersIn],tblDaily[EntryDate],DATE(2026,12,19),tblDaily[WardCode],"MAE")),"")</f>
        <v/>
      </c>
      <c r="G454" s="5" t="str">
        <f>IFERROR(IF(SUMIFS(tblDaily[TransfersOut],tblDaily[EntryDate],DATE(2026,12,19),tblDaily[WardCode],"MAE")=0,"",SUMIFS(tblDaily[TransfersOut],tblDaily[EntryDate],DATE(2026,12,19),tblDaily[WardCode],"MAE")),"")</f>
        <v/>
      </c>
      <c r="H454" s="5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IFERROR(IF(SUMIFS(tblDaily[Admissions],tblDaily[EntryDate],DATE(2026,12,20),tblDaily[WardCode],"MAE")=0,"",SUMIFS(tblDaily[Admissions],tblDaily[EntryDate],DATE(2026,12,20),tblDaily[WardCode],"MAE")),"")</f>
        <v/>
      </c>
      <c r="C455" s="5" t="str">
        <f>IFERROR(IF(SUMIFS(tblDaily[Discharges],tblDaily[EntryDate],DATE(2026,12,20),tblDaily[WardCode],"MAE")=0,"",SUMIFS(tblDaily[Discharges],tblDaily[EntryDate],DATE(2026,12,20),tblDaily[WardCode],"MAE")),"")</f>
        <v/>
      </c>
      <c r="D455" s="5" t="str">
        <f>IFERROR(IF(SUMIFS(tblDaily[Deaths],tblDaily[EntryDate],DATE(2026,12,20),tblDaily[WardCode],"MAE")=0,"",SUMIFS(tblDaily[Deaths],tblDaily[EntryDate],DATE(2026,12,20),tblDaily[WardCode],"MAE")),"")</f>
        <v/>
      </c>
      <c r="E455" s="5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5" t="str">
        <f>IFERROR(IF(SUMIFS(tblDaily[TransfersIn],tblDaily[EntryDate],DATE(2026,12,20),tblDaily[WardCode],"MAE")=0,"",SUMIFS(tblDaily[TransfersIn],tblDaily[EntryDate],DATE(2026,12,20),tblDaily[WardCode],"MAE")),"")</f>
        <v/>
      </c>
      <c r="G455" s="5" t="str">
        <f>IFERROR(IF(SUMIFS(tblDaily[TransfersOut],tblDaily[EntryDate],DATE(2026,12,20),tblDaily[WardCode],"MAE")=0,"",SUMIFS(tblDaily[TransfersOut],tblDaily[EntryDate],DATE(2026,12,20),tblDaily[WardCode],"MAE")),"")</f>
        <v/>
      </c>
      <c r="H455" s="5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IFERROR(IF(SUMIFS(tblDaily[Admissions],tblDaily[EntryDate],DATE(2026,12,21),tblDaily[WardCode],"MAE")=0,"",SUMIFS(tblDaily[Admissions],tblDaily[EntryDate],DATE(2026,12,21),tblDaily[WardCode],"MAE")),"")</f>
        <v/>
      </c>
      <c r="C456" s="5" t="str">
        <f>IFERROR(IF(SUMIFS(tblDaily[Discharges],tblDaily[EntryDate],DATE(2026,12,21),tblDaily[WardCode],"MAE")=0,"",SUMIFS(tblDaily[Discharges],tblDaily[EntryDate],DATE(2026,12,21),tblDaily[WardCode],"MAE")),"")</f>
        <v/>
      </c>
      <c r="D456" s="5" t="str">
        <f>IFERROR(IF(SUMIFS(tblDaily[Deaths],tblDaily[EntryDate],DATE(2026,12,21),tblDaily[WardCode],"MAE")=0,"",SUMIFS(tblDaily[Deaths],tblDaily[EntryDate],DATE(2026,12,21),tblDaily[WardCode],"MAE")),"")</f>
        <v/>
      </c>
      <c r="E456" s="5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5" t="str">
        <f>IFERROR(IF(SUMIFS(tblDaily[TransfersIn],tblDaily[EntryDate],DATE(2026,12,21),tblDaily[WardCode],"MAE")=0,"",SUMIFS(tblDaily[TransfersIn],tblDaily[EntryDate],DATE(2026,12,21),tblDaily[WardCode],"MAE")),"")</f>
        <v/>
      </c>
      <c r="G456" s="5" t="str">
        <f>IFERROR(IF(SUMIFS(tblDaily[TransfersOut],tblDaily[EntryDate],DATE(2026,12,21),tblDaily[WardCode],"MAE")=0,"",SUMIFS(tblDaily[TransfersOut],tblDaily[EntryDate],DATE(2026,12,21),tblDaily[WardCode],"MAE")),"")</f>
        <v/>
      </c>
      <c r="H456" s="5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IFERROR(IF(SUMIFS(tblDaily[Admissions],tblDaily[EntryDate],DATE(2026,12,22),tblDaily[WardCode],"MAE")=0,"",SUMIFS(tblDaily[Admissions],tblDaily[EntryDate],DATE(2026,12,22),tblDaily[WardCode],"MAE")),"")</f>
        <v/>
      </c>
      <c r="C457" s="5" t="str">
        <f>IFERROR(IF(SUMIFS(tblDaily[Discharges],tblDaily[EntryDate],DATE(2026,12,22),tblDaily[WardCode],"MAE")=0,"",SUMIFS(tblDaily[Discharges],tblDaily[EntryDate],DATE(2026,12,22),tblDaily[WardCode],"MAE")),"")</f>
        <v/>
      </c>
      <c r="D457" s="5" t="str">
        <f>IFERROR(IF(SUMIFS(tblDaily[Deaths],tblDaily[EntryDate],DATE(2026,12,22),tblDaily[WardCode],"MAE")=0,"",SUMIFS(tblDaily[Deaths],tblDaily[EntryDate],DATE(2026,12,22),tblDaily[WardCode],"MAE")),"")</f>
        <v/>
      </c>
      <c r="E457" s="5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5" t="str">
        <f>IFERROR(IF(SUMIFS(tblDaily[TransfersIn],tblDaily[EntryDate],DATE(2026,12,22),tblDaily[WardCode],"MAE")=0,"",SUMIFS(tblDaily[TransfersIn],tblDaily[EntryDate],DATE(2026,12,22),tblDaily[WardCode],"MAE")),"")</f>
        <v/>
      </c>
      <c r="G457" s="5" t="str">
        <f>IFERROR(IF(SUMIFS(tblDaily[TransfersOut],tblDaily[EntryDate],DATE(2026,12,22),tblDaily[WardCode],"MAE")=0,"",SUMIFS(tblDaily[TransfersOut],tblDaily[EntryDate],DATE(2026,12,22),tblDaily[WardCode],"MAE")),"")</f>
        <v/>
      </c>
      <c r="H457" s="5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IFERROR(IF(SUMIFS(tblDaily[Admissions],tblDaily[EntryDate],DATE(2026,12,23),tblDaily[WardCode],"MAE")=0,"",SUMIFS(tblDaily[Admissions],tblDaily[EntryDate],DATE(2026,12,23),tblDaily[WardCode],"MAE")),"")</f>
        <v/>
      </c>
      <c r="C458" s="5" t="str">
        <f>IFERROR(IF(SUMIFS(tblDaily[Discharges],tblDaily[EntryDate],DATE(2026,12,23),tblDaily[WardCode],"MAE")=0,"",SUMIFS(tblDaily[Discharges],tblDaily[EntryDate],DATE(2026,12,23),tblDaily[WardCode],"MAE")),"")</f>
        <v/>
      </c>
      <c r="D458" s="5" t="str">
        <f>IFERROR(IF(SUMIFS(tblDaily[Deaths],tblDaily[EntryDate],DATE(2026,12,23),tblDaily[WardCode],"MAE")=0,"",SUMIFS(tblDaily[Deaths],tblDaily[EntryDate],DATE(2026,12,23),tblDaily[WardCode],"MAE")),"")</f>
        <v/>
      </c>
      <c r="E458" s="5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5" t="str">
        <f>IFERROR(IF(SUMIFS(tblDaily[TransfersIn],tblDaily[EntryDate],DATE(2026,12,23),tblDaily[WardCode],"MAE")=0,"",SUMIFS(tblDaily[TransfersIn],tblDaily[EntryDate],DATE(2026,12,23),tblDaily[WardCode],"MAE")),"")</f>
        <v/>
      </c>
      <c r="G458" s="5" t="str">
        <f>IFERROR(IF(SUMIFS(tblDaily[TransfersOut],tblDaily[EntryDate],DATE(2026,12,23),tblDaily[WardCode],"MAE")=0,"",SUMIFS(tblDaily[TransfersOut],tblDaily[EntryDate],DATE(2026,12,23),tblDaily[WardCode],"MAE")),"")</f>
        <v/>
      </c>
      <c r="H458" s="5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IFERROR(IF(SUMIFS(tblDaily[Admissions],tblDaily[EntryDate],DATE(2026,12,24),tblDaily[WardCode],"MAE")=0,"",SUMIFS(tblDaily[Admissions],tblDaily[EntryDate],DATE(2026,12,24),tblDaily[WardCode],"MAE")),"")</f>
        <v/>
      </c>
      <c r="C459" s="5" t="str">
        <f>IFERROR(IF(SUMIFS(tblDaily[Discharges],tblDaily[EntryDate],DATE(2026,12,24),tblDaily[WardCode],"MAE")=0,"",SUMIFS(tblDaily[Discharges],tblDaily[EntryDate],DATE(2026,12,24),tblDaily[WardCode],"MAE")),"")</f>
        <v/>
      </c>
      <c r="D459" s="5" t="str">
        <f>IFERROR(IF(SUMIFS(tblDaily[Deaths],tblDaily[EntryDate],DATE(2026,12,24),tblDaily[WardCode],"MAE")=0,"",SUMIFS(tblDaily[Deaths],tblDaily[EntryDate],DATE(2026,12,24),tblDaily[WardCode],"MAE")),"")</f>
        <v/>
      </c>
      <c r="E459" s="5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5" t="str">
        <f>IFERROR(IF(SUMIFS(tblDaily[TransfersIn],tblDaily[EntryDate],DATE(2026,12,24),tblDaily[WardCode],"MAE")=0,"",SUMIFS(tblDaily[TransfersIn],tblDaily[EntryDate],DATE(2026,12,24),tblDaily[WardCode],"MAE")),"")</f>
        <v/>
      </c>
      <c r="G459" s="5" t="str">
        <f>IFERROR(IF(SUMIFS(tblDaily[TransfersOut],tblDaily[EntryDate],DATE(2026,12,24),tblDaily[WardCode],"MAE")=0,"",SUMIFS(tblDaily[TransfersOut],tblDaily[EntryDate],DATE(2026,12,24),tblDaily[WardCode],"MAE")),"")</f>
        <v/>
      </c>
      <c r="H459" s="5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IFERROR(IF(SUMIFS(tblDaily[Admissions],tblDaily[EntryDate],DATE(2026,12,25),tblDaily[WardCode],"MAE")=0,"",SUMIFS(tblDaily[Admissions],tblDaily[EntryDate],DATE(2026,12,25),tblDaily[WardCode],"MAE")),"")</f>
        <v/>
      </c>
      <c r="C460" s="5" t="str">
        <f>IFERROR(IF(SUMIFS(tblDaily[Discharges],tblDaily[EntryDate],DATE(2026,12,25),tblDaily[WardCode],"MAE")=0,"",SUMIFS(tblDaily[Discharges],tblDaily[EntryDate],DATE(2026,12,25),tblDaily[WardCode],"MAE")),"")</f>
        <v/>
      </c>
      <c r="D460" s="5" t="str">
        <f>IFERROR(IF(SUMIFS(tblDaily[Deaths],tblDaily[EntryDate],DATE(2026,12,25),tblDaily[WardCode],"MAE")=0,"",SUMIFS(tblDaily[Deaths],tblDaily[EntryDate],DATE(2026,12,25),tblDaily[WardCode],"MAE")),"")</f>
        <v/>
      </c>
      <c r="E460" s="5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5" t="str">
        <f>IFERROR(IF(SUMIFS(tblDaily[TransfersIn],tblDaily[EntryDate],DATE(2026,12,25),tblDaily[WardCode],"MAE")=0,"",SUMIFS(tblDaily[TransfersIn],tblDaily[EntryDate],DATE(2026,12,25),tblDaily[WardCode],"MAE")),"")</f>
        <v/>
      </c>
      <c r="G460" s="5" t="str">
        <f>IFERROR(IF(SUMIFS(tblDaily[TransfersOut],tblDaily[EntryDate],DATE(2026,12,25),tblDaily[WardCode],"MAE")=0,"",SUMIFS(tblDaily[TransfersOut],tblDaily[EntryDate],DATE(2026,12,25),tblDaily[WardCode],"MAE")),"")</f>
        <v/>
      </c>
      <c r="H460" s="5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IFERROR(IF(SUMIFS(tblDaily[Admissions],tblDaily[EntryDate],DATE(2026,12,26),tblDaily[WardCode],"MAE")=0,"",SUMIFS(tblDaily[Admissions],tblDaily[EntryDate],DATE(2026,12,26),tblDaily[WardCode],"MAE")),"")</f>
        <v/>
      </c>
      <c r="C461" s="5" t="str">
        <f>IFERROR(IF(SUMIFS(tblDaily[Discharges],tblDaily[EntryDate],DATE(2026,12,26),tblDaily[WardCode],"MAE")=0,"",SUMIFS(tblDaily[Discharges],tblDaily[EntryDate],DATE(2026,12,26),tblDaily[WardCode],"MAE")),"")</f>
        <v/>
      </c>
      <c r="D461" s="5" t="str">
        <f>IFERROR(IF(SUMIFS(tblDaily[Deaths],tblDaily[EntryDate],DATE(2026,12,26),tblDaily[WardCode],"MAE")=0,"",SUMIFS(tblDaily[Deaths],tblDaily[EntryDate],DATE(2026,12,26),tblDaily[WardCode],"MAE")),"")</f>
        <v/>
      </c>
      <c r="E461" s="5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5" t="str">
        <f>IFERROR(IF(SUMIFS(tblDaily[TransfersIn],tblDaily[EntryDate],DATE(2026,12,26),tblDaily[WardCode],"MAE")=0,"",SUMIFS(tblDaily[TransfersIn],tblDaily[EntryDate],DATE(2026,12,26),tblDaily[WardCode],"MAE")),"")</f>
        <v/>
      </c>
      <c r="G461" s="5" t="str">
        <f>IFERROR(IF(SUMIFS(tblDaily[TransfersOut],tblDaily[EntryDate],DATE(2026,12,26),tblDaily[WardCode],"MAE")=0,"",SUMIFS(tblDaily[TransfersOut],tblDaily[EntryDate],DATE(2026,12,26),tblDaily[WardCode],"MAE")),"")</f>
        <v/>
      </c>
      <c r="H461" s="5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IFERROR(IF(SUMIFS(tblDaily[Admissions],tblDaily[EntryDate],DATE(2026,12,27),tblDaily[WardCode],"MAE")=0,"",SUMIFS(tblDaily[Admissions],tblDaily[EntryDate],DATE(2026,12,27),tblDaily[WardCode],"MAE")),"")</f>
        <v/>
      </c>
      <c r="C462" s="5" t="str">
        <f>IFERROR(IF(SUMIFS(tblDaily[Discharges],tblDaily[EntryDate],DATE(2026,12,27),tblDaily[WardCode],"MAE")=0,"",SUMIFS(tblDaily[Discharges],tblDaily[EntryDate],DATE(2026,12,27),tblDaily[WardCode],"MAE")),"")</f>
        <v/>
      </c>
      <c r="D462" s="5" t="str">
        <f>IFERROR(IF(SUMIFS(tblDaily[Deaths],tblDaily[EntryDate],DATE(2026,12,27),tblDaily[WardCode],"MAE")=0,"",SUMIFS(tblDaily[Deaths],tblDaily[EntryDate],DATE(2026,12,27),tblDaily[WardCode],"MAE")),"")</f>
        <v/>
      </c>
      <c r="E462" s="5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5" t="str">
        <f>IFERROR(IF(SUMIFS(tblDaily[TransfersIn],tblDaily[EntryDate],DATE(2026,12,27),tblDaily[WardCode],"MAE")=0,"",SUMIFS(tblDaily[TransfersIn],tblDaily[EntryDate],DATE(2026,12,27),tblDaily[WardCode],"MAE")),"")</f>
        <v/>
      </c>
      <c r="G462" s="5" t="str">
        <f>IFERROR(IF(SUMIFS(tblDaily[TransfersOut],tblDaily[EntryDate],DATE(2026,12,27),tblDaily[WardCode],"MAE")=0,"",SUMIFS(tblDaily[TransfersOut],tblDaily[EntryDate],DATE(2026,12,27),tblDaily[WardCode],"MAE")),"")</f>
        <v/>
      </c>
      <c r="H462" s="5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IFERROR(IF(SUMIFS(tblDaily[Admissions],tblDaily[EntryDate],DATE(2026,12,28),tblDaily[WardCode],"MAE")=0,"",SUMIFS(tblDaily[Admissions],tblDaily[EntryDate],DATE(2026,12,28),tblDaily[WardCode],"MAE")),"")</f>
        <v/>
      </c>
      <c r="C463" s="5" t="str">
        <f>IFERROR(IF(SUMIFS(tblDaily[Discharges],tblDaily[EntryDate],DATE(2026,12,28),tblDaily[WardCode],"MAE")=0,"",SUMIFS(tblDaily[Discharges],tblDaily[EntryDate],DATE(2026,12,28),tblDaily[WardCode],"MAE")),"")</f>
        <v/>
      </c>
      <c r="D463" s="5" t="str">
        <f>IFERROR(IF(SUMIFS(tblDaily[Deaths],tblDaily[EntryDate],DATE(2026,12,28),tblDaily[WardCode],"MAE")=0,"",SUMIFS(tblDaily[Deaths],tblDaily[EntryDate],DATE(2026,12,28),tblDaily[WardCode],"MAE")),"")</f>
        <v/>
      </c>
      <c r="E463" s="5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5" t="str">
        <f>IFERROR(IF(SUMIFS(tblDaily[TransfersIn],tblDaily[EntryDate],DATE(2026,12,28),tblDaily[WardCode],"MAE")=0,"",SUMIFS(tblDaily[TransfersIn],tblDaily[EntryDate],DATE(2026,12,28),tblDaily[WardCode],"MAE")),"")</f>
        <v/>
      </c>
      <c r="G463" s="5" t="str">
        <f>IFERROR(IF(SUMIFS(tblDaily[TransfersOut],tblDaily[EntryDate],DATE(2026,12,28),tblDaily[WardCode],"MAE")=0,"",SUMIFS(tblDaily[TransfersOut],tblDaily[EntryDate],DATE(2026,12,28),tblDaily[WardCode],"MAE")),"")</f>
        <v/>
      </c>
      <c r="H463" s="5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IFERROR(IF(SUMIFS(tblDaily[Admissions],tblDaily[EntryDate],DATE(2026,12,29),tblDaily[WardCode],"MAE")=0,"",SUMIFS(tblDaily[Admissions],tblDaily[EntryDate],DATE(2026,12,29),tblDaily[WardCode],"MAE")),"")</f>
        <v/>
      </c>
      <c r="C464" s="5" t="str">
        <f>IFERROR(IF(SUMIFS(tblDaily[Discharges],tblDaily[EntryDate],DATE(2026,12,29),tblDaily[WardCode],"MAE")=0,"",SUMIFS(tblDaily[Discharges],tblDaily[EntryDate],DATE(2026,12,29),tblDaily[WardCode],"MAE")),"")</f>
        <v/>
      </c>
      <c r="D464" s="5" t="str">
        <f>IFERROR(IF(SUMIFS(tblDaily[Deaths],tblDaily[EntryDate],DATE(2026,12,29),tblDaily[WardCode],"MAE")=0,"",SUMIFS(tblDaily[Deaths],tblDaily[EntryDate],DATE(2026,12,29),tblDaily[WardCode],"MAE")),"")</f>
        <v/>
      </c>
      <c r="E464" s="5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5" t="str">
        <f>IFERROR(IF(SUMIFS(tblDaily[TransfersIn],tblDaily[EntryDate],DATE(2026,12,29),tblDaily[WardCode],"MAE")=0,"",SUMIFS(tblDaily[TransfersIn],tblDaily[EntryDate],DATE(2026,12,29),tblDaily[WardCode],"MAE")),"")</f>
        <v/>
      </c>
      <c r="G464" s="5" t="str">
        <f>IFERROR(IF(SUMIFS(tblDaily[TransfersOut],tblDaily[EntryDate],DATE(2026,12,29),tblDaily[WardCode],"MAE")=0,"",SUMIFS(tblDaily[TransfersOut],tblDaily[EntryDate],DATE(2026,12,29),tblDaily[WardCode],"MAE")),"")</f>
        <v/>
      </c>
      <c r="H464" s="5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IFERROR(IF(SUMIFS(tblDaily[Admissions],tblDaily[EntryDate],DATE(2026,12,30),tblDaily[WardCode],"MAE")=0,"",SUMIFS(tblDaily[Admissions],tblDaily[EntryDate],DATE(2026,12,30),tblDaily[WardCode],"MAE")),"")</f>
        <v/>
      </c>
      <c r="C465" s="5" t="str">
        <f>IFERROR(IF(SUMIFS(tblDaily[Discharges],tblDaily[EntryDate],DATE(2026,12,30),tblDaily[WardCode],"MAE")=0,"",SUMIFS(tblDaily[Discharges],tblDaily[EntryDate],DATE(2026,12,30),tblDaily[WardCode],"MAE")),"")</f>
        <v/>
      </c>
      <c r="D465" s="5" t="str">
        <f>IFERROR(IF(SUMIFS(tblDaily[Deaths],tblDaily[EntryDate],DATE(2026,12,30),tblDaily[WardCode],"MAE")=0,"",SUMIFS(tblDaily[Deaths],tblDaily[EntryDate],DATE(2026,12,30),tblDaily[WardCode],"MAE")),"")</f>
        <v/>
      </c>
      <c r="E465" s="5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5" t="str">
        <f>IFERROR(IF(SUMIFS(tblDaily[TransfersIn],tblDaily[EntryDate],DATE(2026,12,30),tblDaily[WardCode],"MAE")=0,"",SUMIFS(tblDaily[TransfersIn],tblDaily[EntryDate],DATE(2026,12,30),tblDaily[WardCode],"MAE")),"")</f>
        <v/>
      </c>
      <c r="G465" s="5" t="str">
        <f>IFERROR(IF(SUMIFS(tblDaily[TransfersOut],tblDaily[EntryDate],DATE(2026,12,30),tblDaily[WardCode],"MAE")=0,"",SUMIFS(tblDaily[TransfersOut],tblDaily[EntryDate],DATE(2026,12,30),tblDaily[WardCode],"MAE")),"")</f>
        <v/>
      </c>
      <c r="H465" s="5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IFERROR(IF(SUMIFS(tblDaily[Admissions],tblDaily[EntryDate],DATE(2026,12,31),tblDaily[WardCode],"MAE")=0,"",SUMIFS(tblDaily[Admissions],tblDaily[EntryDate],DATE(2026,12,31),tblDaily[WardCode],"MAE")),"")</f>
        <v/>
      </c>
      <c r="C466" s="5" t="str">
        <f>IFERROR(IF(SUMIFS(tblDaily[Discharges],tblDaily[EntryDate],DATE(2026,12,31),tblDaily[WardCode],"MAE")=0,"",SUMIFS(tblDaily[Discharges],tblDaily[EntryDate],DATE(2026,12,31),tblDaily[WardCode],"MAE")),"")</f>
        <v/>
      </c>
      <c r="D466" s="5" t="str">
        <f>IFERROR(IF(SUMIFS(tblDaily[Deaths],tblDaily[EntryDate],DATE(2026,12,31),tblDaily[WardCode],"MAE")=0,"",SUMIFS(tblDaily[Deaths],tblDaily[EntryDate],DATE(2026,12,31),tblDaily[WardCode],"MAE")),"")</f>
        <v/>
      </c>
      <c r="E466" s="5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5" t="str">
        <f>IFERROR(IF(SUMIFS(tblDaily[TransfersIn],tblDaily[EntryDate],DATE(2026,12,31),tblDaily[WardCode],"MAE")=0,"",SUMIFS(tblDaily[TransfersIn],tblDaily[EntryDate],DATE(2026,12,31),tblDaily[WardCode],"MAE")),"")</f>
        <v/>
      </c>
      <c r="G466" s="5" t="str">
        <f>IFERROR(IF(SUMIFS(tblDaily[TransfersOut],tblDaily[EntryDate],DATE(2026,12,31),tblDaily[WardCode],"MAE")=0,"",SUMIFS(tblDaily[TransfersOut],tblDaily[EntryDate],DATE(2026,12,31),tblDaily[WardCode],"MAE")),"")</f>
        <v/>
      </c>
      <c r="H466" s="5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95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6" t="s">
        <v>0</v>
      </c>
      <c r="B1" s="17"/>
      <c r="C1" s="17"/>
      <c r="D1" s="17"/>
      <c r="E1" s="17"/>
      <c r="F1" s="17"/>
      <c r="G1" s="17"/>
      <c r="H1" s="17"/>
    </row>
    <row r="2" spans="1:8" ht="15.75" x14ac:dyDescent="0.25">
      <c r="A2" s="21" t="s">
        <v>84</v>
      </c>
      <c r="B2" s="17"/>
      <c r="C2" s="17"/>
      <c r="D2" s="17"/>
      <c r="E2" s="17"/>
      <c r="F2" s="17"/>
      <c r="G2" s="17"/>
      <c r="H2" s="17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103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IFERROR(INDEX(tblWardConfig[PrevYearRemaining],MATCH("FAE",tblWardConfig[WardCode],0)),0)</f>
        <v>0</v>
      </c>
    </row>
    <row r="5" spans="1:8" x14ac:dyDescent="0.25">
      <c r="A5" s="1" t="s">
        <v>89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IFERROR(IF(SUMIFS(tblDaily[Admissions],tblDaily[EntryDate],DATE(2026,1,1),tblDaily[WardCode],"FAE")=0,"",SUMIFS(tblDaily[Admissions],tblDaily[EntryDate],DATE(2026,1,1),tblDaily[WardCode],"FAE")),"")</f>
        <v/>
      </c>
      <c r="C7" s="5" t="str">
        <f>IFERROR(IF(SUMIFS(tblDaily[Discharges],tblDaily[EntryDate],DATE(2026,1,1),tblDaily[WardCode],"FAE")=0,"",SUMIFS(tblDaily[Discharges],tblDaily[EntryDate],DATE(2026,1,1),tblDaily[WardCode],"FAE")),"")</f>
        <v/>
      </c>
      <c r="D7" s="5" t="str">
        <f>IFERROR(IF(SUMIFS(tblDaily[Deaths],tblDaily[EntryDate],DATE(2026,1,1),tblDaily[WardCode],"FAE")=0,"",SUMIFS(tblDaily[Deaths],tblDaily[EntryDate],DATE(2026,1,1),tblDaily[WardCode],"FAE")),"")</f>
        <v/>
      </c>
      <c r="E7" s="5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5" t="str">
        <f>IFERROR(IF(SUMIFS(tblDaily[TransfersIn],tblDaily[EntryDate],DATE(2026,1,1),tblDaily[WardCode],"FAE")=0,"",SUMIFS(tblDaily[TransfersIn],tblDaily[EntryDate],DATE(2026,1,1),tblDaily[WardCode],"FAE")),"")</f>
        <v/>
      </c>
      <c r="G7" s="5" t="str">
        <f>IFERROR(IF(SUMIFS(tblDaily[TransfersOut],tblDaily[EntryDate],DATE(2026,1,1),tblDaily[WardCode],"FAE")=0,"",SUMIFS(tblDaily[TransfersOut],tblDaily[EntryDate],DATE(2026,1,1),tblDaily[WardCode],"FAE")),"")</f>
        <v/>
      </c>
      <c r="H7" s="5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5">
        <v>2</v>
      </c>
      <c r="B8" s="5" t="str">
        <f>IFERROR(IF(SUMIFS(tblDaily[Admissions],tblDaily[EntryDate],DATE(2026,1,2),tblDaily[WardCode],"FAE")=0,"",SUMIFS(tblDaily[Admissions],tblDaily[EntryDate],DATE(2026,1,2),tblDaily[WardCode],"FAE")),"")</f>
        <v/>
      </c>
      <c r="C8" s="5" t="str">
        <f>IFERROR(IF(SUMIFS(tblDaily[Discharges],tblDaily[EntryDate],DATE(2026,1,2),tblDaily[WardCode],"FAE")=0,"",SUMIFS(tblDaily[Discharges],tblDaily[EntryDate],DATE(2026,1,2),tblDaily[WardCode],"FAE")),"")</f>
        <v/>
      </c>
      <c r="D8" s="5" t="str">
        <f>IFERROR(IF(SUMIFS(tblDaily[Deaths],tblDaily[EntryDate],DATE(2026,1,2),tblDaily[WardCode],"FAE")=0,"",SUMIFS(tblDaily[Deaths],tblDaily[EntryDate],DATE(2026,1,2),tblDaily[WardCode],"FAE")),"")</f>
        <v/>
      </c>
      <c r="E8" s="5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5" t="str">
        <f>IFERROR(IF(SUMIFS(tblDaily[TransfersIn],tblDaily[EntryDate],DATE(2026,1,2),tblDaily[WardCode],"FAE")=0,"",SUMIFS(tblDaily[TransfersIn],tblDaily[EntryDate],DATE(2026,1,2),tblDaily[WardCode],"FAE")),"")</f>
        <v/>
      </c>
      <c r="G8" s="5" t="str">
        <f>IFERROR(IF(SUMIFS(tblDaily[TransfersOut],tblDaily[EntryDate],DATE(2026,1,2),tblDaily[WardCode],"FAE")=0,"",SUMIFS(tblDaily[TransfersOut],tblDaily[EntryDate],DATE(2026,1,2),tblDaily[WardCode],"FAE")),"")</f>
        <v/>
      </c>
      <c r="H8" s="5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5">
        <v>3</v>
      </c>
      <c r="B9" s="5" t="str">
        <f>IFERROR(IF(SUMIFS(tblDaily[Admissions],tblDaily[EntryDate],DATE(2026,1,3),tblDaily[WardCode],"FAE")=0,"",SUMIFS(tblDaily[Admissions],tblDaily[EntryDate],DATE(2026,1,3),tblDaily[WardCode],"FAE")),"")</f>
        <v/>
      </c>
      <c r="C9" s="5" t="str">
        <f>IFERROR(IF(SUMIFS(tblDaily[Discharges],tblDaily[EntryDate],DATE(2026,1,3),tblDaily[WardCode],"FAE")=0,"",SUMIFS(tblDaily[Discharges],tblDaily[EntryDate],DATE(2026,1,3),tblDaily[WardCode],"FAE")),"")</f>
        <v/>
      </c>
      <c r="D9" s="5" t="str">
        <f>IFERROR(IF(SUMIFS(tblDaily[Deaths],tblDaily[EntryDate],DATE(2026,1,3),tblDaily[WardCode],"FAE")=0,"",SUMIFS(tblDaily[Deaths],tblDaily[EntryDate],DATE(2026,1,3),tblDaily[WardCode],"FAE")),"")</f>
        <v/>
      </c>
      <c r="E9" s="5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5" t="str">
        <f>IFERROR(IF(SUMIFS(tblDaily[TransfersIn],tblDaily[EntryDate],DATE(2026,1,3),tblDaily[WardCode],"FAE")=0,"",SUMIFS(tblDaily[TransfersIn],tblDaily[EntryDate],DATE(2026,1,3),tblDaily[WardCode],"FAE")),"")</f>
        <v/>
      </c>
      <c r="G9" s="5" t="str">
        <f>IFERROR(IF(SUMIFS(tblDaily[TransfersOut],tblDaily[EntryDate],DATE(2026,1,3),tblDaily[WardCode],"FAE")=0,"",SUMIFS(tblDaily[TransfersOut],tblDaily[EntryDate],DATE(2026,1,3),tblDaily[WardCode],"FAE")),"")</f>
        <v/>
      </c>
      <c r="H9" s="5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5">
        <v>4</v>
      </c>
      <c r="B10" s="5" t="str">
        <f>IFERROR(IF(SUMIFS(tblDaily[Admissions],tblDaily[EntryDate],DATE(2026,1,4),tblDaily[WardCode],"FAE")=0,"",SUMIFS(tblDaily[Admissions],tblDaily[EntryDate],DATE(2026,1,4),tblDaily[WardCode],"FAE")),"")</f>
        <v/>
      </c>
      <c r="C10" s="5" t="str">
        <f>IFERROR(IF(SUMIFS(tblDaily[Discharges],tblDaily[EntryDate],DATE(2026,1,4),tblDaily[WardCode],"FAE")=0,"",SUMIFS(tblDaily[Discharges],tblDaily[EntryDate],DATE(2026,1,4),tblDaily[WardCode],"FAE")),"")</f>
        <v/>
      </c>
      <c r="D10" s="5" t="str">
        <f>IFERROR(IF(SUMIFS(tblDaily[Deaths],tblDaily[EntryDate],DATE(2026,1,4),tblDaily[WardCode],"FAE")=0,"",SUMIFS(tblDaily[Deaths],tblDaily[EntryDate],DATE(2026,1,4),tblDaily[WardCode],"FAE")),"")</f>
        <v/>
      </c>
      <c r="E10" s="5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5" t="str">
        <f>IFERROR(IF(SUMIFS(tblDaily[TransfersIn],tblDaily[EntryDate],DATE(2026,1,4),tblDaily[WardCode],"FAE")=0,"",SUMIFS(tblDaily[TransfersIn],tblDaily[EntryDate],DATE(2026,1,4),tblDaily[WardCode],"FAE")),"")</f>
        <v/>
      </c>
      <c r="G10" s="5" t="str">
        <f>IFERROR(IF(SUMIFS(tblDaily[TransfersOut],tblDaily[EntryDate],DATE(2026,1,4),tblDaily[WardCode],"FAE")=0,"",SUMIFS(tblDaily[TransfersOut],tblDaily[EntryDate],DATE(2026,1,4),tblDaily[WardCode],"FAE")),"")</f>
        <v/>
      </c>
      <c r="H10" s="5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5">
        <v>5</v>
      </c>
      <c r="B11" s="5" t="str">
        <f>IFERROR(IF(SUMIFS(tblDaily[Admissions],tblDaily[EntryDate],DATE(2026,1,5),tblDaily[WardCode],"FAE")=0,"",SUMIFS(tblDaily[Admissions],tblDaily[EntryDate],DATE(2026,1,5),tblDaily[WardCode],"FAE")),"")</f>
        <v/>
      </c>
      <c r="C11" s="5" t="str">
        <f>IFERROR(IF(SUMIFS(tblDaily[Discharges],tblDaily[EntryDate],DATE(2026,1,5),tblDaily[WardCode],"FAE")=0,"",SUMIFS(tblDaily[Discharges],tblDaily[EntryDate],DATE(2026,1,5),tblDaily[WardCode],"FAE")),"")</f>
        <v/>
      </c>
      <c r="D11" s="5" t="str">
        <f>IFERROR(IF(SUMIFS(tblDaily[Deaths],tblDaily[EntryDate],DATE(2026,1,5),tblDaily[WardCode],"FAE")=0,"",SUMIFS(tblDaily[Deaths],tblDaily[EntryDate],DATE(2026,1,5),tblDaily[WardCode],"FAE")),"")</f>
        <v/>
      </c>
      <c r="E11" s="5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5" t="str">
        <f>IFERROR(IF(SUMIFS(tblDaily[TransfersIn],tblDaily[EntryDate],DATE(2026,1,5),tblDaily[WardCode],"FAE")=0,"",SUMIFS(tblDaily[TransfersIn],tblDaily[EntryDate],DATE(2026,1,5),tblDaily[WardCode],"FAE")),"")</f>
        <v/>
      </c>
      <c r="G11" s="5" t="str">
        <f>IFERROR(IF(SUMIFS(tblDaily[TransfersOut],tblDaily[EntryDate],DATE(2026,1,5),tblDaily[WardCode],"FAE")=0,"",SUMIFS(tblDaily[TransfersOut],tblDaily[EntryDate],DATE(2026,1,5),tblDaily[WardCode],"FAE")),"")</f>
        <v/>
      </c>
      <c r="H11" s="5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5">
        <v>6</v>
      </c>
      <c r="B12" s="5" t="str">
        <f>IFERROR(IF(SUMIFS(tblDaily[Admissions],tblDaily[EntryDate],DATE(2026,1,6),tblDaily[WardCode],"FAE")=0,"",SUMIFS(tblDaily[Admissions],tblDaily[EntryDate],DATE(2026,1,6),tblDaily[WardCode],"FAE")),"")</f>
        <v/>
      </c>
      <c r="C12" s="5" t="str">
        <f>IFERROR(IF(SUMIFS(tblDaily[Discharges],tblDaily[EntryDate],DATE(2026,1,6),tblDaily[WardCode],"FAE")=0,"",SUMIFS(tblDaily[Discharges],tblDaily[EntryDate],DATE(2026,1,6),tblDaily[WardCode],"FAE")),"")</f>
        <v/>
      </c>
      <c r="D12" s="5" t="str">
        <f>IFERROR(IF(SUMIFS(tblDaily[Deaths],tblDaily[EntryDate],DATE(2026,1,6),tblDaily[WardCode],"FAE")=0,"",SUMIFS(tblDaily[Deaths],tblDaily[EntryDate],DATE(2026,1,6),tblDaily[WardCode],"FAE")),"")</f>
        <v/>
      </c>
      <c r="E12" s="5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5" t="str">
        <f>IFERROR(IF(SUMIFS(tblDaily[TransfersIn],tblDaily[EntryDate],DATE(2026,1,6),tblDaily[WardCode],"FAE")=0,"",SUMIFS(tblDaily[TransfersIn],tblDaily[EntryDate],DATE(2026,1,6),tblDaily[WardCode],"FAE")),"")</f>
        <v/>
      </c>
      <c r="G12" s="5" t="str">
        <f>IFERROR(IF(SUMIFS(tblDaily[TransfersOut],tblDaily[EntryDate],DATE(2026,1,6),tblDaily[WardCode],"FAE")=0,"",SUMIFS(tblDaily[TransfersOut],tblDaily[EntryDate],DATE(2026,1,6),tblDaily[WardCode],"FAE")),"")</f>
        <v/>
      </c>
      <c r="H12" s="5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5">
        <v>7</v>
      </c>
      <c r="B13" s="5" t="str">
        <f>IFERROR(IF(SUMIFS(tblDaily[Admissions],tblDaily[EntryDate],DATE(2026,1,7),tblDaily[WardCode],"FAE")=0,"",SUMIFS(tblDaily[Admissions],tblDaily[EntryDate],DATE(2026,1,7),tblDaily[WardCode],"FAE")),"")</f>
        <v/>
      </c>
      <c r="C13" s="5" t="str">
        <f>IFERROR(IF(SUMIFS(tblDaily[Discharges],tblDaily[EntryDate],DATE(2026,1,7),tblDaily[WardCode],"FAE")=0,"",SUMIFS(tblDaily[Discharges],tblDaily[EntryDate],DATE(2026,1,7),tblDaily[WardCode],"FAE")),"")</f>
        <v/>
      </c>
      <c r="D13" s="5" t="str">
        <f>IFERROR(IF(SUMIFS(tblDaily[Deaths],tblDaily[EntryDate],DATE(2026,1,7),tblDaily[WardCode],"FAE")=0,"",SUMIFS(tblDaily[Deaths],tblDaily[EntryDate],DATE(2026,1,7),tblDaily[WardCode],"FAE")),"")</f>
        <v/>
      </c>
      <c r="E13" s="5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5" t="str">
        <f>IFERROR(IF(SUMIFS(tblDaily[TransfersIn],tblDaily[EntryDate],DATE(2026,1,7),tblDaily[WardCode],"FAE")=0,"",SUMIFS(tblDaily[TransfersIn],tblDaily[EntryDate],DATE(2026,1,7),tblDaily[WardCode],"FAE")),"")</f>
        <v/>
      </c>
      <c r="G13" s="5" t="str">
        <f>IFERROR(IF(SUMIFS(tblDaily[TransfersOut],tblDaily[EntryDate],DATE(2026,1,7),tblDaily[WardCode],"FAE")=0,"",SUMIFS(tblDaily[TransfersOut],tblDaily[EntryDate],DATE(2026,1,7),tblDaily[WardCode],"FAE")),"")</f>
        <v/>
      </c>
      <c r="H13" s="5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IFERROR(IF(SUMIFS(tblDaily[Admissions],tblDaily[EntryDate],DATE(2026,1,8),tblDaily[WardCode],"FAE")=0,"",SUMIFS(tblDaily[Admissions],tblDaily[EntryDate],DATE(2026,1,8),tblDaily[WardCode],"FAE")),"")</f>
        <v/>
      </c>
      <c r="C14" s="5" t="str">
        <f>IFERROR(IF(SUMIFS(tblDaily[Discharges],tblDaily[EntryDate],DATE(2026,1,8),tblDaily[WardCode],"FAE")=0,"",SUMIFS(tblDaily[Discharges],tblDaily[EntryDate],DATE(2026,1,8),tblDaily[WardCode],"FAE")),"")</f>
        <v/>
      </c>
      <c r="D14" s="5" t="str">
        <f>IFERROR(IF(SUMIFS(tblDaily[Deaths],tblDaily[EntryDate],DATE(2026,1,8),tblDaily[WardCode],"FAE")=0,"",SUMIFS(tblDaily[Deaths],tblDaily[EntryDate],DATE(2026,1,8),tblDaily[WardCode],"FAE")),"")</f>
        <v/>
      </c>
      <c r="E14" s="5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5" t="str">
        <f>IFERROR(IF(SUMIFS(tblDaily[TransfersIn],tblDaily[EntryDate],DATE(2026,1,8),tblDaily[WardCode],"FAE")=0,"",SUMIFS(tblDaily[TransfersIn],tblDaily[EntryDate],DATE(2026,1,8),tblDaily[WardCode],"FAE")),"")</f>
        <v/>
      </c>
      <c r="G14" s="5" t="str">
        <f>IFERROR(IF(SUMIFS(tblDaily[TransfersOut],tblDaily[EntryDate],DATE(2026,1,8),tblDaily[WardCode],"FAE")=0,"",SUMIFS(tblDaily[TransfersOut],tblDaily[EntryDate],DATE(2026,1,8),tblDaily[WardCode],"FAE")),"")</f>
        <v/>
      </c>
      <c r="H14" s="5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5">
        <v>9</v>
      </c>
      <c r="B15" s="5" t="str">
        <f>IFERROR(IF(SUMIFS(tblDaily[Admissions],tblDaily[EntryDate],DATE(2026,1,9),tblDaily[WardCode],"FAE")=0,"",SUMIFS(tblDaily[Admissions],tblDaily[EntryDate],DATE(2026,1,9),tblDaily[WardCode],"FAE")),"")</f>
        <v/>
      </c>
      <c r="C15" s="5" t="str">
        <f>IFERROR(IF(SUMIFS(tblDaily[Discharges],tblDaily[EntryDate],DATE(2026,1,9),tblDaily[WardCode],"FAE")=0,"",SUMIFS(tblDaily[Discharges],tblDaily[EntryDate],DATE(2026,1,9),tblDaily[WardCode],"FAE")),"")</f>
        <v/>
      </c>
      <c r="D15" s="5" t="str">
        <f>IFERROR(IF(SUMIFS(tblDaily[Deaths],tblDaily[EntryDate],DATE(2026,1,9),tblDaily[WardCode],"FAE")=0,"",SUMIFS(tblDaily[Deaths],tblDaily[EntryDate],DATE(2026,1,9),tblDaily[WardCode],"FAE")),"")</f>
        <v/>
      </c>
      <c r="E15" s="5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5" t="str">
        <f>IFERROR(IF(SUMIFS(tblDaily[TransfersIn],tblDaily[EntryDate],DATE(2026,1,9),tblDaily[WardCode],"FAE")=0,"",SUMIFS(tblDaily[TransfersIn],tblDaily[EntryDate],DATE(2026,1,9),tblDaily[WardCode],"FAE")),"")</f>
        <v/>
      </c>
      <c r="G15" s="5" t="str">
        <f>IFERROR(IF(SUMIFS(tblDaily[TransfersOut],tblDaily[EntryDate],DATE(2026,1,9),tblDaily[WardCode],"FAE")=0,"",SUMIFS(tblDaily[TransfersOut],tblDaily[EntryDate],DATE(2026,1,9),tblDaily[WardCode],"FAE")),"")</f>
        <v/>
      </c>
      <c r="H15" s="5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5">
        <v>10</v>
      </c>
      <c r="B16" s="5" t="str">
        <f>IFERROR(IF(SUMIFS(tblDaily[Admissions],tblDaily[EntryDate],DATE(2026,1,10),tblDaily[WardCode],"FAE")=0,"",SUMIFS(tblDaily[Admissions],tblDaily[EntryDate],DATE(2026,1,10),tblDaily[WardCode],"FAE")),"")</f>
        <v/>
      </c>
      <c r="C16" s="5" t="str">
        <f>IFERROR(IF(SUMIFS(tblDaily[Discharges],tblDaily[EntryDate],DATE(2026,1,10),tblDaily[WardCode],"FAE")=0,"",SUMIFS(tblDaily[Discharges],tblDaily[EntryDate],DATE(2026,1,10),tblDaily[WardCode],"FAE")),"")</f>
        <v/>
      </c>
      <c r="D16" s="5" t="str">
        <f>IFERROR(IF(SUMIFS(tblDaily[Deaths],tblDaily[EntryDate],DATE(2026,1,10),tblDaily[WardCode],"FAE")=0,"",SUMIFS(tblDaily[Deaths],tblDaily[EntryDate],DATE(2026,1,10),tblDaily[WardCode],"FAE")),"")</f>
        <v/>
      </c>
      <c r="E16" s="5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5" t="str">
        <f>IFERROR(IF(SUMIFS(tblDaily[TransfersIn],tblDaily[EntryDate],DATE(2026,1,10),tblDaily[WardCode],"FAE")=0,"",SUMIFS(tblDaily[TransfersIn],tblDaily[EntryDate],DATE(2026,1,10),tblDaily[WardCode],"FAE")),"")</f>
        <v/>
      </c>
      <c r="G16" s="5" t="str">
        <f>IFERROR(IF(SUMIFS(tblDaily[TransfersOut],tblDaily[EntryDate],DATE(2026,1,10),tblDaily[WardCode],"FAE")=0,"",SUMIFS(tblDaily[TransfersOut],tblDaily[EntryDate],DATE(2026,1,10),tblDaily[WardCode],"FAE")),"")</f>
        <v/>
      </c>
      <c r="H16" s="5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5">
        <v>11</v>
      </c>
      <c r="B17" s="5" t="str">
        <f>IFERROR(IF(SUMIFS(tblDaily[Admissions],tblDaily[EntryDate],DATE(2026,1,11),tblDaily[WardCode],"FAE")=0,"",SUMIFS(tblDaily[Admissions],tblDaily[EntryDate],DATE(2026,1,11),tblDaily[WardCode],"FAE")),"")</f>
        <v/>
      </c>
      <c r="C17" s="5" t="str">
        <f>IFERROR(IF(SUMIFS(tblDaily[Discharges],tblDaily[EntryDate],DATE(2026,1,11),tblDaily[WardCode],"FAE")=0,"",SUMIFS(tblDaily[Discharges],tblDaily[EntryDate],DATE(2026,1,11),tblDaily[WardCode],"FAE")),"")</f>
        <v/>
      </c>
      <c r="D17" s="5" t="str">
        <f>IFERROR(IF(SUMIFS(tblDaily[Deaths],tblDaily[EntryDate],DATE(2026,1,11),tblDaily[WardCode],"FAE")=0,"",SUMIFS(tblDaily[Deaths],tblDaily[EntryDate],DATE(2026,1,11),tblDaily[WardCode],"FAE")),"")</f>
        <v/>
      </c>
      <c r="E17" s="5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5" t="str">
        <f>IFERROR(IF(SUMIFS(tblDaily[TransfersIn],tblDaily[EntryDate],DATE(2026,1,11),tblDaily[WardCode],"FAE")=0,"",SUMIFS(tblDaily[TransfersIn],tblDaily[EntryDate],DATE(2026,1,11),tblDaily[WardCode],"FAE")),"")</f>
        <v/>
      </c>
      <c r="G17" s="5" t="str">
        <f>IFERROR(IF(SUMIFS(tblDaily[TransfersOut],tblDaily[EntryDate],DATE(2026,1,11),tblDaily[WardCode],"FAE")=0,"",SUMIFS(tblDaily[TransfersOut],tblDaily[EntryDate],DATE(2026,1,11),tblDaily[WardCode],"FAE")),"")</f>
        <v/>
      </c>
      <c r="H17" s="5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5">
        <v>12</v>
      </c>
      <c r="B18" s="5" t="str">
        <f>IFERROR(IF(SUMIFS(tblDaily[Admissions],tblDaily[EntryDate],DATE(2026,1,12),tblDaily[WardCode],"FAE")=0,"",SUMIFS(tblDaily[Admissions],tblDaily[EntryDate],DATE(2026,1,12),tblDaily[WardCode],"FAE")),"")</f>
        <v/>
      </c>
      <c r="C18" s="5" t="str">
        <f>IFERROR(IF(SUMIFS(tblDaily[Discharges],tblDaily[EntryDate],DATE(2026,1,12),tblDaily[WardCode],"FAE")=0,"",SUMIFS(tblDaily[Discharges],tblDaily[EntryDate],DATE(2026,1,12),tblDaily[WardCode],"FAE")),"")</f>
        <v/>
      </c>
      <c r="D18" s="5" t="str">
        <f>IFERROR(IF(SUMIFS(tblDaily[Deaths],tblDaily[EntryDate],DATE(2026,1,12),tblDaily[WardCode],"FAE")=0,"",SUMIFS(tblDaily[Deaths],tblDaily[EntryDate],DATE(2026,1,12),tblDaily[WardCode],"FAE")),"")</f>
        <v/>
      </c>
      <c r="E18" s="5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5" t="str">
        <f>IFERROR(IF(SUMIFS(tblDaily[TransfersIn],tblDaily[EntryDate],DATE(2026,1,12),tblDaily[WardCode],"FAE")=0,"",SUMIFS(tblDaily[TransfersIn],tblDaily[EntryDate],DATE(2026,1,12),tblDaily[WardCode],"FAE")),"")</f>
        <v/>
      </c>
      <c r="G18" s="5" t="str">
        <f>IFERROR(IF(SUMIFS(tblDaily[TransfersOut],tblDaily[EntryDate],DATE(2026,1,12),tblDaily[WardCode],"FAE")=0,"",SUMIFS(tblDaily[TransfersOut],tblDaily[EntryDate],DATE(2026,1,12),tblDaily[WardCode],"FAE")),"")</f>
        <v/>
      </c>
      <c r="H18" s="5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5">
        <v>13</v>
      </c>
      <c r="B19" s="5" t="str">
        <f>IFERROR(IF(SUMIFS(tblDaily[Admissions],tblDaily[EntryDate],DATE(2026,1,13),tblDaily[WardCode],"FAE")=0,"",SUMIFS(tblDaily[Admissions],tblDaily[EntryDate],DATE(2026,1,13),tblDaily[WardCode],"FAE")),"")</f>
        <v/>
      </c>
      <c r="C19" s="5" t="str">
        <f>IFERROR(IF(SUMIFS(tblDaily[Discharges],tblDaily[EntryDate],DATE(2026,1,13),tblDaily[WardCode],"FAE")=0,"",SUMIFS(tblDaily[Discharges],tblDaily[EntryDate],DATE(2026,1,13),tblDaily[WardCode],"FAE")),"")</f>
        <v/>
      </c>
      <c r="D19" s="5" t="str">
        <f>IFERROR(IF(SUMIFS(tblDaily[Deaths],tblDaily[EntryDate],DATE(2026,1,13),tblDaily[WardCode],"FAE")=0,"",SUMIFS(tblDaily[Deaths],tblDaily[EntryDate],DATE(2026,1,13),tblDaily[WardCode],"FAE")),"")</f>
        <v/>
      </c>
      <c r="E19" s="5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5" t="str">
        <f>IFERROR(IF(SUMIFS(tblDaily[TransfersIn],tblDaily[EntryDate],DATE(2026,1,13),tblDaily[WardCode],"FAE")=0,"",SUMIFS(tblDaily[TransfersIn],tblDaily[EntryDate],DATE(2026,1,13),tblDaily[WardCode],"FAE")),"")</f>
        <v/>
      </c>
      <c r="G19" s="5" t="str">
        <f>IFERROR(IF(SUMIFS(tblDaily[TransfersOut],tblDaily[EntryDate],DATE(2026,1,13),tblDaily[WardCode],"FAE")=0,"",SUMIFS(tblDaily[TransfersOut],tblDaily[EntryDate],DATE(2026,1,13),tblDaily[WardCode],"FAE")),"")</f>
        <v/>
      </c>
      <c r="H19" s="5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5">
        <v>14</v>
      </c>
      <c r="B20" s="5" t="str">
        <f>IFERROR(IF(SUMIFS(tblDaily[Admissions],tblDaily[EntryDate],DATE(2026,1,14),tblDaily[WardCode],"FAE")=0,"",SUMIFS(tblDaily[Admissions],tblDaily[EntryDate],DATE(2026,1,14),tblDaily[WardCode],"FAE")),"")</f>
        <v/>
      </c>
      <c r="C20" s="5" t="str">
        <f>IFERROR(IF(SUMIFS(tblDaily[Discharges],tblDaily[EntryDate],DATE(2026,1,14),tblDaily[WardCode],"FAE")=0,"",SUMIFS(tblDaily[Discharges],tblDaily[EntryDate],DATE(2026,1,14),tblDaily[WardCode],"FAE")),"")</f>
        <v/>
      </c>
      <c r="D20" s="5" t="str">
        <f>IFERROR(IF(SUMIFS(tblDaily[Deaths],tblDaily[EntryDate],DATE(2026,1,14),tblDaily[WardCode],"FAE")=0,"",SUMIFS(tblDaily[Deaths],tblDaily[EntryDate],DATE(2026,1,14),tblDaily[WardCode],"FAE")),"")</f>
        <v/>
      </c>
      <c r="E20" s="5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5" t="str">
        <f>IFERROR(IF(SUMIFS(tblDaily[TransfersIn],tblDaily[EntryDate],DATE(2026,1,14),tblDaily[WardCode],"FAE")=0,"",SUMIFS(tblDaily[TransfersIn],tblDaily[EntryDate],DATE(2026,1,14),tblDaily[WardCode],"FAE")),"")</f>
        <v/>
      </c>
      <c r="G20" s="5" t="str">
        <f>IFERROR(IF(SUMIFS(tblDaily[TransfersOut],tblDaily[EntryDate],DATE(2026,1,14),tblDaily[WardCode],"FAE")=0,"",SUMIFS(tblDaily[TransfersOut],tblDaily[EntryDate],DATE(2026,1,14),tblDaily[WardCode],"FAE")),"")</f>
        <v/>
      </c>
      <c r="H20" s="5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5">
        <v>15</v>
      </c>
      <c r="B21" s="5" t="str">
        <f>IFERROR(IF(SUMIFS(tblDaily[Admissions],tblDaily[EntryDate],DATE(2026,1,15),tblDaily[WardCode],"FAE")=0,"",SUMIFS(tblDaily[Admissions],tblDaily[EntryDate],DATE(2026,1,15),tblDaily[WardCode],"FAE")),"")</f>
        <v/>
      </c>
      <c r="C21" s="5" t="str">
        <f>IFERROR(IF(SUMIFS(tblDaily[Discharges],tblDaily[EntryDate],DATE(2026,1,15),tblDaily[WardCode],"FAE")=0,"",SUMIFS(tblDaily[Discharges],tblDaily[EntryDate],DATE(2026,1,15),tblDaily[WardCode],"FAE")),"")</f>
        <v/>
      </c>
      <c r="D21" s="5" t="str">
        <f>IFERROR(IF(SUMIFS(tblDaily[Deaths],tblDaily[EntryDate],DATE(2026,1,15),tblDaily[WardCode],"FAE")=0,"",SUMIFS(tblDaily[Deaths],tblDaily[EntryDate],DATE(2026,1,15),tblDaily[WardCode],"FAE")),"")</f>
        <v/>
      </c>
      <c r="E21" s="5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5" t="str">
        <f>IFERROR(IF(SUMIFS(tblDaily[TransfersIn],tblDaily[EntryDate],DATE(2026,1,15),tblDaily[WardCode],"FAE")=0,"",SUMIFS(tblDaily[TransfersIn],tblDaily[EntryDate],DATE(2026,1,15),tblDaily[WardCode],"FAE")),"")</f>
        <v/>
      </c>
      <c r="G21" s="5" t="str">
        <f>IFERROR(IF(SUMIFS(tblDaily[TransfersOut],tblDaily[EntryDate],DATE(2026,1,15),tblDaily[WardCode],"FAE")=0,"",SUMIFS(tblDaily[TransfersOut],tblDaily[EntryDate],DATE(2026,1,15),tblDaily[WardCode],"FAE")),"")</f>
        <v/>
      </c>
      <c r="H21" s="5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5">
        <v>16</v>
      </c>
      <c r="B22" s="5" t="str">
        <f>IFERROR(IF(SUMIFS(tblDaily[Admissions],tblDaily[EntryDate],DATE(2026,1,16),tblDaily[WardCode],"FAE")=0,"",SUMIFS(tblDaily[Admissions],tblDaily[EntryDate],DATE(2026,1,16),tblDaily[WardCode],"FAE")),"")</f>
        <v/>
      </c>
      <c r="C22" s="5" t="str">
        <f>IFERROR(IF(SUMIFS(tblDaily[Discharges],tblDaily[EntryDate],DATE(2026,1,16),tblDaily[WardCode],"FAE")=0,"",SUMIFS(tblDaily[Discharges],tblDaily[EntryDate],DATE(2026,1,16),tblDaily[WardCode],"FAE")),"")</f>
        <v/>
      </c>
      <c r="D22" s="5" t="str">
        <f>IFERROR(IF(SUMIFS(tblDaily[Deaths],tblDaily[EntryDate],DATE(2026,1,16),tblDaily[WardCode],"FAE")=0,"",SUMIFS(tblDaily[Deaths],tblDaily[EntryDate],DATE(2026,1,16),tblDaily[WardCode],"FAE")),"")</f>
        <v/>
      </c>
      <c r="E22" s="5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5" t="str">
        <f>IFERROR(IF(SUMIFS(tblDaily[TransfersIn],tblDaily[EntryDate],DATE(2026,1,16),tblDaily[WardCode],"FAE")=0,"",SUMIFS(tblDaily[TransfersIn],tblDaily[EntryDate],DATE(2026,1,16),tblDaily[WardCode],"FAE")),"")</f>
        <v/>
      </c>
      <c r="G22" s="5" t="str">
        <f>IFERROR(IF(SUMIFS(tblDaily[TransfersOut],tblDaily[EntryDate],DATE(2026,1,16),tblDaily[WardCode],"FAE")=0,"",SUMIFS(tblDaily[TransfersOut],tblDaily[EntryDate],DATE(2026,1,16),tblDaily[WardCode],"FAE")),"")</f>
        <v/>
      </c>
      <c r="H22" s="5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5">
        <v>17</v>
      </c>
      <c r="B23" s="5" t="str">
        <f>IFERROR(IF(SUMIFS(tblDaily[Admissions],tblDaily[EntryDate],DATE(2026,1,17),tblDaily[WardCode],"FAE")=0,"",SUMIFS(tblDaily[Admissions],tblDaily[EntryDate],DATE(2026,1,17),tblDaily[WardCode],"FAE")),"")</f>
        <v/>
      </c>
      <c r="C23" s="5" t="str">
        <f>IFERROR(IF(SUMIFS(tblDaily[Discharges],tblDaily[EntryDate],DATE(2026,1,17),tblDaily[WardCode],"FAE")=0,"",SUMIFS(tblDaily[Discharges],tblDaily[EntryDate],DATE(2026,1,17),tblDaily[WardCode],"FAE")),"")</f>
        <v/>
      </c>
      <c r="D23" s="5" t="str">
        <f>IFERROR(IF(SUMIFS(tblDaily[Deaths],tblDaily[EntryDate],DATE(2026,1,17),tblDaily[WardCode],"FAE")=0,"",SUMIFS(tblDaily[Deaths],tblDaily[EntryDate],DATE(2026,1,17),tblDaily[WardCode],"FAE")),"")</f>
        <v/>
      </c>
      <c r="E23" s="5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5" t="str">
        <f>IFERROR(IF(SUMIFS(tblDaily[TransfersIn],tblDaily[EntryDate],DATE(2026,1,17),tblDaily[WardCode],"FAE")=0,"",SUMIFS(tblDaily[TransfersIn],tblDaily[EntryDate],DATE(2026,1,17),tblDaily[WardCode],"FAE")),"")</f>
        <v/>
      </c>
      <c r="G23" s="5" t="str">
        <f>IFERROR(IF(SUMIFS(tblDaily[TransfersOut],tblDaily[EntryDate],DATE(2026,1,17),tblDaily[WardCode],"FAE")=0,"",SUMIFS(tblDaily[TransfersOut],tblDaily[EntryDate],DATE(2026,1,17),tblDaily[WardCode],"FAE")),"")</f>
        <v/>
      </c>
      <c r="H23" s="5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5">
        <v>18</v>
      </c>
      <c r="B24" s="5" t="str">
        <f>IFERROR(IF(SUMIFS(tblDaily[Admissions],tblDaily[EntryDate],DATE(2026,1,18),tblDaily[WardCode],"FAE")=0,"",SUMIFS(tblDaily[Admissions],tblDaily[EntryDate],DATE(2026,1,18),tblDaily[WardCode],"FAE")),"")</f>
        <v/>
      </c>
      <c r="C24" s="5" t="str">
        <f>IFERROR(IF(SUMIFS(tblDaily[Discharges],tblDaily[EntryDate],DATE(2026,1,18),tblDaily[WardCode],"FAE")=0,"",SUMIFS(tblDaily[Discharges],tblDaily[EntryDate],DATE(2026,1,18),tblDaily[WardCode],"FAE")),"")</f>
        <v/>
      </c>
      <c r="D24" s="5" t="str">
        <f>IFERROR(IF(SUMIFS(tblDaily[Deaths],tblDaily[EntryDate],DATE(2026,1,18),tblDaily[WardCode],"FAE")=0,"",SUMIFS(tblDaily[Deaths],tblDaily[EntryDate],DATE(2026,1,18),tblDaily[WardCode],"FAE")),"")</f>
        <v/>
      </c>
      <c r="E24" s="5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5" t="str">
        <f>IFERROR(IF(SUMIFS(tblDaily[TransfersIn],tblDaily[EntryDate],DATE(2026,1,18),tblDaily[WardCode],"FAE")=0,"",SUMIFS(tblDaily[TransfersIn],tblDaily[EntryDate],DATE(2026,1,18),tblDaily[WardCode],"FAE")),"")</f>
        <v/>
      </c>
      <c r="G24" s="5" t="str">
        <f>IFERROR(IF(SUMIFS(tblDaily[TransfersOut],tblDaily[EntryDate],DATE(2026,1,18),tblDaily[WardCode],"FAE")=0,"",SUMIFS(tblDaily[TransfersOut],tblDaily[EntryDate],DATE(2026,1,18),tblDaily[WardCode],"FAE")),"")</f>
        <v/>
      </c>
      <c r="H24" s="5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5">
        <v>19</v>
      </c>
      <c r="B25" s="5" t="str">
        <f>IFERROR(IF(SUMIFS(tblDaily[Admissions],tblDaily[EntryDate],DATE(2026,1,19),tblDaily[WardCode],"FAE")=0,"",SUMIFS(tblDaily[Admissions],tblDaily[EntryDate],DATE(2026,1,19),tblDaily[WardCode],"FAE")),"")</f>
        <v/>
      </c>
      <c r="C25" s="5" t="str">
        <f>IFERROR(IF(SUMIFS(tblDaily[Discharges],tblDaily[EntryDate],DATE(2026,1,19),tblDaily[WardCode],"FAE")=0,"",SUMIFS(tblDaily[Discharges],tblDaily[EntryDate],DATE(2026,1,19),tblDaily[WardCode],"FAE")),"")</f>
        <v/>
      </c>
      <c r="D25" s="5" t="str">
        <f>IFERROR(IF(SUMIFS(tblDaily[Deaths],tblDaily[EntryDate],DATE(2026,1,19),tblDaily[WardCode],"FAE")=0,"",SUMIFS(tblDaily[Deaths],tblDaily[EntryDate],DATE(2026,1,19),tblDaily[WardCode],"FAE")),"")</f>
        <v/>
      </c>
      <c r="E25" s="5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5" t="str">
        <f>IFERROR(IF(SUMIFS(tblDaily[TransfersIn],tblDaily[EntryDate],DATE(2026,1,19),tblDaily[WardCode],"FAE")=0,"",SUMIFS(tblDaily[TransfersIn],tblDaily[EntryDate],DATE(2026,1,19),tblDaily[WardCode],"FAE")),"")</f>
        <v/>
      </c>
      <c r="G25" s="5" t="str">
        <f>IFERROR(IF(SUMIFS(tblDaily[TransfersOut],tblDaily[EntryDate],DATE(2026,1,19),tblDaily[WardCode],"FAE")=0,"",SUMIFS(tblDaily[TransfersOut],tblDaily[EntryDate],DATE(2026,1,19),tblDaily[WardCode],"FAE")),"")</f>
        <v/>
      </c>
      <c r="H25" s="5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5">
        <v>20</v>
      </c>
      <c r="B26" s="5" t="str">
        <f>IFERROR(IF(SUMIFS(tblDaily[Admissions],tblDaily[EntryDate],DATE(2026,1,20),tblDaily[WardCode],"FAE")=0,"",SUMIFS(tblDaily[Admissions],tblDaily[EntryDate],DATE(2026,1,20),tblDaily[WardCode],"FAE")),"")</f>
        <v/>
      </c>
      <c r="C26" s="5" t="str">
        <f>IFERROR(IF(SUMIFS(tblDaily[Discharges],tblDaily[EntryDate],DATE(2026,1,20),tblDaily[WardCode],"FAE")=0,"",SUMIFS(tblDaily[Discharges],tblDaily[EntryDate],DATE(2026,1,20),tblDaily[WardCode],"FAE")),"")</f>
        <v/>
      </c>
      <c r="D26" s="5" t="str">
        <f>IFERROR(IF(SUMIFS(tblDaily[Deaths],tblDaily[EntryDate],DATE(2026,1,20),tblDaily[WardCode],"FAE")=0,"",SUMIFS(tblDaily[Deaths],tblDaily[EntryDate],DATE(2026,1,20),tblDaily[WardCode],"FAE")),"")</f>
        <v/>
      </c>
      <c r="E26" s="5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5" t="str">
        <f>IFERROR(IF(SUMIFS(tblDaily[TransfersIn],tblDaily[EntryDate],DATE(2026,1,20),tblDaily[WardCode],"FAE")=0,"",SUMIFS(tblDaily[TransfersIn],tblDaily[EntryDate],DATE(2026,1,20),tblDaily[WardCode],"FAE")),"")</f>
        <v/>
      </c>
      <c r="G26" s="5" t="str">
        <f>IFERROR(IF(SUMIFS(tblDaily[TransfersOut],tblDaily[EntryDate],DATE(2026,1,20),tblDaily[WardCode],"FAE")=0,"",SUMIFS(tblDaily[TransfersOut],tblDaily[EntryDate],DATE(2026,1,20),tblDaily[WardCode],"FAE")),"")</f>
        <v/>
      </c>
      <c r="H26" s="5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5">
        <v>21</v>
      </c>
      <c r="B27" s="5" t="str">
        <f>IFERROR(IF(SUMIFS(tblDaily[Admissions],tblDaily[EntryDate],DATE(2026,1,21),tblDaily[WardCode],"FAE")=0,"",SUMIFS(tblDaily[Admissions],tblDaily[EntryDate],DATE(2026,1,21),tblDaily[WardCode],"FAE")),"")</f>
        <v/>
      </c>
      <c r="C27" s="5" t="str">
        <f>IFERROR(IF(SUMIFS(tblDaily[Discharges],tblDaily[EntryDate],DATE(2026,1,21),tblDaily[WardCode],"FAE")=0,"",SUMIFS(tblDaily[Discharges],tblDaily[EntryDate],DATE(2026,1,21),tblDaily[WardCode],"FAE")),"")</f>
        <v/>
      </c>
      <c r="D27" s="5" t="str">
        <f>IFERROR(IF(SUMIFS(tblDaily[Deaths],tblDaily[EntryDate],DATE(2026,1,21),tblDaily[WardCode],"FAE")=0,"",SUMIFS(tblDaily[Deaths],tblDaily[EntryDate],DATE(2026,1,21),tblDaily[WardCode],"FAE")),"")</f>
        <v/>
      </c>
      <c r="E27" s="5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5" t="str">
        <f>IFERROR(IF(SUMIFS(tblDaily[TransfersIn],tblDaily[EntryDate],DATE(2026,1,21),tblDaily[WardCode],"FAE")=0,"",SUMIFS(tblDaily[TransfersIn],tblDaily[EntryDate],DATE(2026,1,21),tblDaily[WardCode],"FAE")),"")</f>
        <v/>
      </c>
      <c r="G27" s="5" t="str">
        <f>IFERROR(IF(SUMIFS(tblDaily[TransfersOut],tblDaily[EntryDate],DATE(2026,1,21),tblDaily[WardCode],"FAE")=0,"",SUMIFS(tblDaily[TransfersOut],tblDaily[EntryDate],DATE(2026,1,21),tblDaily[WardCode],"FAE")),"")</f>
        <v/>
      </c>
      <c r="H27" s="5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5">
        <v>22</v>
      </c>
      <c r="B28" s="5" t="str">
        <f>IFERROR(IF(SUMIFS(tblDaily[Admissions],tblDaily[EntryDate],DATE(2026,1,22),tblDaily[WardCode],"FAE")=0,"",SUMIFS(tblDaily[Admissions],tblDaily[EntryDate],DATE(2026,1,22),tblDaily[WardCode],"FAE")),"")</f>
        <v/>
      </c>
      <c r="C28" s="5" t="str">
        <f>IFERROR(IF(SUMIFS(tblDaily[Discharges],tblDaily[EntryDate],DATE(2026,1,22),tblDaily[WardCode],"FAE")=0,"",SUMIFS(tblDaily[Discharges],tblDaily[EntryDate],DATE(2026,1,22),tblDaily[WardCode],"FAE")),"")</f>
        <v/>
      </c>
      <c r="D28" s="5" t="str">
        <f>IFERROR(IF(SUMIFS(tblDaily[Deaths],tblDaily[EntryDate],DATE(2026,1,22),tblDaily[WardCode],"FAE")=0,"",SUMIFS(tblDaily[Deaths],tblDaily[EntryDate],DATE(2026,1,22),tblDaily[WardCode],"FAE")),"")</f>
        <v/>
      </c>
      <c r="E28" s="5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5" t="str">
        <f>IFERROR(IF(SUMIFS(tblDaily[TransfersIn],tblDaily[EntryDate],DATE(2026,1,22),tblDaily[WardCode],"FAE")=0,"",SUMIFS(tblDaily[TransfersIn],tblDaily[EntryDate],DATE(2026,1,22),tblDaily[WardCode],"FAE")),"")</f>
        <v/>
      </c>
      <c r="G28" s="5" t="str">
        <f>IFERROR(IF(SUMIFS(tblDaily[TransfersOut],tblDaily[EntryDate],DATE(2026,1,22),tblDaily[WardCode],"FAE")=0,"",SUMIFS(tblDaily[TransfersOut],tblDaily[EntryDate],DATE(2026,1,22),tblDaily[WardCode],"FAE")),"")</f>
        <v/>
      </c>
      <c r="H28" s="5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5">
        <v>23</v>
      </c>
      <c r="B29" s="5" t="str">
        <f>IFERROR(IF(SUMIFS(tblDaily[Admissions],tblDaily[EntryDate],DATE(2026,1,23),tblDaily[WardCode],"FAE")=0,"",SUMIFS(tblDaily[Admissions],tblDaily[EntryDate],DATE(2026,1,23),tblDaily[WardCode],"FAE")),"")</f>
        <v/>
      </c>
      <c r="C29" s="5" t="str">
        <f>IFERROR(IF(SUMIFS(tblDaily[Discharges],tblDaily[EntryDate],DATE(2026,1,23),tblDaily[WardCode],"FAE")=0,"",SUMIFS(tblDaily[Discharges],tblDaily[EntryDate],DATE(2026,1,23),tblDaily[WardCode],"FAE")),"")</f>
        <v/>
      </c>
      <c r="D29" s="5" t="str">
        <f>IFERROR(IF(SUMIFS(tblDaily[Deaths],tblDaily[EntryDate],DATE(2026,1,23),tblDaily[WardCode],"FAE")=0,"",SUMIFS(tblDaily[Deaths],tblDaily[EntryDate],DATE(2026,1,23),tblDaily[WardCode],"FAE")),"")</f>
        <v/>
      </c>
      <c r="E29" s="5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5" t="str">
        <f>IFERROR(IF(SUMIFS(tblDaily[TransfersIn],tblDaily[EntryDate],DATE(2026,1,23),tblDaily[WardCode],"FAE")=0,"",SUMIFS(tblDaily[TransfersIn],tblDaily[EntryDate],DATE(2026,1,23),tblDaily[WardCode],"FAE")),"")</f>
        <v/>
      </c>
      <c r="G29" s="5" t="str">
        <f>IFERROR(IF(SUMIFS(tblDaily[TransfersOut],tblDaily[EntryDate],DATE(2026,1,23),tblDaily[WardCode],"FAE")=0,"",SUMIFS(tblDaily[TransfersOut],tblDaily[EntryDate],DATE(2026,1,23),tblDaily[WardCode],"FAE")),"")</f>
        <v/>
      </c>
      <c r="H29" s="5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5">
        <v>24</v>
      </c>
      <c r="B30" s="5" t="str">
        <f>IFERROR(IF(SUMIFS(tblDaily[Admissions],tblDaily[EntryDate],DATE(2026,1,24),tblDaily[WardCode],"FAE")=0,"",SUMIFS(tblDaily[Admissions],tblDaily[EntryDate],DATE(2026,1,24),tblDaily[WardCode],"FAE")),"")</f>
        <v/>
      </c>
      <c r="C30" s="5" t="str">
        <f>IFERROR(IF(SUMIFS(tblDaily[Discharges],tblDaily[EntryDate],DATE(2026,1,24),tblDaily[WardCode],"FAE")=0,"",SUMIFS(tblDaily[Discharges],tblDaily[EntryDate],DATE(2026,1,24),tblDaily[WardCode],"FAE")),"")</f>
        <v/>
      </c>
      <c r="D30" s="5" t="str">
        <f>IFERROR(IF(SUMIFS(tblDaily[Deaths],tblDaily[EntryDate],DATE(2026,1,24),tblDaily[WardCode],"FAE")=0,"",SUMIFS(tblDaily[Deaths],tblDaily[EntryDate],DATE(2026,1,24),tblDaily[WardCode],"FAE")),"")</f>
        <v/>
      </c>
      <c r="E30" s="5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5" t="str">
        <f>IFERROR(IF(SUMIFS(tblDaily[TransfersIn],tblDaily[EntryDate],DATE(2026,1,24),tblDaily[WardCode],"FAE")=0,"",SUMIFS(tblDaily[TransfersIn],tblDaily[EntryDate],DATE(2026,1,24),tblDaily[WardCode],"FAE")),"")</f>
        <v/>
      </c>
      <c r="G30" s="5" t="str">
        <f>IFERROR(IF(SUMIFS(tblDaily[TransfersOut],tblDaily[EntryDate],DATE(2026,1,24),tblDaily[WardCode],"FAE")=0,"",SUMIFS(tblDaily[TransfersOut],tblDaily[EntryDate],DATE(2026,1,24),tblDaily[WardCode],"FAE")),"")</f>
        <v/>
      </c>
      <c r="H30" s="5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5">
        <v>25</v>
      </c>
      <c r="B31" s="5" t="str">
        <f>IFERROR(IF(SUMIFS(tblDaily[Admissions],tblDaily[EntryDate],DATE(2026,1,25),tblDaily[WardCode],"FAE")=0,"",SUMIFS(tblDaily[Admissions],tblDaily[EntryDate],DATE(2026,1,25),tblDaily[WardCode],"FAE")),"")</f>
        <v/>
      </c>
      <c r="C31" s="5" t="str">
        <f>IFERROR(IF(SUMIFS(tblDaily[Discharges],tblDaily[EntryDate],DATE(2026,1,25),tblDaily[WardCode],"FAE")=0,"",SUMIFS(tblDaily[Discharges],tblDaily[EntryDate],DATE(2026,1,25),tblDaily[WardCode],"FAE")),"")</f>
        <v/>
      </c>
      <c r="D31" s="5" t="str">
        <f>IFERROR(IF(SUMIFS(tblDaily[Deaths],tblDaily[EntryDate],DATE(2026,1,25),tblDaily[WardCode],"FAE")=0,"",SUMIFS(tblDaily[Deaths],tblDaily[EntryDate],DATE(2026,1,25),tblDaily[WardCode],"FAE")),"")</f>
        <v/>
      </c>
      <c r="E31" s="5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5" t="str">
        <f>IFERROR(IF(SUMIFS(tblDaily[TransfersIn],tblDaily[EntryDate],DATE(2026,1,25),tblDaily[WardCode],"FAE")=0,"",SUMIFS(tblDaily[TransfersIn],tblDaily[EntryDate],DATE(2026,1,25),tblDaily[WardCode],"FAE")),"")</f>
        <v/>
      </c>
      <c r="G31" s="5" t="str">
        <f>IFERROR(IF(SUMIFS(tblDaily[TransfersOut],tblDaily[EntryDate],DATE(2026,1,25),tblDaily[WardCode],"FAE")=0,"",SUMIFS(tblDaily[TransfersOut],tblDaily[EntryDate],DATE(2026,1,25),tblDaily[WardCode],"FAE")),"")</f>
        <v/>
      </c>
      <c r="H31" s="5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5">
        <v>26</v>
      </c>
      <c r="B32" s="5" t="str">
        <f>IFERROR(IF(SUMIFS(tblDaily[Admissions],tblDaily[EntryDate],DATE(2026,1,26),tblDaily[WardCode],"FAE")=0,"",SUMIFS(tblDaily[Admissions],tblDaily[EntryDate],DATE(2026,1,26),tblDaily[WardCode],"FAE")),"")</f>
        <v/>
      </c>
      <c r="C32" s="5" t="str">
        <f>IFERROR(IF(SUMIFS(tblDaily[Discharges],tblDaily[EntryDate],DATE(2026,1,26),tblDaily[WardCode],"FAE")=0,"",SUMIFS(tblDaily[Discharges],tblDaily[EntryDate],DATE(2026,1,26),tblDaily[WardCode],"FAE")),"")</f>
        <v/>
      </c>
      <c r="D32" s="5" t="str">
        <f>IFERROR(IF(SUMIFS(tblDaily[Deaths],tblDaily[EntryDate],DATE(2026,1,26),tblDaily[WardCode],"FAE")=0,"",SUMIFS(tblDaily[Deaths],tblDaily[EntryDate],DATE(2026,1,26),tblDaily[WardCode],"FAE")),"")</f>
        <v/>
      </c>
      <c r="E32" s="5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5" t="str">
        <f>IFERROR(IF(SUMIFS(tblDaily[TransfersIn],tblDaily[EntryDate],DATE(2026,1,26),tblDaily[WardCode],"FAE")=0,"",SUMIFS(tblDaily[TransfersIn],tblDaily[EntryDate],DATE(2026,1,26),tblDaily[WardCode],"FAE")),"")</f>
        <v/>
      </c>
      <c r="G32" s="5" t="str">
        <f>IFERROR(IF(SUMIFS(tblDaily[TransfersOut],tblDaily[EntryDate],DATE(2026,1,26),tblDaily[WardCode],"FAE")=0,"",SUMIFS(tblDaily[TransfersOut],tblDaily[EntryDate],DATE(2026,1,26),tblDaily[WardCode],"FAE")),"")</f>
        <v/>
      </c>
      <c r="H32" s="5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5">
        <v>27</v>
      </c>
      <c r="B33" s="5" t="str">
        <f>IFERROR(IF(SUMIFS(tblDaily[Admissions],tblDaily[EntryDate],DATE(2026,1,27),tblDaily[WardCode],"FAE")=0,"",SUMIFS(tblDaily[Admissions],tblDaily[EntryDate],DATE(2026,1,27),tblDaily[WardCode],"FAE")),"")</f>
        <v/>
      </c>
      <c r="C33" s="5" t="str">
        <f>IFERROR(IF(SUMIFS(tblDaily[Discharges],tblDaily[EntryDate],DATE(2026,1,27),tblDaily[WardCode],"FAE")=0,"",SUMIFS(tblDaily[Discharges],tblDaily[EntryDate],DATE(2026,1,27),tblDaily[WardCode],"FAE")),"")</f>
        <v/>
      </c>
      <c r="D33" s="5" t="str">
        <f>IFERROR(IF(SUMIFS(tblDaily[Deaths],tblDaily[EntryDate],DATE(2026,1,27),tblDaily[WardCode],"FAE")=0,"",SUMIFS(tblDaily[Deaths],tblDaily[EntryDate],DATE(2026,1,27),tblDaily[WardCode],"FAE")),"")</f>
        <v/>
      </c>
      <c r="E33" s="5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5" t="str">
        <f>IFERROR(IF(SUMIFS(tblDaily[TransfersIn],tblDaily[EntryDate],DATE(2026,1,27),tblDaily[WardCode],"FAE")=0,"",SUMIFS(tblDaily[TransfersIn],tblDaily[EntryDate],DATE(2026,1,27),tblDaily[WardCode],"FAE")),"")</f>
        <v/>
      </c>
      <c r="G33" s="5" t="str">
        <f>IFERROR(IF(SUMIFS(tblDaily[TransfersOut],tblDaily[EntryDate],DATE(2026,1,27),tblDaily[WardCode],"FAE")=0,"",SUMIFS(tblDaily[TransfersOut],tblDaily[EntryDate],DATE(2026,1,27),tblDaily[WardCode],"FAE")),"")</f>
        <v/>
      </c>
      <c r="H33" s="5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5">
        <v>28</v>
      </c>
      <c r="B34" s="5" t="str">
        <f>IFERROR(IF(SUMIFS(tblDaily[Admissions],tblDaily[EntryDate],DATE(2026,1,28),tblDaily[WardCode],"FAE")=0,"",SUMIFS(tblDaily[Admissions],tblDaily[EntryDate],DATE(2026,1,28),tblDaily[WardCode],"FAE")),"")</f>
        <v/>
      </c>
      <c r="C34" s="5" t="str">
        <f>IFERROR(IF(SUMIFS(tblDaily[Discharges],tblDaily[EntryDate],DATE(2026,1,28),tblDaily[WardCode],"FAE")=0,"",SUMIFS(tblDaily[Discharges],tblDaily[EntryDate],DATE(2026,1,28),tblDaily[WardCode],"FAE")),"")</f>
        <v/>
      </c>
      <c r="D34" s="5" t="str">
        <f>IFERROR(IF(SUMIFS(tblDaily[Deaths],tblDaily[EntryDate],DATE(2026,1,28),tblDaily[WardCode],"FAE")=0,"",SUMIFS(tblDaily[Deaths],tblDaily[EntryDate],DATE(2026,1,28),tblDaily[WardCode],"FAE")),"")</f>
        <v/>
      </c>
      <c r="E34" s="5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5" t="str">
        <f>IFERROR(IF(SUMIFS(tblDaily[TransfersIn],tblDaily[EntryDate],DATE(2026,1,28),tblDaily[WardCode],"FAE")=0,"",SUMIFS(tblDaily[TransfersIn],tblDaily[EntryDate],DATE(2026,1,28),tblDaily[WardCode],"FAE")),"")</f>
        <v/>
      </c>
      <c r="G34" s="5" t="str">
        <f>IFERROR(IF(SUMIFS(tblDaily[TransfersOut],tblDaily[EntryDate],DATE(2026,1,28),tblDaily[WardCode],"FAE")=0,"",SUMIFS(tblDaily[TransfersOut],tblDaily[EntryDate],DATE(2026,1,28),tblDaily[WardCode],"FAE")),"")</f>
        <v/>
      </c>
      <c r="H34" s="5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5">
        <v>29</v>
      </c>
      <c r="B35" s="5" t="str">
        <f>IFERROR(IF(SUMIFS(tblDaily[Admissions],tblDaily[EntryDate],DATE(2026,1,29),tblDaily[WardCode],"FAE")=0,"",SUMIFS(tblDaily[Admissions],tblDaily[EntryDate],DATE(2026,1,29),tblDaily[WardCode],"FAE")),"")</f>
        <v/>
      </c>
      <c r="C35" s="5" t="str">
        <f>IFERROR(IF(SUMIFS(tblDaily[Discharges],tblDaily[EntryDate],DATE(2026,1,29),tblDaily[WardCode],"FAE")=0,"",SUMIFS(tblDaily[Discharges],tblDaily[EntryDate],DATE(2026,1,29),tblDaily[WardCode],"FAE")),"")</f>
        <v/>
      </c>
      <c r="D35" s="5" t="str">
        <f>IFERROR(IF(SUMIFS(tblDaily[Deaths],tblDaily[EntryDate],DATE(2026,1,29),tblDaily[WardCode],"FAE")=0,"",SUMIFS(tblDaily[Deaths],tblDaily[EntryDate],DATE(2026,1,29),tblDaily[WardCode],"FAE")),"")</f>
        <v/>
      </c>
      <c r="E35" s="5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5" t="str">
        <f>IFERROR(IF(SUMIFS(tblDaily[TransfersIn],tblDaily[EntryDate],DATE(2026,1,29),tblDaily[WardCode],"FAE")=0,"",SUMIFS(tblDaily[TransfersIn],tblDaily[EntryDate],DATE(2026,1,29),tblDaily[WardCode],"FAE")),"")</f>
        <v/>
      </c>
      <c r="G35" s="5" t="str">
        <f>IFERROR(IF(SUMIFS(tblDaily[TransfersOut],tblDaily[EntryDate],DATE(2026,1,29),tblDaily[WardCode],"FAE")=0,"",SUMIFS(tblDaily[TransfersOut],tblDaily[EntryDate],DATE(2026,1,29),tblDaily[WardCode],"FAE")),"")</f>
        <v/>
      </c>
      <c r="H35" s="5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5">
        <v>30</v>
      </c>
      <c r="B36" s="5" t="str">
        <f>IFERROR(IF(SUMIFS(tblDaily[Admissions],tblDaily[EntryDate],DATE(2026,1,30),tblDaily[WardCode],"FAE")=0,"",SUMIFS(tblDaily[Admissions],tblDaily[EntryDate],DATE(2026,1,30),tblDaily[WardCode],"FAE")),"")</f>
        <v/>
      </c>
      <c r="C36" s="5" t="str">
        <f>IFERROR(IF(SUMIFS(tblDaily[Discharges],tblDaily[EntryDate],DATE(2026,1,30),tblDaily[WardCode],"FAE")=0,"",SUMIFS(tblDaily[Discharges],tblDaily[EntryDate],DATE(2026,1,30),tblDaily[WardCode],"FAE")),"")</f>
        <v/>
      </c>
      <c r="D36" s="5" t="str">
        <f>IFERROR(IF(SUMIFS(tblDaily[Deaths],tblDaily[EntryDate],DATE(2026,1,30),tblDaily[WardCode],"FAE")=0,"",SUMIFS(tblDaily[Deaths],tblDaily[EntryDate],DATE(2026,1,30),tblDaily[WardCode],"FAE")),"")</f>
        <v/>
      </c>
      <c r="E36" s="5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5" t="str">
        <f>IFERROR(IF(SUMIFS(tblDaily[TransfersIn],tblDaily[EntryDate],DATE(2026,1,30),tblDaily[WardCode],"FAE")=0,"",SUMIFS(tblDaily[TransfersIn],tblDaily[EntryDate],DATE(2026,1,30),tblDaily[WardCode],"FAE")),"")</f>
        <v/>
      </c>
      <c r="G36" s="5" t="str">
        <f>IFERROR(IF(SUMIFS(tblDaily[TransfersOut],tblDaily[EntryDate],DATE(2026,1,30),tblDaily[WardCode],"FAE")=0,"",SUMIFS(tblDaily[TransfersOut],tblDaily[EntryDate],DATE(2026,1,30),tblDaily[WardCode],"FAE")),"")</f>
        <v/>
      </c>
      <c r="H36" s="5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5">
        <v>31</v>
      </c>
      <c r="B37" s="5" t="str">
        <f>IFERROR(IF(SUMIFS(tblDaily[Admissions],tblDaily[EntryDate],DATE(2026,1,31),tblDaily[WardCode],"FAE")=0,"",SUMIFS(tblDaily[Admissions],tblDaily[EntryDate],DATE(2026,1,31),tblDaily[WardCode],"FAE")),"")</f>
        <v/>
      </c>
      <c r="C37" s="5" t="str">
        <f>IFERROR(IF(SUMIFS(tblDaily[Discharges],tblDaily[EntryDate],DATE(2026,1,31),tblDaily[WardCode],"FAE")=0,"",SUMIFS(tblDaily[Discharges],tblDaily[EntryDate],DATE(2026,1,31),tblDaily[WardCode],"FAE")),"")</f>
        <v/>
      </c>
      <c r="D37" s="5" t="str">
        <f>IFERROR(IF(SUMIFS(tblDaily[Deaths],tblDaily[EntryDate],DATE(2026,1,31),tblDaily[WardCode],"FAE")=0,"",SUMIFS(tblDaily[Deaths],tblDaily[EntryDate],DATE(2026,1,31),tblDaily[WardCode],"FAE")),"")</f>
        <v/>
      </c>
      <c r="E37" s="5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5" t="str">
        <f>IFERROR(IF(SUMIFS(tblDaily[TransfersIn],tblDaily[EntryDate],DATE(2026,1,31),tblDaily[WardCode],"FAE")=0,"",SUMIFS(tblDaily[TransfersIn],tblDaily[EntryDate],DATE(2026,1,31),tblDaily[WardCode],"FAE")),"")</f>
        <v/>
      </c>
      <c r="G37" s="5" t="str">
        <f>IFERROR(IF(SUMIFS(tblDaily[TransfersOut],tblDaily[EntryDate],DATE(2026,1,31),tblDaily[WardCode],"FAE")=0,"",SUMIFS(tblDaily[TransfersOut],tblDaily[EntryDate],DATE(2026,1,31),tblDaily[WardCode],"FAE")),"")</f>
        <v/>
      </c>
      <c r="H37" s="5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9" t="s">
        <v>95</v>
      </c>
      <c r="B38" s="9">
        <f>SUMIFS(tblDaily[Admissions],tblDaily[Month],1,tblDaily[WardCode],"FAE")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.75" x14ac:dyDescent="0.25">
      <c r="A40" s="16" t="s">
        <v>0</v>
      </c>
      <c r="B40" s="17"/>
      <c r="C40" s="17"/>
      <c r="D40" s="17"/>
      <c r="E40" s="17"/>
      <c r="F40" s="17"/>
      <c r="G40" s="17"/>
      <c r="H40" s="17"/>
    </row>
    <row r="41" spans="1:8" ht="15.75" x14ac:dyDescent="0.25">
      <c r="A41" s="21" t="s">
        <v>84</v>
      </c>
      <c r="B41" s="17"/>
      <c r="C41" s="17"/>
      <c r="D41" s="17"/>
      <c r="E41" s="17"/>
      <c r="F41" s="17"/>
      <c r="G41" s="17"/>
      <c r="H41" s="17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103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IFERROR(SUMIFS(tblDaily[Remaining],tblDaily[EntryDate],DATE(2026,1,31),tblDaily[WardCode],"FAE"),0)</f>
        <v>0</v>
      </c>
    </row>
    <row r="44" spans="1:8" x14ac:dyDescent="0.25">
      <c r="A44" s="1" t="s">
        <v>89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IFERROR(IF(SUMIFS(tblDaily[Admissions],tblDaily[EntryDate],DATE(2026,2,1),tblDaily[WardCode],"FAE")=0,"",SUMIFS(tblDaily[Admissions],tblDaily[EntryDate],DATE(2026,2,1),tblDaily[WardCode],"FAE")),"")</f>
        <v/>
      </c>
      <c r="C46" s="5" t="str">
        <f>IFERROR(IF(SUMIFS(tblDaily[Discharges],tblDaily[EntryDate],DATE(2026,2,1),tblDaily[WardCode],"FAE")=0,"",SUMIFS(tblDaily[Discharges],tblDaily[EntryDate],DATE(2026,2,1),tblDaily[WardCode],"FAE")),"")</f>
        <v/>
      </c>
      <c r="D46" s="5" t="str">
        <f>IFERROR(IF(SUMIFS(tblDaily[Deaths],tblDaily[EntryDate],DATE(2026,2,1),tblDaily[WardCode],"FAE")=0,"",SUMIFS(tblDaily[Deaths],tblDaily[EntryDate],DATE(2026,2,1),tblDaily[WardCode],"FAE")),"")</f>
        <v/>
      </c>
      <c r="E46" s="5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5" t="str">
        <f>IFERROR(IF(SUMIFS(tblDaily[TransfersIn],tblDaily[EntryDate],DATE(2026,2,1),tblDaily[WardCode],"FAE")=0,"",SUMIFS(tblDaily[TransfersIn],tblDaily[EntryDate],DATE(2026,2,1),tblDaily[WardCode],"FAE")),"")</f>
        <v/>
      </c>
      <c r="G46" s="5" t="str">
        <f>IFERROR(IF(SUMIFS(tblDaily[TransfersOut],tblDaily[EntryDate],DATE(2026,2,1),tblDaily[WardCode],"FAE")=0,"",SUMIFS(tblDaily[TransfersOut],tblDaily[EntryDate],DATE(2026,2,1),tblDaily[WardCode],"FAE")),"")</f>
        <v/>
      </c>
      <c r="H46" s="5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IFERROR(IF(SUMIFS(tblDaily[Admissions],tblDaily[EntryDate],DATE(2026,2,2),tblDaily[WardCode],"FAE")=0,"",SUMIFS(tblDaily[Admissions],tblDaily[EntryDate],DATE(2026,2,2),tblDaily[WardCode],"FAE")),"")</f>
        <v/>
      </c>
      <c r="C47" s="5" t="str">
        <f>IFERROR(IF(SUMIFS(tblDaily[Discharges],tblDaily[EntryDate],DATE(2026,2,2),tblDaily[WardCode],"FAE")=0,"",SUMIFS(tblDaily[Discharges],tblDaily[EntryDate],DATE(2026,2,2),tblDaily[WardCode],"FAE")),"")</f>
        <v/>
      </c>
      <c r="D47" s="5" t="str">
        <f>IFERROR(IF(SUMIFS(tblDaily[Deaths],tblDaily[EntryDate],DATE(2026,2,2),tblDaily[WardCode],"FAE")=0,"",SUMIFS(tblDaily[Deaths],tblDaily[EntryDate],DATE(2026,2,2),tblDaily[WardCode],"FAE")),"")</f>
        <v/>
      </c>
      <c r="E47" s="5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5" t="str">
        <f>IFERROR(IF(SUMIFS(tblDaily[TransfersIn],tblDaily[EntryDate],DATE(2026,2,2),tblDaily[WardCode],"FAE")=0,"",SUMIFS(tblDaily[TransfersIn],tblDaily[EntryDate],DATE(2026,2,2),tblDaily[WardCode],"FAE")),"")</f>
        <v/>
      </c>
      <c r="G47" s="5" t="str">
        <f>IFERROR(IF(SUMIFS(tblDaily[TransfersOut],tblDaily[EntryDate],DATE(2026,2,2),tblDaily[WardCode],"FAE")=0,"",SUMIFS(tblDaily[TransfersOut],tblDaily[EntryDate],DATE(2026,2,2),tblDaily[WardCode],"FAE")),"")</f>
        <v/>
      </c>
      <c r="H47" s="5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IFERROR(IF(SUMIFS(tblDaily[Admissions],tblDaily[EntryDate],DATE(2026,2,3),tblDaily[WardCode],"FAE")=0,"",SUMIFS(tblDaily[Admissions],tblDaily[EntryDate],DATE(2026,2,3),tblDaily[WardCode],"FAE")),"")</f>
        <v/>
      </c>
      <c r="C48" s="5" t="str">
        <f>IFERROR(IF(SUMIFS(tblDaily[Discharges],tblDaily[EntryDate],DATE(2026,2,3),tblDaily[WardCode],"FAE")=0,"",SUMIFS(tblDaily[Discharges],tblDaily[EntryDate],DATE(2026,2,3),tblDaily[WardCode],"FAE")),"")</f>
        <v/>
      </c>
      <c r="D48" s="5" t="str">
        <f>IFERROR(IF(SUMIFS(tblDaily[Deaths],tblDaily[EntryDate],DATE(2026,2,3),tblDaily[WardCode],"FAE")=0,"",SUMIFS(tblDaily[Deaths],tblDaily[EntryDate],DATE(2026,2,3),tblDaily[WardCode],"FAE")),"")</f>
        <v/>
      </c>
      <c r="E48" s="5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5" t="str">
        <f>IFERROR(IF(SUMIFS(tblDaily[TransfersIn],tblDaily[EntryDate],DATE(2026,2,3),tblDaily[WardCode],"FAE")=0,"",SUMIFS(tblDaily[TransfersIn],tblDaily[EntryDate],DATE(2026,2,3),tblDaily[WardCode],"FAE")),"")</f>
        <v/>
      </c>
      <c r="G48" s="5" t="str">
        <f>IFERROR(IF(SUMIFS(tblDaily[TransfersOut],tblDaily[EntryDate],DATE(2026,2,3),tblDaily[WardCode],"FAE")=0,"",SUMIFS(tblDaily[TransfersOut],tblDaily[EntryDate],DATE(2026,2,3),tblDaily[WardCode],"FAE")),"")</f>
        <v/>
      </c>
      <c r="H48" s="5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IFERROR(IF(SUMIFS(tblDaily[Admissions],tblDaily[EntryDate],DATE(2026,2,4),tblDaily[WardCode],"FAE")=0,"",SUMIFS(tblDaily[Admissions],tblDaily[EntryDate],DATE(2026,2,4),tblDaily[WardCode],"FAE")),"")</f>
        <v/>
      </c>
      <c r="C49" s="5" t="str">
        <f>IFERROR(IF(SUMIFS(tblDaily[Discharges],tblDaily[EntryDate],DATE(2026,2,4),tblDaily[WardCode],"FAE")=0,"",SUMIFS(tblDaily[Discharges],tblDaily[EntryDate],DATE(2026,2,4),tblDaily[WardCode],"FAE")),"")</f>
        <v/>
      </c>
      <c r="D49" s="5" t="str">
        <f>IFERROR(IF(SUMIFS(tblDaily[Deaths],tblDaily[EntryDate],DATE(2026,2,4),tblDaily[WardCode],"FAE")=0,"",SUMIFS(tblDaily[Deaths],tblDaily[EntryDate],DATE(2026,2,4),tblDaily[WardCode],"FAE")),"")</f>
        <v/>
      </c>
      <c r="E49" s="5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5" t="str">
        <f>IFERROR(IF(SUMIFS(tblDaily[TransfersIn],tblDaily[EntryDate],DATE(2026,2,4),tblDaily[WardCode],"FAE")=0,"",SUMIFS(tblDaily[TransfersIn],tblDaily[EntryDate],DATE(2026,2,4),tblDaily[WardCode],"FAE")),"")</f>
        <v/>
      </c>
      <c r="G49" s="5" t="str">
        <f>IFERROR(IF(SUMIFS(tblDaily[TransfersOut],tblDaily[EntryDate],DATE(2026,2,4),tblDaily[WardCode],"FAE")=0,"",SUMIFS(tblDaily[TransfersOut],tblDaily[EntryDate],DATE(2026,2,4),tblDaily[WardCode],"FAE")),"")</f>
        <v/>
      </c>
      <c r="H49" s="5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IFERROR(IF(SUMIFS(tblDaily[Admissions],tblDaily[EntryDate],DATE(2026,2,5),tblDaily[WardCode],"FAE")=0,"",SUMIFS(tblDaily[Admissions],tblDaily[EntryDate],DATE(2026,2,5),tblDaily[WardCode],"FAE")),"")</f>
        <v/>
      </c>
      <c r="C50" s="5" t="str">
        <f>IFERROR(IF(SUMIFS(tblDaily[Discharges],tblDaily[EntryDate],DATE(2026,2,5),tblDaily[WardCode],"FAE")=0,"",SUMIFS(tblDaily[Discharges],tblDaily[EntryDate],DATE(2026,2,5),tblDaily[WardCode],"FAE")),"")</f>
        <v/>
      </c>
      <c r="D50" s="5" t="str">
        <f>IFERROR(IF(SUMIFS(tblDaily[Deaths],tblDaily[EntryDate],DATE(2026,2,5),tblDaily[WardCode],"FAE")=0,"",SUMIFS(tblDaily[Deaths],tblDaily[EntryDate],DATE(2026,2,5),tblDaily[WardCode],"FAE")),"")</f>
        <v/>
      </c>
      <c r="E50" s="5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5" t="str">
        <f>IFERROR(IF(SUMIFS(tblDaily[TransfersIn],tblDaily[EntryDate],DATE(2026,2,5),tblDaily[WardCode],"FAE")=0,"",SUMIFS(tblDaily[TransfersIn],tblDaily[EntryDate],DATE(2026,2,5),tblDaily[WardCode],"FAE")),"")</f>
        <v/>
      </c>
      <c r="G50" s="5" t="str">
        <f>IFERROR(IF(SUMIFS(tblDaily[TransfersOut],tblDaily[EntryDate],DATE(2026,2,5),tblDaily[WardCode],"FAE")=0,"",SUMIFS(tblDaily[TransfersOut],tblDaily[EntryDate],DATE(2026,2,5),tblDaily[WardCode],"FAE")),"")</f>
        <v/>
      </c>
      <c r="H50" s="5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IFERROR(IF(SUMIFS(tblDaily[Admissions],tblDaily[EntryDate],DATE(2026,2,6),tblDaily[WardCode],"FAE")=0,"",SUMIFS(tblDaily[Admissions],tblDaily[EntryDate],DATE(2026,2,6),tblDaily[WardCode],"FAE")),"")</f>
        <v/>
      </c>
      <c r="C51" s="5" t="str">
        <f>IFERROR(IF(SUMIFS(tblDaily[Discharges],tblDaily[EntryDate],DATE(2026,2,6),tblDaily[WardCode],"FAE")=0,"",SUMIFS(tblDaily[Discharges],tblDaily[EntryDate],DATE(2026,2,6),tblDaily[WardCode],"FAE")),"")</f>
        <v/>
      </c>
      <c r="D51" s="5" t="str">
        <f>IFERROR(IF(SUMIFS(tblDaily[Deaths],tblDaily[EntryDate],DATE(2026,2,6),tblDaily[WardCode],"FAE")=0,"",SUMIFS(tblDaily[Deaths],tblDaily[EntryDate],DATE(2026,2,6),tblDaily[WardCode],"FAE")),"")</f>
        <v/>
      </c>
      <c r="E51" s="5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5" t="str">
        <f>IFERROR(IF(SUMIFS(tblDaily[TransfersIn],tblDaily[EntryDate],DATE(2026,2,6),tblDaily[WardCode],"FAE")=0,"",SUMIFS(tblDaily[TransfersIn],tblDaily[EntryDate],DATE(2026,2,6),tblDaily[WardCode],"FAE")),"")</f>
        <v/>
      </c>
      <c r="G51" s="5" t="str">
        <f>IFERROR(IF(SUMIFS(tblDaily[TransfersOut],tblDaily[EntryDate],DATE(2026,2,6),tblDaily[WardCode],"FAE")=0,"",SUMIFS(tblDaily[TransfersOut],tblDaily[EntryDate],DATE(2026,2,6),tblDaily[WardCode],"FAE")),"")</f>
        <v/>
      </c>
      <c r="H51" s="5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IFERROR(IF(SUMIFS(tblDaily[Admissions],tblDaily[EntryDate],DATE(2026,2,7),tblDaily[WardCode],"FAE")=0,"",SUMIFS(tblDaily[Admissions],tblDaily[EntryDate],DATE(2026,2,7),tblDaily[WardCode],"FAE")),"")</f>
        <v/>
      </c>
      <c r="C52" s="5" t="str">
        <f>IFERROR(IF(SUMIFS(tblDaily[Discharges],tblDaily[EntryDate],DATE(2026,2,7),tblDaily[WardCode],"FAE")=0,"",SUMIFS(tblDaily[Discharges],tblDaily[EntryDate],DATE(2026,2,7),tblDaily[WardCode],"FAE")),"")</f>
        <v/>
      </c>
      <c r="D52" s="5" t="str">
        <f>IFERROR(IF(SUMIFS(tblDaily[Deaths],tblDaily[EntryDate],DATE(2026,2,7),tblDaily[WardCode],"FAE")=0,"",SUMIFS(tblDaily[Deaths],tblDaily[EntryDate],DATE(2026,2,7),tblDaily[WardCode],"FAE")),"")</f>
        <v/>
      </c>
      <c r="E52" s="5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5" t="str">
        <f>IFERROR(IF(SUMIFS(tblDaily[TransfersIn],tblDaily[EntryDate],DATE(2026,2,7),tblDaily[WardCode],"FAE")=0,"",SUMIFS(tblDaily[TransfersIn],tblDaily[EntryDate],DATE(2026,2,7),tblDaily[WardCode],"FAE")),"")</f>
        <v/>
      </c>
      <c r="G52" s="5" t="str">
        <f>IFERROR(IF(SUMIFS(tblDaily[TransfersOut],tblDaily[EntryDate],DATE(2026,2,7),tblDaily[WardCode],"FAE")=0,"",SUMIFS(tblDaily[TransfersOut],tblDaily[EntryDate],DATE(2026,2,7),tblDaily[WardCode],"FAE")),"")</f>
        <v/>
      </c>
      <c r="H52" s="5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IFERROR(IF(SUMIFS(tblDaily[Admissions],tblDaily[EntryDate],DATE(2026,2,8),tblDaily[WardCode],"FAE")=0,"",SUMIFS(tblDaily[Admissions],tblDaily[EntryDate],DATE(2026,2,8),tblDaily[WardCode],"FAE")),"")</f>
        <v/>
      </c>
      <c r="C53" s="5" t="str">
        <f>IFERROR(IF(SUMIFS(tblDaily[Discharges],tblDaily[EntryDate],DATE(2026,2,8),tblDaily[WardCode],"FAE")=0,"",SUMIFS(tblDaily[Discharges],tblDaily[EntryDate],DATE(2026,2,8),tblDaily[WardCode],"FAE")),"")</f>
        <v/>
      </c>
      <c r="D53" s="5" t="str">
        <f>IFERROR(IF(SUMIFS(tblDaily[Deaths],tblDaily[EntryDate],DATE(2026,2,8),tblDaily[WardCode],"FAE")=0,"",SUMIFS(tblDaily[Deaths],tblDaily[EntryDate],DATE(2026,2,8),tblDaily[WardCode],"FAE")),"")</f>
        <v/>
      </c>
      <c r="E53" s="5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5" t="str">
        <f>IFERROR(IF(SUMIFS(tblDaily[TransfersIn],tblDaily[EntryDate],DATE(2026,2,8),tblDaily[WardCode],"FAE")=0,"",SUMIFS(tblDaily[TransfersIn],tblDaily[EntryDate],DATE(2026,2,8),tblDaily[WardCode],"FAE")),"")</f>
        <v/>
      </c>
      <c r="G53" s="5" t="str">
        <f>IFERROR(IF(SUMIFS(tblDaily[TransfersOut],tblDaily[EntryDate],DATE(2026,2,8),tblDaily[WardCode],"FAE")=0,"",SUMIFS(tblDaily[TransfersOut],tblDaily[EntryDate],DATE(2026,2,8),tblDaily[WardCode],"FAE")),"")</f>
        <v/>
      </c>
      <c r="H53" s="5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IFERROR(IF(SUMIFS(tblDaily[Admissions],tblDaily[EntryDate],DATE(2026,2,9),tblDaily[WardCode],"FAE")=0,"",SUMIFS(tblDaily[Admissions],tblDaily[EntryDate],DATE(2026,2,9),tblDaily[WardCode],"FAE")),"")</f>
        <v/>
      </c>
      <c r="C54" s="5" t="str">
        <f>IFERROR(IF(SUMIFS(tblDaily[Discharges],tblDaily[EntryDate],DATE(2026,2,9),tblDaily[WardCode],"FAE")=0,"",SUMIFS(tblDaily[Discharges],tblDaily[EntryDate],DATE(2026,2,9),tblDaily[WardCode],"FAE")),"")</f>
        <v/>
      </c>
      <c r="D54" s="5" t="str">
        <f>IFERROR(IF(SUMIFS(tblDaily[Deaths],tblDaily[EntryDate],DATE(2026,2,9),tblDaily[WardCode],"FAE")=0,"",SUMIFS(tblDaily[Deaths],tblDaily[EntryDate],DATE(2026,2,9),tblDaily[WardCode],"FAE")),"")</f>
        <v/>
      </c>
      <c r="E54" s="5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5" t="str">
        <f>IFERROR(IF(SUMIFS(tblDaily[TransfersIn],tblDaily[EntryDate],DATE(2026,2,9),tblDaily[WardCode],"FAE")=0,"",SUMIFS(tblDaily[TransfersIn],tblDaily[EntryDate],DATE(2026,2,9),tblDaily[WardCode],"FAE")),"")</f>
        <v/>
      </c>
      <c r="G54" s="5" t="str">
        <f>IFERROR(IF(SUMIFS(tblDaily[TransfersOut],tblDaily[EntryDate],DATE(2026,2,9),tblDaily[WardCode],"FAE")=0,"",SUMIFS(tblDaily[TransfersOut],tblDaily[EntryDate],DATE(2026,2,9),tblDaily[WardCode],"FAE")),"")</f>
        <v/>
      </c>
      <c r="H54" s="5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IFERROR(IF(SUMIFS(tblDaily[Admissions],tblDaily[EntryDate],DATE(2026,2,10),tblDaily[WardCode],"FAE")=0,"",SUMIFS(tblDaily[Admissions],tblDaily[EntryDate],DATE(2026,2,10),tblDaily[WardCode],"FAE")),"")</f>
        <v/>
      </c>
      <c r="C55" s="5" t="str">
        <f>IFERROR(IF(SUMIFS(tblDaily[Discharges],tblDaily[EntryDate],DATE(2026,2,10),tblDaily[WardCode],"FAE")=0,"",SUMIFS(tblDaily[Discharges],tblDaily[EntryDate],DATE(2026,2,10),tblDaily[WardCode],"FAE")),"")</f>
        <v/>
      </c>
      <c r="D55" s="5" t="str">
        <f>IFERROR(IF(SUMIFS(tblDaily[Deaths],tblDaily[EntryDate],DATE(2026,2,10),tblDaily[WardCode],"FAE")=0,"",SUMIFS(tblDaily[Deaths],tblDaily[EntryDate],DATE(2026,2,10),tblDaily[WardCode],"FAE")),"")</f>
        <v/>
      </c>
      <c r="E55" s="5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5" t="str">
        <f>IFERROR(IF(SUMIFS(tblDaily[TransfersIn],tblDaily[EntryDate],DATE(2026,2,10),tblDaily[WardCode],"FAE")=0,"",SUMIFS(tblDaily[TransfersIn],tblDaily[EntryDate],DATE(2026,2,10),tblDaily[WardCode],"FAE")),"")</f>
        <v/>
      </c>
      <c r="G55" s="5" t="str">
        <f>IFERROR(IF(SUMIFS(tblDaily[TransfersOut],tblDaily[EntryDate],DATE(2026,2,10),tblDaily[WardCode],"FAE")=0,"",SUMIFS(tblDaily[TransfersOut],tblDaily[EntryDate],DATE(2026,2,10),tblDaily[WardCode],"FAE")),"")</f>
        <v/>
      </c>
      <c r="H55" s="5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IFERROR(IF(SUMIFS(tblDaily[Admissions],tblDaily[EntryDate],DATE(2026,2,11),tblDaily[WardCode],"FAE")=0,"",SUMIFS(tblDaily[Admissions],tblDaily[EntryDate],DATE(2026,2,11),tblDaily[WardCode],"FAE")),"")</f>
        <v/>
      </c>
      <c r="C56" s="5" t="str">
        <f>IFERROR(IF(SUMIFS(tblDaily[Discharges],tblDaily[EntryDate],DATE(2026,2,11),tblDaily[WardCode],"FAE")=0,"",SUMIFS(tblDaily[Discharges],tblDaily[EntryDate],DATE(2026,2,11),tblDaily[WardCode],"FAE")),"")</f>
        <v/>
      </c>
      <c r="D56" s="5" t="str">
        <f>IFERROR(IF(SUMIFS(tblDaily[Deaths],tblDaily[EntryDate],DATE(2026,2,11),tblDaily[WardCode],"FAE")=0,"",SUMIFS(tblDaily[Deaths],tblDaily[EntryDate],DATE(2026,2,11),tblDaily[WardCode],"FAE")),"")</f>
        <v/>
      </c>
      <c r="E56" s="5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5" t="str">
        <f>IFERROR(IF(SUMIFS(tblDaily[TransfersIn],tblDaily[EntryDate],DATE(2026,2,11),tblDaily[WardCode],"FAE")=0,"",SUMIFS(tblDaily[TransfersIn],tblDaily[EntryDate],DATE(2026,2,11),tblDaily[WardCode],"FAE")),"")</f>
        <v/>
      </c>
      <c r="G56" s="5" t="str">
        <f>IFERROR(IF(SUMIFS(tblDaily[TransfersOut],tblDaily[EntryDate],DATE(2026,2,11),tblDaily[WardCode],"FAE")=0,"",SUMIFS(tblDaily[TransfersOut],tblDaily[EntryDate],DATE(2026,2,11),tblDaily[WardCode],"FAE")),"")</f>
        <v/>
      </c>
      <c r="H56" s="5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IFERROR(IF(SUMIFS(tblDaily[Admissions],tblDaily[EntryDate],DATE(2026,2,12),tblDaily[WardCode],"FAE")=0,"",SUMIFS(tblDaily[Admissions],tblDaily[EntryDate],DATE(2026,2,12),tblDaily[WardCode],"FAE")),"")</f>
        <v/>
      </c>
      <c r="C57" s="5" t="str">
        <f>IFERROR(IF(SUMIFS(tblDaily[Discharges],tblDaily[EntryDate],DATE(2026,2,12),tblDaily[WardCode],"FAE")=0,"",SUMIFS(tblDaily[Discharges],tblDaily[EntryDate],DATE(2026,2,12),tblDaily[WardCode],"FAE")),"")</f>
        <v/>
      </c>
      <c r="D57" s="5" t="str">
        <f>IFERROR(IF(SUMIFS(tblDaily[Deaths],tblDaily[EntryDate],DATE(2026,2,12),tblDaily[WardCode],"FAE")=0,"",SUMIFS(tblDaily[Deaths],tblDaily[EntryDate],DATE(2026,2,12),tblDaily[WardCode],"FAE")),"")</f>
        <v/>
      </c>
      <c r="E57" s="5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5" t="str">
        <f>IFERROR(IF(SUMIFS(tblDaily[TransfersIn],tblDaily[EntryDate],DATE(2026,2,12),tblDaily[WardCode],"FAE")=0,"",SUMIFS(tblDaily[TransfersIn],tblDaily[EntryDate],DATE(2026,2,12),tblDaily[WardCode],"FAE")),"")</f>
        <v/>
      </c>
      <c r="G57" s="5" t="str">
        <f>IFERROR(IF(SUMIFS(tblDaily[TransfersOut],tblDaily[EntryDate],DATE(2026,2,12),tblDaily[WardCode],"FAE")=0,"",SUMIFS(tblDaily[TransfersOut],tblDaily[EntryDate],DATE(2026,2,12),tblDaily[WardCode],"FAE")),"")</f>
        <v/>
      </c>
      <c r="H57" s="5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IFERROR(IF(SUMIFS(tblDaily[Admissions],tblDaily[EntryDate],DATE(2026,2,13),tblDaily[WardCode],"FAE")=0,"",SUMIFS(tblDaily[Admissions],tblDaily[EntryDate],DATE(2026,2,13),tblDaily[WardCode],"FAE")),"")</f>
        <v/>
      </c>
      <c r="C58" s="5" t="str">
        <f>IFERROR(IF(SUMIFS(tblDaily[Discharges],tblDaily[EntryDate],DATE(2026,2,13),tblDaily[WardCode],"FAE")=0,"",SUMIFS(tblDaily[Discharges],tblDaily[EntryDate],DATE(2026,2,13),tblDaily[WardCode],"FAE")),"")</f>
        <v/>
      </c>
      <c r="D58" s="5" t="str">
        <f>IFERROR(IF(SUMIFS(tblDaily[Deaths],tblDaily[EntryDate],DATE(2026,2,13),tblDaily[WardCode],"FAE")=0,"",SUMIFS(tblDaily[Deaths],tblDaily[EntryDate],DATE(2026,2,13),tblDaily[WardCode],"FAE")),"")</f>
        <v/>
      </c>
      <c r="E58" s="5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5" t="str">
        <f>IFERROR(IF(SUMIFS(tblDaily[TransfersIn],tblDaily[EntryDate],DATE(2026,2,13),tblDaily[WardCode],"FAE")=0,"",SUMIFS(tblDaily[TransfersIn],tblDaily[EntryDate],DATE(2026,2,13),tblDaily[WardCode],"FAE")),"")</f>
        <v/>
      </c>
      <c r="G58" s="5" t="str">
        <f>IFERROR(IF(SUMIFS(tblDaily[TransfersOut],tblDaily[EntryDate],DATE(2026,2,13),tblDaily[WardCode],"FAE")=0,"",SUMIFS(tblDaily[TransfersOut],tblDaily[EntryDate],DATE(2026,2,13),tblDaily[WardCode],"FAE")),"")</f>
        <v/>
      </c>
      <c r="H58" s="5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IFERROR(IF(SUMIFS(tblDaily[Admissions],tblDaily[EntryDate],DATE(2026,2,14),tblDaily[WardCode],"FAE")=0,"",SUMIFS(tblDaily[Admissions],tblDaily[EntryDate],DATE(2026,2,14),tblDaily[WardCode],"FAE")),"")</f>
        <v/>
      </c>
      <c r="C59" s="5" t="str">
        <f>IFERROR(IF(SUMIFS(tblDaily[Discharges],tblDaily[EntryDate],DATE(2026,2,14),tblDaily[WardCode],"FAE")=0,"",SUMIFS(tblDaily[Discharges],tblDaily[EntryDate],DATE(2026,2,14),tblDaily[WardCode],"FAE")),"")</f>
        <v/>
      </c>
      <c r="D59" s="5" t="str">
        <f>IFERROR(IF(SUMIFS(tblDaily[Deaths],tblDaily[EntryDate],DATE(2026,2,14),tblDaily[WardCode],"FAE")=0,"",SUMIFS(tblDaily[Deaths],tblDaily[EntryDate],DATE(2026,2,14),tblDaily[WardCode],"FAE")),"")</f>
        <v/>
      </c>
      <c r="E59" s="5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5" t="str">
        <f>IFERROR(IF(SUMIFS(tblDaily[TransfersIn],tblDaily[EntryDate],DATE(2026,2,14),tblDaily[WardCode],"FAE")=0,"",SUMIFS(tblDaily[TransfersIn],tblDaily[EntryDate],DATE(2026,2,14),tblDaily[WardCode],"FAE")),"")</f>
        <v/>
      </c>
      <c r="G59" s="5" t="str">
        <f>IFERROR(IF(SUMIFS(tblDaily[TransfersOut],tblDaily[EntryDate],DATE(2026,2,14),tblDaily[WardCode],"FAE")=0,"",SUMIFS(tblDaily[TransfersOut],tblDaily[EntryDate],DATE(2026,2,14),tblDaily[WardCode],"FAE")),"")</f>
        <v/>
      </c>
      <c r="H59" s="5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IFERROR(IF(SUMIFS(tblDaily[Admissions],tblDaily[EntryDate],DATE(2026,2,15),tblDaily[WardCode],"FAE")=0,"",SUMIFS(tblDaily[Admissions],tblDaily[EntryDate],DATE(2026,2,15),tblDaily[WardCode],"FAE")),"")</f>
        <v/>
      </c>
      <c r="C60" s="5" t="str">
        <f>IFERROR(IF(SUMIFS(tblDaily[Discharges],tblDaily[EntryDate],DATE(2026,2,15),tblDaily[WardCode],"FAE")=0,"",SUMIFS(tblDaily[Discharges],tblDaily[EntryDate],DATE(2026,2,15),tblDaily[WardCode],"FAE")),"")</f>
        <v/>
      </c>
      <c r="D60" s="5" t="str">
        <f>IFERROR(IF(SUMIFS(tblDaily[Deaths],tblDaily[EntryDate],DATE(2026,2,15),tblDaily[WardCode],"FAE")=0,"",SUMIFS(tblDaily[Deaths],tblDaily[EntryDate],DATE(2026,2,15),tblDaily[WardCode],"FAE")),"")</f>
        <v/>
      </c>
      <c r="E60" s="5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5" t="str">
        <f>IFERROR(IF(SUMIFS(tblDaily[TransfersIn],tblDaily[EntryDate],DATE(2026,2,15),tblDaily[WardCode],"FAE")=0,"",SUMIFS(tblDaily[TransfersIn],tblDaily[EntryDate],DATE(2026,2,15),tblDaily[WardCode],"FAE")),"")</f>
        <v/>
      </c>
      <c r="G60" s="5" t="str">
        <f>IFERROR(IF(SUMIFS(tblDaily[TransfersOut],tblDaily[EntryDate],DATE(2026,2,15),tblDaily[WardCode],"FAE")=0,"",SUMIFS(tblDaily[TransfersOut],tblDaily[EntryDate],DATE(2026,2,15),tblDaily[WardCode],"FAE")),"")</f>
        <v/>
      </c>
      <c r="H60" s="5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IFERROR(IF(SUMIFS(tblDaily[Admissions],tblDaily[EntryDate],DATE(2026,2,16),tblDaily[WardCode],"FAE")=0,"",SUMIFS(tblDaily[Admissions],tblDaily[EntryDate],DATE(2026,2,16),tblDaily[WardCode],"FAE")),"")</f>
        <v/>
      </c>
      <c r="C61" s="5" t="str">
        <f>IFERROR(IF(SUMIFS(tblDaily[Discharges],tblDaily[EntryDate],DATE(2026,2,16),tblDaily[WardCode],"FAE")=0,"",SUMIFS(tblDaily[Discharges],tblDaily[EntryDate],DATE(2026,2,16),tblDaily[WardCode],"FAE")),"")</f>
        <v/>
      </c>
      <c r="D61" s="5" t="str">
        <f>IFERROR(IF(SUMIFS(tblDaily[Deaths],tblDaily[EntryDate],DATE(2026,2,16),tblDaily[WardCode],"FAE")=0,"",SUMIFS(tblDaily[Deaths],tblDaily[EntryDate],DATE(2026,2,16),tblDaily[WardCode],"FAE")),"")</f>
        <v/>
      </c>
      <c r="E61" s="5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5" t="str">
        <f>IFERROR(IF(SUMIFS(tblDaily[TransfersIn],tblDaily[EntryDate],DATE(2026,2,16),tblDaily[WardCode],"FAE")=0,"",SUMIFS(tblDaily[TransfersIn],tblDaily[EntryDate],DATE(2026,2,16),tblDaily[WardCode],"FAE")),"")</f>
        <v/>
      </c>
      <c r="G61" s="5" t="str">
        <f>IFERROR(IF(SUMIFS(tblDaily[TransfersOut],tblDaily[EntryDate],DATE(2026,2,16),tblDaily[WardCode],"FAE")=0,"",SUMIFS(tblDaily[TransfersOut],tblDaily[EntryDate],DATE(2026,2,16),tblDaily[WardCode],"FAE")),"")</f>
        <v/>
      </c>
      <c r="H61" s="5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IFERROR(IF(SUMIFS(tblDaily[Admissions],tblDaily[EntryDate],DATE(2026,2,17),tblDaily[WardCode],"FAE")=0,"",SUMIFS(tblDaily[Admissions],tblDaily[EntryDate],DATE(2026,2,17),tblDaily[WardCode],"FAE")),"")</f>
        <v/>
      </c>
      <c r="C62" s="5" t="str">
        <f>IFERROR(IF(SUMIFS(tblDaily[Discharges],tblDaily[EntryDate],DATE(2026,2,17),tblDaily[WardCode],"FAE")=0,"",SUMIFS(tblDaily[Discharges],tblDaily[EntryDate],DATE(2026,2,17),tblDaily[WardCode],"FAE")),"")</f>
        <v/>
      </c>
      <c r="D62" s="5" t="str">
        <f>IFERROR(IF(SUMIFS(tblDaily[Deaths],tblDaily[EntryDate],DATE(2026,2,17),tblDaily[WardCode],"FAE")=0,"",SUMIFS(tblDaily[Deaths],tblDaily[EntryDate],DATE(2026,2,17),tblDaily[WardCode],"FAE")),"")</f>
        <v/>
      </c>
      <c r="E62" s="5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5" t="str">
        <f>IFERROR(IF(SUMIFS(tblDaily[TransfersIn],tblDaily[EntryDate],DATE(2026,2,17),tblDaily[WardCode],"FAE")=0,"",SUMIFS(tblDaily[TransfersIn],tblDaily[EntryDate],DATE(2026,2,17),tblDaily[WardCode],"FAE")),"")</f>
        <v/>
      </c>
      <c r="G62" s="5" t="str">
        <f>IFERROR(IF(SUMIFS(tblDaily[TransfersOut],tblDaily[EntryDate],DATE(2026,2,17),tblDaily[WardCode],"FAE")=0,"",SUMIFS(tblDaily[TransfersOut],tblDaily[EntryDate],DATE(2026,2,17),tblDaily[WardCode],"FAE")),"")</f>
        <v/>
      </c>
      <c r="H62" s="5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IFERROR(IF(SUMIFS(tblDaily[Admissions],tblDaily[EntryDate],DATE(2026,2,18),tblDaily[WardCode],"FAE")=0,"",SUMIFS(tblDaily[Admissions],tblDaily[EntryDate],DATE(2026,2,18),tblDaily[WardCode],"FAE")),"")</f>
        <v/>
      </c>
      <c r="C63" s="5" t="str">
        <f>IFERROR(IF(SUMIFS(tblDaily[Discharges],tblDaily[EntryDate],DATE(2026,2,18),tblDaily[WardCode],"FAE")=0,"",SUMIFS(tblDaily[Discharges],tblDaily[EntryDate],DATE(2026,2,18),tblDaily[WardCode],"FAE")),"")</f>
        <v/>
      </c>
      <c r="D63" s="5" t="str">
        <f>IFERROR(IF(SUMIFS(tblDaily[Deaths],tblDaily[EntryDate],DATE(2026,2,18),tblDaily[WardCode],"FAE")=0,"",SUMIFS(tblDaily[Deaths],tblDaily[EntryDate],DATE(2026,2,18),tblDaily[WardCode],"FAE")),"")</f>
        <v/>
      </c>
      <c r="E63" s="5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5" t="str">
        <f>IFERROR(IF(SUMIFS(tblDaily[TransfersIn],tblDaily[EntryDate],DATE(2026,2,18),tblDaily[WardCode],"FAE")=0,"",SUMIFS(tblDaily[TransfersIn],tblDaily[EntryDate],DATE(2026,2,18),tblDaily[WardCode],"FAE")),"")</f>
        <v/>
      </c>
      <c r="G63" s="5" t="str">
        <f>IFERROR(IF(SUMIFS(tblDaily[TransfersOut],tblDaily[EntryDate],DATE(2026,2,18),tblDaily[WardCode],"FAE")=0,"",SUMIFS(tblDaily[TransfersOut],tblDaily[EntryDate],DATE(2026,2,18),tblDaily[WardCode],"FAE")),"")</f>
        <v/>
      </c>
      <c r="H63" s="5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IFERROR(IF(SUMIFS(tblDaily[Admissions],tblDaily[EntryDate],DATE(2026,2,19),tblDaily[WardCode],"FAE")=0,"",SUMIFS(tblDaily[Admissions],tblDaily[EntryDate],DATE(2026,2,19),tblDaily[WardCode],"FAE")),"")</f>
        <v/>
      </c>
      <c r="C64" s="5" t="str">
        <f>IFERROR(IF(SUMIFS(tblDaily[Discharges],tblDaily[EntryDate],DATE(2026,2,19),tblDaily[WardCode],"FAE")=0,"",SUMIFS(tblDaily[Discharges],tblDaily[EntryDate],DATE(2026,2,19),tblDaily[WardCode],"FAE")),"")</f>
        <v/>
      </c>
      <c r="D64" s="5" t="str">
        <f>IFERROR(IF(SUMIFS(tblDaily[Deaths],tblDaily[EntryDate],DATE(2026,2,19),tblDaily[WardCode],"FAE")=0,"",SUMIFS(tblDaily[Deaths],tblDaily[EntryDate],DATE(2026,2,19),tblDaily[WardCode],"FAE")),"")</f>
        <v/>
      </c>
      <c r="E64" s="5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5" t="str">
        <f>IFERROR(IF(SUMIFS(tblDaily[TransfersIn],tblDaily[EntryDate],DATE(2026,2,19),tblDaily[WardCode],"FAE")=0,"",SUMIFS(tblDaily[TransfersIn],tblDaily[EntryDate],DATE(2026,2,19),tblDaily[WardCode],"FAE")),"")</f>
        <v/>
      </c>
      <c r="G64" s="5" t="str">
        <f>IFERROR(IF(SUMIFS(tblDaily[TransfersOut],tblDaily[EntryDate],DATE(2026,2,19),tblDaily[WardCode],"FAE")=0,"",SUMIFS(tblDaily[TransfersOut],tblDaily[EntryDate],DATE(2026,2,19),tblDaily[WardCode],"FAE")),"")</f>
        <v/>
      </c>
      <c r="H64" s="5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IFERROR(IF(SUMIFS(tblDaily[Admissions],tblDaily[EntryDate],DATE(2026,2,20),tblDaily[WardCode],"FAE")=0,"",SUMIFS(tblDaily[Admissions],tblDaily[EntryDate],DATE(2026,2,20),tblDaily[WardCode],"FAE")),"")</f>
        <v/>
      </c>
      <c r="C65" s="5" t="str">
        <f>IFERROR(IF(SUMIFS(tblDaily[Discharges],tblDaily[EntryDate],DATE(2026,2,20),tblDaily[WardCode],"FAE")=0,"",SUMIFS(tblDaily[Discharges],tblDaily[EntryDate],DATE(2026,2,20),tblDaily[WardCode],"FAE")),"")</f>
        <v/>
      </c>
      <c r="D65" s="5" t="str">
        <f>IFERROR(IF(SUMIFS(tblDaily[Deaths],tblDaily[EntryDate],DATE(2026,2,20),tblDaily[WardCode],"FAE")=0,"",SUMIFS(tblDaily[Deaths],tblDaily[EntryDate],DATE(2026,2,20),tblDaily[WardCode],"FAE")),"")</f>
        <v/>
      </c>
      <c r="E65" s="5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5" t="str">
        <f>IFERROR(IF(SUMIFS(tblDaily[TransfersIn],tblDaily[EntryDate],DATE(2026,2,20),tblDaily[WardCode],"FAE")=0,"",SUMIFS(tblDaily[TransfersIn],tblDaily[EntryDate],DATE(2026,2,20),tblDaily[WardCode],"FAE")),"")</f>
        <v/>
      </c>
      <c r="G65" s="5" t="str">
        <f>IFERROR(IF(SUMIFS(tblDaily[TransfersOut],tblDaily[EntryDate],DATE(2026,2,20),tblDaily[WardCode],"FAE")=0,"",SUMIFS(tblDaily[TransfersOut],tblDaily[EntryDate],DATE(2026,2,20),tblDaily[WardCode],"FAE")),"")</f>
        <v/>
      </c>
      <c r="H65" s="5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IFERROR(IF(SUMIFS(tblDaily[Admissions],tblDaily[EntryDate],DATE(2026,2,21),tblDaily[WardCode],"FAE")=0,"",SUMIFS(tblDaily[Admissions],tblDaily[EntryDate],DATE(2026,2,21),tblDaily[WardCode],"FAE")),"")</f>
        <v/>
      </c>
      <c r="C66" s="5" t="str">
        <f>IFERROR(IF(SUMIFS(tblDaily[Discharges],tblDaily[EntryDate],DATE(2026,2,21),tblDaily[WardCode],"FAE")=0,"",SUMIFS(tblDaily[Discharges],tblDaily[EntryDate],DATE(2026,2,21),tblDaily[WardCode],"FAE")),"")</f>
        <v/>
      </c>
      <c r="D66" s="5" t="str">
        <f>IFERROR(IF(SUMIFS(tblDaily[Deaths],tblDaily[EntryDate],DATE(2026,2,21),tblDaily[WardCode],"FAE")=0,"",SUMIFS(tblDaily[Deaths],tblDaily[EntryDate],DATE(2026,2,21),tblDaily[WardCode],"FAE")),"")</f>
        <v/>
      </c>
      <c r="E66" s="5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5" t="str">
        <f>IFERROR(IF(SUMIFS(tblDaily[TransfersIn],tblDaily[EntryDate],DATE(2026,2,21),tblDaily[WardCode],"FAE")=0,"",SUMIFS(tblDaily[TransfersIn],tblDaily[EntryDate],DATE(2026,2,21),tblDaily[WardCode],"FAE")),"")</f>
        <v/>
      </c>
      <c r="G66" s="5" t="str">
        <f>IFERROR(IF(SUMIFS(tblDaily[TransfersOut],tblDaily[EntryDate],DATE(2026,2,21),tblDaily[WardCode],"FAE")=0,"",SUMIFS(tblDaily[TransfersOut],tblDaily[EntryDate],DATE(2026,2,21),tblDaily[WardCode],"FAE")),"")</f>
        <v/>
      </c>
      <c r="H66" s="5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IFERROR(IF(SUMIFS(tblDaily[Admissions],tblDaily[EntryDate],DATE(2026,2,22),tblDaily[WardCode],"FAE")=0,"",SUMIFS(tblDaily[Admissions],tblDaily[EntryDate],DATE(2026,2,22),tblDaily[WardCode],"FAE")),"")</f>
        <v/>
      </c>
      <c r="C67" s="5" t="str">
        <f>IFERROR(IF(SUMIFS(tblDaily[Discharges],tblDaily[EntryDate],DATE(2026,2,22),tblDaily[WardCode],"FAE")=0,"",SUMIFS(tblDaily[Discharges],tblDaily[EntryDate],DATE(2026,2,22),tblDaily[WardCode],"FAE")),"")</f>
        <v/>
      </c>
      <c r="D67" s="5" t="str">
        <f>IFERROR(IF(SUMIFS(tblDaily[Deaths],tblDaily[EntryDate],DATE(2026,2,22),tblDaily[WardCode],"FAE")=0,"",SUMIFS(tblDaily[Deaths],tblDaily[EntryDate],DATE(2026,2,22),tblDaily[WardCode],"FAE")),"")</f>
        <v/>
      </c>
      <c r="E67" s="5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5" t="str">
        <f>IFERROR(IF(SUMIFS(tblDaily[TransfersIn],tblDaily[EntryDate],DATE(2026,2,22),tblDaily[WardCode],"FAE")=0,"",SUMIFS(tblDaily[TransfersIn],tblDaily[EntryDate],DATE(2026,2,22),tblDaily[WardCode],"FAE")),"")</f>
        <v/>
      </c>
      <c r="G67" s="5" t="str">
        <f>IFERROR(IF(SUMIFS(tblDaily[TransfersOut],tblDaily[EntryDate],DATE(2026,2,22),tblDaily[WardCode],"FAE")=0,"",SUMIFS(tblDaily[TransfersOut],tblDaily[EntryDate],DATE(2026,2,22),tblDaily[WardCode],"FAE")),"")</f>
        <v/>
      </c>
      <c r="H67" s="5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IFERROR(IF(SUMIFS(tblDaily[Admissions],tblDaily[EntryDate],DATE(2026,2,23),tblDaily[WardCode],"FAE")=0,"",SUMIFS(tblDaily[Admissions],tblDaily[EntryDate],DATE(2026,2,23),tblDaily[WardCode],"FAE")),"")</f>
        <v/>
      </c>
      <c r="C68" s="5" t="str">
        <f>IFERROR(IF(SUMIFS(tblDaily[Discharges],tblDaily[EntryDate],DATE(2026,2,23),tblDaily[WardCode],"FAE")=0,"",SUMIFS(tblDaily[Discharges],tblDaily[EntryDate],DATE(2026,2,23),tblDaily[WardCode],"FAE")),"")</f>
        <v/>
      </c>
      <c r="D68" s="5" t="str">
        <f>IFERROR(IF(SUMIFS(tblDaily[Deaths],tblDaily[EntryDate],DATE(2026,2,23),tblDaily[WardCode],"FAE")=0,"",SUMIFS(tblDaily[Deaths],tblDaily[EntryDate],DATE(2026,2,23),tblDaily[WardCode],"FAE")),"")</f>
        <v/>
      </c>
      <c r="E68" s="5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5" t="str">
        <f>IFERROR(IF(SUMIFS(tblDaily[TransfersIn],tblDaily[EntryDate],DATE(2026,2,23),tblDaily[WardCode],"FAE")=0,"",SUMIFS(tblDaily[TransfersIn],tblDaily[EntryDate],DATE(2026,2,23),tblDaily[WardCode],"FAE")),"")</f>
        <v/>
      </c>
      <c r="G68" s="5" t="str">
        <f>IFERROR(IF(SUMIFS(tblDaily[TransfersOut],tblDaily[EntryDate],DATE(2026,2,23),tblDaily[WardCode],"FAE")=0,"",SUMIFS(tblDaily[TransfersOut],tblDaily[EntryDate],DATE(2026,2,23),tblDaily[WardCode],"FAE")),"")</f>
        <v/>
      </c>
      <c r="H68" s="5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IFERROR(IF(SUMIFS(tblDaily[Admissions],tblDaily[EntryDate],DATE(2026,2,24),tblDaily[WardCode],"FAE")=0,"",SUMIFS(tblDaily[Admissions],tblDaily[EntryDate],DATE(2026,2,24),tblDaily[WardCode],"FAE")),"")</f>
        <v/>
      </c>
      <c r="C69" s="5" t="str">
        <f>IFERROR(IF(SUMIFS(tblDaily[Discharges],tblDaily[EntryDate],DATE(2026,2,24),tblDaily[WardCode],"FAE")=0,"",SUMIFS(tblDaily[Discharges],tblDaily[EntryDate],DATE(2026,2,24),tblDaily[WardCode],"FAE")),"")</f>
        <v/>
      </c>
      <c r="D69" s="5" t="str">
        <f>IFERROR(IF(SUMIFS(tblDaily[Deaths],tblDaily[EntryDate],DATE(2026,2,24),tblDaily[WardCode],"FAE")=0,"",SUMIFS(tblDaily[Deaths],tblDaily[EntryDate],DATE(2026,2,24),tblDaily[WardCode],"FAE")),"")</f>
        <v/>
      </c>
      <c r="E69" s="5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5" t="str">
        <f>IFERROR(IF(SUMIFS(tblDaily[TransfersIn],tblDaily[EntryDate],DATE(2026,2,24),tblDaily[WardCode],"FAE")=0,"",SUMIFS(tblDaily[TransfersIn],tblDaily[EntryDate],DATE(2026,2,24),tblDaily[WardCode],"FAE")),"")</f>
        <v/>
      </c>
      <c r="G69" s="5" t="str">
        <f>IFERROR(IF(SUMIFS(tblDaily[TransfersOut],tblDaily[EntryDate],DATE(2026,2,24),tblDaily[WardCode],"FAE")=0,"",SUMIFS(tblDaily[TransfersOut],tblDaily[EntryDate],DATE(2026,2,24),tblDaily[WardCode],"FAE")),"")</f>
        <v/>
      </c>
      <c r="H69" s="5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IFERROR(IF(SUMIFS(tblDaily[Admissions],tblDaily[EntryDate],DATE(2026,2,25),tblDaily[WardCode],"FAE")=0,"",SUMIFS(tblDaily[Admissions],tblDaily[EntryDate],DATE(2026,2,25),tblDaily[WardCode],"FAE")),"")</f>
        <v/>
      </c>
      <c r="C70" s="5" t="str">
        <f>IFERROR(IF(SUMIFS(tblDaily[Discharges],tblDaily[EntryDate],DATE(2026,2,25),tblDaily[WardCode],"FAE")=0,"",SUMIFS(tblDaily[Discharges],tblDaily[EntryDate],DATE(2026,2,25),tblDaily[WardCode],"FAE")),"")</f>
        <v/>
      </c>
      <c r="D70" s="5" t="str">
        <f>IFERROR(IF(SUMIFS(tblDaily[Deaths],tblDaily[EntryDate],DATE(2026,2,25),tblDaily[WardCode],"FAE")=0,"",SUMIFS(tblDaily[Deaths],tblDaily[EntryDate],DATE(2026,2,25),tblDaily[WardCode],"FAE")),"")</f>
        <v/>
      </c>
      <c r="E70" s="5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5" t="str">
        <f>IFERROR(IF(SUMIFS(tblDaily[TransfersIn],tblDaily[EntryDate],DATE(2026,2,25),tblDaily[WardCode],"FAE")=0,"",SUMIFS(tblDaily[TransfersIn],tblDaily[EntryDate],DATE(2026,2,25),tblDaily[WardCode],"FAE")),"")</f>
        <v/>
      </c>
      <c r="G70" s="5" t="str">
        <f>IFERROR(IF(SUMIFS(tblDaily[TransfersOut],tblDaily[EntryDate],DATE(2026,2,25),tblDaily[WardCode],"FAE")=0,"",SUMIFS(tblDaily[TransfersOut],tblDaily[EntryDate],DATE(2026,2,25),tblDaily[WardCode],"FAE")),"")</f>
        <v/>
      </c>
      <c r="H70" s="5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IFERROR(IF(SUMIFS(tblDaily[Admissions],tblDaily[EntryDate],DATE(2026,2,26),tblDaily[WardCode],"FAE")=0,"",SUMIFS(tblDaily[Admissions],tblDaily[EntryDate],DATE(2026,2,26),tblDaily[WardCode],"FAE")),"")</f>
        <v/>
      </c>
      <c r="C71" s="5" t="str">
        <f>IFERROR(IF(SUMIFS(tblDaily[Discharges],tblDaily[EntryDate],DATE(2026,2,26),tblDaily[WardCode],"FAE")=0,"",SUMIFS(tblDaily[Discharges],tblDaily[EntryDate],DATE(2026,2,26),tblDaily[WardCode],"FAE")),"")</f>
        <v/>
      </c>
      <c r="D71" s="5" t="str">
        <f>IFERROR(IF(SUMIFS(tblDaily[Deaths],tblDaily[EntryDate],DATE(2026,2,26),tblDaily[WardCode],"FAE")=0,"",SUMIFS(tblDaily[Deaths],tblDaily[EntryDate],DATE(2026,2,26),tblDaily[WardCode],"FAE")),"")</f>
        <v/>
      </c>
      <c r="E71" s="5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5" t="str">
        <f>IFERROR(IF(SUMIFS(tblDaily[TransfersIn],tblDaily[EntryDate],DATE(2026,2,26),tblDaily[WardCode],"FAE")=0,"",SUMIFS(tblDaily[TransfersIn],tblDaily[EntryDate],DATE(2026,2,26),tblDaily[WardCode],"FAE")),"")</f>
        <v/>
      </c>
      <c r="G71" s="5" t="str">
        <f>IFERROR(IF(SUMIFS(tblDaily[TransfersOut],tblDaily[EntryDate],DATE(2026,2,26),tblDaily[WardCode],"FAE")=0,"",SUMIFS(tblDaily[TransfersOut],tblDaily[EntryDate],DATE(2026,2,26),tblDaily[WardCode],"FAE")),"")</f>
        <v/>
      </c>
      <c r="H71" s="5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IFERROR(IF(SUMIFS(tblDaily[Admissions],tblDaily[EntryDate],DATE(2026,2,27),tblDaily[WardCode],"FAE")=0,"",SUMIFS(tblDaily[Admissions],tblDaily[EntryDate],DATE(2026,2,27),tblDaily[WardCode],"FAE")),"")</f>
        <v/>
      </c>
      <c r="C72" s="5" t="str">
        <f>IFERROR(IF(SUMIFS(tblDaily[Discharges],tblDaily[EntryDate],DATE(2026,2,27),tblDaily[WardCode],"FAE")=0,"",SUMIFS(tblDaily[Discharges],tblDaily[EntryDate],DATE(2026,2,27),tblDaily[WardCode],"FAE")),"")</f>
        <v/>
      </c>
      <c r="D72" s="5" t="str">
        <f>IFERROR(IF(SUMIFS(tblDaily[Deaths],tblDaily[EntryDate],DATE(2026,2,27),tblDaily[WardCode],"FAE")=0,"",SUMIFS(tblDaily[Deaths],tblDaily[EntryDate],DATE(2026,2,27),tblDaily[WardCode],"FAE")),"")</f>
        <v/>
      </c>
      <c r="E72" s="5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5" t="str">
        <f>IFERROR(IF(SUMIFS(tblDaily[TransfersIn],tblDaily[EntryDate],DATE(2026,2,27),tblDaily[WardCode],"FAE")=0,"",SUMIFS(tblDaily[TransfersIn],tblDaily[EntryDate],DATE(2026,2,27),tblDaily[WardCode],"FAE")),"")</f>
        <v/>
      </c>
      <c r="G72" s="5" t="str">
        <f>IFERROR(IF(SUMIFS(tblDaily[TransfersOut],tblDaily[EntryDate],DATE(2026,2,27),tblDaily[WardCode],"FAE")=0,"",SUMIFS(tblDaily[TransfersOut],tblDaily[EntryDate],DATE(2026,2,27),tblDaily[WardCode],"FAE")),"")</f>
        <v/>
      </c>
      <c r="H72" s="5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IFERROR(IF(SUMIFS(tblDaily[Admissions],tblDaily[EntryDate],DATE(2026,2,28),tblDaily[WardCode],"FAE")=0,"",SUMIFS(tblDaily[Admissions],tblDaily[EntryDate],DATE(2026,2,28),tblDaily[WardCode],"FAE")),"")</f>
        <v/>
      </c>
      <c r="C73" s="5" t="str">
        <f>IFERROR(IF(SUMIFS(tblDaily[Discharges],tblDaily[EntryDate],DATE(2026,2,28),tblDaily[WardCode],"FAE")=0,"",SUMIFS(tblDaily[Discharges],tblDaily[EntryDate],DATE(2026,2,28),tblDaily[WardCode],"FAE")),"")</f>
        <v/>
      </c>
      <c r="D73" s="5" t="str">
        <f>IFERROR(IF(SUMIFS(tblDaily[Deaths],tblDaily[EntryDate],DATE(2026,2,28),tblDaily[WardCode],"FAE")=0,"",SUMIFS(tblDaily[Deaths],tblDaily[EntryDate],DATE(2026,2,28),tblDaily[WardCode],"FAE")),"")</f>
        <v/>
      </c>
      <c r="E73" s="5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5" t="str">
        <f>IFERROR(IF(SUMIFS(tblDaily[TransfersIn],tblDaily[EntryDate],DATE(2026,2,28),tblDaily[WardCode],"FAE")=0,"",SUMIFS(tblDaily[TransfersIn],tblDaily[EntryDate],DATE(2026,2,28),tblDaily[WardCode],"FAE")),"")</f>
        <v/>
      </c>
      <c r="G73" s="5" t="str">
        <f>IFERROR(IF(SUMIFS(tblDaily[TransfersOut],tblDaily[EntryDate],DATE(2026,2,28),tblDaily[WardCode],"FAE")=0,"",SUMIFS(tblDaily[TransfersOut],tblDaily[EntryDate],DATE(2026,2,28),tblDaily[WardCode],"FAE")),"")</f>
        <v/>
      </c>
      <c r="H73" s="5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16" t="s">
        <v>0</v>
      </c>
      <c r="B79" s="17"/>
      <c r="C79" s="17"/>
      <c r="D79" s="17"/>
      <c r="E79" s="17"/>
      <c r="F79" s="17"/>
      <c r="G79" s="17"/>
      <c r="H79" s="17"/>
    </row>
    <row r="80" spans="1:8" ht="15.75" x14ac:dyDescent="0.25">
      <c r="A80" s="21" t="s">
        <v>84</v>
      </c>
      <c r="B80" s="17"/>
      <c r="C80" s="17"/>
      <c r="D80" s="17"/>
      <c r="E80" s="17"/>
      <c r="F80" s="17"/>
      <c r="G80" s="17"/>
      <c r="H80" s="17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103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89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IFERROR(IF(SUMIFS(tblDaily[Admissions],tblDaily[EntryDate],DATE(2026,3,1),tblDaily[WardCode],"FAE")=0,"",SUMIFS(tblDaily[Admissions],tblDaily[EntryDate],DATE(2026,3,1),tblDaily[WardCode],"FAE")),"")</f>
        <v/>
      </c>
      <c r="C85" s="5" t="str">
        <f>IFERROR(IF(SUMIFS(tblDaily[Discharges],tblDaily[EntryDate],DATE(2026,3,1),tblDaily[WardCode],"FAE")=0,"",SUMIFS(tblDaily[Discharges],tblDaily[EntryDate],DATE(2026,3,1),tblDaily[WardCode],"FAE")),"")</f>
        <v/>
      </c>
      <c r="D85" s="5" t="str">
        <f>IFERROR(IF(SUMIFS(tblDaily[Deaths],tblDaily[EntryDate],DATE(2026,3,1),tblDaily[WardCode],"FAE")=0,"",SUMIFS(tblDaily[Deaths],tblDaily[EntryDate],DATE(2026,3,1),tblDaily[WardCode],"FAE")),"")</f>
        <v/>
      </c>
      <c r="E85" s="5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5" t="str">
        <f>IFERROR(IF(SUMIFS(tblDaily[TransfersIn],tblDaily[EntryDate],DATE(2026,3,1),tblDaily[WardCode],"FAE")=0,"",SUMIFS(tblDaily[TransfersIn],tblDaily[EntryDate],DATE(2026,3,1),tblDaily[WardCode],"FAE")),"")</f>
        <v/>
      </c>
      <c r="G85" s="5" t="str">
        <f>IFERROR(IF(SUMIFS(tblDaily[TransfersOut],tblDaily[EntryDate],DATE(2026,3,1),tblDaily[WardCode],"FAE")=0,"",SUMIFS(tblDaily[TransfersOut],tblDaily[EntryDate],DATE(2026,3,1),tblDaily[WardCode],"FAE")),"")</f>
        <v/>
      </c>
      <c r="H85" s="5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IFERROR(IF(SUMIFS(tblDaily[Admissions],tblDaily[EntryDate],DATE(2026,3,2),tblDaily[WardCode],"FAE")=0,"",SUMIFS(tblDaily[Admissions],tblDaily[EntryDate],DATE(2026,3,2),tblDaily[WardCode],"FAE")),"")</f>
        <v/>
      </c>
      <c r="C86" s="5" t="str">
        <f>IFERROR(IF(SUMIFS(tblDaily[Discharges],tblDaily[EntryDate],DATE(2026,3,2),tblDaily[WardCode],"FAE")=0,"",SUMIFS(tblDaily[Discharges],tblDaily[EntryDate],DATE(2026,3,2),tblDaily[WardCode],"FAE")),"")</f>
        <v/>
      </c>
      <c r="D86" s="5" t="str">
        <f>IFERROR(IF(SUMIFS(tblDaily[Deaths],tblDaily[EntryDate],DATE(2026,3,2),tblDaily[WardCode],"FAE")=0,"",SUMIFS(tblDaily[Deaths],tblDaily[EntryDate],DATE(2026,3,2),tblDaily[WardCode],"FAE")),"")</f>
        <v/>
      </c>
      <c r="E86" s="5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5" t="str">
        <f>IFERROR(IF(SUMIFS(tblDaily[TransfersIn],tblDaily[EntryDate],DATE(2026,3,2),tblDaily[WardCode],"FAE")=0,"",SUMIFS(tblDaily[TransfersIn],tblDaily[EntryDate],DATE(2026,3,2),tblDaily[WardCode],"FAE")),"")</f>
        <v/>
      </c>
      <c r="G86" s="5" t="str">
        <f>IFERROR(IF(SUMIFS(tblDaily[TransfersOut],tblDaily[EntryDate],DATE(2026,3,2),tblDaily[WardCode],"FAE")=0,"",SUMIFS(tblDaily[TransfersOut],tblDaily[EntryDate],DATE(2026,3,2),tblDaily[WardCode],"FAE")),"")</f>
        <v/>
      </c>
      <c r="H86" s="5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IFERROR(IF(SUMIFS(tblDaily[Admissions],tblDaily[EntryDate],DATE(2026,3,3),tblDaily[WardCode],"FAE")=0,"",SUMIFS(tblDaily[Admissions],tblDaily[EntryDate],DATE(2026,3,3),tblDaily[WardCode],"FAE")),"")</f>
        <v/>
      </c>
      <c r="C87" s="5" t="str">
        <f>IFERROR(IF(SUMIFS(tblDaily[Discharges],tblDaily[EntryDate],DATE(2026,3,3),tblDaily[WardCode],"FAE")=0,"",SUMIFS(tblDaily[Discharges],tblDaily[EntryDate],DATE(2026,3,3),tblDaily[WardCode],"FAE")),"")</f>
        <v/>
      </c>
      <c r="D87" s="5" t="str">
        <f>IFERROR(IF(SUMIFS(tblDaily[Deaths],tblDaily[EntryDate],DATE(2026,3,3),tblDaily[WardCode],"FAE")=0,"",SUMIFS(tblDaily[Deaths],tblDaily[EntryDate],DATE(2026,3,3),tblDaily[WardCode],"FAE")),"")</f>
        <v/>
      </c>
      <c r="E87" s="5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5" t="str">
        <f>IFERROR(IF(SUMIFS(tblDaily[TransfersIn],tblDaily[EntryDate],DATE(2026,3,3),tblDaily[WardCode],"FAE")=0,"",SUMIFS(tblDaily[TransfersIn],tblDaily[EntryDate],DATE(2026,3,3),tblDaily[WardCode],"FAE")),"")</f>
        <v/>
      </c>
      <c r="G87" s="5" t="str">
        <f>IFERROR(IF(SUMIFS(tblDaily[TransfersOut],tblDaily[EntryDate],DATE(2026,3,3),tblDaily[WardCode],"FAE")=0,"",SUMIFS(tblDaily[TransfersOut],tblDaily[EntryDate],DATE(2026,3,3),tblDaily[WardCode],"FAE")),"")</f>
        <v/>
      </c>
      <c r="H87" s="5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IFERROR(IF(SUMIFS(tblDaily[Admissions],tblDaily[EntryDate],DATE(2026,3,4),tblDaily[WardCode],"FAE")=0,"",SUMIFS(tblDaily[Admissions],tblDaily[EntryDate],DATE(2026,3,4),tblDaily[WardCode],"FAE")),"")</f>
        <v/>
      </c>
      <c r="C88" s="5" t="str">
        <f>IFERROR(IF(SUMIFS(tblDaily[Discharges],tblDaily[EntryDate],DATE(2026,3,4),tblDaily[WardCode],"FAE")=0,"",SUMIFS(tblDaily[Discharges],tblDaily[EntryDate],DATE(2026,3,4),tblDaily[WardCode],"FAE")),"")</f>
        <v/>
      </c>
      <c r="D88" s="5" t="str">
        <f>IFERROR(IF(SUMIFS(tblDaily[Deaths],tblDaily[EntryDate],DATE(2026,3,4),tblDaily[WardCode],"FAE")=0,"",SUMIFS(tblDaily[Deaths],tblDaily[EntryDate],DATE(2026,3,4),tblDaily[WardCode],"FAE")),"")</f>
        <v/>
      </c>
      <c r="E88" s="5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5" t="str">
        <f>IFERROR(IF(SUMIFS(tblDaily[TransfersIn],tblDaily[EntryDate],DATE(2026,3,4),tblDaily[WardCode],"FAE")=0,"",SUMIFS(tblDaily[TransfersIn],tblDaily[EntryDate],DATE(2026,3,4),tblDaily[WardCode],"FAE")),"")</f>
        <v/>
      </c>
      <c r="G88" s="5" t="str">
        <f>IFERROR(IF(SUMIFS(tblDaily[TransfersOut],tblDaily[EntryDate],DATE(2026,3,4),tblDaily[WardCode],"FAE")=0,"",SUMIFS(tblDaily[TransfersOut],tblDaily[EntryDate],DATE(2026,3,4),tblDaily[WardCode],"FAE")),"")</f>
        <v/>
      </c>
      <c r="H88" s="5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IFERROR(IF(SUMIFS(tblDaily[Admissions],tblDaily[EntryDate],DATE(2026,3,5),tblDaily[WardCode],"FAE")=0,"",SUMIFS(tblDaily[Admissions],tblDaily[EntryDate],DATE(2026,3,5),tblDaily[WardCode],"FAE")),"")</f>
        <v/>
      </c>
      <c r="C89" s="5" t="str">
        <f>IFERROR(IF(SUMIFS(tblDaily[Discharges],tblDaily[EntryDate],DATE(2026,3,5),tblDaily[WardCode],"FAE")=0,"",SUMIFS(tblDaily[Discharges],tblDaily[EntryDate],DATE(2026,3,5),tblDaily[WardCode],"FAE")),"")</f>
        <v/>
      </c>
      <c r="D89" s="5" t="str">
        <f>IFERROR(IF(SUMIFS(tblDaily[Deaths],tblDaily[EntryDate],DATE(2026,3,5),tblDaily[WardCode],"FAE")=0,"",SUMIFS(tblDaily[Deaths],tblDaily[EntryDate],DATE(2026,3,5),tblDaily[WardCode],"FAE")),"")</f>
        <v/>
      </c>
      <c r="E89" s="5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5" t="str">
        <f>IFERROR(IF(SUMIFS(tblDaily[TransfersIn],tblDaily[EntryDate],DATE(2026,3,5),tblDaily[WardCode],"FAE")=0,"",SUMIFS(tblDaily[TransfersIn],tblDaily[EntryDate],DATE(2026,3,5),tblDaily[WardCode],"FAE")),"")</f>
        <v/>
      </c>
      <c r="G89" s="5" t="str">
        <f>IFERROR(IF(SUMIFS(tblDaily[TransfersOut],tblDaily[EntryDate],DATE(2026,3,5),tblDaily[WardCode],"FAE")=0,"",SUMIFS(tblDaily[TransfersOut],tblDaily[EntryDate],DATE(2026,3,5),tblDaily[WardCode],"FAE")),"")</f>
        <v/>
      </c>
      <c r="H89" s="5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IFERROR(IF(SUMIFS(tblDaily[Admissions],tblDaily[EntryDate],DATE(2026,3,6),tblDaily[WardCode],"FAE")=0,"",SUMIFS(tblDaily[Admissions],tblDaily[EntryDate],DATE(2026,3,6),tblDaily[WardCode],"FAE")),"")</f>
        <v/>
      </c>
      <c r="C90" s="5" t="str">
        <f>IFERROR(IF(SUMIFS(tblDaily[Discharges],tblDaily[EntryDate],DATE(2026,3,6),tblDaily[WardCode],"FAE")=0,"",SUMIFS(tblDaily[Discharges],tblDaily[EntryDate],DATE(2026,3,6),tblDaily[WardCode],"FAE")),"")</f>
        <v/>
      </c>
      <c r="D90" s="5" t="str">
        <f>IFERROR(IF(SUMIFS(tblDaily[Deaths],tblDaily[EntryDate],DATE(2026,3,6),tblDaily[WardCode],"FAE")=0,"",SUMIFS(tblDaily[Deaths],tblDaily[EntryDate],DATE(2026,3,6),tblDaily[WardCode],"FAE")),"")</f>
        <v/>
      </c>
      <c r="E90" s="5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5" t="str">
        <f>IFERROR(IF(SUMIFS(tblDaily[TransfersIn],tblDaily[EntryDate],DATE(2026,3,6),tblDaily[WardCode],"FAE")=0,"",SUMIFS(tblDaily[TransfersIn],tblDaily[EntryDate],DATE(2026,3,6),tblDaily[WardCode],"FAE")),"")</f>
        <v/>
      </c>
      <c r="G90" s="5" t="str">
        <f>IFERROR(IF(SUMIFS(tblDaily[TransfersOut],tblDaily[EntryDate],DATE(2026,3,6),tblDaily[WardCode],"FAE")=0,"",SUMIFS(tblDaily[TransfersOut],tblDaily[EntryDate],DATE(2026,3,6),tblDaily[WardCode],"FAE")),"")</f>
        <v/>
      </c>
      <c r="H90" s="5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IFERROR(IF(SUMIFS(tblDaily[Admissions],tblDaily[EntryDate],DATE(2026,3,7),tblDaily[WardCode],"FAE")=0,"",SUMIFS(tblDaily[Admissions],tblDaily[EntryDate],DATE(2026,3,7),tblDaily[WardCode],"FAE")),"")</f>
        <v/>
      </c>
      <c r="C91" s="5" t="str">
        <f>IFERROR(IF(SUMIFS(tblDaily[Discharges],tblDaily[EntryDate],DATE(2026,3,7),tblDaily[WardCode],"FAE")=0,"",SUMIFS(tblDaily[Discharges],tblDaily[EntryDate],DATE(2026,3,7),tblDaily[WardCode],"FAE")),"")</f>
        <v/>
      </c>
      <c r="D91" s="5" t="str">
        <f>IFERROR(IF(SUMIFS(tblDaily[Deaths],tblDaily[EntryDate],DATE(2026,3,7),tblDaily[WardCode],"FAE")=0,"",SUMIFS(tblDaily[Deaths],tblDaily[EntryDate],DATE(2026,3,7),tblDaily[WardCode],"FAE")),"")</f>
        <v/>
      </c>
      <c r="E91" s="5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5" t="str">
        <f>IFERROR(IF(SUMIFS(tblDaily[TransfersIn],tblDaily[EntryDate],DATE(2026,3,7),tblDaily[WardCode],"FAE")=0,"",SUMIFS(tblDaily[TransfersIn],tblDaily[EntryDate],DATE(2026,3,7),tblDaily[WardCode],"FAE")),"")</f>
        <v/>
      </c>
      <c r="G91" s="5" t="str">
        <f>IFERROR(IF(SUMIFS(tblDaily[TransfersOut],tblDaily[EntryDate],DATE(2026,3,7),tblDaily[WardCode],"FAE")=0,"",SUMIFS(tblDaily[TransfersOut],tblDaily[EntryDate],DATE(2026,3,7),tblDaily[WardCode],"FAE")),"")</f>
        <v/>
      </c>
      <c r="H91" s="5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IFERROR(IF(SUMIFS(tblDaily[Admissions],tblDaily[EntryDate],DATE(2026,3,8),tblDaily[WardCode],"FAE")=0,"",SUMIFS(tblDaily[Admissions],tblDaily[EntryDate],DATE(2026,3,8),tblDaily[WardCode],"FAE")),"")</f>
        <v/>
      </c>
      <c r="C92" s="5" t="str">
        <f>IFERROR(IF(SUMIFS(tblDaily[Discharges],tblDaily[EntryDate],DATE(2026,3,8),tblDaily[WardCode],"FAE")=0,"",SUMIFS(tblDaily[Discharges],tblDaily[EntryDate],DATE(2026,3,8),tblDaily[WardCode],"FAE")),"")</f>
        <v/>
      </c>
      <c r="D92" s="5" t="str">
        <f>IFERROR(IF(SUMIFS(tblDaily[Deaths],tblDaily[EntryDate],DATE(2026,3,8),tblDaily[WardCode],"FAE")=0,"",SUMIFS(tblDaily[Deaths],tblDaily[EntryDate],DATE(2026,3,8),tblDaily[WardCode],"FAE")),"")</f>
        <v/>
      </c>
      <c r="E92" s="5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5" t="str">
        <f>IFERROR(IF(SUMIFS(tblDaily[TransfersIn],tblDaily[EntryDate],DATE(2026,3,8),tblDaily[WardCode],"FAE")=0,"",SUMIFS(tblDaily[TransfersIn],tblDaily[EntryDate],DATE(2026,3,8),tblDaily[WardCode],"FAE")),"")</f>
        <v/>
      </c>
      <c r="G92" s="5" t="str">
        <f>IFERROR(IF(SUMIFS(tblDaily[TransfersOut],tblDaily[EntryDate],DATE(2026,3,8),tblDaily[WardCode],"FAE")=0,"",SUMIFS(tblDaily[TransfersOut],tblDaily[EntryDate],DATE(2026,3,8),tblDaily[WardCode],"FAE")),"")</f>
        <v/>
      </c>
      <c r="H92" s="5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IFERROR(IF(SUMIFS(tblDaily[Admissions],tblDaily[EntryDate],DATE(2026,3,9),tblDaily[WardCode],"FAE")=0,"",SUMIFS(tblDaily[Admissions],tblDaily[EntryDate],DATE(2026,3,9),tblDaily[WardCode],"FAE")),"")</f>
        <v/>
      </c>
      <c r="C93" s="5" t="str">
        <f>IFERROR(IF(SUMIFS(tblDaily[Discharges],tblDaily[EntryDate],DATE(2026,3,9),tblDaily[WardCode],"FAE")=0,"",SUMIFS(tblDaily[Discharges],tblDaily[EntryDate],DATE(2026,3,9),tblDaily[WardCode],"FAE")),"")</f>
        <v/>
      </c>
      <c r="D93" s="5" t="str">
        <f>IFERROR(IF(SUMIFS(tblDaily[Deaths],tblDaily[EntryDate],DATE(2026,3,9),tblDaily[WardCode],"FAE")=0,"",SUMIFS(tblDaily[Deaths],tblDaily[EntryDate],DATE(2026,3,9),tblDaily[WardCode],"FAE")),"")</f>
        <v/>
      </c>
      <c r="E93" s="5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5" t="str">
        <f>IFERROR(IF(SUMIFS(tblDaily[TransfersIn],tblDaily[EntryDate],DATE(2026,3,9),tblDaily[WardCode],"FAE")=0,"",SUMIFS(tblDaily[TransfersIn],tblDaily[EntryDate],DATE(2026,3,9),tblDaily[WardCode],"FAE")),"")</f>
        <v/>
      </c>
      <c r="G93" s="5" t="str">
        <f>IFERROR(IF(SUMIFS(tblDaily[TransfersOut],tblDaily[EntryDate],DATE(2026,3,9),tblDaily[WardCode],"FAE")=0,"",SUMIFS(tblDaily[TransfersOut],tblDaily[EntryDate],DATE(2026,3,9),tblDaily[WardCode],"FAE")),"")</f>
        <v/>
      </c>
      <c r="H93" s="5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IFERROR(IF(SUMIFS(tblDaily[Admissions],tblDaily[EntryDate],DATE(2026,3,10),tblDaily[WardCode],"FAE")=0,"",SUMIFS(tblDaily[Admissions],tblDaily[EntryDate],DATE(2026,3,10),tblDaily[WardCode],"FAE")),"")</f>
        <v/>
      </c>
      <c r="C94" s="5" t="str">
        <f>IFERROR(IF(SUMIFS(tblDaily[Discharges],tblDaily[EntryDate],DATE(2026,3,10),tblDaily[WardCode],"FAE")=0,"",SUMIFS(tblDaily[Discharges],tblDaily[EntryDate],DATE(2026,3,10),tblDaily[WardCode],"FAE")),"")</f>
        <v/>
      </c>
      <c r="D94" s="5" t="str">
        <f>IFERROR(IF(SUMIFS(tblDaily[Deaths],tblDaily[EntryDate],DATE(2026,3,10),tblDaily[WardCode],"FAE")=0,"",SUMIFS(tblDaily[Deaths],tblDaily[EntryDate],DATE(2026,3,10),tblDaily[WardCode],"FAE")),"")</f>
        <v/>
      </c>
      <c r="E94" s="5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5" t="str">
        <f>IFERROR(IF(SUMIFS(tblDaily[TransfersIn],tblDaily[EntryDate],DATE(2026,3,10),tblDaily[WardCode],"FAE")=0,"",SUMIFS(tblDaily[TransfersIn],tblDaily[EntryDate],DATE(2026,3,10),tblDaily[WardCode],"FAE")),"")</f>
        <v/>
      </c>
      <c r="G94" s="5" t="str">
        <f>IFERROR(IF(SUMIFS(tblDaily[TransfersOut],tblDaily[EntryDate],DATE(2026,3,10),tblDaily[WardCode],"FAE")=0,"",SUMIFS(tblDaily[TransfersOut],tblDaily[EntryDate],DATE(2026,3,10),tblDaily[WardCode],"FAE")),"")</f>
        <v/>
      </c>
      <c r="H94" s="5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IFERROR(IF(SUMIFS(tblDaily[Admissions],tblDaily[EntryDate],DATE(2026,3,11),tblDaily[WardCode],"FAE")=0,"",SUMIFS(tblDaily[Admissions],tblDaily[EntryDate],DATE(2026,3,11),tblDaily[WardCode],"FAE")),"")</f>
        <v/>
      </c>
      <c r="C95" s="5" t="str">
        <f>IFERROR(IF(SUMIFS(tblDaily[Discharges],tblDaily[EntryDate],DATE(2026,3,11),tblDaily[WardCode],"FAE")=0,"",SUMIFS(tblDaily[Discharges],tblDaily[EntryDate],DATE(2026,3,11),tblDaily[WardCode],"FAE")),"")</f>
        <v/>
      </c>
      <c r="D95" s="5" t="str">
        <f>IFERROR(IF(SUMIFS(tblDaily[Deaths],tblDaily[EntryDate],DATE(2026,3,11),tblDaily[WardCode],"FAE")=0,"",SUMIFS(tblDaily[Deaths],tblDaily[EntryDate],DATE(2026,3,11),tblDaily[WardCode],"FAE")),"")</f>
        <v/>
      </c>
      <c r="E95" s="5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5" t="str">
        <f>IFERROR(IF(SUMIFS(tblDaily[TransfersIn],tblDaily[EntryDate],DATE(2026,3,11),tblDaily[WardCode],"FAE")=0,"",SUMIFS(tblDaily[TransfersIn],tblDaily[EntryDate],DATE(2026,3,11),tblDaily[WardCode],"FAE")),"")</f>
        <v/>
      </c>
      <c r="G95" s="5" t="str">
        <f>IFERROR(IF(SUMIFS(tblDaily[TransfersOut],tblDaily[EntryDate],DATE(2026,3,11),tblDaily[WardCode],"FAE")=0,"",SUMIFS(tblDaily[TransfersOut],tblDaily[EntryDate],DATE(2026,3,11),tblDaily[WardCode],"FAE")),"")</f>
        <v/>
      </c>
      <c r="H95" s="5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IFERROR(IF(SUMIFS(tblDaily[Admissions],tblDaily[EntryDate],DATE(2026,3,12),tblDaily[WardCode],"FAE")=0,"",SUMIFS(tblDaily[Admissions],tblDaily[EntryDate],DATE(2026,3,12),tblDaily[WardCode],"FAE")),"")</f>
        <v/>
      </c>
      <c r="C96" s="5" t="str">
        <f>IFERROR(IF(SUMIFS(tblDaily[Discharges],tblDaily[EntryDate],DATE(2026,3,12),tblDaily[WardCode],"FAE")=0,"",SUMIFS(tblDaily[Discharges],tblDaily[EntryDate],DATE(2026,3,12),tblDaily[WardCode],"FAE")),"")</f>
        <v/>
      </c>
      <c r="D96" s="5" t="str">
        <f>IFERROR(IF(SUMIFS(tblDaily[Deaths],tblDaily[EntryDate],DATE(2026,3,12),tblDaily[WardCode],"FAE")=0,"",SUMIFS(tblDaily[Deaths],tblDaily[EntryDate],DATE(2026,3,12),tblDaily[WardCode],"FAE")),"")</f>
        <v/>
      </c>
      <c r="E96" s="5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5" t="str">
        <f>IFERROR(IF(SUMIFS(tblDaily[TransfersIn],tblDaily[EntryDate],DATE(2026,3,12),tblDaily[WardCode],"FAE")=0,"",SUMIFS(tblDaily[TransfersIn],tblDaily[EntryDate],DATE(2026,3,12),tblDaily[WardCode],"FAE")),"")</f>
        <v/>
      </c>
      <c r="G96" s="5" t="str">
        <f>IFERROR(IF(SUMIFS(tblDaily[TransfersOut],tblDaily[EntryDate],DATE(2026,3,12),tblDaily[WardCode],"FAE")=0,"",SUMIFS(tblDaily[TransfersOut],tblDaily[EntryDate],DATE(2026,3,12),tblDaily[WardCode],"FAE")),"")</f>
        <v/>
      </c>
      <c r="H96" s="5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IFERROR(IF(SUMIFS(tblDaily[Admissions],tblDaily[EntryDate],DATE(2026,3,13),tblDaily[WardCode],"FAE")=0,"",SUMIFS(tblDaily[Admissions],tblDaily[EntryDate],DATE(2026,3,13),tblDaily[WardCode],"FAE")),"")</f>
        <v/>
      </c>
      <c r="C97" s="5" t="str">
        <f>IFERROR(IF(SUMIFS(tblDaily[Discharges],tblDaily[EntryDate],DATE(2026,3,13),tblDaily[WardCode],"FAE")=0,"",SUMIFS(tblDaily[Discharges],tblDaily[EntryDate],DATE(2026,3,13),tblDaily[WardCode],"FAE")),"")</f>
        <v/>
      </c>
      <c r="D97" s="5" t="str">
        <f>IFERROR(IF(SUMIFS(tblDaily[Deaths],tblDaily[EntryDate],DATE(2026,3,13),tblDaily[WardCode],"FAE")=0,"",SUMIFS(tblDaily[Deaths],tblDaily[EntryDate],DATE(2026,3,13),tblDaily[WardCode],"FAE")),"")</f>
        <v/>
      </c>
      <c r="E97" s="5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5" t="str">
        <f>IFERROR(IF(SUMIFS(tblDaily[TransfersIn],tblDaily[EntryDate],DATE(2026,3,13),tblDaily[WardCode],"FAE")=0,"",SUMIFS(tblDaily[TransfersIn],tblDaily[EntryDate],DATE(2026,3,13),tblDaily[WardCode],"FAE")),"")</f>
        <v/>
      </c>
      <c r="G97" s="5" t="str">
        <f>IFERROR(IF(SUMIFS(tblDaily[TransfersOut],tblDaily[EntryDate],DATE(2026,3,13),tblDaily[WardCode],"FAE")=0,"",SUMIFS(tblDaily[TransfersOut],tblDaily[EntryDate],DATE(2026,3,13),tblDaily[WardCode],"FAE")),"")</f>
        <v/>
      </c>
      <c r="H97" s="5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IFERROR(IF(SUMIFS(tblDaily[Admissions],tblDaily[EntryDate],DATE(2026,3,14),tblDaily[WardCode],"FAE")=0,"",SUMIFS(tblDaily[Admissions],tblDaily[EntryDate],DATE(2026,3,14),tblDaily[WardCode],"FAE")),"")</f>
        <v/>
      </c>
      <c r="C98" s="5" t="str">
        <f>IFERROR(IF(SUMIFS(tblDaily[Discharges],tblDaily[EntryDate],DATE(2026,3,14),tblDaily[WardCode],"FAE")=0,"",SUMIFS(tblDaily[Discharges],tblDaily[EntryDate],DATE(2026,3,14),tblDaily[WardCode],"FAE")),"")</f>
        <v/>
      </c>
      <c r="D98" s="5" t="str">
        <f>IFERROR(IF(SUMIFS(tblDaily[Deaths],tblDaily[EntryDate],DATE(2026,3,14),tblDaily[WardCode],"FAE")=0,"",SUMIFS(tblDaily[Deaths],tblDaily[EntryDate],DATE(2026,3,14),tblDaily[WardCode],"FAE")),"")</f>
        <v/>
      </c>
      <c r="E98" s="5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5" t="str">
        <f>IFERROR(IF(SUMIFS(tblDaily[TransfersIn],tblDaily[EntryDate],DATE(2026,3,14),tblDaily[WardCode],"FAE")=0,"",SUMIFS(tblDaily[TransfersIn],tblDaily[EntryDate],DATE(2026,3,14),tblDaily[WardCode],"FAE")),"")</f>
        <v/>
      </c>
      <c r="G98" s="5" t="str">
        <f>IFERROR(IF(SUMIFS(tblDaily[TransfersOut],tblDaily[EntryDate],DATE(2026,3,14),tblDaily[WardCode],"FAE")=0,"",SUMIFS(tblDaily[TransfersOut],tblDaily[EntryDate],DATE(2026,3,14),tblDaily[WardCode],"FAE")),"")</f>
        <v/>
      </c>
      <c r="H98" s="5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IFERROR(IF(SUMIFS(tblDaily[Admissions],tblDaily[EntryDate],DATE(2026,3,15),tblDaily[WardCode],"FAE")=0,"",SUMIFS(tblDaily[Admissions],tblDaily[EntryDate],DATE(2026,3,15),tblDaily[WardCode],"FAE")),"")</f>
        <v/>
      </c>
      <c r="C99" s="5" t="str">
        <f>IFERROR(IF(SUMIFS(tblDaily[Discharges],tblDaily[EntryDate],DATE(2026,3,15),tblDaily[WardCode],"FAE")=0,"",SUMIFS(tblDaily[Discharges],tblDaily[EntryDate],DATE(2026,3,15),tblDaily[WardCode],"FAE")),"")</f>
        <v/>
      </c>
      <c r="D99" s="5" t="str">
        <f>IFERROR(IF(SUMIFS(tblDaily[Deaths],tblDaily[EntryDate],DATE(2026,3,15),tblDaily[WardCode],"FAE")=0,"",SUMIFS(tblDaily[Deaths],tblDaily[EntryDate],DATE(2026,3,15),tblDaily[WardCode],"FAE")),"")</f>
        <v/>
      </c>
      <c r="E99" s="5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5" t="str">
        <f>IFERROR(IF(SUMIFS(tblDaily[TransfersIn],tblDaily[EntryDate],DATE(2026,3,15),tblDaily[WardCode],"FAE")=0,"",SUMIFS(tblDaily[TransfersIn],tblDaily[EntryDate],DATE(2026,3,15),tblDaily[WardCode],"FAE")),"")</f>
        <v/>
      </c>
      <c r="G99" s="5" t="str">
        <f>IFERROR(IF(SUMIFS(tblDaily[TransfersOut],tblDaily[EntryDate],DATE(2026,3,15),tblDaily[WardCode],"FAE")=0,"",SUMIFS(tblDaily[TransfersOut],tblDaily[EntryDate],DATE(2026,3,15),tblDaily[WardCode],"FAE")),"")</f>
        <v/>
      </c>
      <c r="H99" s="5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IFERROR(IF(SUMIFS(tblDaily[Admissions],tblDaily[EntryDate],DATE(2026,3,16),tblDaily[WardCode],"FAE")=0,"",SUMIFS(tblDaily[Admissions],tblDaily[EntryDate],DATE(2026,3,16),tblDaily[WardCode],"FAE")),"")</f>
        <v/>
      </c>
      <c r="C100" s="5" t="str">
        <f>IFERROR(IF(SUMIFS(tblDaily[Discharges],tblDaily[EntryDate],DATE(2026,3,16),tblDaily[WardCode],"FAE")=0,"",SUMIFS(tblDaily[Discharges],tblDaily[EntryDate],DATE(2026,3,16),tblDaily[WardCode],"FAE")),"")</f>
        <v/>
      </c>
      <c r="D100" s="5" t="str">
        <f>IFERROR(IF(SUMIFS(tblDaily[Deaths],tblDaily[EntryDate],DATE(2026,3,16),tblDaily[WardCode],"FAE")=0,"",SUMIFS(tblDaily[Deaths],tblDaily[EntryDate],DATE(2026,3,16),tblDaily[WardCode],"FAE")),"")</f>
        <v/>
      </c>
      <c r="E100" s="5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5" t="str">
        <f>IFERROR(IF(SUMIFS(tblDaily[TransfersIn],tblDaily[EntryDate],DATE(2026,3,16),tblDaily[WardCode],"FAE")=0,"",SUMIFS(tblDaily[TransfersIn],tblDaily[EntryDate],DATE(2026,3,16),tblDaily[WardCode],"FAE")),"")</f>
        <v/>
      </c>
      <c r="G100" s="5" t="str">
        <f>IFERROR(IF(SUMIFS(tblDaily[TransfersOut],tblDaily[EntryDate],DATE(2026,3,16),tblDaily[WardCode],"FAE")=0,"",SUMIFS(tblDaily[TransfersOut],tblDaily[EntryDate],DATE(2026,3,16),tblDaily[WardCode],"FAE")),"")</f>
        <v/>
      </c>
      <c r="H100" s="5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IFERROR(IF(SUMIFS(tblDaily[Admissions],tblDaily[EntryDate],DATE(2026,3,17),tblDaily[WardCode],"FAE")=0,"",SUMIFS(tblDaily[Admissions],tblDaily[EntryDate],DATE(2026,3,17),tblDaily[WardCode],"FAE")),"")</f>
        <v/>
      </c>
      <c r="C101" s="5" t="str">
        <f>IFERROR(IF(SUMIFS(tblDaily[Discharges],tblDaily[EntryDate],DATE(2026,3,17),tblDaily[WardCode],"FAE")=0,"",SUMIFS(tblDaily[Discharges],tblDaily[EntryDate],DATE(2026,3,17),tblDaily[WardCode],"FAE")),"")</f>
        <v/>
      </c>
      <c r="D101" s="5" t="str">
        <f>IFERROR(IF(SUMIFS(tblDaily[Deaths],tblDaily[EntryDate],DATE(2026,3,17),tblDaily[WardCode],"FAE")=0,"",SUMIFS(tblDaily[Deaths],tblDaily[EntryDate],DATE(2026,3,17),tblDaily[WardCode],"FAE")),"")</f>
        <v/>
      </c>
      <c r="E101" s="5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5" t="str">
        <f>IFERROR(IF(SUMIFS(tblDaily[TransfersIn],tblDaily[EntryDate],DATE(2026,3,17),tblDaily[WardCode],"FAE")=0,"",SUMIFS(tblDaily[TransfersIn],tblDaily[EntryDate],DATE(2026,3,17),tblDaily[WardCode],"FAE")),"")</f>
        <v/>
      </c>
      <c r="G101" s="5" t="str">
        <f>IFERROR(IF(SUMIFS(tblDaily[TransfersOut],tblDaily[EntryDate],DATE(2026,3,17),tblDaily[WardCode],"FAE")=0,"",SUMIFS(tblDaily[TransfersOut],tblDaily[EntryDate],DATE(2026,3,17),tblDaily[WardCode],"FAE")),"")</f>
        <v/>
      </c>
      <c r="H101" s="5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IFERROR(IF(SUMIFS(tblDaily[Admissions],tblDaily[EntryDate],DATE(2026,3,18),tblDaily[WardCode],"FAE")=0,"",SUMIFS(tblDaily[Admissions],tblDaily[EntryDate],DATE(2026,3,18),tblDaily[WardCode],"FAE")),"")</f>
        <v/>
      </c>
      <c r="C102" s="5" t="str">
        <f>IFERROR(IF(SUMIFS(tblDaily[Discharges],tblDaily[EntryDate],DATE(2026,3,18),tblDaily[WardCode],"FAE")=0,"",SUMIFS(tblDaily[Discharges],tblDaily[EntryDate],DATE(2026,3,18),tblDaily[WardCode],"FAE")),"")</f>
        <v/>
      </c>
      <c r="D102" s="5" t="str">
        <f>IFERROR(IF(SUMIFS(tblDaily[Deaths],tblDaily[EntryDate],DATE(2026,3,18),tblDaily[WardCode],"FAE")=0,"",SUMIFS(tblDaily[Deaths],tblDaily[EntryDate],DATE(2026,3,18),tblDaily[WardCode],"FAE")),"")</f>
        <v/>
      </c>
      <c r="E102" s="5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5" t="str">
        <f>IFERROR(IF(SUMIFS(tblDaily[TransfersIn],tblDaily[EntryDate],DATE(2026,3,18),tblDaily[WardCode],"FAE")=0,"",SUMIFS(tblDaily[TransfersIn],tblDaily[EntryDate],DATE(2026,3,18),tblDaily[WardCode],"FAE")),"")</f>
        <v/>
      </c>
      <c r="G102" s="5" t="str">
        <f>IFERROR(IF(SUMIFS(tblDaily[TransfersOut],tblDaily[EntryDate],DATE(2026,3,18),tblDaily[WardCode],"FAE")=0,"",SUMIFS(tblDaily[TransfersOut],tblDaily[EntryDate],DATE(2026,3,18),tblDaily[WardCode],"FAE")),"")</f>
        <v/>
      </c>
      <c r="H102" s="5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IFERROR(IF(SUMIFS(tblDaily[Admissions],tblDaily[EntryDate],DATE(2026,3,19),tblDaily[WardCode],"FAE")=0,"",SUMIFS(tblDaily[Admissions],tblDaily[EntryDate],DATE(2026,3,19),tblDaily[WardCode],"FAE")),"")</f>
        <v/>
      </c>
      <c r="C103" s="5" t="str">
        <f>IFERROR(IF(SUMIFS(tblDaily[Discharges],tblDaily[EntryDate],DATE(2026,3,19),tblDaily[WardCode],"FAE")=0,"",SUMIFS(tblDaily[Discharges],tblDaily[EntryDate],DATE(2026,3,19),tblDaily[WardCode],"FAE")),"")</f>
        <v/>
      </c>
      <c r="D103" s="5" t="str">
        <f>IFERROR(IF(SUMIFS(tblDaily[Deaths],tblDaily[EntryDate],DATE(2026,3,19),tblDaily[WardCode],"FAE")=0,"",SUMIFS(tblDaily[Deaths],tblDaily[EntryDate],DATE(2026,3,19),tblDaily[WardCode],"FAE")),"")</f>
        <v/>
      </c>
      <c r="E103" s="5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5" t="str">
        <f>IFERROR(IF(SUMIFS(tblDaily[TransfersIn],tblDaily[EntryDate],DATE(2026,3,19),tblDaily[WardCode],"FAE")=0,"",SUMIFS(tblDaily[TransfersIn],tblDaily[EntryDate],DATE(2026,3,19),tblDaily[WardCode],"FAE")),"")</f>
        <v/>
      </c>
      <c r="G103" s="5" t="str">
        <f>IFERROR(IF(SUMIFS(tblDaily[TransfersOut],tblDaily[EntryDate],DATE(2026,3,19),tblDaily[WardCode],"FAE")=0,"",SUMIFS(tblDaily[TransfersOut],tblDaily[EntryDate],DATE(2026,3,19),tblDaily[WardCode],"FAE")),"")</f>
        <v/>
      </c>
      <c r="H103" s="5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IFERROR(IF(SUMIFS(tblDaily[Admissions],tblDaily[EntryDate],DATE(2026,3,20),tblDaily[WardCode],"FAE")=0,"",SUMIFS(tblDaily[Admissions],tblDaily[EntryDate],DATE(2026,3,20),tblDaily[WardCode],"FAE")),"")</f>
        <v/>
      </c>
      <c r="C104" s="5" t="str">
        <f>IFERROR(IF(SUMIFS(tblDaily[Discharges],tblDaily[EntryDate],DATE(2026,3,20),tblDaily[WardCode],"FAE")=0,"",SUMIFS(tblDaily[Discharges],tblDaily[EntryDate],DATE(2026,3,20),tblDaily[WardCode],"FAE")),"")</f>
        <v/>
      </c>
      <c r="D104" s="5" t="str">
        <f>IFERROR(IF(SUMIFS(tblDaily[Deaths],tblDaily[EntryDate],DATE(2026,3,20),tblDaily[WardCode],"FAE")=0,"",SUMIFS(tblDaily[Deaths],tblDaily[EntryDate],DATE(2026,3,20),tblDaily[WardCode],"FAE")),"")</f>
        <v/>
      </c>
      <c r="E104" s="5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5" t="str">
        <f>IFERROR(IF(SUMIFS(tblDaily[TransfersIn],tblDaily[EntryDate],DATE(2026,3,20),tblDaily[WardCode],"FAE")=0,"",SUMIFS(tblDaily[TransfersIn],tblDaily[EntryDate],DATE(2026,3,20),tblDaily[WardCode],"FAE")),"")</f>
        <v/>
      </c>
      <c r="G104" s="5" t="str">
        <f>IFERROR(IF(SUMIFS(tblDaily[TransfersOut],tblDaily[EntryDate],DATE(2026,3,20),tblDaily[WardCode],"FAE")=0,"",SUMIFS(tblDaily[TransfersOut],tblDaily[EntryDate],DATE(2026,3,20),tblDaily[WardCode],"FAE")),"")</f>
        <v/>
      </c>
      <c r="H104" s="5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IFERROR(IF(SUMIFS(tblDaily[Admissions],tblDaily[EntryDate],DATE(2026,3,21),tblDaily[WardCode],"FAE")=0,"",SUMIFS(tblDaily[Admissions],tblDaily[EntryDate],DATE(2026,3,21),tblDaily[WardCode],"FAE")),"")</f>
        <v/>
      </c>
      <c r="C105" s="5" t="str">
        <f>IFERROR(IF(SUMIFS(tblDaily[Discharges],tblDaily[EntryDate],DATE(2026,3,21),tblDaily[WardCode],"FAE")=0,"",SUMIFS(tblDaily[Discharges],tblDaily[EntryDate],DATE(2026,3,21),tblDaily[WardCode],"FAE")),"")</f>
        <v/>
      </c>
      <c r="D105" s="5" t="str">
        <f>IFERROR(IF(SUMIFS(tblDaily[Deaths],tblDaily[EntryDate],DATE(2026,3,21),tblDaily[WardCode],"FAE")=0,"",SUMIFS(tblDaily[Deaths],tblDaily[EntryDate],DATE(2026,3,21),tblDaily[WardCode],"FAE")),"")</f>
        <v/>
      </c>
      <c r="E105" s="5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5" t="str">
        <f>IFERROR(IF(SUMIFS(tblDaily[TransfersIn],tblDaily[EntryDate],DATE(2026,3,21),tblDaily[WardCode],"FAE")=0,"",SUMIFS(tblDaily[TransfersIn],tblDaily[EntryDate],DATE(2026,3,21),tblDaily[WardCode],"FAE")),"")</f>
        <v/>
      </c>
      <c r="G105" s="5" t="str">
        <f>IFERROR(IF(SUMIFS(tblDaily[TransfersOut],tblDaily[EntryDate],DATE(2026,3,21),tblDaily[WardCode],"FAE")=0,"",SUMIFS(tblDaily[TransfersOut],tblDaily[EntryDate],DATE(2026,3,21),tblDaily[WardCode],"FAE")),"")</f>
        <v/>
      </c>
      <c r="H105" s="5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IFERROR(IF(SUMIFS(tblDaily[Admissions],tblDaily[EntryDate],DATE(2026,3,22),tblDaily[WardCode],"FAE")=0,"",SUMIFS(tblDaily[Admissions],tblDaily[EntryDate],DATE(2026,3,22),tblDaily[WardCode],"FAE")),"")</f>
        <v/>
      </c>
      <c r="C106" s="5" t="str">
        <f>IFERROR(IF(SUMIFS(tblDaily[Discharges],tblDaily[EntryDate],DATE(2026,3,22),tblDaily[WardCode],"FAE")=0,"",SUMIFS(tblDaily[Discharges],tblDaily[EntryDate],DATE(2026,3,22),tblDaily[WardCode],"FAE")),"")</f>
        <v/>
      </c>
      <c r="D106" s="5" t="str">
        <f>IFERROR(IF(SUMIFS(tblDaily[Deaths],tblDaily[EntryDate],DATE(2026,3,22),tblDaily[WardCode],"FAE")=0,"",SUMIFS(tblDaily[Deaths],tblDaily[EntryDate],DATE(2026,3,22),tblDaily[WardCode],"FAE")),"")</f>
        <v/>
      </c>
      <c r="E106" s="5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5" t="str">
        <f>IFERROR(IF(SUMIFS(tblDaily[TransfersIn],tblDaily[EntryDate],DATE(2026,3,22),tblDaily[WardCode],"FAE")=0,"",SUMIFS(tblDaily[TransfersIn],tblDaily[EntryDate],DATE(2026,3,22),tblDaily[WardCode],"FAE")),"")</f>
        <v/>
      </c>
      <c r="G106" s="5" t="str">
        <f>IFERROR(IF(SUMIFS(tblDaily[TransfersOut],tblDaily[EntryDate],DATE(2026,3,22),tblDaily[WardCode],"FAE")=0,"",SUMIFS(tblDaily[TransfersOut],tblDaily[EntryDate],DATE(2026,3,22),tblDaily[WardCode],"FAE")),"")</f>
        <v/>
      </c>
      <c r="H106" s="5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IFERROR(IF(SUMIFS(tblDaily[Admissions],tblDaily[EntryDate],DATE(2026,3,23),tblDaily[WardCode],"FAE")=0,"",SUMIFS(tblDaily[Admissions],tblDaily[EntryDate],DATE(2026,3,23),tblDaily[WardCode],"FAE")),"")</f>
        <v/>
      </c>
      <c r="C107" s="5" t="str">
        <f>IFERROR(IF(SUMIFS(tblDaily[Discharges],tblDaily[EntryDate],DATE(2026,3,23),tblDaily[WardCode],"FAE")=0,"",SUMIFS(tblDaily[Discharges],tblDaily[EntryDate],DATE(2026,3,23),tblDaily[WardCode],"FAE")),"")</f>
        <v/>
      </c>
      <c r="D107" s="5" t="str">
        <f>IFERROR(IF(SUMIFS(tblDaily[Deaths],tblDaily[EntryDate],DATE(2026,3,23),tblDaily[WardCode],"FAE")=0,"",SUMIFS(tblDaily[Deaths],tblDaily[EntryDate],DATE(2026,3,23),tblDaily[WardCode],"FAE")),"")</f>
        <v/>
      </c>
      <c r="E107" s="5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5" t="str">
        <f>IFERROR(IF(SUMIFS(tblDaily[TransfersIn],tblDaily[EntryDate],DATE(2026,3,23),tblDaily[WardCode],"FAE")=0,"",SUMIFS(tblDaily[TransfersIn],tblDaily[EntryDate],DATE(2026,3,23),tblDaily[WardCode],"FAE")),"")</f>
        <v/>
      </c>
      <c r="G107" s="5" t="str">
        <f>IFERROR(IF(SUMIFS(tblDaily[TransfersOut],tblDaily[EntryDate],DATE(2026,3,23),tblDaily[WardCode],"FAE")=0,"",SUMIFS(tblDaily[TransfersOut],tblDaily[EntryDate],DATE(2026,3,23),tblDaily[WardCode],"FAE")),"")</f>
        <v/>
      </c>
      <c r="H107" s="5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IFERROR(IF(SUMIFS(tblDaily[Admissions],tblDaily[EntryDate],DATE(2026,3,24),tblDaily[WardCode],"FAE")=0,"",SUMIFS(tblDaily[Admissions],tblDaily[EntryDate],DATE(2026,3,24),tblDaily[WardCode],"FAE")),"")</f>
        <v/>
      </c>
      <c r="C108" s="5" t="str">
        <f>IFERROR(IF(SUMIFS(tblDaily[Discharges],tblDaily[EntryDate],DATE(2026,3,24),tblDaily[WardCode],"FAE")=0,"",SUMIFS(tblDaily[Discharges],tblDaily[EntryDate],DATE(2026,3,24),tblDaily[WardCode],"FAE")),"")</f>
        <v/>
      </c>
      <c r="D108" s="5" t="str">
        <f>IFERROR(IF(SUMIFS(tblDaily[Deaths],tblDaily[EntryDate],DATE(2026,3,24),tblDaily[WardCode],"FAE")=0,"",SUMIFS(tblDaily[Deaths],tblDaily[EntryDate],DATE(2026,3,24),tblDaily[WardCode],"FAE")),"")</f>
        <v/>
      </c>
      <c r="E108" s="5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5" t="str">
        <f>IFERROR(IF(SUMIFS(tblDaily[TransfersIn],tblDaily[EntryDate],DATE(2026,3,24),tblDaily[WardCode],"FAE")=0,"",SUMIFS(tblDaily[TransfersIn],tblDaily[EntryDate],DATE(2026,3,24),tblDaily[WardCode],"FAE")),"")</f>
        <v/>
      </c>
      <c r="G108" s="5" t="str">
        <f>IFERROR(IF(SUMIFS(tblDaily[TransfersOut],tblDaily[EntryDate],DATE(2026,3,24),tblDaily[WardCode],"FAE")=0,"",SUMIFS(tblDaily[TransfersOut],tblDaily[EntryDate],DATE(2026,3,24),tblDaily[WardCode],"FAE")),"")</f>
        <v/>
      </c>
      <c r="H108" s="5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IFERROR(IF(SUMIFS(tblDaily[Admissions],tblDaily[EntryDate],DATE(2026,3,25),tblDaily[WardCode],"FAE")=0,"",SUMIFS(tblDaily[Admissions],tblDaily[EntryDate],DATE(2026,3,25),tblDaily[WardCode],"FAE")),"")</f>
        <v/>
      </c>
      <c r="C109" s="5" t="str">
        <f>IFERROR(IF(SUMIFS(tblDaily[Discharges],tblDaily[EntryDate],DATE(2026,3,25),tblDaily[WardCode],"FAE")=0,"",SUMIFS(tblDaily[Discharges],tblDaily[EntryDate],DATE(2026,3,25),tblDaily[WardCode],"FAE")),"")</f>
        <v/>
      </c>
      <c r="D109" s="5" t="str">
        <f>IFERROR(IF(SUMIFS(tblDaily[Deaths],tblDaily[EntryDate],DATE(2026,3,25),tblDaily[WardCode],"FAE")=0,"",SUMIFS(tblDaily[Deaths],tblDaily[EntryDate],DATE(2026,3,25),tblDaily[WardCode],"FAE")),"")</f>
        <v/>
      </c>
      <c r="E109" s="5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5" t="str">
        <f>IFERROR(IF(SUMIFS(tblDaily[TransfersIn],tblDaily[EntryDate],DATE(2026,3,25),tblDaily[WardCode],"FAE")=0,"",SUMIFS(tblDaily[TransfersIn],tblDaily[EntryDate],DATE(2026,3,25),tblDaily[WardCode],"FAE")),"")</f>
        <v/>
      </c>
      <c r="G109" s="5" t="str">
        <f>IFERROR(IF(SUMIFS(tblDaily[TransfersOut],tblDaily[EntryDate],DATE(2026,3,25),tblDaily[WardCode],"FAE")=0,"",SUMIFS(tblDaily[TransfersOut],tblDaily[EntryDate],DATE(2026,3,25),tblDaily[WardCode],"FAE")),"")</f>
        <v/>
      </c>
      <c r="H109" s="5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IFERROR(IF(SUMIFS(tblDaily[Admissions],tblDaily[EntryDate],DATE(2026,3,26),tblDaily[WardCode],"FAE")=0,"",SUMIFS(tblDaily[Admissions],tblDaily[EntryDate],DATE(2026,3,26),tblDaily[WardCode],"FAE")),"")</f>
        <v/>
      </c>
      <c r="C110" s="5" t="str">
        <f>IFERROR(IF(SUMIFS(tblDaily[Discharges],tblDaily[EntryDate],DATE(2026,3,26),tblDaily[WardCode],"FAE")=0,"",SUMIFS(tblDaily[Discharges],tblDaily[EntryDate],DATE(2026,3,26),tblDaily[WardCode],"FAE")),"")</f>
        <v/>
      </c>
      <c r="D110" s="5" t="str">
        <f>IFERROR(IF(SUMIFS(tblDaily[Deaths],tblDaily[EntryDate],DATE(2026,3,26),tblDaily[WardCode],"FAE")=0,"",SUMIFS(tblDaily[Deaths],tblDaily[EntryDate],DATE(2026,3,26),tblDaily[WardCode],"FAE")),"")</f>
        <v/>
      </c>
      <c r="E110" s="5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5" t="str">
        <f>IFERROR(IF(SUMIFS(tblDaily[TransfersIn],tblDaily[EntryDate],DATE(2026,3,26),tblDaily[WardCode],"FAE")=0,"",SUMIFS(tblDaily[TransfersIn],tblDaily[EntryDate],DATE(2026,3,26),tblDaily[WardCode],"FAE")),"")</f>
        <v/>
      </c>
      <c r="G110" s="5" t="str">
        <f>IFERROR(IF(SUMIFS(tblDaily[TransfersOut],tblDaily[EntryDate],DATE(2026,3,26),tblDaily[WardCode],"FAE")=0,"",SUMIFS(tblDaily[TransfersOut],tblDaily[EntryDate],DATE(2026,3,26),tblDaily[WardCode],"FAE")),"")</f>
        <v/>
      </c>
      <c r="H110" s="5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IFERROR(IF(SUMIFS(tblDaily[Admissions],tblDaily[EntryDate],DATE(2026,3,27),tblDaily[WardCode],"FAE")=0,"",SUMIFS(tblDaily[Admissions],tblDaily[EntryDate],DATE(2026,3,27),tblDaily[WardCode],"FAE")),"")</f>
        <v/>
      </c>
      <c r="C111" s="5" t="str">
        <f>IFERROR(IF(SUMIFS(tblDaily[Discharges],tblDaily[EntryDate],DATE(2026,3,27),tblDaily[WardCode],"FAE")=0,"",SUMIFS(tblDaily[Discharges],tblDaily[EntryDate],DATE(2026,3,27),tblDaily[WardCode],"FAE")),"")</f>
        <v/>
      </c>
      <c r="D111" s="5" t="str">
        <f>IFERROR(IF(SUMIFS(tblDaily[Deaths],tblDaily[EntryDate],DATE(2026,3,27),tblDaily[WardCode],"FAE")=0,"",SUMIFS(tblDaily[Deaths],tblDaily[EntryDate],DATE(2026,3,27),tblDaily[WardCode],"FAE")),"")</f>
        <v/>
      </c>
      <c r="E111" s="5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5" t="str">
        <f>IFERROR(IF(SUMIFS(tblDaily[TransfersIn],tblDaily[EntryDate],DATE(2026,3,27),tblDaily[WardCode],"FAE")=0,"",SUMIFS(tblDaily[TransfersIn],tblDaily[EntryDate],DATE(2026,3,27),tblDaily[WardCode],"FAE")),"")</f>
        <v/>
      </c>
      <c r="G111" s="5" t="str">
        <f>IFERROR(IF(SUMIFS(tblDaily[TransfersOut],tblDaily[EntryDate],DATE(2026,3,27),tblDaily[WardCode],"FAE")=0,"",SUMIFS(tblDaily[TransfersOut],tblDaily[EntryDate],DATE(2026,3,27),tblDaily[WardCode],"FAE")),"")</f>
        <v/>
      </c>
      <c r="H111" s="5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IFERROR(IF(SUMIFS(tblDaily[Admissions],tblDaily[EntryDate],DATE(2026,3,28),tblDaily[WardCode],"FAE")=0,"",SUMIFS(tblDaily[Admissions],tblDaily[EntryDate],DATE(2026,3,28),tblDaily[WardCode],"FAE")),"")</f>
        <v/>
      </c>
      <c r="C112" s="5" t="str">
        <f>IFERROR(IF(SUMIFS(tblDaily[Discharges],tblDaily[EntryDate],DATE(2026,3,28),tblDaily[WardCode],"FAE")=0,"",SUMIFS(tblDaily[Discharges],tblDaily[EntryDate],DATE(2026,3,28),tblDaily[WardCode],"FAE")),"")</f>
        <v/>
      </c>
      <c r="D112" s="5" t="str">
        <f>IFERROR(IF(SUMIFS(tblDaily[Deaths],tblDaily[EntryDate],DATE(2026,3,28),tblDaily[WardCode],"FAE")=0,"",SUMIFS(tblDaily[Deaths],tblDaily[EntryDate],DATE(2026,3,28),tblDaily[WardCode],"FAE")),"")</f>
        <v/>
      </c>
      <c r="E112" s="5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5" t="str">
        <f>IFERROR(IF(SUMIFS(tblDaily[TransfersIn],tblDaily[EntryDate],DATE(2026,3,28),tblDaily[WardCode],"FAE")=0,"",SUMIFS(tblDaily[TransfersIn],tblDaily[EntryDate],DATE(2026,3,28),tblDaily[WardCode],"FAE")),"")</f>
        <v/>
      </c>
      <c r="G112" s="5" t="str">
        <f>IFERROR(IF(SUMIFS(tblDaily[TransfersOut],tblDaily[EntryDate],DATE(2026,3,28),tblDaily[WardCode],"FAE")=0,"",SUMIFS(tblDaily[TransfersOut],tblDaily[EntryDate],DATE(2026,3,28),tblDaily[WardCode],"FAE")),"")</f>
        <v/>
      </c>
      <c r="H112" s="5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IFERROR(IF(SUMIFS(tblDaily[Admissions],tblDaily[EntryDate],DATE(2026,3,29),tblDaily[WardCode],"FAE")=0,"",SUMIFS(tblDaily[Admissions],tblDaily[EntryDate],DATE(2026,3,29),tblDaily[WardCode],"FAE")),"")</f>
        <v/>
      </c>
      <c r="C113" s="5" t="str">
        <f>IFERROR(IF(SUMIFS(tblDaily[Discharges],tblDaily[EntryDate],DATE(2026,3,29),tblDaily[WardCode],"FAE")=0,"",SUMIFS(tblDaily[Discharges],tblDaily[EntryDate],DATE(2026,3,29),tblDaily[WardCode],"FAE")),"")</f>
        <v/>
      </c>
      <c r="D113" s="5" t="str">
        <f>IFERROR(IF(SUMIFS(tblDaily[Deaths],tblDaily[EntryDate],DATE(2026,3,29),tblDaily[WardCode],"FAE")=0,"",SUMIFS(tblDaily[Deaths],tblDaily[EntryDate],DATE(2026,3,29),tblDaily[WardCode],"FAE")),"")</f>
        <v/>
      </c>
      <c r="E113" s="5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5" t="str">
        <f>IFERROR(IF(SUMIFS(tblDaily[TransfersIn],tblDaily[EntryDate],DATE(2026,3,29),tblDaily[WardCode],"FAE")=0,"",SUMIFS(tblDaily[TransfersIn],tblDaily[EntryDate],DATE(2026,3,29),tblDaily[WardCode],"FAE")),"")</f>
        <v/>
      </c>
      <c r="G113" s="5" t="str">
        <f>IFERROR(IF(SUMIFS(tblDaily[TransfersOut],tblDaily[EntryDate],DATE(2026,3,29),tblDaily[WardCode],"FAE")=0,"",SUMIFS(tblDaily[TransfersOut],tblDaily[EntryDate],DATE(2026,3,29),tblDaily[WardCode],"FAE")),"")</f>
        <v/>
      </c>
      <c r="H113" s="5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IFERROR(IF(SUMIFS(tblDaily[Admissions],tblDaily[EntryDate],DATE(2026,3,30),tblDaily[WardCode],"FAE")=0,"",SUMIFS(tblDaily[Admissions],tblDaily[EntryDate],DATE(2026,3,30),tblDaily[WardCode],"FAE")),"")</f>
        <v/>
      </c>
      <c r="C114" s="5" t="str">
        <f>IFERROR(IF(SUMIFS(tblDaily[Discharges],tblDaily[EntryDate],DATE(2026,3,30),tblDaily[WardCode],"FAE")=0,"",SUMIFS(tblDaily[Discharges],tblDaily[EntryDate],DATE(2026,3,30),tblDaily[WardCode],"FAE")),"")</f>
        <v/>
      </c>
      <c r="D114" s="5" t="str">
        <f>IFERROR(IF(SUMIFS(tblDaily[Deaths],tblDaily[EntryDate],DATE(2026,3,30),tblDaily[WardCode],"FAE")=0,"",SUMIFS(tblDaily[Deaths],tblDaily[EntryDate],DATE(2026,3,30),tblDaily[WardCode],"FAE")),"")</f>
        <v/>
      </c>
      <c r="E114" s="5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5" t="str">
        <f>IFERROR(IF(SUMIFS(tblDaily[TransfersIn],tblDaily[EntryDate],DATE(2026,3,30),tblDaily[WardCode],"FAE")=0,"",SUMIFS(tblDaily[TransfersIn],tblDaily[EntryDate],DATE(2026,3,30),tblDaily[WardCode],"FAE")),"")</f>
        <v/>
      </c>
      <c r="G114" s="5" t="str">
        <f>IFERROR(IF(SUMIFS(tblDaily[TransfersOut],tblDaily[EntryDate],DATE(2026,3,30),tblDaily[WardCode],"FAE")=0,"",SUMIFS(tblDaily[TransfersOut],tblDaily[EntryDate],DATE(2026,3,30),tblDaily[WardCode],"FAE")),"")</f>
        <v/>
      </c>
      <c r="H114" s="5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IFERROR(IF(SUMIFS(tblDaily[Admissions],tblDaily[EntryDate],DATE(2026,3,31),tblDaily[WardCode],"FAE")=0,"",SUMIFS(tblDaily[Admissions],tblDaily[EntryDate],DATE(2026,3,31),tblDaily[WardCode],"FAE")),"")</f>
        <v/>
      </c>
      <c r="C115" s="5" t="str">
        <f>IFERROR(IF(SUMIFS(tblDaily[Discharges],tblDaily[EntryDate],DATE(2026,3,31),tblDaily[WardCode],"FAE")=0,"",SUMIFS(tblDaily[Discharges],tblDaily[EntryDate],DATE(2026,3,31),tblDaily[WardCode],"FAE")),"")</f>
        <v/>
      </c>
      <c r="D115" s="5" t="str">
        <f>IFERROR(IF(SUMIFS(tblDaily[Deaths],tblDaily[EntryDate],DATE(2026,3,31),tblDaily[WardCode],"FAE")=0,"",SUMIFS(tblDaily[Deaths],tblDaily[EntryDate],DATE(2026,3,31),tblDaily[WardCode],"FAE")),"")</f>
        <v/>
      </c>
      <c r="E115" s="5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5" t="str">
        <f>IFERROR(IF(SUMIFS(tblDaily[TransfersIn],tblDaily[EntryDate],DATE(2026,3,31),tblDaily[WardCode],"FAE")=0,"",SUMIFS(tblDaily[TransfersIn],tblDaily[EntryDate],DATE(2026,3,31),tblDaily[WardCode],"FAE")),"")</f>
        <v/>
      </c>
      <c r="G115" s="5" t="str">
        <f>IFERROR(IF(SUMIFS(tblDaily[TransfersOut],tblDaily[EntryDate],DATE(2026,3,31),tblDaily[WardCode],"FAE")=0,"",SUMIFS(tblDaily[TransfersOut],tblDaily[EntryDate],DATE(2026,3,31),tblDaily[WardCode],"FAE")),"")</f>
        <v/>
      </c>
      <c r="H115" s="5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95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16" t="s">
        <v>0</v>
      </c>
      <c r="B118" s="17"/>
      <c r="C118" s="17"/>
      <c r="D118" s="17"/>
      <c r="E118" s="17"/>
      <c r="F118" s="17"/>
      <c r="G118" s="17"/>
      <c r="H118" s="17"/>
    </row>
    <row r="119" spans="1:8" ht="15.75" x14ac:dyDescent="0.25">
      <c r="A119" s="21" t="s">
        <v>84</v>
      </c>
      <c r="B119" s="17"/>
      <c r="C119" s="17"/>
      <c r="D119" s="17"/>
      <c r="E119" s="17"/>
      <c r="F119" s="17"/>
      <c r="G119" s="17"/>
      <c r="H119" s="17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103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89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IFERROR(IF(SUMIFS(tblDaily[Admissions],tblDaily[EntryDate],DATE(2026,4,1),tblDaily[WardCode],"FAE")=0,"",SUMIFS(tblDaily[Admissions],tblDaily[EntryDate],DATE(2026,4,1),tblDaily[WardCode],"FAE")),"")</f>
        <v/>
      </c>
      <c r="C124" s="5" t="str">
        <f>IFERROR(IF(SUMIFS(tblDaily[Discharges],tblDaily[EntryDate],DATE(2026,4,1),tblDaily[WardCode],"FAE")=0,"",SUMIFS(tblDaily[Discharges],tblDaily[EntryDate],DATE(2026,4,1),tblDaily[WardCode],"FAE")),"")</f>
        <v/>
      </c>
      <c r="D124" s="5" t="str">
        <f>IFERROR(IF(SUMIFS(tblDaily[Deaths],tblDaily[EntryDate],DATE(2026,4,1),tblDaily[WardCode],"FAE")=0,"",SUMIFS(tblDaily[Deaths],tblDaily[EntryDate],DATE(2026,4,1),tblDaily[WardCode],"FAE")),"")</f>
        <v/>
      </c>
      <c r="E124" s="5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5" t="str">
        <f>IFERROR(IF(SUMIFS(tblDaily[TransfersIn],tblDaily[EntryDate],DATE(2026,4,1),tblDaily[WardCode],"FAE")=0,"",SUMIFS(tblDaily[TransfersIn],tblDaily[EntryDate],DATE(2026,4,1),tblDaily[WardCode],"FAE")),"")</f>
        <v/>
      </c>
      <c r="G124" s="5" t="str">
        <f>IFERROR(IF(SUMIFS(tblDaily[TransfersOut],tblDaily[EntryDate],DATE(2026,4,1),tblDaily[WardCode],"FAE")=0,"",SUMIFS(tblDaily[TransfersOut],tblDaily[EntryDate],DATE(2026,4,1),tblDaily[WardCode],"FAE")),"")</f>
        <v/>
      </c>
      <c r="H124" s="5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IFERROR(IF(SUMIFS(tblDaily[Admissions],tblDaily[EntryDate],DATE(2026,4,2),tblDaily[WardCode],"FAE")=0,"",SUMIFS(tblDaily[Admissions],tblDaily[EntryDate],DATE(2026,4,2),tblDaily[WardCode],"FAE")),"")</f>
        <v/>
      </c>
      <c r="C125" s="5" t="str">
        <f>IFERROR(IF(SUMIFS(tblDaily[Discharges],tblDaily[EntryDate],DATE(2026,4,2),tblDaily[WardCode],"FAE")=0,"",SUMIFS(tblDaily[Discharges],tblDaily[EntryDate],DATE(2026,4,2),tblDaily[WardCode],"FAE")),"")</f>
        <v/>
      </c>
      <c r="D125" s="5" t="str">
        <f>IFERROR(IF(SUMIFS(tblDaily[Deaths],tblDaily[EntryDate],DATE(2026,4,2),tblDaily[WardCode],"FAE")=0,"",SUMIFS(tblDaily[Deaths],tblDaily[EntryDate],DATE(2026,4,2),tblDaily[WardCode],"FAE")),"")</f>
        <v/>
      </c>
      <c r="E125" s="5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5" t="str">
        <f>IFERROR(IF(SUMIFS(tblDaily[TransfersIn],tblDaily[EntryDate],DATE(2026,4,2),tblDaily[WardCode],"FAE")=0,"",SUMIFS(tblDaily[TransfersIn],tblDaily[EntryDate],DATE(2026,4,2),tblDaily[WardCode],"FAE")),"")</f>
        <v/>
      </c>
      <c r="G125" s="5" t="str">
        <f>IFERROR(IF(SUMIFS(tblDaily[TransfersOut],tblDaily[EntryDate],DATE(2026,4,2),tblDaily[WardCode],"FAE")=0,"",SUMIFS(tblDaily[TransfersOut],tblDaily[EntryDate],DATE(2026,4,2),tblDaily[WardCode],"FAE")),"")</f>
        <v/>
      </c>
      <c r="H125" s="5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IFERROR(IF(SUMIFS(tblDaily[Admissions],tblDaily[EntryDate],DATE(2026,4,3),tblDaily[WardCode],"FAE")=0,"",SUMIFS(tblDaily[Admissions],tblDaily[EntryDate],DATE(2026,4,3),tblDaily[WardCode],"FAE")),"")</f>
        <v/>
      </c>
      <c r="C126" s="5" t="str">
        <f>IFERROR(IF(SUMIFS(tblDaily[Discharges],tblDaily[EntryDate],DATE(2026,4,3),tblDaily[WardCode],"FAE")=0,"",SUMIFS(tblDaily[Discharges],tblDaily[EntryDate],DATE(2026,4,3),tblDaily[WardCode],"FAE")),"")</f>
        <v/>
      </c>
      <c r="D126" s="5" t="str">
        <f>IFERROR(IF(SUMIFS(tblDaily[Deaths],tblDaily[EntryDate],DATE(2026,4,3),tblDaily[WardCode],"FAE")=0,"",SUMIFS(tblDaily[Deaths],tblDaily[EntryDate],DATE(2026,4,3),tblDaily[WardCode],"FAE")),"")</f>
        <v/>
      </c>
      <c r="E126" s="5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5" t="str">
        <f>IFERROR(IF(SUMIFS(tblDaily[TransfersIn],tblDaily[EntryDate],DATE(2026,4,3),tblDaily[WardCode],"FAE")=0,"",SUMIFS(tblDaily[TransfersIn],tblDaily[EntryDate],DATE(2026,4,3),tblDaily[WardCode],"FAE")),"")</f>
        <v/>
      </c>
      <c r="G126" s="5" t="str">
        <f>IFERROR(IF(SUMIFS(tblDaily[TransfersOut],tblDaily[EntryDate],DATE(2026,4,3),tblDaily[WardCode],"FAE")=0,"",SUMIFS(tblDaily[TransfersOut],tblDaily[EntryDate],DATE(2026,4,3),tblDaily[WardCode],"FAE")),"")</f>
        <v/>
      </c>
      <c r="H126" s="5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IFERROR(IF(SUMIFS(tblDaily[Admissions],tblDaily[EntryDate],DATE(2026,4,4),tblDaily[WardCode],"FAE")=0,"",SUMIFS(tblDaily[Admissions],tblDaily[EntryDate],DATE(2026,4,4),tblDaily[WardCode],"FAE")),"")</f>
        <v/>
      </c>
      <c r="C127" s="5" t="str">
        <f>IFERROR(IF(SUMIFS(tblDaily[Discharges],tblDaily[EntryDate],DATE(2026,4,4),tblDaily[WardCode],"FAE")=0,"",SUMIFS(tblDaily[Discharges],tblDaily[EntryDate],DATE(2026,4,4),tblDaily[WardCode],"FAE")),"")</f>
        <v/>
      </c>
      <c r="D127" s="5" t="str">
        <f>IFERROR(IF(SUMIFS(tblDaily[Deaths],tblDaily[EntryDate],DATE(2026,4,4),tblDaily[WardCode],"FAE")=0,"",SUMIFS(tblDaily[Deaths],tblDaily[EntryDate],DATE(2026,4,4),tblDaily[WardCode],"FAE")),"")</f>
        <v/>
      </c>
      <c r="E127" s="5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5" t="str">
        <f>IFERROR(IF(SUMIFS(tblDaily[TransfersIn],tblDaily[EntryDate],DATE(2026,4,4),tblDaily[WardCode],"FAE")=0,"",SUMIFS(tblDaily[TransfersIn],tblDaily[EntryDate],DATE(2026,4,4),tblDaily[WardCode],"FAE")),"")</f>
        <v/>
      </c>
      <c r="G127" s="5" t="str">
        <f>IFERROR(IF(SUMIFS(tblDaily[TransfersOut],tblDaily[EntryDate],DATE(2026,4,4),tblDaily[WardCode],"FAE")=0,"",SUMIFS(tblDaily[TransfersOut],tblDaily[EntryDate],DATE(2026,4,4),tblDaily[WardCode],"FAE")),"")</f>
        <v/>
      </c>
      <c r="H127" s="5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IFERROR(IF(SUMIFS(tblDaily[Admissions],tblDaily[EntryDate],DATE(2026,4,5),tblDaily[WardCode],"FAE")=0,"",SUMIFS(tblDaily[Admissions],tblDaily[EntryDate],DATE(2026,4,5),tblDaily[WardCode],"FAE")),"")</f>
        <v/>
      </c>
      <c r="C128" s="5" t="str">
        <f>IFERROR(IF(SUMIFS(tblDaily[Discharges],tblDaily[EntryDate],DATE(2026,4,5),tblDaily[WardCode],"FAE")=0,"",SUMIFS(tblDaily[Discharges],tblDaily[EntryDate],DATE(2026,4,5),tblDaily[WardCode],"FAE")),"")</f>
        <v/>
      </c>
      <c r="D128" s="5" t="str">
        <f>IFERROR(IF(SUMIFS(tblDaily[Deaths],tblDaily[EntryDate],DATE(2026,4,5),tblDaily[WardCode],"FAE")=0,"",SUMIFS(tblDaily[Deaths],tblDaily[EntryDate],DATE(2026,4,5),tblDaily[WardCode],"FAE")),"")</f>
        <v/>
      </c>
      <c r="E128" s="5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5" t="str">
        <f>IFERROR(IF(SUMIFS(tblDaily[TransfersIn],tblDaily[EntryDate],DATE(2026,4,5),tblDaily[WardCode],"FAE")=0,"",SUMIFS(tblDaily[TransfersIn],tblDaily[EntryDate],DATE(2026,4,5),tblDaily[WardCode],"FAE")),"")</f>
        <v/>
      </c>
      <c r="G128" s="5" t="str">
        <f>IFERROR(IF(SUMIFS(tblDaily[TransfersOut],tblDaily[EntryDate],DATE(2026,4,5),tblDaily[WardCode],"FAE")=0,"",SUMIFS(tblDaily[TransfersOut],tblDaily[EntryDate],DATE(2026,4,5),tblDaily[WardCode],"FAE")),"")</f>
        <v/>
      </c>
      <c r="H128" s="5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IFERROR(IF(SUMIFS(tblDaily[Admissions],tblDaily[EntryDate],DATE(2026,4,6),tblDaily[WardCode],"FAE")=0,"",SUMIFS(tblDaily[Admissions],tblDaily[EntryDate],DATE(2026,4,6),tblDaily[WardCode],"FAE")),"")</f>
        <v/>
      </c>
      <c r="C129" s="5" t="str">
        <f>IFERROR(IF(SUMIFS(tblDaily[Discharges],tblDaily[EntryDate],DATE(2026,4,6),tblDaily[WardCode],"FAE")=0,"",SUMIFS(tblDaily[Discharges],tblDaily[EntryDate],DATE(2026,4,6),tblDaily[WardCode],"FAE")),"")</f>
        <v/>
      </c>
      <c r="D129" s="5" t="str">
        <f>IFERROR(IF(SUMIFS(tblDaily[Deaths],tblDaily[EntryDate],DATE(2026,4,6),tblDaily[WardCode],"FAE")=0,"",SUMIFS(tblDaily[Deaths],tblDaily[EntryDate],DATE(2026,4,6),tblDaily[WardCode],"FAE")),"")</f>
        <v/>
      </c>
      <c r="E129" s="5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5" t="str">
        <f>IFERROR(IF(SUMIFS(tblDaily[TransfersIn],tblDaily[EntryDate],DATE(2026,4,6),tblDaily[WardCode],"FAE")=0,"",SUMIFS(tblDaily[TransfersIn],tblDaily[EntryDate],DATE(2026,4,6),tblDaily[WardCode],"FAE")),"")</f>
        <v/>
      </c>
      <c r="G129" s="5" t="str">
        <f>IFERROR(IF(SUMIFS(tblDaily[TransfersOut],tblDaily[EntryDate],DATE(2026,4,6),tblDaily[WardCode],"FAE")=0,"",SUMIFS(tblDaily[TransfersOut],tblDaily[EntryDate],DATE(2026,4,6),tblDaily[WardCode],"FAE")),"")</f>
        <v/>
      </c>
      <c r="H129" s="5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IFERROR(IF(SUMIFS(tblDaily[Admissions],tblDaily[EntryDate],DATE(2026,4,7),tblDaily[WardCode],"FAE")=0,"",SUMIFS(tblDaily[Admissions],tblDaily[EntryDate],DATE(2026,4,7),tblDaily[WardCode],"FAE")),"")</f>
        <v/>
      </c>
      <c r="C130" s="5" t="str">
        <f>IFERROR(IF(SUMIFS(tblDaily[Discharges],tblDaily[EntryDate],DATE(2026,4,7),tblDaily[WardCode],"FAE")=0,"",SUMIFS(tblDaily[Discharges],tblDaily[EntryDate],DATE(2026,4,7),tblDaily[WardCode],"FAE")),"")</f>
        <v/>
      </c>
      <c r="D130" s="5" t="str">
        <f>IFERROR(IF(SUMIFS(tblDaily[Deaths],tblDaily[EntryDate],DATE(2026,4,7),tblDaily[WardCode],"FAE")=0,"",SUMIFS(tblDaily[Deaths],tblDaily[EntryDate],DATE(2026,4,7),tblDaily[WardCode],"FAE")),"")</f>
        <v/>
      </c>
      <c r="E130" s="5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5" t="str">
        <f>IFERROR(IF(SUMIFS(tblDaily[TransfersIn],tblDaily[EntryDate],DATE(2026,4,7),tblDaily[WardCode],"FAE")=0,"",SUMIFS(tblDaily[TransfersIn],tblDaily[EntryDate],DATE(2026,4,7),tblDaily[WardCode],"FAE")),"")</f>
        <v/>
      </c>
      <c r="G130" s="5" t="str">
        <f>IFERROR(IF(SUMIFS(tblDaily[TransfersOut],tblDaily[EntryDate],DATE(2026,4,7),tblDaily[WardCode],"FAE")=0,"",SUMIFS(tblDaily[TransfersOut],tblDaily[EntryDate],DATE(2026,4,7),tblDaily[WardCode],"FAE")),"")</f>
        <v/>
      </c>
      <c r="H130" s="5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IFERROR(IF(SUMIFS(tblDaily[Admissions],tblDaily[EntryDate],DATE(2026,4,8),tblDaily[WardCode],"FAE")=0,"",SUMIFS(tblDaily[Admissions],tblDaily[EntryDate],DATE(2026,4,8),tblDaily[WardCode],"FAE")),"")</f>
        <v/>
      </c>
      <c r="C131" s="5" t="str">
        <f>IFERROR(IF(SUMIFS(tblDaily[Discharges],tblDaily[EntryDate],DATE(2026,4,8),tblDaily[WardCode],"FAE")=0,"",SUMIFS(tblDaily[Discharges],tblDaily[EntryDate],DATE(2026,4,8),tblDaily[WardCode],"FAE")),"")</f>
        <v/>
      </c>
      <c r="D131" s="5" t="str">
        <f>IFERROR(IF(SUMIFS(tblDaily[Deaths],tblDaily[EntryDate],DATE(2026,4,8),tblDaily[WardCode],"FAE")=0,"",SUMIFS(tblDaily[Deaths],tblDaily[EntryDate],DATE(2026,4,8),tblDaily[WardCode],"FAE")),"")</f>
        <v/>
      </c>
      <c r="E131" s="5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5" t="str">
        <f>IFERROR(IF(SUMIFS(tblDaily[TransfersIn],tblDaily[EntryDate],DATE(2026,4,8),tblDaily[WardCode],"FAE")=0,"",SUMIFS(tblDaily[TransfersIn],tblDaily[EntryDate],DATE(2026,4,8),tblDaily[WardCode],"FAE")),"")</f>
        <v/>
      </c>
      <c r="G131" s="5" t="str">
        <f>IFERROR(IF(SUMIFS(tblDaily[TransfersOut],tblDaily[EntryDate],DATE(2026,4,8),tblDaily[WardCode],"FAE")=0,"",SUMIFS(tblDaily[TransfersOut],tblDaily[EntryDate],DATE(2026,4,8),tblDaily[WardCode],"FAE")),"")</f>
        <v/>
      </c>
      <c r="H131" s="5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IFERROR(IF(SUMIFS(tblDaily[Admissions],tblDaily[EntryDate],DATE(2026,4,9),tblDaily[WardCode],"FAE")=0,"",SUMIFS(tblDaily[Admissions],tblDaily[EntryDate],DATE(2026,4,9),tblDaily[WardCode],"FAE")),"")</f>
        <v/>
      </c>
      <c r="C132" s="5" t="str">
        <f>IFERROR(IF(SUMIFS(tblDaily[Discharges],tblDaily[EntryDate],DATE(2026,4,9),tblDaily[WardCode],"FAE")=0,"",SUMIFS(tblDaily[Discharges],tblDaily[EntryDate],DATE(2026,4,9),tblDaily[WardCode],"FAE")),"")</f>
        <v/>
      </c>
      <c r="D132" s="5" t="str">
        <f>IFERROR(IF(SUMIFS(tblDaily[Deaths],tblDaily[EntryDate],DATE(2026,4,9),tblDaily[WardCode],"FAE")=0,"",SUMIFS(tblDaily[Deaths],tblDaily[EntryDate],DATE(2026,4,9),tblDaily[WardCode],"FAE")),"")</f>
        <v/>
      </c>
      <c r="E132" s="5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5" t="str">
        <f>IFERROR(IF(SUMIFS(tblDaily[TransfersIn],tblDaily[EntryDate],DATE(2026,4,9),tblDaily[WardCode],"FAE")=0,"",SUMIFS(tblDaily[TransfersIn],tblDaily[EntryDate],DATE(2026,4,9),tblDaily[WardCode],"FAE")),"")</f>
        <v/>
      </c>
      <c r="G132" s="5" t="str">
        <f>IFERROR(IF(SUMIFS(tblDaily[TransfersOut],tblDaily[EntryDate],DATE(2026,4,9),tblDaily[WardCode],"FAE")=0,"",SUMIFS(tblDaily[TransfersOut],tblDaily[EntryDate],DATE(2026,4,9),tblDaily[WardCode],"FAE")),"")</f>
        <v/>
      </c>
      <c r="H132" s="5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IFERROR(IF(SUMIFS(tblDaily[Admissions],tblDaily[EntryDate],DATE(2026,4,10),tblDaily[WardCode],"FAE")=0,"",SUMIFS(tblDaily[Admissions],tblDaily[EntryDate],DATE(2026,4,10),tblDaily[WardCode],"FAE")),"")</f>
        <v/>
      </c>
      <c r="C133" s="5" t="str">
        <f>IFERROR(IF(SUMIFS(tblDaily[Discharges],tblDaily[EntryDate],DATE(2026,4,10),tblDaily[WardCode],"FAE")=0,"",SUMIFS(tblDaily[Discharges],tblDaily[EntryDate],DATE(2026,4,10),tblDaily[WardCode],"FAE")),"")</f>
        <v/>
      </c>
      <c r="D133" s="5" t="str">
        <f>IFERROR(IF(SUMIFS(tblDaily[Deaths],tblDaily[EntryDate],DATE(2026,4,10),tblDaily[WardCode],"FAE")=0,"",SUMIFS(tblDaily[Deaths],tblDaily[EntryDate],DATE(2026,4,10),tblDaily[WardCode],"FAE")),"")</f>
        <v/>
      </c>
      <c r="E133" s="5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5" t="str">
        <f>IFERROR(IF(SUMIFS(tblDaily[TransfersIn],tblDaily[EntryDate],DATE(2026,4,10),tblDaily[WardCode],"FAE")=0,"",SUMIFS(tblDaily[TransfersIn],tblDaily[EntryDate],DATE(2026,4,10),tblDaily[WardCode],"FAE")),"")</f>
        <v/>
      </c>
      <c r="G133" s="5" t="str">
        <f>IFERROR(IF(SUMIFS(tblDaily[TransfersOut],tblDaily[EntryDate],DATE(2026,4,10),tblDaily[WardCode],"FAE")=0,"",SUMIFS(tblDaily[TransfersOut],tblDaily[EntryDate],DATE(2026,4,10),tblDaily[WardCode],"FAE")),"")</f>
        <v/>
      </c>
      <c r="H133" s="5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IFERROR(IF(SUMIFS(tblDaily[Admissions],tblDaily[EntryDate],DATE(2026,4,11),tblDaily[WardCode],"FAE")=0,"",SUMIFS(tblDaily[Admissions],tblDaily[EntryDate],DATE(2026,4,11),tblDaily[WardCode],"FAE")),"")</f>
        <v/>
      </c>
      <c r="C134" s="5" t="str">
        <f>IFERROR(IF(SUMIFS(tblDaily[Discharges],tblDaily[EntryDate],DATE(2026,4,11),tblDaily[WardCode],"FAE")=0,"",SUMIFS(tblDaily[Discharges],tblDaily[EntryDate],DATE(2026,4,11),tblDaily[WardCode],"FAE")),"")</f>
        <v/>
      </c>
      <c r="D134" s="5" t="str">
        <f>IFERROR(IF(SUMIFS(tblDaily[Deaths],tblDaily[EntryDate],DATE(2026,4,11),tblDaily[WardCode],"FAE")=0,"",SUMIFS(tblDaily[Deaths],tblDaily[EntryDate],DATE(2026,4,11),tblDaily[WardCode],"FAE")),"")</f>
        <v/>
      </c>
      <c r="E134" s="5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5" t="str">
        <f>IFERROR(IF(SUMIFS(tblDaily[TransfersIn],tblDaily[EntryDate],DATE(2026,4,11),tblDaily[WardCode],"FAE")=0,"",SUMIFS(tblDaily[TransfersIn],tblDaily[EntryDate],DATE(2026,4,11),tblDaily[WardCode],"FAE")),"")</f>
        <v/>
      </c>
      <c r="G134" s="5" t="str">
        <f>IFERROR(IF(SUMIFS(tblDaily[TransfersOut],tblDaily[EntryDate],DATE(2026,4,11),tblDaily[WardCode],"FAE")=0,"",SUMIFS(tblDaily[TransfersOut],tblDaily[EntryDate],DATE(2026,4,11),tblDaily[WardCode],"FAE")),"")</f>
        <v/>
      </c>
      <c r="H134" s="5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IFERROR(IF(SUMIFS(tblDaily[Admissions],tblDaily[EntryDate],DATE(2026,4,12),tblDaily[WardCode],"FAE")=0,"",SUMIFS(tblDaily[Admissions],tblDaily[EntryDate],DATE(2026,4,12),tblDaily[WardCode],"FAE")),"")</f>
        <v/>
      </c>
      <c r="C135" s="5" t="str">
        <f>IFERROR(IF(SUMIFS(tblDaily[Discharges],tblDaily[EntryDate],DATE(2026,4,12),tblDaily[WardCode],"FAE")=0,"",SUMIFS(tblDaily[Discharges],tblDaily[EntryDate],DATE(2026,4,12),tblDaily[WardCode],"FAE")),"")</f>
        <v/>
      </c>
      <c r="D135" s="5" t="str">
        <f>IFERROR(IF(SUMIFS(tblDaily[Deaths],tblDaily[EntryDate],DATE(2026,4,12),tblDaily[WardCode],"FAE")=0,"",SUMIFS(tblDaily[Deaths],tblDaily[EntryDate],DATE(2026,4,12),tblDaily[WardCode],"FAE")),"")</f>
        <v/>
      </c>
      <c r="E135" s="5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5" t="str">
        <f>IFERROR(IF(SUMIFS(tblDaily[TransfersIn],tblDaily[EntryDate],DATE(2026,4,12),tblDaily[WardCode],"FAE")=0,"",SUMIFS(tblDaily[TransfersIn],tblDaily[EntryDate],DATE(2026,4,12),tblDaily[WardCode],"FAE")),"")</f>
        <v/>
      </c>
      <c r="G135" s="5" t="str">
        <f>IFERROR(IF(SUMIFS(tblDaily[TransfersOut],tblDaily[EntryDate],DATE(2026,4,12),tblDaily[WardCode],"FAE")=0,"",SUMIFS(tblDaily[TransfersOut],tblDaily[EntryDate],DATE(2026,4,12),tblDaily[WardCode],"FAE")),"")</f>
        <v/>
      </c>
      <c r="H135" s="5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IFERROR(IF(SUMIFS(tblDaily[Admissions],tblDaily[EntryDate],DATE(2026,4,13),tblDaily[WardCode],"FAE")=0,"",SUMIFS(tblDaily[Admissions],tblDaily[EntryDate],DATE(2026,4,13),tblDaily[WardCode],"FAE")),"")</f>
        <v/>
      </c>
      <c r="C136" s="5" t="str">
        <f>IFERROR(IF(SUMIFS(tblDaily[Discharges],tblDaily[EntryDate],DATE(2026,4,13),tblDaily[WardCode],"FAE")=0,"",SUMIFS(tblDaily[Discharges],tblDaily[EntryDate],DATE(2026,4,13),tblDaily[WardCode],"FAE")),"")</f>
        <v/>
      </c>
      <c r="D136" s="5" t="str">
        <f>IFERROR(IF(SUMIFS(tblDaily[Deaths],tblDaily[EntryDate],DATE(2026,4,13),tblDaily[WardCode],"FAE")=0,"",SUMIFS(tblDaily[Deaths],tblDaily[EntryDate],DATE(2026,4,13),tblDaily[WardCode],"FAE")),"")</f>
        <v/>
      </c>
      <c r="E136" s="5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5" t="str">
        <f>IFERROR(IF(SUMIFS(tblDaily[TransfersIn],tblDaily[EntryDate],DATE(2026,4,13),tblDaily[WardCode],"FAE")=0,"",SUMIFS(tblDaily[TransfersIn],tblDaily[EntryDate],DATE(2026,4,13),tblDaily[WardCode],"FAE")),"")</f>
        <v/>
      </c>
      <c r="G136" s="5" t="str">
        <f>IFERROR(IF(SUMIFS(tblDaily[TransfersOut],tblDaily[EntryDate],DATE(2026,4,13),tblDaily[WardCode],"FAE")=0,"",SUMIFS(tblDaily[TransfersOut],tblDaily[EntryDate],DATE(2026,4,13),tblDaily[WardCode],"FAE")),"")</f>
        <v/>
      </c>
      <c r="H136" s="5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IFERROR(IF(SUMIFS(tblDaily[Admissions],tblDaily[EntryDate],DATE(2026,4,14),tblDaily[WardCode],"FAE")=0,"",SUMIFS(tblDaily[Admissions],tblDaily[EntryDate],DATE(2026,4,14),tblDaily[WardCode],"FAE")),"")</f>
        <v/>
      </c>
      <c r="C137" s="5" t="str">
        <f>IFERROR(IF(SUMIFS(tblDaily[Discharges],tblDaily[EntryDate],DATE(2026,4,14),tblDaily[WardCode],"FAE")=0,"",SUMIFS(tblDaily[Discharges],tblDaily[EntryDate],DATE(2026,4,14),tblDaily[WardCode],"FAE")),"")</f>
        <v/>
      </c>
      <c r="D137" s="5" t="str">
        <f>IFERROR(IF(SUMIFS(tblDaily[Deaths],tblDaily[EntryDate],DATE(2026,4,14),tblDaily[WardCode],"FAE")=0,"",SUMIFS(tblDaily[Deaths],tblDaily[EntryDate],DATE(2026,4,14),tblDaily[WardCode],"FAE")),"")</f>
        <v/>
      </c>
      <c r="E137" s="5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5" t="str">
        <f>IFERROR(IF(SUMIFS(tblDaily[TransfersIn],tblDaily[EntryDate],DATE(2026,4,14),tblDaily[WardCode],"FAE")=0,"",SUMIFS(tblDaily[TransfersIn],tblDaily[EntryDate],DATE(2026,4,14),tblDaily[WardCode],"FAE")),"")</f>
        <v/>
      </c>
      <c r="G137" s="5" t="str">
        <f>IFERROR(IF(SUMIFS(tblDaily[TransfersOut],tblDaily[EntryDate],DATE(2026,4,14),tblDaily[WardCode],"FAE")=0,"",SUMIFS(tblDaily[TransfersOut],tblDaily[EntryDate],DATE(2026,4,14),tblDaily[WardCode],"FAE")),"")</f>
        <v/>
      </c>
      <c r="H137" s="5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IFERROR(IF(SUMIFS(tblDaily[Admissions],tblDaily[EntryDate],DATE(2026,4,15),tblDaily[WardCode],"FAE")=0,"",SUMIFS(tblDaily[Admissions],tblDaily[EntryDate],DATE(2026,4,15),tblDaily[WardCode],"FAE")),"")</f>
        <v/>
      </c>
      <c r="C138" s="5" t="str">
        <f>IFERROR(IF(SUMIFS(tblDaily[Discharges],tblDaily[EntryDate],DATE(2026,4,15),tblDaily[WardCode],"FAE")=0,"",SUMIFS(tblDaily[Discharges],tblDaily[EntryDate],DATE(2026,4,15),tblDaily[WardCode],"FAE")),"")</f>
        <v/>
      </c>
      <c r="D138" s="5" t="str">
        <f>IFERROR(IF(SUMIFS(tblDaily[Deaths],tblDaily[EntryDate],DATE(2026,4,15),tblDaily[WardCode],"FAE")=0,"",SUMIFS(tblDaily[Deaths],tblDaily[EntryDate],DATE(2026,4,15),tblDaily[WardCode],"FAE")),"")</f>
        <v/>
      </c>
      <c r="E138" s="5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5" t="str">
        <f>IFERROR(IF(SUMIFS(tblDaily[TransfersIn],tblDaily[EntryDate],DATE(2026,4,15),tblDaily[WardCode],"FAE")=0,"",SUMIFS(tblDaily[TransfersIn],tblDaily[EntryDate],DATE(2026,4,15),tblDaily[WardCode],"FAE")),"")</f>
        <v/>
      </c>
      <c r="G138" s="5" t="str">
        <f>IFERROR(IF(SUMIFS(tblDaily[TransfersOut],tblDaily[EntryDate],DATE(2026,4,15),tblDaily[WardCode],"FAE")=0,"",SUMIFS(tblDaily[TransfersOut],tblDaily[EntryDate],DATE(2026,4,15),tblDaily[WardCode],"FAE")),"")</f>
        <v/>
      </c>
      <c r="H138" s="5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IFERROR(IF(SUMIFS(tblDaily[Admissions],tblDaily[EntryDate],DATE(2026,4,16),tblDaily[WardCode],"FAE")=0,"",SUMIFS(tblDaily[Admissions],tblDaily[EntryDate],DATE(2026,4,16),tblDaily[WardCode],"FAE")),"")</f>
        <v/>
      </c>
      <c r="C139" s="5" t="str">
        <f>IFERROR(IF(SUMIFS(tblDaily[Discharges],tblDaily[EntryDate],DATE(2026,4,16),tblDaily[WardCode],"FAE")=0,"",SUMIFS(tblDaily[Discharges],tblDaily[EntryDate],DATE(2026,4,16),tblDaily[WardCode],"FAE")),"")</f>
        <v/>
      </c>
      <c r="D139" s="5" t="str">
        <f>IFERROR(IF(SUMIFS(tblDaily[Deaths],tblDaily[EntryDate],DATE(2026,4,16),tblDaily[WardCode],"FAE")=0,"",SUMIFS(tblDaily[Deaths],tblDaily[EntryDate],DATE(2026,4,16),tblDaily[WardCode],"FAE")),"")</f>
        <v/>
      </c>
      <c r="E139" s="5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5" t="str">
        <f>IFERROR(IF(SUMIFS(tblDaily[TransfersIn],tblDaily[EntryDate],DATE(2026,4,16),tblDaily[WardCode],"FAE")=0,"",SUMIFS(tblDaily[TransfersIn],tblDaily[EntryDate],DATE(2026,4,16),tblDaily[WardCode],"FAE")),"")</f>
        <v/>
      </c>
      <c r="G139" s="5" t="str">
        <f>IFERROR(IF(SUMIFS(tblDaily[TransfersOut],tblDaily[EntryDate],DATE(2026,4,16),tblDaily[WardCode],"FAE")=0,"",SUMIFS(tblDaily[TransfersOut],tblDaily[EntryDate],DATE(2026,4,16),tblDaily[WardCode],"FAE")),"")</f>
        <v/>
      </c>
      <c r="H139" s="5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IFERROR(IF(SUMIFS(tblDaily[Admissions],tblDaily[EntryDate],DATE(2026,4,17),tblDaily[WardCode],"FAE")=0,"",SUMIFS(tblDaily[Admissions],tblDaily[EntryDate],DATE(2026,4,17),tblDaily[WardCode],"FAE")),"")</f>
        <v/>
      </c>
      <c r="C140" s="5" t="str">
        <f>IFERROR(IF(SUMIFS(tblDaily[Discharges],tblDaily[EntryDate],DATE(2026,4,17),tblDaily[WardCode],"FAE")=0,"",SUMIFS(tblDaily[Discharges],tblDaily[EntryDate],DATE(2026,4,17),tblDaily[WardCode],"FAE")),"")</f>
        <v/>
      </c>
      <c r="D140" s="5" t="str">
        <f>IFERROR(IF(SUMIFS(tblDaily[Deaths],tblDaily[EntryDate],DATE(2026,4,17),tblDaily[WardCode],"FAE")=0,"",SUMIFS(tblDaily[Deaths],tblDaily[EntryDate],DATE(2026,4,17),tblDaily[WardCode],"FAE")),"")</f>
        <v/>
      </c>
      <c r="E140" s="5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5" t="str">
        <f>IFERROR(IF(SUMIFS(tblDaily[TransfersIn],tblDaily[EntryDate],DATE(2026,4,17),tblDaily[WardCode],"FAE")=0,"",SUMIFS(tblDaily[TransfersIn],tblDaily[EntryDate],DATE(2026,4,17),tblDaily[WardCode],"FAE")),"")</f>
        <v/>
      </c>
      <c r="G140" s="5" t="str">
        <f>IFERROR(IF(SUMIFS(tblDaily[TransfersOut],tblDaily[EntryDate],DATE(2026,4,17),tblDaily[WardCode],"FAE")=0,"",SUMIFS(tblDaily[TransfersOut],tblDaily[EntryDate],DATE(2026,4,17),tblDaily[WardCode],"FAE")),"")</f>
        <v/>
      </c>
      <c r="H140" s="5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IFERROR(IF(SUMIFS(tblDaily[Admissions],tblDaily[EntryDate],DATE(2026,4,18),tblDaily[WardCode],"FAE")=0,"",SUMIFS(tblDaily[Admissions],tblDaily[EntryDate],DATE(2026,4,18),tblDaily[WardCode],"FAE")),"")</f>
        <v/>
      </c>
      <c r="C141" s="5" t="str">
        <f>IFERROR(IF(SUMIFS(tblDaily[Discharges],tblDaily[EntryDate],DATE(2026,4,18),tblDaily[WardCode],"FAE")=0,"",SUMIFS(tblDaily[Discharges],tblDaily[EntryDate],DATE(2026,4,18),tblDaily[WardCode],"FAE")),"")</f>
        <v/>
      </c>
      <c r="D141" s="5" t="str">
        <f>IFERROR(IF(SUMIFS(tblDaily[Deaths],tblDaily[EntryDate],DATE(2026,4,18),tblDaily[WardCode],"FAE")=0,"",SUMIFS(tblDaily[Deaths],tblDaily[EntryDate],DATE(2026,4,18),tblDaily[WardCode],"FAE")),"")</f>
        <v/>
      </c>
      <c r="E141" s="5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5" t="str">
        <f>IFERROR(IF(SUMIFS(tblDaily[TransfersIn],tblDaily[EntryDate],DATE(2026,4,18),tblDaily[WardCode],"FAE")=0,"",SUMIFS(tblDaily[TransfersIn],tblDaily[EntryDate],DATE(2026,4,18),tblDaily[WardCode],"FAE")),"")</f>
        <v/>
      </c>
      <c r="G141" s="5" t="str">
        <f>IFERROR(IF(SUMIFS(tblDaily[TransfersOut],tblDaily[EntryDate],DATE(2026,4,18),tblDaily[WardCode],"FAE")=0,"",SUMIFS(tblDaily[TransfersOut],tblDaily[EntryDate],DATE(2026,4,18),tblDaily[WardCode],"FAE")),"")</f>
        <v/>
      </c>
      <c r="H141" s="5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IFERROR(IF(SUMIFS(tblDaily[Admissions],tblDaily[EntryDate],DATE(2026,4,19),tblDaily[WardCode],"FAE")=0,"",SUMIFS(tblDaily[Admissions],tblDaily[EntryDate],DATE(2026,4,19),tblDaily[WardCode],"FAE")),"")</f>
        <v/>
      </c>
      <c r="C142" s="5" t="str">
        <f>IFERROR(IF(SUMIFS(tblDaily[Discharges],tblDaily[EntryDate],DATE(2026,4,19),tblDaily[WardCode],"FAE")=0,"",SUMIFS(tblDaily[Discharges],tblDaily[EntryDate],DATE(2026,4,19),tblDaily[WardCode],"FAE")),"")</f>
        <v/>
      </c>
      <c r="D142" s="5" t="str">
        <f>IFERROR(IF(SUMIFS(tblDaily[Deaths],tblDaily[EntryDate],DATE(2026,4,19),tblDaily[WardCode],"FAE")=0,"",SUMIFS(tblDaily[Deaths],tblDaily[EntryDate],DATE(2026,4,19),tblDaily[WardCode],"FAE")),"")</f>
        <v/>
      </c>
      <c r="E142" s="5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5" t="str">
        <f>IFERROR(IF(SUMIFS(tblDaily[TransfersIn],tblDaily[EntryDate],DATE(2026,4,19),tblDaily[WardCode],"FAE")=0,"",SUMIFS(tblDaily[TransfersIn],tblDaily[EntryDate],DATE(2026,4,19),tblDaily[WardCode],"FAE")),"")</f>
        <v/>
      </c>
      <c r="G142" s="5" t="str">
        <f>IFERROR(IF(SUMIFS(tblDaily[TransfersOut],tblDaily[EntryDate],DATE(2026,4,19),tblDaily[WardCode],"FAE")=0,"",SUMIFS(tblDaily[TransfersOut],tblDaily[EntryDate],DATE(2026,4,19),tblDaily[WardCode],"FAE")),"")</f>
        <v/>
      </c>
      <c r="H142" s="5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IFERROR(IF(SUMIFS(tblDaily[Admissions],tblDaily[EntryDate],DATE(2026,4,20),tblDaily[WardCode],"FAE")=0,"",SUMIFS(tblDaily[Admissions],tblDaily[EntryDate],DATE(2026,4,20),tblDaily[WardCode],"FAE")),"")</f>
        <v/>
      </c>
      <c r="C143" s="5" t="str">
        <f>IFERROR(IF(SUMIFS(tblDaily[Discharges],tblDaily[EntryDate],DATE(2026,4,20),tblDaily[WardCode],"FAE")=0,"",SUMIFS(tblDaily[Discharges],tblDaily[EntryDate],DATE(2026,4,20),tblDaily[WardCode],"FAE")),"")</f>
        <v/>
      </c>
      <c r="D143" s="5" t="str">
        <f>IFERROR(IF(SUMIFS(tblDaily[Deaths],tblDaily[EntryDate],DATE(2026,4,20),tblDaily[WardCode],"FAE")=0,"",SUMIFS(tblDaily[Deaths],tblDaily[EntryDate],DATE(2026,4,20),tblDaily[WardCode],"FAE")),"")</f>
        <v/>
      </c>
      <c r="E143" s="5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5" t="str">
        <f>IFERROR(IF(SUMIFS(tblDaily[TransfersIn],tblDaily[EntryDate],DATE(2026,4,20),tblDaily[WardCode],"FAE")=0,"",SUMIFS(tblDaily[TransfersIn],tblDaily[EntryDate],DATE(2026,4,20),tblDaily[WardCode],"FAE")),"")</f>
        <v/>
      </c>
      <c r="G143" s="5" t="str">
        <f>IFERROR(IF(SUMIFS(tblDaily[TransfersOut],tblDaily[EntryDate],DATE(2026,4,20),tblDaily[WardCode],"FAE")=0,"",SUMIFS(tblDaily[TransfersOut],tblDaily[EntryDate],DATE(2026,4,20),tblDaily[WardCode],"FAE")),"")</f>
        <v/>
      </c>
      <c r="H143" s="5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IFERROR(IF(SUMIFS(tblDaily[Admissions],tblDaily[EntryDate],DATE(2026,4,21),tblDaily[WardCode],"FAE")=0,"",SUMIFS(tblDaily[Admissions],tblDaily[EntryDate],DATE(2026,4,21),tblDaily[WardCode],"FAE")),"")</f>
        <v/>
      </c>
      <c r="C144" s="5" t="str">
        <f>IFERROR(IF(SUMIFS(tblDaily[Discharges],tblDaily[EntryDate],DATE(2026,4,21),tblDaily[WardCode],"FAE")=0,"",SUMIFS(tblDaily[Discharges],tblDaily[EntryDate],DATE(2026,4,21),tblDaily[WardCode],"FAE")),"")</f>
        <v/>
      </c>
      <c r="D144" s="5" t="str">
        <f>IFERROR(IF(SUMIFS(tblDaily[Deaths],tblDaily[EntryDate],DATE(2026,4,21),tblDaily[WardCode],"FAE")=0,"",SUMIFS(tblDaily[Deaths],tblDaily[EntryDate],DATE(2026,4,21),tblDaily[WardCode],"FAE")),"")</f>
        <v/>
      </c>
      <c r="E144" s="5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5" t="str">
        <f>IFERROR(IF(SUMIFS(tblDaily[TransfersIn],tblDaily[EntryDate],DATE(2026,4,21),tblDaily[WardCode],"FAE")=0,"",SUMIFS(tblDaily[TransfersIn],tblDaily[EntryDate],DATE(2026,4,21),tblDaily[WardCode],"FAE")),"")</f>
        <v/>
      </c>
      <c r="G144" s="5" t="str">
        <f>IFERROR(IF(SUMIFS(tblDaily[TransfersOut],tblDaily[EntryDate],DATE(2026,4,21),tblDaily[WardCode],"FAE")=0,"",SUMIFS(tblDaily[TransfersOut],tblDaily[EntryDate],DATE(2026,4,21),tblDaily[WardCode],"FAE")),"")</f>
        <v/>
      </c>
      <c r="H144" s="5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IFERROR(IF(SUMIFS(tblDaily[Admissions],tblDaily[EntryDate],DATE(2026,4,22),tblDaily[WardCode],"FAE")=0,"",SUMIFS(tblDaily[Admissions],tblDaily[EntryDate],DATE(2026,4,22),tblDaily[WardCode],"FAE")),"")</f>
        <v/>
      </c>
      <c r="C145" s="5" t="str">
        <f>IFERROR(IF(SUMIFS(tblDaily[Discharges],tblDaily[EntryDate],DATE(2026,4,22),tblDaily[WardCode],"FAE")=0,"",SUMIFS(tblDaily[Discharges],tblDaily[EntryDate],DATE(2026,4,22),tblDaily[WardCode],"FAE")),"")</f>
        <v/>
      </c>
      <c r="D145" s="5" t="str">
        <f>IFERROR(IF(SUMIFS(tblDaily[Deaths],tblDaily[EntryDate],DATE(2026,4,22),tblDaily[WardCode],"FAE")=0,"",SUMIFS(tblDaily[Deaths],tblDaily[EntryDate],DATE(2026,4,22),tblDaily[WardCode],"FAE")),"")</f>
        <v/>
      </c>
      <c r="E145" s="5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5" t="str">
        <f>IFERROR(IF(SUMIFS(tblDaily[TransfersIn],tblDaily[EntryDate],DATE(2026,4,22),tblDaily[WardCode],"FAE")=0,"",SUMIFS(tblDaily[TransfersIn],tblDaily[EntryDate],DATE(2026,4,22),tblDaily[WardCode],"FAE")),"")</f>
        <v/>
      </c>
      <c r="G145" s="5" t="str">
        <f>IFERROR(IF(SUMIFS(tblDaily[TransfersOut],tblDaily[EntryDate],DATE(2026,4,22),tblDaily[WardCode],"FAE")=0,"",SUMIFS(tblDaily[TransfersOut],tblDaily[EntryDate],DATE(2026,4,22),tblDaily[WardCode],"FAE")),"")</f>
        <v/>
      </c>
      <c r="H145" s="5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IFERROR(IF(SUMIFS(tblDaily[Admissions],tblDaily[EntryDate],DATE(2026,4,23),tblDaily[WardCode],"FAE")=0,"",SUMIFS(tblDaily[Admissions],tblDaily[EntryDate],DATE(2026,4,23),tblDaily[WardCode],"FAE")),"")</f>
        <v/>
      </c>
      <c r="C146" s="5" t="str">
        <f>IFERROR(IF(SUMIFS(tblDaily[Discharges],tblDaily[EntryDate],DATE(2026,4,23),tblDaily[WardCode],"FAE")=0,"",SUMIFS(tblDaily[Discharges],tblDaily[EntryDate],DATE(2026,4,23),tblDaily[WardCode],"FAE")),"")</f>
        <v/>
      </c>
      <c r="D146" s="5" t="str">
        <f>IFERROR(IF(SUMIFS(tblDaily[Deaths],tblDaily[EntryDate],DATE(2026,4,23),tblDaily[WardCode],"FAE")=0,"",SUMIFS(tblDaily[Deaths],tblDaily[EntryDate],DATE(2026,4,23),tblDaily[WardCode],"FAE")),"")</f>
        <v/>
      </c>
      <c r="E146" s="5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5" t="str">
        <f>IFERROR(IF(SUMIFS(tblDaily[TransfersIn],tblDaily[EntryDate],DATE(2026,4,23),tblDaily[WardCode],"FAE")=0,"",SUMIFS(tblDaily[TransfersIn],tblDaily[EntryDate],DATE(2026,4,23),tblDaily[WardCode],"FAE")),"")</f>
        <v/>
      </c>
      <c r="G146" s="5" t="str">
        <f>IFERROR(IF(SUMIFS(tblDaily[TransfersOut],tblDaily[EntryDate],DATE(2026,4,23),tblDaily[WardCode],"FAE")=0,"",SUMIFS(tblDaily[TransfersOut],tblDaily[EntryDate],DATE(2026,4,23),tblDaily[WardCode],"FAE")),"")</f>
        <v/>
      </c>
      <c r="H146" s="5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IFERROR(IF(SUMIFS(tblDaily[Admissions],tblDaily[EntryDate],DATE(2026,4,24),tblDaily[WardCode],"FAE")=0,"",SUMIFS(tblDaily[Admissions],tblDaily[EntryDate],DATE(2026,4,24),tblDaily[WardCode],"FAE")),"")</f>
        <v/>
      </c>
      <c r="C147" s="5" t="str">
        <f>IFERROR(IF(SUMIFS(tblDaily[Discharges],tblDaily[EntryDate],DATE(2026,4,24),tblDaily[WardCode],"FAE")=0,"",SUMIFS(tblDaily[Discharges],tblDaily[EntryDate],DATE(2026,4,24),tblDaily[WardCode],"FAE")),"")</f>
        <v/>
      </c>
      <c r="D147" s="5" t="str">
        <f>IFERROR(IF(SUMIFS(tblDaily[Deaths],tblDaily[EntryDate],DATE(2026,4,24),tblDaily[WardCode],"FAE")=0,"",SUMIFS(tblDaily[Deaths],tblDaily[EntryDate],DATE(2026,4,24),tblDaily[WardCode],"FAE")),"")</f>
        <v/>
      </c>
      <c r="E147" s="5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5" t="str">
        <f>IFERROR(IF(SUMIFS(tblDaily[TransfersIn],tblDaily[EntryDate],DATE(2026,4,24),tblDaily[WardCode],"FAE")=0,"",SUMIFS(tblDaily[TransfersIn],tblDaily[EntryDate],DATE(2026,4,24),tblDaily[WardCode],"FAE")),"")</f>
        <v/>
      </c>
      <c r="G147" s="5" t="str">
        <f>IFERROR(IF(SUMIFS(tblDaily[TransfersOut],tblDaily[EntryDate],DATE(2026,4,24),tblDaily[WardCode],"FAE")=0,"",SUMIFS(tblDaily[TransfersOut],tblDaily[EntryDate],DATE(2026,4,24),tblDaily[WardCode],"FAE")),"")</f>
        <v/>
      </c>
      <c r="H147" s="5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IFERROR(IF(SUMIFS(tblDaily[Admissions],tblDaily[EntryDate],DATE(2026,4,25),tblDaily[WardCode],"FAE")=0,"",SUMIFS(tblDaily[Admissions],tblDaily[EntryDate],DATE(2026,4,25),tblDaily[WardCode],"FAE")),"")</f>
        <v/>
      </c>
      <c r="C148" s="5" t="str">
        <f>IFERROR(IF(SUMIFS(tblDaily[Discharges],tblDaily[EntryDate],DATE(2026,4,25),tblDaily[WardCode],"FAE")=0,"",SUMIFS(tblDaily[Discharges],tblDaily[EntryDate],DATE(2026,4,25),tblDaily[WardCode],"FAE")),"")</f>
        <v/>
      </c>
      <c r="D148" s="5" t="str">
        <f>IFERROR(IF(SUMIFS(tblDaily[Deaths],tblDaily[EntryDate],DATE(2026,4,25),tblDaily[WardCode],"FAE")=0,"",SUMIFS(tblDaily[Deaths],tblDaily[EntryDate],DATE(2026,4,25),tblDaily[WardCode],"FAE")),"")</f>
        <v/>
      </c>
      <c r="E148" s="5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5" t="str">
        <f>IFERROR(IF(SUMIFS(tblDaily[TransfersIn],tblDaily[EntryDate],DATE(2026,4,25),tblDaily[WardCode],"FAE")=0,"",SUMIFS(tblDaily[TransfersIn],tblDaily[EntryDate],DATE(2026,4,25),tblDaily[WardCode],"FAE")),"")</f>
        <v/>
      </c>
      <c r="G148" s="5" t="str">
        <f>IFERROR(IF(SUMIFS(tblDaily[TransfersOut],tblDaily[EntryDate],DATE(2026,4,25),tblDaily[WardCode],"FAE")=0,"",SUMIFS(tblDaily[TransfersOut],tblDaily[EntryDate],DATE(2026,4,25),tblDaily[WardCode],"FAE")),"")</f>
        <v/>
      </c>
      <c r="H148" s="5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IFERROR(IF(SUMIFS(tblDaily[Admissions],tblDaily[EntryDate],DATE(2026,4,26),tblDaily[WardCode],"FAE")=0,"",SUMIFS(tblDaily[Admissions],tblDaily[EntryDate],DATE(2026,4,26),tblDaily[WardCode],"FAE")),"")</f>
        <v/>
      </c>
      <c r="C149" s="5" t="str">
        <f>IFERROR(IF(SUMIFS(tblDaily[Discharges],tblDaily[EntryDate],DATE(2026,4,26),tblDaily[WardCode],"FAE")=0,"",SUMIFS(tblDaily[Discharges],tblDaily[EntryDate],DATE(2026,4,26),tblDaily[WardCode],"FAE")),"")</f>
        <v/>
      </c>
      <c r="D149" s="5" t="str">
        <f>IFERROR(IF(SUMIFS(tblDaily[Deaths],tblDaily[EntryDate],DATE(2026,4,26),tblDaily[WardCode],"FAE")=0,"",SUMIFS(tblDaily[Deaths],tblDaily[EntryDate],DATE(2026,4,26),tblDaily[WardCode],"FAE")),"")</f>
        <v/>
      </c>
      <c r="E149" s="5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5" t="str">
        <f>IFERROR(IF(SUMIFS(tblDaily[TransfersIn],tblDaily[EntryDate],DATE(2026,4,26),tblDaily[WardCode],"FAE")=0,"",SUMIFS(tblDaily[TransfersIn],tblDaily[EntryDate],DATE(2026,4,26),tblDaily[WardCode],"FAE")),"")</f>
        <v/>
      </c>
      <c r="G149" s="5" t="str">
        <f>IFERROR(IF(SUMIFS(tblDaily[TransfersOut],tblDaily[EntryDate],DATE(2026,4,26),tblDaily[WardCode],"FAE")=0,"",SUMIFS(tblDaily[TransfersOut],tblDaily[EntryDate],DATE(2026,4,26),tblDaily[WardCode],"FAE")),"")</f>
        <v/>
      </c>
      <c r="H149" s="5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IFERROR(IF(SUMIFS(tblDaily[Admissions],tblDaily[EntryDate],DATE(2026,4,27),tblDaily[WardCode],"FAE")=0,"",SUMIFS(tblDaily[Admissions],tblDaily[EntryDate],DATE(2026,4,27),tblDaily[WardCode],"FAE")),"")</f>
        <v/>
      </c>
      <c r="C150" s="5" t="str">
        <f>IFERROR(IF(SUMIFS(tblDaily[Discharges],tblDaily[EntryDate],DATE(2026,4,27),tblDaily[WardCode],"FAE")=0,"",SUMIFS(tblDaily[Discharges],tblDaily[EntryDate],DATE(2026,4,27),tblDaily[WardCode],"FAE")),"")</f>
        <v/>
      </c>
      <c r="D150" s="5" t="str">
        <f>IFERROR(IF(SUMIFS(tblDaily[Deaths],tblDaily[EntryDate],DATE(2026,4,27),tblDaily[WardCode],"FAE")=0,"",SUMIFS(tblDaily[Deaths],tblDaily[EntryDate],DATE(2026,4,27),tblDaily[WardCode],"FAE")),"")</f>
        <v/>
      </c>
      <c r="E150" s="5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5" t="str">
        <f>IFERROR(IF(SUMIFS(tblDaily[TransfersIn],tblDaily[EntryDate],DATE(2026,4,27),tblDaily[WardCode],"FAE")=0,"",SUMIFS(tblDaily[TransfersIn],tblDaily[EntryDate],DATE(2026,4,27),tblDaily[WardCode],"FAE")),"")</f>
        <v/>
      </c>
      <c r="G150" s="5" t="str">
        <f>IFERROR(IF(SUMIFS(tblDaily[TransfersOut],tblDaily[EntryDate],DATE(2026,4,27),tblDaily[WardCode],"FAE")=0,"",SUMIFS(tblDaily[TransfersOut],tblDaily[EntryDate],DATE(2026,4,27),tblDaily[WardCode],"FAE")),"")</f>
        <v/>
      </c>
      <c r="H150" s="5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IFERROR(IF(SUMIFS(tblDaily[Admissions],tblDaily[EntryDate],DATE(2026,4,28),tblDaily[WardCode],"FAE")=0,"",SUMIFS(tblDaily[Admissions],tblDaily[EntryDate],DATE(2026,4,28),tblDaily[WardCode],"FAE")),"")</f>
        <v/>
      </c>
      <c r="C151" s="5" t="str">
        <f>IFERROR(IF(SUMIFS(tblDaily[Discharges],tblDaily[EntryDate],DATE(2026,4,28),tblDaily[WardCode],"FAE")=0,"",SUMIFS(tblDaily[Discharges],tblDaily[EntryDate],DATE(2026,4,28),tblDaily[WardCode],"FAE")),"")</f>
        <v/>
      </c>
      <c r="D151" s="5" t="str">
        <f>IFERROR(IF(SUMIFS(tblDaily[Deaths],tblDaily[EntryDate],DATE(2026,4,28),tblDaily[WardCode],"FAE")=0,"",SUMIFS(tblDaily[Deaths],tblDaily[EntryDate],DATE(2026,4,28),tblDaily[WardCode],"FAE")),"")</f>
        <v/>
      </c>
      <c r="E151" s="5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5" t="str">
        <f>IFERROR(IF(SUMIFS(tblDaily[TransfersIn],tblDaily[EntryDate],DATE(2026,4,28),tblDaily[WardCode],"FAE")=0,"",SUMIFS(tblDaily[TransfersIn],tblDaily[EntryDate],DATE(2026,4,28),tblDaily[WardCode],"FAE")),"")</f>
        <v/>
      </c>
      <c r="G151" s="5" t="str">
        <f>IFERROR(IF(SUMIFS(tblDaily[TransfersOut],tblDaily[EntryDate],DATE(2026,4,28),tblDaily[WardCode],"FAE")=0,"",SUMIFS(tblDaily[TransfersOut],tblDaily[EntryDate],DATE(2026,4,28),tblDaily[WardCode],"FAE")),"")</f>
        <v/>
      </c>
      <c r="H151" s="5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IFERROR(IF(SUMIFS(tblDaily[Admissions],tblDaily[EntryDate],DATE(2026,4,29),tblDaily[WardCode],"FAE")=0,"",SUMIFS(tblDaily[Admissions],tblDaily[EntryDate],DATE(2026,4,29),tblDaily[WardCode],"FAE")),"")</f>
        <v/>
      </c>
      <c r="C152" s="5" t="str">
        <f>IFERROR(IF(SUMIFS(tblDaily[Discharges],tblDaily[EntryDate],DATE(2026,4,29),tblDaily[WardCode],"FAE")=0,"",SUMIFS(tblDaily[Discharges],tblDaily[EntryDate],DATE(2026,4,29),tblDaily[WardCode],"FAE")),"")</f>
        <v/>
      </c>
      <c r="D152" s="5" t="str">
        <f>IFERROR(IF(SUMIFS(tblDaily[Deaths],tblDaily[EntryDate],DATE(2026,4,29),tblDaily[WardCode],"FAE")=0,"",SUMIFS(tblDaily[Deaths],tblDaily[EntryDate],DATE(2026,4,29),tblDaily[WardCode],"FAE")),"")</f>
        <v/>
      </c>
      <c r="E152" s="5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5" t="str">
        <f>IFERROR(IF(SUMIFS(tblDaily[TransfersIn],tblDaily[EntryDate],DATE(2026,4,29),tblDaily[WardCode],"FAE")=0,"",SUMIFS(tblDaily[TransfersIn],tblDaily[EntryDate],DATE(2026,4,29),tblDaily[WardCode],"FAE")),"")</f>
        <v/>
      </c>
      <c r="G152" s="5" t="str">
        <f>IFERROR(IF(SUMIFS(tblDaily[TransfersOut],tblDaily[EntryDate],DATE(2026,4,29),tblDaily[WardCode],"FAE")=0,"",SUMIFS(tblDaily[TransfersOut],tblDaily[EntryDate],DATE(2026,4,29),tblDaily[WardCode],"FAE")),"")</f>
        <v/>
      </c>
      <c r="H152" s="5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IFERROR(IF(SUMIFS(tblDaily[Admissions],tblDaily[EntryDate],DATE(2026,4,30),tblDaily[WardCode],"FAE")=0,"",SUMIFS(tblDaily[Admissions],tblDaily[EntryDate],DATE(2026,4,30),tblDaily[WardCode],"FAE")),"")</f>
        <v/>
      </c>
      <c r="C153" s="5" t="str">
        <f>IFERROR(IF(SUMIFS(tblDaily[Discharges],tblDaily[EntryDate],DATE(2026,4,30),tblDaily[WardCode],"FAE")=0,"",SUMIFS(tblDaily[Discharges],tblDaily[EntryDate],DATE(2026,4,30),tblDaily[WardCode],"FAE")),"")</f>
        <v/>
      </c>
      <c r="D153" s="5" t="str">
        <f>IFERROR(IF(SUMIFS(tblDaily[Deaths],tblDaily[EntryDate],DATE(2026,4,30),tblDaily[WardCode],"FAE")=0,"",SUMIFS(tblDaily[Deaths],tblDaily[EntryDate],DATE(2026,4,30),tblDaily[WardCode],"FAE")),"")</f>
        <v/>
      </c>
      <c r="E153" s="5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5" t="str">
        <f>IFERROR(IF(SUMIFS(tblDaily[TransfersIn],tblDaily[EntryDate],DATE(2026,4,30),tblDaily[WardCode],"FAE")=0,"",SUMIFS(tblDaily[TransfersIn],tblDaily[EntryDate],DATE(2026,4,30),tblDaily[WardCode],"FAE")),"")</f>
        <v/>
      </c>
      <c r="G153" s="5" t="str">
        <f>IFERROR(IF(SUMIFS(tblDaily[TransfersOut],tblDaily[EntryDate],DATE(2026,4,30),tblDaily[WardCode],"FAE")=0,"",SUMIFS(tblDaily[TransfersOut],tblDaily[EntryDate],DATE(2026,4,30),tblDaily[WardCode],"FAE")),"")</f>
        <v/>
      </c>
      <c r="H153" s="5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16" t="s">
        <v>0</v>
      </c>
      <c r="B157" s="17"/>
      <c r="C157" s="17"/>
      <c r="D157" s="17"/>
      <c r="E157" s="17"/>
      <c r="F157" s="17"/>
      <c r="G157" s="17"/>
      <c r="H157" s="17"/>
    </row>
    <row r="158" spans="1:8" ht="15.75" x14ac:dyDescent="0.25">
      <c r="A158" s="21" t="s">
        <v>84</v>
      </c>
      <c r="B158" s="17"/>
      <c r="C158" s="17"/>
      <c r="D158" s="17"/>
      <c r="E158" s="17"/>
      <c r="F158" s="17"/>
      <c r="G158" s="17"/>
      <c r="H158" s="17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103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89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IFERROR(IF(SUMIFS(tblDaily[Admissions],tblDaily[EntryDate],DATE(2026,5,1),tblDaily[WardCode],"FAE")=0,"",SUMIFS(tblDaily[Admissions],tblDaily[EntryDate],DATE(2026,5,1),tblDaily[WardCode],"FAE")),"")</f>
        <v/>
      </c>
      <c r="C163" s="5" t="str">
        <f>IFERROR(IF(SUMIFS(tblDaily[Discharges],tblDaily[EntryDate],DATE(2026,5,1),tblDaily[WardCode],"FAE")=0,"",SUMIFS(tblDaily[Discharges],tblDaily[EntryDate],DATE(2026,5,1),tblDaily[WardCode],"FAE")),"")</f>
        <v/>
      </c>
      <c r="D163" s="5" t="str">
        <f>IFERROR(IF(SUMIFS(tblDaily[Deaths],tblDaily[EntryDate],DATE(2026,5,1),tblDaily[WardCode],"FAE")=0,"",SUMIFS(tblDaily[Deaths],tblDaily[EntryDate],DATE(2026,5,1),tblDaily[WardCode],"FAE")),"")</f>
        <v/>
      </c>
      <c r="E163" s="5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5" t="str">
        <f>IFERROR(IF(SUMIFS(tblDaily[TransfersIn],tblDaily[EntryDate],DATE(2026,5,1),tblDaily[WardCode],"FAE")=0,"",SUMIFS(tblDaily[TransfersIn],tblDaily[EntryDate],DATE(2026,5,1),tblDaily[WardCode],"FAE")),"")</f>
        <v/>
      </c>
      <c r="G163" s="5" t="str">
        <f>IFERROR(IF(SUMIFS(tblDaily[TransfersOut],tblDaily[EntryDate],DATE(2026,5,1),tblDaily[WardCode],"FAE")=0,"",SUMIFS(tblDaily[TransfersOut],tblDaily[EntryDate],DATE(2026,5,1),tblDaily[WardCode],"FAE")),"")</f>
        <v/>
      </c>
      <c r="H163" s="5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IFERROR(IF(SUMIFS(tblDaily[Admissions],tblDaily[EntryDate],DATE(2026,5,2),tblDaily[WardCode],"FAE")=0,"",SUMIFS(tblDaily[Admissions],tblDaily[EntryDate],DATE(2026,5,2),tblDaily[WardCode],"FAE")),"")</f>
        <v/>
      </c>
      <c r="C164" s="5" t="str">
        <f>IFERROR(IF(SUMIFS(tblDaily[Discharges],tblDaily[EntryDate],DATE(2026,5,2),tblDaily[WardCode],"FAE")=0,"",SUMIFS(tblDaily[Discharges],tblDaily[EntryDate],DATE(2026,5,2),tblDaily[WardCode],"FAE")),"")</f>
        <v/>
      </c>
      <c r="D164" s="5" t="str">
        <f>IFERROR(IF(SUMIFS(tblDaily[Deaths],tblDaily[EntryDate],DATE(2026,5,2),tblDaily[WardCode],"FAE")=0,"",SUMIFS(tblDaily[Deaths],tblDaily[EntryDate],DATE(2026,5,2),tblDaily[WardCode],"FAE")),"")</f>
        <v/>
      </c>
      <c r="E164" s="5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5" t="str">
        <f>IFERROR(IF(SUMIFS(tblDaily[TransfersIn],tblDaily[EntryDate],DATE(2026,5,2),tblDaily[WardCode],"FAE")=0,"",SUMIFS(tblDaily[TransfersIn],tblDaily[EntryDate],DATE(2026,5,2),tblDaily[WardCode],"FAE")),"")</f>
        <v/>
      </c>
      <c r="G164" s="5" t="str">
        <f>IFERROR(IF(SUMIFS(tblDaily[TransfersOut],tblDaily[EntryDate],DATE(2026,5,2),tblDaily[WardCode],"FAE")=0,"",SUMIFS(tblDaily[TransfersOut],tblDaily[EntryDate],DATE(2026,5,2),tblDaily[WardCode],"FAE")),"")</f>
        <v/>
      </c>
      <c r="H164" s="5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IFERROR(IF(SUMIFS(tblDaily[Admissions],tblDaily[EntryDate],DATE(2026,5,3),tblDaily[WardCode],"FAE")=0,"",SUMIFS(tblDaily[Admissions],tblDaily[EntryDate],DATE(2026,5,3),tblDaily[WardCode],"FAE")),"")</f>
        <v/>
      </c>
      <c r="C165" s="5" t="str">
        <f>IFERROR(IF(SUMIFS(tblDaily[Discharges],tblDaily[EntryDate],DATE(2026,5,3),tblDaily[WardCode],"FAE")=0,"",SUMIFS(tblDaily[Discharges],tblDaily[EntryDate],DATE(2026,5,3),tblDaily[WardCode],"FAE")),"")</f>
        <v/>
      </c>
      <c r="D165" s="5" t="str">
        <f>IFERROR(IF(SUMIFS(tblDaily[Deaths],tblDaily[EntryDate],DATE(2026,5,3),tblDaily[WardCode],"FAE")=0,"",SUMIFS(tblDaily[Deaths],tblDaily[EntryDate],DATE(2026,5,3),tblDaily[WardCode],"FAE")),"")</f>
        <v/>
      </c>
      <c r="E165" s="5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5" t="str">
        <f>IFERROR(IF(SUMIFS(tblDaily[TransfersIn],tblDaily[EntryDate],DATE(2026,5,3),tblDaily[WardCode],"FAE")=0,"",SUMIFS(tblDaily[TransfersIn],tblDaily[EntryDate],DATE(2026,5,3),tblDaily[WardCode],"FAE")),"")</f>
        <v/>
      </c>
      <c r="G165" s="5" t="str">
        <f>IFERROR(IF(SUMIFS(tblDaily[TransfersOut],tblDaily[EntryDate],DATE(2026,5,3),tblDaily[WardCode],"FAE")=0,"",SUMIFS(tblDaily[TransfersOut],tblDaily[EntryDate],DATE(2026,5,3),tblDaily[WardCode],"FAE")),"")</f>
        <v/>
      </c>
      <c r="H165" s="5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IFERROR(IF(SUMIFS(tblDaily[Admissions],tblDaily[EntryDate],DATE(2026,5,4),tblDaily[WardCode],"FAE")=0,"",SUMIFS(tblDaily[Admissions],tblDaily[EntryDate],DATE(2026,5,4),tblDaily[WardCode],"FAE")),"")</f>
        <v/>
      </c>
      <c r="C166" s="5" t="str">
        <f>IFERROR(IF(SUMIFS(tblDaily[Discharges],tblDaily[EntryDate],DATE(2026,5,4),tblDaily[WardCode],"FAE")=0,"",SUMIFS(tblDaily[Discharges],tblDaily[EntryDate],DATE(2026,5,4),tblDaily[WardCode],"FAE")),"")</f>
        <v/>
      </c>
      <c r="D166" s="5" t="str">
        <f>IFERROR(IF(SUMIFS(tblDaily[Deaths],tblDaily[EntryDate],DATE(2026,5,4),tblDaily[WardCode],"FAE")=0,"",SUMIFS(tblDaily[Deaths],tblDaily[EntryDate],DATE(2026,5,4),tblDaily[WardCode],"FAE")),"")</f>
        <v/>
      </c>
      <c r="E166" s="5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5" t="str">
        <f>IFERROR(IF(SUMIFS(tblDaily[TransfersIn],tblDaily[EntryDate],DATE(2026,5,4),tblDaily[WardCode],"FAE")=0,"",SUMIFS(tblDaily[TransfersIn],tblDaily[EntryDate],DATE(2026,5,4),tblDaily[WardCode],"FAE")),"")</f>
        <v/>
      </c>
      <c r="G166" s="5" t="str">
        <f>IFERROR(IF(SUMIFS(tblDaily[TransfersOut],tblDaily[EntryDate],DATE(2026,5,4),tblDaily[WardCode],"FAE")=0,"",SUMIFS(tblDaily[TransfersOut],tblDaily[EntryDate],DATE(2026,5,4),tblDaily[WardCode],"FAE")),"")</f>
        <v/>
      </c>
      <c r="H166" s="5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IFERROR(IF(SUMIFS(tblDaily[Admissions],tblDaily[EntryDate],DATE(2026,5,5),tblDaily[WardCode],"FAE")=0,"",SUMIFS(tblDaily[Admissions],tblDaily[EntryDate],DATE(2026,5,5),tblDaily[WardCode],"FAE")),"")</f>
        <v/>
      </c>
      <c r="C167" s="5" t="str">
        <f>IFERROR(IF(SUMIFS(tblDaily[Discharges],tblDaily[EntryDate],DATE(2026,5,5),tblDaily[WardCode],"FAE")=0,"",SUMIFS(tblDaily[Discharges],tblDaily[EntryDate],DATE(2026,5,5),tblDaily[WardCode],"FAE")),"")</f>
        <v/>
      </c>
      <c r="D167" s="5" t="str">
        <f>IFERROR(IF(SUMIFS(tblDaily[Deaths],tblDaily[EntryDate],DATE(2026,5,5),tblDaily[WardCode],"FAE")=0,"",SUMIFS(tblDaily[Deaths],tblDaily[EntryDate],DATE(2026,5,5),tblDaily[WardCode],"FAE")),"")</f>
        <v/>
      </c>
      <c r="E167" s="5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5" t="str">
        <f>IFERROR(IF(SUMIFS(tblDaily[TransfersIn],tblDaily[EntryDate],DATE(2026,5,5),tblDaily[WardCode],"FAE")=0,"",SUMIFS(tblDaily[TransfersIn],tblDaily[EntryDate],DATE(2026,5,5),tblDaily[WardCode],"FAE")),"")</f>
        <v/>
      </c>
      <c r="G167" s="5" t="str">
        <f>IFERROR(IF(SUMIFS(tblDaily[TransfersOut],tblDaily[EntryDate],DATE(2026,5,5),tblDaily[WardCode],"FAE")=0,"",SUMIFS(tblDaily[TransfersOut],tblDaily[EntryDate],DATE(2026,5,5),tblDaily[WardCode],"FAE")),"")</f>
        <v/>
      </c>
      <c r="H167" s="5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IFERROR(IF(SUMIFS(tblDaily[Admissions],tblDaily[EntryDate],DATE(2026,5,6),tblDaily[WardCode],"FAE")=0,"",SUMIFS(tblDaily[Admissions],tblDaily[EntryDate],DATE(2026,5,6),tblDaily[WardCode],"FAE")),"")</f>
        <v/>
      </c>
      <c r="C168" s="5" t="str">
        <f>IFERROR(IF(SUMIFS(tblDaily[Discharges],tblDaily[EntryDate],DATE(2026,5,6),tblDaily[WardCode],"FAE")=0,"",SUMIFS(tblDaily[Discharges],tblDaily[EntryDate],DATE(2026,5,6),tblDaily[WardCode],"FAE")),"")</f>
        <v/>
      </c>
      <c r="D168" s="5" t="str">
        <f>IFERROR(IF(SUMIFS(tblDaily[Deaths],tblDaily[EntryDate],DATE(2026,5,6),tblDaily[WardCode],"FAE")=0,"",SUMIFS(tblDaily[Deaths],tblDaily[EntryDate],DATE(2026,5,6),tblDaily[WardCode],"FAE")),"")</f>
        <v/>
      </c>
      <c r="E168" s="5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5" t="str">
        <f>IFERROR(IF(SUMIFS(tblDaily[TransfersIn],tblDaily[EntryDate],DATE(2026,5,6),tblDaily[WardCode],"FAE")=0,"",SUMIFS(tblDaily[TransfersIn],tblDaily[EntryDate],DATE(2026,5,6),tblDaily[WardCode],"FAE")),"")</f>
        <v/>
      </c>
      <c r="G168" s="5" t="str">
        <f>IFERROR(IF(SUMIFS(tblDaily[TransfersOut],tblDaily[EntryDate],DATE(2026,5,6),tblDaily[WardCode],"FAE")=0,"",SUMIFS(tblDaily[TransfersOut],tblDaily[EntryDate],DATE(2026,5,6),tblDaily[WardCode],"FAE")),"")</f>
        <v/>
      </c>
      <c r="H168" s="5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IFERROR(IF(SUMIFS(tblDaily[Admissions],tblDaily[EntryDate],DATE(2026,5,7),tblDaily[WardCode],"FAE")=0,"",SUMIFS(tblDaily[Admissions],tblDaily[EntryDate],DATE(2026,5,7),tblDaily[WardCode],"FAE")),"")</f>
        <v/>
      </c>
      <c r="C169" s="5" t="str">
        <f>IFERROR(IF(SUMIFS(tblDaily[Discharges],tblDaily[EntryDate],DATE(2026,5,7),tblDaily[WardCode],"FAE")=0,"",SUMIFS(tblDaily[Discharges],tblDaily[EntryDate],DATE(2026,5,7),tblDaily[WardCode],"FAE")),"")</f>
        <v/>
      </c>
      <c r="D169" s="5" t="str">
        <f>IFERROR(IF(SUMIFS(tblDaily[Deaths],tblDaily[EntryDate],DATE(2026,5,7),tblDaily[WardCode],"FAE")=0,"",SUMIFS(tblDaily[Deaths],tblDaily[EntryDate],DATE(2026,5,7),tblDaily[WardCode],"FAE")),"")</f>
        <v/>
      </c>
      <c r="E169" s="5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5" t="str">
        <f>IFERROR(IF(SUMIFS(tblDaily[TransfersIn],tblDaily[EntryDate],DATE(2026,5,7),tblDaily[WardCode],"FAE")=0,"",SUMIFS(tblDaily[TransfersIn],tblDaily[EntryDate],DATE(2026,5,7),tblDaily[WardCode],"FAE")),"")</f>
        <v/>
      </c>
      <c r="G169" s="5" t="str">
        <f>IFERROR(IF(SUMIFS(tblDaily[TransfersOut],tblDaily[EntryDate],DATE(2026,5,7),tblDaily[WardCode],"FAE")=0,"",SUMIFS(tblDaily[TransfersOut],tblDaily[EntryDate],DATE(2026,5,7),tblDaily[WardCode],"FAE")),"")</f>
        <v/>
      </c>
      <c r="H169" s="5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IFERROR(IF(SUMIFS(tblDaily[Admissions],tblDaily[EntryDate],DATE(2026,5,8),tblDaily[WardCode],"FAE")=0,"",SUMIFS(tblDaily[Admissions],tblDaily[EntryDate],DATE(2026,5,8),tblDaily[WardCode],"FAE")),"")</f>
        <v/>
      </c>
      <c r="C170" s="5" t="str">
        <f>IFERROR(IF(SUMIFS(tblDaily[Discharges],tblDaily[EntryDate],DATE(2026,5,8),tblDaily[WardCode],"FAE")=0,"",SUMIFS(tblDaily[Discharges],tblDaily[EntryDate],DATE(2026,5,8),tblDaily[WardCode],"FAE")),"")</f>
        <v/>
      </c>
      <c r="D170" s="5" t="str">
        <f>IFERROR(IF(SUMIFS(tblDaily[Deaths],tblDaily[EntryDate],DATE(2026,5,8),tblDaily[WardCode],"FAE")=0,"",SUMIFS(tblDaily[Deaths],tblDaily[EntryDate],DATE(2026,5,8),tblDaily[WardCode],"FAE")),"")</f>
        <v/>
      </c>
      <c r="E170" s="5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5" t="str">
        <f>IFERROR(IF(SUMIFS(tblDaily[TransfersIn],tblDaily[EntryDate],DATE(2026,5,8),tblDaily[WardCode],"FAE")=0,"",SUMIFS(tblDaily[TransfersIn],tblDaily[EntryDate],DATE(2026,5,8),tblDaily[WardCode],"FAE")),"")</f>
        <v/>
      </c>
      <c r="G170" s="5" t="str">
        <f>IFERROR(IF(SUMIFS(tblDaily[TransfersOut],tblDaily[EntryDate],DATE(2026,5,8),tblDaily[WardCode],"FAE")=0,"",SUMIFS(tblDaily[TransfersOut],tblDaily[EntryDate],DATE(2026,5,8),tblDaily[WardCode],"FAE")),"")</f>
        <v/>
      </c>
      <c r="H170" s="5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IFERROR(IF(SUMIFS(tblDaily[Admissions],tblDaily[EntryDate],DATE(2026,5,9),tblDaily[WardCode],"FAE")=0,"",SUMIFS(tblDaily[Admissions],tblDaily[EntryDate],DATE(2026,5,9),tblDaily[WardCode],"FAE")),"")</f>
        <v/>
      </c>
      <c r="C171" s="5" t="str">
        <f>IFERROR(IF(SUMIFS(tblDaily[Discharges],tblDaily[EntryDate],DATE(2026,5,9),tblDaily[WardCode],"FAE")=0,"",SUMIFS(tblDaily[Discharges],tblDaily[EntryDate],DATE(2026,5,9),tblDaily[WardCode],"FAE")),"")</f>
        <v/>
      </c>
      <c r="D171" s="5" t="str">
        <f>IFERROR(IF(SUMIFS(tblDaily[Deaths],tblDaily[EntryDate],DATE(2026,5,9),tblDaily[WardCode],"FAE")=0,"",SUMIFS(tblDaily[Deaths],tblDaily[EntryDate],DATE(2026,5,9),tblDaily[WardCode],"FAE")),"")</f>
        <v/>
      </c>
      <c r="E171" s="5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5" t="str">
        <f>IFERROR(IF(SUMIFS(tblDaily[TransfersIn],tblDaily[EntryDate],DATE(2026,5,9),tblDaily[WardCode],"FAE")=0,"",SUMIFS(tblDaily[TransfersIn],tblDaily[EntryDate],DATE(2026,5,9),tblDaily[WardCode],"FAE")),"")</f>
        <v/>
      </c>
      <c r="G171" s="5" t="str">
        <f>IFERROR(IF(SUMIFS(tblDaily[TransfersOut],tblDaily[EntryDate],DATE(2026,5,9),tblDaily[WardCode],"FAE")=0,"",SUMIFS(tblDaily[TransfersOut],tblDaily[EntryDate],DATE(2026,5,9),tblDaily[WardCode],"FAE")),"")</f>
        <v/>
      </c>
      <c r="H171" s="5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IFERROR(IF(SUMIFS(tblDaily[Admissions],tblDaily[EntryDate],DATE(2026,5,10),tblDaily[WardCode],"FAE")=0,"",SUMIFS(tblDaily[Admissions],tblDaily[EntryDate],DATE(2026,5,10),tblDaily[WardCode],"FAE")),"")</f>
        <v/>
      </c>
      <c r="C172" s="5" t="str">
        <f>IFERROR(IF(SUMIFS(tblDaily[Discharges],tblDaily[EntryDate],DATE(2026,5,10),tblDaily[WardCode],"FAE")=0,"",SUMIFS(tblDaily[Discharges],tblDaily[EntryDate],DATE(2026,5,10),tblDaily[WardCode],"FAE")),"")</f>
        <v/>
      </c>
      <c r="D172" s="5" t="str">
        <f>IFERROR(IF(SUMIFS(tblDaily[Deaths],tblDaily[EntryDate],DATE(2026,5,10),tblDaily[WardCode],"FAE")=0,"",SUMIFS(tblDaily[Deaths],tblDaily[EntryDate],DATE(2026,5,10),tblDaily[WardCode],"FAE")),"")</f>
        <v/>
      </c>
      <c r="E172" s="5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5" t="str">
        <f>IFERROR(IF(SUMIFS(tblDaily[TransfersIn],tblDaily[EntryDate],DATE(2026,5,10),tblDaily[WardCode],"FAE")=0,"",SUMIFS(tblDaily[TransfersIn],tblDaily[EntryDate],DATE(2026,5,10),tblDaily[WardCode],"FAE")),"")</f>
        <v/>
      </c>
      <c r="G172" s="5" t="str">
        <f>IFERROR(IF(SUMIFS(tblDaily[TransfersOut],tblDaily[EntryDate],DATE(2026,5,10),tblDaily[WardCode],"FAE")=0,"",SUMIFS(tblDaily[TransfersOut],tblDaily[EntryDate],DATE(2026,5,10),tblDaily[WardCode],"FAE")),"")</f>
        <v/>
      </c>
      <c r="H172" s="5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IFERROR(IF(SUMIFS(tblDaily[Admissions],tblDaily[EntryDate],DATE(2026,5,11),tblDaily[WardCode],"FAE")=0,"",SUMIFS(tblDaily[Admissions],tblDaily[EntryDate],DATE(2026,5,11),tblDaily[WardCode],"FAE")),"")</f>
        <v/>
      </c>
      <c r="C173" s="5" t="str">
        <f>IFERROR(IF(SUMIFS(tblDaily[Discharges],tblDaily[EntryDate],DATE(2026,5,11),tblDaily[WardCode],"FAE")=0,"",SUMIFS(tblDaily[Discharges],tblDaily[EntryDate],DATE(2026,5,11),tblDaily[WardCode],"FAE")),"")</f>
        <v/>
      </c>
      <c r="D173" s="5" t="str">
        <f>IFERROR(IF(SUMIFS(tblDaily[Deaths],tblDaily[EntryDate],DATE(2026,5,11),tblDaily[WardCode],"FAE")=0,"",SUMIFS(tblDaily[Deaths],tblDaily[EntryDate],DATE(2026,5,11),tblDaily[WardCode],"FAE")),"")</f>
        <v/>
      </c>
      <c r="E173" s="5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5" t="str">
        <f>IFERROR(IF(SUMIFS(tblDaily[TransfersIn],tblDaily[EntryDate],DATE(2026,5,11),tblDaily[WardCode],"FAE")=0,"",SUMIFS(tblDaily[TransfersIn],tblDaily[EntryDate],DATE(2026,5,11),tblDaily[WardCode],"FAE")),"")</f>
        <v/>
      </c>
      <c r="G173" s="5" t="str">
        <f>IFERROR(IF(SUMIFS(tblDaily[TransfersOut],tblDaily[EntryDate],DATE(2026,5,11),tblDaily[WardCode],"FAE")=0,"",SUMIFS(tblDaily[TransfersOut],tblDaily[EntryDate],DATE(2026,5,11),tblDaily[WardCode],"FAE")),"")</f>
        <v/>
      </c>
      <c r="H173" s="5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IFERROR(IF(SUMIFS(tblDaily[Admissions],tblDaily[EntryDate],DATE(2026,5,12),tblDaily[WardCode],"FAE")=0,"",SUMIFS(tblDaily[Admissions],tblDaily[EntryDate],DATE(2026,5,12),tblDaily[WardCode],"FAE")),"")</f>
        <v/>
      </c>
      <c r="C174" s="5" t="str">
        <f>IFERROR(IF(SUMIFS(tblDaily[Discharges],tblDaily[EntryDate],DATE(2026,5,12),tblDaily[WardCode],"FAE")=0,"",SUMIFS(tblDaily[Discharges],tblDaily[EntryDate],DATE(2026,5,12),tblDaily[WardCode],"FAE")),"")</f>
        <v/>
      </c>
      <c r="D174" s="5" t="str">
        <f>IFERROR(IF(SUMIFS(tblDaily[Deaths],tblDaily[EntryDate],DATE(2026,5,12),tblDaily[WardCode],"FAE")=0,"",SUMIFS(tblDaily[Deaths],tblDaily[EntryDate],DATE(2026,5,12),tblDaily[WardCode],"FAE")),"")</f>
        <v/>
      </c>
      <c r="E174" s="5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5" t="str">
        <f>IFERROR(IF(SUMIFS(tblDaily[TransfersIn],tblDaily[EntryDate],DATE(2026,5,12),tblDaily[WardCode],"FAE")=0,"",SUMIFS(tblDaily[TransfersIn],tblDaily[EntryDate],DATE(2026,5,12),tblDaily[WardCode],"FAE")),"")</f>
        <v/>
      </c>
      <c r="G174" s="5" t="str">
        <f>IFERROR(IF(SUMIFS(tblDaily[TransfersOut],tblDaily[EntryDate],DATE(2026,5,12),tblDaily[WardCode],"FAE")=0,"",SUMIFS(tblDaily[TransfersOut],tblDaily[EntryDate],DATE(2026,5,12),tblDaily[WardCode],"FAE")),"")</f>
        <v/>
      </c>
      <c r="H174" s="5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IFERROR(IF(SUMIFS(tblDaily[Admissions],tblDaily[EntryDate],DATE(2026,5,13),tblDaily[WardCode],"FAE")=0,"",SUMIFS(tblDaily[Admissions],tblDaily[EntryDate],DATE(2026,5,13),tblDaily[WardCode],"FAE")),"")</f>
        <v/>
      </c>
      <c r="C175" s="5" t="str">
        <f>IFERROR(IF(SUMIFS(tblDaily[Discharges],tblDaily[EntryDate],DATE(2026,5,13),tblDaily[WardCode],"FAE")=0,"",SUMIFS(tblDaily[Discharges],tblDaily[EntryDate],DATE(2026,5,13),tblDaily[WardCode],"FAE")),"")</f>
        <v/>
      </c>
      <c r="D175" s="5" t="str">
        <f>IFERROR(IF(SUMIFS(tblDaily[Deaths],tblDaily[EntryDate],DATE(2026,5,13),tblDaily[WardCode],"FAE")=0,"",SUMIFS(tblDaily[Deaths],tblDaily[EntryDate],DATE(2026,5,13),tblDaily[WardCode],"FAE")),"")</f>
        <v/>
      </c>
      <c r="E175" s="5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5" t="str">
        <f>IFERROR(IF(SUMIFS(tblDaily[TransfersIn],tblDaily[EntryDate],DATE(2026,5,13),tblDaily[WardCode],"FAE")=0,"",SUMIFS(tblDaily[TransfersIn],tblDaily[EntryDate],DATE(2026,5,13),tblDaily[WardCode],"FAE")),"")</f>
        <v/>
      </c>
      <c r="G175" s="5" t="str">
        <f>IFERROR(IF(SUMIFS(tblDaily[TransfersOut],tblDaily[EntryDate],DATE(2026,5,13),tblDaily[WardCode],"FAE")=0,"",SUMIFS(tblDaily[TransfersOut],tblDaily[EntryDate],DATE(2026,5,13),tblDaily[WardCode],"FAE")),"")</f>
        <v/>
      </c>
      <c r="H175" s="5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IFERROR(IF(SUMIFS(tblDaily[Admissions],tblDaily[EntryDate],DATE(2026,5,14),tblDaily[WardCode],"FAE")=0,"",SUMIFS(tblDaily[Admissions],tblDaily[EntryDate],DATE(2026,5,14),tblDaily[WardCode],"FAE")),"")</f>
        <v/>
      </c>
      <c r="C176" s="5" t="str">
        <f>IFERROR(IF(SUMIFS(tblDaily[Discharges],tblDaily[EntryDate],DATE(2026,5,14),tblDaily[WardCode],"FAE")=0,"",SUMIFS(tblDaily[Discharges],tblDaily[EntryDate],DATE(2026,5,14),tblDaily[WardCode],"FAE")),"")</f>
        <v/>
      </c>
      <c r="D176" s="5" t="str">
        <f>IFERROR(IF(SUMIFS(tblDaily[Deaths],tblDaily[EntryDate],DATE(2026,5,14),tblDaily[WardCode],"FAE")=0,"",SUMIFS(tblDaily[Deaths],tblDaily[EntryDate],DATE(2026,5,14),tblDaily[WardCode],"FAE")),"")</f>
        <v/>
      </c>
      <c r="E176" s="5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5" t="str">
        <f>IFERROR(IF(SUMIFS(tblDaily[TransfersIn],tblDaily[EntryDate],DATE(2026,5,14),tblDaily[WardCode],"FAE")=0,"",SUMIFS(tblDaily[TransfersIn],tblDaily[EntryDate],DATE(2026,5,14),tblDaily[WardCode],"FAE")),"")</f>
        <v/>
      </c>
      <c r="G176" s="5" t="str">
        <f>IFERROR(IF(SUMIFS(tblDaily[TransfersOut],tblDaily[EntryDate],DATE(2026,5,14),tblDaily[WardCode],"FAE")=0,"",SUMIFS(tblDaily[TransfersOut],tblDaily[EntryDate],DATE(2026,5,14),tblDaily[WardCode],"FAE")),"")</f>
        <v/>
      </c>
      <c r="H176" s="5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IFERROR(IF(SUMIFS(tblDaily[Admissions],tblDaily[EntryDate],DATE(2026,5,15),tblDaily[WardCode],"FAE")=0,"",SUMIFS(tblDaily[Admissions],tblDaily[EntryDate],DATE(2026,5,15),tblDaily[WardCode],"FAE")),"")</f>
        <v/>
      </c>
      <c r="C177" s="5" t="str">
        <f>IFERROR(IF(SUMIFS(tblDaily[Discharges],tblDaily[EntryDate],DATE(2026,5,15),tblDaily[WardCode],"FAE")=0,"",SUMIFS(tblDaily[Discharges],tblDaily[EntryDate],DATE(2026,5,15),tblDaily[WardCode],"FAE")),"")</f>
        <v/>
      </c>
      <c r="D177" s="5" t="str">
        <f>IFERROR(IF(SUMIFS(tblDaily[Deaths],tblDaily[EntryDate],DATE(2026,5,15),tblDaily[WardCode],"FAE")=0,"",SUMIFS(tblDaily[Deaths],tblDaily[EntryDate],DATE(2026,5,15),tblDaily[WardCode],"FAE")),"")</f>
        <v/>
      </c>
      <c r="E177" s="5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5" t="str">
        <f>IFERROR(IF(SUMIFS(tblDaily[TransfersIn],tblDaily[EntryDate],DATE(2026,5,15),tblDaily[WardCode],"FAE")=0,"",SUMIFS(tblDaily[TransfersIn],tblDaily[EntryDate],DATE(2026,5,15),tblDaily[WardCode],"FAE")),"")</f>
        <v/>
      </c>
      <c r="G177" s="5" t="str">
        <f>IFERROR(IF(SUMIFS(tblDaily[TransfersOut],tblDaily[EntryDate],DATE(2026,5,15),tblDaily[WardCode],"FAE")=0,"",SUMIFS(tblDaily[TransfersOut],tblDaily[EntryDate],DATE(2026,5,15),tblDaily[WardCode],"FAE")),"")</f>
        <v/>
      </c>
      <c r="H177" s="5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IFERROR(IF(SUMIFS(tblDaily[Admissions],tblDaily[EntryDate],DATE(2026,5,16),tblDaily[WardCode],"FAE")=0,"",SUMIFS(tblDaily[Admissions],tblDaily[EntryDate],DATE(2026,5,16),tblDaily[WardCode],"FAE")),"")</f>
        <v/>
      </c>
      <c r="C178" s="5" t="str">
        <f>IFERROR(IF(SUMIFS(tblDaily[Discharges],tblDaily[EntryDate],DATE(2026,5,16),tblDaily[WardCode],"FAE")=0,"",SUMIFS(tblDaily[Discharges],tblDaily[EntryDate],DATE(2026,5,16),tblDaily[WardCode],"FAE")),"")</f>
        <v/>
      </c>
      <c r="D178" s="5" t="str">
        <f>IFERROR(IF(SUMIFS(tblDaily[Deaths],tblDaily[EntryDate],DATE(2026,5,16),tblDaily[WardCode],"FAE")=0,"",SUMIFS(tblDaily[Deaths],tblDaily[EntryDate],DATE(2026,5,16),tblDaily[WardCode],"FAE")),"")</f>
        <v/>
      </c>
      <c r="E178" s="5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5" t="str">
        <f>IFERROR(IF(SUMIFS(tblDaily[TransfersIn],tblDaily[EntryDate],DATE(2026,5,16),tblDaily[WardCode],"FAE")=0,"",SUMIFS(tblDaily[TransfersIn],tblDaily[EntryDate],DATE(2026,5,16),tblDaily[WardCode],"FAE")),"")</f>
        <v/>
      </c>
      <c r="G178" s="5" t="str">
        <f>IFERROR(IF(SUMIFS(tblDaily[TransfersOut],tblDaily[EntryDate],DATE(2026,5,16),tblDaily[WardCode],"FAE")=0,"",SUMIFS(tblDaily[TransfersOut],tblDaily[EntryDate],DATE(2026,5,16),tblDaily[WardCode],"FAE")),"")</f>
        <v/>
      </c>
      <c r="H178" s="5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IFERROR(IF(SUMIFS(tblDaily[Admissions],tblDaily[EntryDate],DATE(2026,5,17),tblDaily[WardCode],"FAE")=0,"",SUMIFS(tblDaily[Admissions],tblDaily[EntryDate],DATE(2026,5,17),tblDaily[WardCode],"FAE")),"")</f>
        <v/>
      </c>
      <c r="C179" s="5" t="str">
        <f>IFERROR(IF(SUMIFS(tblDaily[Discharges],tblDaily[EntryDate],DATE(2026,5,17),tblDaily[WardCode],"FAE")=0,"",SUMIFS(tblDaily[Discharges],tblDaily[EntryDate],DATE(2026,5,17),tblDaily[WardCode],"FAE")),"")</f>
        <v/>
      </c>
      <c r="D179" s="5" t="str">
        <f>IFERROR(IF(SUMIFS(tblDaily[Deaths],tblDaily[EntryDate],DATE(2026,5,17),tblDaily[WardCode],"FAE")=0,"",SUMIFS(tblDaily[Deaths],tblDaily[EntryDate],DATE(2026,5,17),tblDaily[WardCode],"FAE")),"")</f>
        <v/>
      </c>
      <c r="E179" s="5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5" t="str">
        <f>IFERROR(IF(SUMIFS(tblDaily[TransfersIn],tblDaily[EntryDate],DATE(2026,5,17),tblDaily[WardCode],"FAE")=0,"",SUMIFS(tblDaily[TransfersIn],tblDaily[EntryDate],DATE(2026,5,17),tblDaily[WardCode],"FAE")),"")</f>
        <v/>
      </c>
      <c r="G179" s="5" t="str">
        <f>IFERROR(IF(SUMIFS(tblDaily[TransfersOut],tblDaily[EntryDate],DATE(2026,5,17),tblDaily[WardCode],"FAE")=0,"",SUMIFS(tblDaily[TransfersOut],tblDaily[EntryDate],DATE(2026,5,17),tblDaily[WardCode],"FAE")),"")</f>
        <v/>
      </c>
      <c r="H179" s="5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IFERROR(IF(SUMIFS(tblDaily[Admissions],tblDaily[EntryDate],DATE(2026,5,18),tblDaily[WardCode],"FAE")=0,"",SUMIFS(tblDaily[Admissions],tblDaily[EntryDate],DATE(2026,5,18),tblDaily[WardCode],"FAE")),"")</f>
        <v/>
      </c>
      <c r="C180" s="5" t="str">
        <f>IFERROR(IF(SUMIFS(tblDaily[Discharges],tblDaily[EntryDate],DATE(2026,5,18),tblDaily[WardCode],"FAE")=0,"",SUMIFS(tblDaily[Discharges],tblDaily[EntryDate],DATE(2026,5,18),tblDaily[WardCode],"FAE")),"")</f>
        <v/>
      </c>
      <c r="D180" s="5" t="str">
        <f>IFERROR(IF(SUMIFS(tblDaily[Deaths],tblDaily[EntryDate],DATE(2026,5,18),tblDaily[WardCode],"FAE")=0,"",SUMIFS(tblDaily[Deaths],tblDaily[EntryDate],DATE(2026,5,18),tblDaily[WardCode],"FAE")),"")</f>
        <v/>
      </c>
      <c r="E180" s="5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5" t="str">
        <f>IFERROR(IF(SUMIFS(tblDaily[TransfersIn],tblDaily[EntryDate],DATE(2026,5,18),tblDaily[WardCode],"FAE")=0,"",SUMIFS(tblDaily[TransfersIn],tblDaily[EntryDate],DATE(2026,5,18),tblDaily[WardCode],"FAE")),"")</f>
        <v/>
      </c>
      <c r="G180" s="5" t="str">
        <f>IFERROR(IF(SUMIFS(tblDaily[TransfersOut],tblDaily[EntryDate],DATE(2026,5,18),tblDaily[WardCode],"FAE")=0,"",SUMIFS(tblDaily[TransfersOut],tblDaily[EntryDate],DATE(2026,5,18),tblDaily[WardCode],"FAE")),"")</f>
        <v/>
      </c>
      <c r="H180" s="5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IFERROR(IF(SUMIFS(tblDaily[Admissions],tblDaily[EntryDate],DATE(2026,5,19),tblDaily[WardCode],"FAE")=0,"",SUMIFS(tblDaily[Admissions],tblDaily[EntryDate],DATE(2026,5,19),tblDaily[WardCode],"FAE")),"")</f>
        <v/>
      </c>
      <c r="C181" s="5" t="str">
        <f>IFERROR(IF(SUMIFS(tblDaily[Discharges],tblDaily[EntryDate],DATE(2026,5,19),tblDaily[WardCode],"FAE")=0,"",SUMIFS(tblDaily[Discharges],tblDaily[EntryDate],DATE(2026,5,19),tblDaily[WardCode],"FAE")),"")</f>
        <v/>
      </c>
      <c r="D181" s="5" t="str">
        <f>IFERROR(IF(SUMIFS(tblDaily[Deaths],tblDaily[EntryDate],DATE(2026,5,19),tblDaily[WardCode],"FAE")=0,"",SUMIFS(tblDaily[Deaths],tblDaily[EntryDate],DATE(2026,5,19),tblDaily[WardCode],"FAE")),"")</f>
        <v/>
      </c>
      <c r="E181" s="5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5" t="str">
        <f>IFERROR(IF(SUMIFS(tblDaily[TransfersIn],tblDaily[EntryDate],DATE(2026,5,19),tblDaily[WardCode],"FAE")=0,"",SUMIFS(tblDaily[TransfersIn],tblDaily[EntryDate],DATE(2026,5,19),tblDaily[WardCode],"FAE")),"")</f>
        <v/>
      </c>
      <c r="G181" s="5" t="str">
        <f>IFERROR(IF(SUMIFS(tblDaily[TransfersOut],tblDaily[EntryDate],DATE(2026,5,19),tblDaily[WardCode],"FAE")=0,"",SUMIFS(tblDaily[TransfersOut],tblDaily[EntryDate],DATE(2026,5,19),tblDaily[WardCode],"FAE")),"")</f>
        <v/>
      </c>
      <c r="H181" s="5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IFERROR(IF(SUMIFS(tblDaily[Admissions],tblDaily[EntryDate],DATE(2026,5,20),tblDaily[WardCode],"FAE")=0,"",SUMIFS(tblDaily[Admissions],tblDaily[EntryDate],DATE(2026,5,20),tblDaily[WardCode],"FAE")),"")</f>
        <v/>
      </c>
      <c r="C182" s="5" t="str">
        <f>IFERROR(IF(SUMIFS(tblDaily[Discharges],tblDaily[EntryDate],DATE(2026,5,20),tblDaily[WardCode],"FAE")=0,"",SUMIFS(tblDaily[Discharges],tblDaily[EntryDate],DATE(2026,5,20),tblDaily[WardCode],"FAE")),"")</f>
        <v/>
      </c>
      <c r="D182" s="5" t="str">
        <f>IFERROR(IF(SUMIFS(tblDaily[Deaths],tblDaily[EntryDate],DATE(2026,5,20),tblDaily[WardCode],"FAE")=0,"",SUMIFS(tblDaily[Deaths],tblDaily[EntryDate],DATE(2026,5,20),tblDaily[WardCode],"FAE")),"")</f>
        <v/>
      </c>
      <c r="E182" s="5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5" t="str">
        <f>IFERROR(IF(SUMIFS(tblDaily[TransfersIn],tblDaily[EntryDate],DATE(2026,5,20),tblDaily[WardCode],"FAE")=0,"",SUMIFS(tblDaily[TransfersIn],tblDaily[EntryDate],DATE(2026,5,20),tblDaily[WardCode],"FAE")),"")</f>
        <v/>
      </c>
      <c r="G182" s="5" t="str">
        <f>IFERROR(IF(SUMIFS(tblDaily[TransfersOut],tblDaily[EntryDate],DATE(2026,5,20),tblDaily[WardCode],"FAE")=0,"",SUMIFS(tblDaily[TransfersOut],tblDaily[EntryDate],DATE(2026,5,20),tblDaily[WardCode],"FAE")),"")</f>
        <v/>
      </c>
      <c r="H182" s="5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IFERROR(IF(SUMIFS(tblDaily[Admissions],tblDaily[EntryDate],DATE(2026,5,21),tblDaily[WardCode],"FAE")=0,"",SUMIFS(tblDaily[Admissions],tblDaily[EntryDate],DATE(2026,5,21),tblDaily[WardCode],"FAE")),"")</f>
        <v/>
      </c>
      <c r="C183" s="5" t="str">
        <f>IFERROR(IF(SUMIFS(tblDaily[Discharges],tblDaily[EntryDate],DATE(2026,5,21),tblDaily[WardCode],"FAE")=0,"",SUMIFS(tblDaily[Discharges],tblDaily[EntryDate],DATE(2026,5,21),tblDaily[WardCode],"FAE")),"")</f>
        <v/>
      </c>
      <c r="D183" s="5" t="str">
        <f>IFERROR(IF(SUMIFS(tblDaily[Deaths],tblDaily[EntryDate],DATE(2026,5,21),tblDaily[WardCode],"FAE")=0,"",SUMIFS(tblDaily[Deaths],tblDaily[EntryDate],DATE(2026,5,21),tblDaily[WardCode],"FAE")),"")</f>
        <v/>
      </c>
      <c r="E183" s="5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5" t="str">
        <f>IFERROR(IF(SUMIFS(tblDaily[TransfersIn],tblDaily[EntryDate],DATE(2026,5,21),tblDaily[WardCode],"FAE")=0,"",SUMIFS(tblDaily[TransfersIn],tblDaily[EntryDate],DATE(2026,5,21),tblDaily[WardCode],"FAE")),"")</f>
        <v/>
      </c>
      <c r="G183" s="5" t="str">
        <f>IFERROR(IF(SUMIFS(tblDaily[TransfersOut],tblDaily[EntryDate],DATE(2026,5,21),tblDaily[WardCode],"FAE")=0,"",SUMIFS(tblDaily[TransfersOut],tblDaily[EntryDate],DATE(2026,5,21),tblDaily[WardCode],"FAE")),"")</f>
        <v/>
      </c>
      <c r="H183" s="5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IFERROR(IF(SUMIFS(tblDaily[Admissions],tblDaily[EntryDate],DATE(2026,5,22),tblDaily[WardCode],"FAE")=0,"",SUMIFS(tblDaily[Admissions],tblDaily[EntryDate],DATE(2026,5,22),tblDaily[WardCode],"FAE")),"")</f>
        <v/>
      </c>
      <c r="C184" s="5" t="str">
        <f>IFERROR(IF(SUMIFS(tblDaily[Discharges],tblDaily[EntryDate],DATE(2026,5,22),tblDaily[WardCode],"FAE")=0,"",SUMIFS(tblDaily[Discharges],tblDaily[EntryDate],DATE(2026,5,22),tblDaily[WardCode],"FAE")),"")</f>
        <v/>
      </c>
      <c r="D184" s="5" t="str">
        <f>IFERROR(IF(SUMIFS(tblDaily[Deaths],tblDaily[EntryDate],DATE(2026,5,22),tblDaily[WardCode],"FAE")=0,"",SUMIFS(tblDaily[Deaths],tblDaily[EntryDate],DATE(2026,5,22),tblDaily[WardCode],"FAE")),"")</f>
        <v/>
      </c>
      <c r="E184" s="5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5" t="str">
        <f>IFERROR(IF(SUMIFS(tblDaily[TransfersIn],tblDaily[EntryDate],DATE(2026,5,22),tblDaily[WardCode],"FAE")=0,"",SUMIFS(tblDaily[TransfersIn],tblDaily[EntryDate],DATE(2026,5,22),tblDaily[WardCode],"FAE")),"")</f>
        <v/>
      </c>
      <c r="G184" s="5" t="str">
        <f>IFERROR(IF(SUMIFS(tblDaily[TransfersOut],tblDaily[EntryDate],DATE(2026,5,22),tblDaily[WardCode],"FAE")=0,"",SUMIFS(tblDaily[TransfersOut],tblDaily[EntryDate],DATE(2026,5,22),tblDaily[WardCode],"FAE")),"")</f>
        <v/>
      </c>
      <c r="H184" s="5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IFERROR(IF(SUMIFS(tblDaily[Admissions],tblDaily[EntryDate],DATE(2026,5,23),tblDaily[WardCode],"FAE")=0,"",SUMIFS(tblDaily[Admissions],tblDaily[EntryDate],DATE(2026,5,23),tblDaily[WardCode],"FAE")),"")</f>
        <v/>
      </c>
      <c r="C185" s="5" t="str">
        <f>IFERROR(IF(SUMIFS(tblDaily[Discharges],tblDaily[EntryDate],DATE(2026,5,23),tblDaily[WardCode],"FAE")=0,"",SUMIFS(tblDaily[Discharges],tblDaily[EntryDate],DATE(2026,5,23),tblDaily[WardCode],"FAE")),"")</f>
        <v/>
      </c>
      <c r="D185" s="5" t="str">
        <f>IFERROR(IF(SUMIFS(tblDaily[Deaths],tblDaily[EntryDate],DATE(2026,5,23),tblDaily[WardCode],"FAE")=0,"",SUMIFS(tblDaily[Deaths],tblDaily[EntryDate],DATE(2026,5,23),tblDaily[WardCode],"FAE")),"")</f>
        <v/>
      </c>
      <c r="E185" s="5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5" t="str">
        <f>IFERROR(IF(SUMIFS(tblDaily[TransfersIn],tblDaily[EntryDate],DATE(2026,5,23),tblDaily[WardCode],"FAE")=0,"",SUMIFS(tblDaily[TransfersIn],tblDaily[EntryDate],DATE(2026,5,23),tblDaily[WardCode],"FAE")),"")</f>
        <v/>
      </c>
      <c r="G185" s="5" t="str">
        <f>IFERROR(IF(SUMIFS(tblDaily[TransfersOut],tblDaily[EntryDate],DATE(2026,5,23),tblDaily[WardCode],"FAE")=0,"",SUMIFS(tblDaily[TransfersOut],tblDaily[EntryDate],DATE(2026,5,23),tblDaily[WardCode],"FAE")),"")</f>
        <v/>
      </c>
      <c r="H185" s="5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IFERROR(IF(SUMIFS(tblDaily[Admissions],tblDaily[EntryDate],DATE(2026,5,24),tblDaily[WardCode],"FAE")=0,"",SUMIFS(tblDaily[Admissions],tblDaily[EntryDate],DATE(2026,5,24),tblDaily[WardCode],"FAE")),"")</f>
        <v/>
      </c>
      <c r="C186" s="5" t="str">
        <f>IFERROR(IF(SUMIFS(tblDaily[Discharges],tblDaily[EntryDate],DATE(2026,5,24),tblDaily[WardCode],"FAE")=0,"",SUMIFS(tblDaily[Discharges],tblDaily[EntryDate],DATE(2026,5,24),tblDaily[WardCode],"FAE")),"")</f>
        <v/>
      </c>
      <c r="D186" s="5" t="str">
        <f>IFERROR(IF(SUMIFS(tblDaily[Deaths],tblDaily[EntryDate],DATE(2026,5,24),tblDaily[WardCode],"FAE")=0,"",SUMIFS(tblDaily[Deaths],tblDaily[EntryDate],DATE(2026,5,24),tblDaily[WardCode],"FAE")),"")</f>
        <v/>
      </c>
      <c r="E186" s="5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5" t="str">
        <f>IFERROR(IF(SUMIFS(tblDaily[TransfersIn],tblDaily[EntryDate],DATE(2026,5,24),tblDaily[WardCode],"FAE")=0,"",SUMIFS(tblDaily[TransfersIn],tblDaily[EntryDate],DATE(2026,5,24),tblDaily[WardCode],"FAE")),"")</f>
        <v/>
      </c>
      <c r="G186" s="5" t="str">
        <f>IFERROR(IF(SUMIFS(tblDaily[TransfersOut],tblDaily[EntryDate],DATE(2026,5,24),tblDaily[WardCode],"FAE")=0,"",SUMIFS(tblDaily[TransfersOut],tblDaily[EntryDate],DATE(2026,5,24),tblDaily[WardCode],"FAE")),"")</f>
        <v/>
      </c>
      <c r="H186" s="5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IFERROR(IF(SUMIFS(tblDaily[Admissions],tblDaily[EntryDate],DATE(2026,5,25),tblDaily[WardCode],"FAE")=0,"",SUMIFS(tblDaily[Admissions],tblDaily[EntryDate],DATE(2026,5,25),tblDaily[WardCode],"FAE")),"")</f>
        <v/>
      </c>
      <c r="C187" s="5" t="str">
        <f>IFERROR(IF(SUMIFS(tblDaily[Discharges],tblDaily[EntryDate],DATE(2026,5,25),tblDaily[WardCode],"FAE")=0,"",SUMIFS(tblDaily[Discharges],tblDaily[EntryDate],DATE(2026,5,25),tblDaily[WardCode],"FAE")),"")</f>
        <v/>
      </c>
      <c r="D187" s="5" t="str">
        <f>IFERROR(IF(SUMIFS(tblDaily[Deaths],tblDaily[EntryDate],DATE(2026,5,25),tblDaily[WardCode],"FAE")=0,"",SUMIFS(tblDaily[Deaths],tblDaily[EntryDate],DATE(2026,5,25),tblDaily[WardCode],"FAE")),"")</f>
        <v/>
      </c>
      <c r="E187" s="5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5" t="str">
        <f>IFERROR(IF(SUMIFS(tblDaily[TransfersIn],tblDaily[EntryDate],DATE(2026,5,25),tblDaily[WardCode],"FAE")=0,"",SUMIFS(tblDaily[TransfersIn],tblDaily[EntryDate],DATE(2026,5,25),tblDaily[WardCode],"FAE")),"")</f>
        <v/>
      </c>
      <c r="G187" s="5" t="str">
        <f>IFERROR(IF(SUMIFS(tblDaily[TransfersOut],tblDaily[EntryDate],DATE(2026,5,25),tblDaily[WardCode],"FAE")=0,"",SUMIFS(tblDaily[TransfersOut],tblDaily[EntryDate],DATE(2026,5,25),tblDaily[WardCode],"FAE")),"")</f>
        <v/>
      </c>
      <c r="H187" s="5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IFERROR(IF(SUMIFS(tblDaily[Admissions],tblDaily[EntryDate],DATE(2026,5,26),tblDaily[WardCode],"FAE")=0,"",SUMIFS(tblDaily[Admissions],tblDaily[EntryDate],DATE(2026,5,26),tblDaily[WardCode],"FAE")),"")</f>
        <v/>
      </c>
      <c r="C188" s="5" t="str">
        <f>IFERROR(IF(SUMIFS(tblDaily[Discharges],tblDaily[EntryDate],DATE(2026,5,26),tblDaily[WardCode],"FAE")=0,"",SUMIFS(tblDaily[Discharges],tblDaily[EntryDate],DATE(2026,5,26),tblDaily[WardCode],"FAE")),"")</f>
        <v/>
      </c>
      <c r="D188" s="5" t="str">
        <f>IFERROR(IF(SUMIFS(tblDaily[Deaths],tblDaily[EntryDate],DATE(2026,5,26),tblDaily[WardCode],"FAE")=0,"",SUMIFS(tblDaily[Deaths],tblDaily[EntryDate],DATE(2026,5,26),tblDaily[WardCode],"FAE")),"")</f>
        <v/>
      </c>
      <c r="E188" s="5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5" t="str">
        <f>IFERROR(IF(SUMIFS(tblDaily[TransfersIn],tblDaily[EntryDate],DATE(2026,5,26),tblDaily[WardCode],"FAE")=0,"",SUMIFS(tblDaily[TransfersIn],tblDaily[EntryDate],DATE(2026,5,26),tblDaily[WardCode],"FAE")),"")</f>
        <v/>
      </c>
      <c r="G188" s="5" t="str">
        <f>IFERROR(IF(SUMIFS(tblDaily[TransfersOut],tblDaily[EntryDate],DATE(2026,5,26),tblDaily[WardCode],"FAE")=0,"",SUMIFS(tblDaily[TransfersOut],tblDaily[EntryDate],DATE(2026,5,26),tblDaily[WardCode],"FAE")),"")</f>
        <v/>
      </c>
      <c r="H188" s="5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IFERROR(IF(SUMIFS(tblDaily[Admissions],tblDaily[EntryDate],DATE(2026,5,27),tblDaily[WardCode],"FAE")=0,"",SUMIFS(tblDaily[Admissions],tblDaily[EntryDate],DATE(2026,5,27),tblDaily[WardCode],"FAE")),"")</f>
        <v/>
      </c>
      <c r="C189" s="5" t="str">
        <f>IFERROR(IF(SUMIFS(tblDaily[Discharges],tblDaily[EntryDate],DATE(2026,5,27),tblDaily[WardCode],"FAE")=0,"",SUMIFS(tblDaily[Discharges],tblDaily[EntryDate],DATE(2026,5,27),tblDaily[WardCode],"FAE")),"")</f>
        <v/>
      </c>
      <c r="D189" s="5" t="str">
        <f>IFERROR(IF(SUMIFS(tblDaily[Deaths],tblDaily[EntryDate],DATE(2026,5,27),tblDaily[WardCode],"FAE")=0,"",SUMIFS(tblDaily[Deaths],tblDaily[EntryDate],DATE(2026,5,27),tblDaily[WardCode],"FAE")),"")</f>
        <v/>
      </c>
      <c r="E189" s="5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5" t="str">
        <f>IFERROR(IF(SUMIFS(tblDaily[TransfersIn],tblDaily[EntryDate],DATE(2026,5,27),tblDaily[WardCode],"FAE")=0,"",SUMIFS(tblDaily[TransfersIn],tblDaily[EntryDate],DATE(2026,5,27),tblDaily[WardCode],"FAE")),"")</f>
        <v/>
      </c>
      <c r="G189" s="5" t="str">
        <f>IFERROR(IF(SUMIFS(tblDaily[TransfersOut],tblDaily[EntryDate],DATE(2026,5,27),tblDaily[WardCode],"FAE")=0,"",SUMIFS(tblDaily[TransfersOut],tblDaily[EntryDate],DATE(2026,5,27),tblDaily[WardCode],"FAE")),"")</f>
        <v/>
      </c>
      <c r="H189" s="5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IFERROR(IF(SUMIFS(tblDaily[Admissions],tblDaily[EntryDate],DATE(2026,5,28),tblDaily[WardCode],"FAE")=0,"",SUMIFS(tblDaily[Admissions],tblDaily[EntryDate],DATE(2026,5,28),tblDaily[WardCode],"FAE")),"")</f>
        <v/>
      </c>
      <c r="C190" s="5" t="str">
        <f>IFERROR(IF(SUMIFS(tblDaily[Discharges],tblDaily[EntryDate],DATE(2026,5,28),tblDaily[WardCode],"FAE")=0,"",SUMIFS(tblDaily[Discharges],tblDaily[EntryDate],DATE(2026,5,28),tblDaily[WardCode],"FAE")),"")</f>
        <v/>
      </c>
      <c r="D190" s="5" t="str">
        <f>IFERROR(IF(SUMIFS(tblDaily[Deaths],tblDaily[EntryDate],DATE(2026,5,28),tblDaily[WardCode],"FAE")=0,"",SUMIFS(tblDaily[Deaths],tblDaily[EntryDate],DATE(2026,5,28),tblDaily[WardCode],"FAE")),"")</f>
        <v/>
      </c>
      <c r="E190" s="5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5" t="str">
        <f>IFERROR(IF(SUMIFS(tblDaily[TransfersIn],tblDaily[EntryDate],DATE(2026,5,28),tblDaily[WardCode],"FAE")=0,"",SUMIFS(tblDaily[TransfersIn],tblDaily[EntryDate],DATE(2026,5,28),tblDaily[WardCode],"FAE")),"")</f>
        <v/>
      </c>
      <c r="G190" s="5" t="str">
        <f>IFERROR(IF(SUMIFS(tblDaily[TransfersOut],tblDaily[EntryDate],DATE(2026,5,28),tblDaily[WardCode],"FAE")=0,"",SUMIFS(tblDaily[TransfersOut],tblDaily[EntryDate],DATE(2026,5,28),tblDaily[WardCode],"FAE")),"")</f>
        <v/>
      </c>
      <c r="H190" s="5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IFERROR(IF(SUMIFS(tblDaily[Admissions],tblDaily[EntryDate],DATE(2026,5,29),tblDaily[WardCode],"FAE")=0,"",SUMIFS(tblDaily[Admissions],tblDaily[EntryDate],DATE(2026,5,29),tblDaily[WardCode],"FAE")),"")</f>
        <v/>
      </c>
      <c r="C191" s="5" t="str">
        <f>IFERROR(IF(SUMIFS(tblDaily[Discharges],tblDaily[EntryDate],DATE(2026,5,29),tblDaily[WardCode],"FAE")=0,"",SUMIFS(tblDaily[Discharges],tblDaily[EntryDate],DATE(2026,5,29),tblDaily[WardCode],"FAE")),"")</f>
        <v/>
      </c>
      <c r="D191" s="5" t="str">
        <f>IFERROR(IF(SUMIFS(tblDaily[Deaths],tblDaily[EntryDate],DATE(2026,5,29),tblDaily[WardCode],"FAE")=0,"",SUMIFS(tblDaily[Deaths],tblDaily[EntryDate],DATE(2026,5,29),tblDaily[WardCode],"FAE")),"")</f>
        <v/>
      </c>
      <c r="E191" s="5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5" t="str">
        <f>IFERROR(IF(SUMIFS(tblDaily[TransfersIn],tblDaily[EntryDate],DATE(2026,5,29),tblDaily[WardCode],"FAE")=0,"",SUMIFS(tblDaily[TransfersIn],tblDaily[EntryDate],DATE(2026,5,29),tblDaily[WardCode],"FAE")),"")</f>
        <v/>
      </c>
      <c r="G191" s="5" t="str">
        <f>IFERROR(IF(SUMIFS(tblDaily[TransfersOut],tblDaily[EntryDate],DATE(2026,5,29),tblDaily[WardCode],"FAE")=0,"",SUMIFS(tblDaily[TransfersOut],tblDaily[EntryDate],DATE(2026,5,29),tblDaily[WardCode],"FAE")),"")</f>
        <v/>
      </c>
      <c r="H191" s="5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IFERROR(IF(SUMIFS(tblDaily[Admissions],tblDaily[EntryDate],DATE(2026,5,30),tblDaily[WardCode],"FAE")=0,"",SUMIFS(tblDaily[Admissions],tblDaily[EntryDate],DATE(2026,5,30),tblDaily[WardCode],"FAE")),"")</f>
        <v/>
      </c>
      <c r="C192" s="5" t="str">
        <f>IFERROR(IF(SUMIFS(tblDaily[Discharges],tblDaily[EntryDate],DATE(2026,5,30),tblDaily[WardCode],"FAE")=0,"",SUMIFS(tblDaily[Discharges],tblDaily[EntryDate],DATE(2026,5,30),tblDaily[WardCode],"FAE")),"")</f>
        <v/>
      </c>
      <c r="D192" s="5" t="str">
        <f>IFERROR(IF(SUMIFS(tblDaily[Deaths],tblDaily[EntryDate],DATE(2026,5,30),tblDaily[WardCode],"FAE")=0,"",SUMIFS(tblDaily[Deaths],tblDaily[EntryDate],DATE(2026,5,30),tblDaily[WardCode],"FAE")),"")</f>
        <v/>
      </c>
      <c r="E192" s="5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5" t="str">
        <f>IFERROR(IF(SUMIFS(tblDaily[TransfersIn],tblDaily[EntryDate],DATE(2026,5,30),tblDaily[WardCode],"FAE")=0,"",SUMIFS(tblDaily[TransfersIn],tblDaily[EntryDate],DATE(2026,5,30),tblDaily[WardCode],"FAE")),"")</f>
        <v/>
      </c>
      <c r="G192" s="5" t="str">
        <f>IFERROR(IF(SUMIFS(tblDaily[TransfersOut],tblDaily[EntryDate],DATE(2026,5,30),tblDaily[WardCode],"FAE")=0,"",SUMIFS(tblDaily[TransfersOut],tblDaily[EntryDate],DATE(2026,5,30),tblDaily[WardCode],"FAE")),"")</f>
        <v/>
      </c>
      <c r="H192" s="5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IFERROR(IF(SUMIFS(tblDaily[Admissions],tblDaily[EntryDate],DATE(2026,5,31),tblDaily[WardCode],"FAE")=0,"",SUMIFS(tblDaily[Admissions],tblDaily[EntryDate],DATE(2026,5,31),tblDaily[WardCode],"FAE")),"")</f>
        <v/>
      </c>
      <c r="C193" s="5" t="str">
        <f>IFERROR(IF(SUMIFS(tblDaily[Discharges],tblDaily[EntryDate],DATE(2026,5,31),tblDaily[WardCode],"FAE")=0,"",SUMIFS(tblDaily[Discharges],tblDaily[EntryDate],DATE(2026,5,31),tblDaily[WardCode],"FAE")),"")</f>
        <v/>
      </c>
      <c r="D193" s="5" t="str">
        <f>IFERROR(IF(SUMIFS(tblDaily[Deaths],tblDaily[EntryDate],DATE(2026,5,31),tblDaily[WardCode],"FAE")=0,"",SUMIFS(tblDaily[Deaths],tblDaily[EntryDate],DATE(2026,5,31),tblDaily[WardCode],"FAE")),"")</f>
        <v/>
      </c>
      <c r="E193" s="5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5" t="str">
        <f>IFERROR(IF(SUMIFS(tblDaily[TransfersIn],tblDaily[EntryDate],DATE(2026,5,31),tblDaily[WardCode],"FAE")=0,"",SUMIFS(tblDaily[TransfersIn],tblDaily[EntryDate],DATE(2026,5,31),tblDaily[WardCode],"FAE")),"")</f>
        <v/>
      </c>
      <c r="G193" s="5" t="str">
        <f>IFERROR(IF(SUMIFS(tblDaily[TransfersOut],tblDaily[EntryDate],DATE(2026,5,31),tblDaily[WardCode],"FAE")=0,"",SUMIFS(tblDaily[TransfersOut],tblDaily[EntryDate],DATE(2026,5,31),tblDaily[WardCode],"FAE")),"")</f>
        <v/>
      </c>
      <c r="H193" s="5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95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16" t="s">
        <v>0</v>
      </c>
      <c r="B196" s="17"/>
      <c r="C196" s="17"/>
      <c r="D196" s="17"/>
      <c r="E196" s="17"/>
      <c r="F196" s="17"/>
      <c r="G196" s="17"/>
      <c r="H196" s="17"/>
    </row>
    <row r="197" spans="1:8" ht="15.75" x14ac:dyDescent="0.25">
      <c r="A197" s="21" t="s">
        <v>84</v>
      </c>
      <c r="B197" s="17"/>
      <c r="C197" s="17"/>
      <c r="D197" s="17"/>
      <c r="E197" s="17"/>
      <c r="F197" s="17"/>
      <c r="G197" s="17"/>
      <c r="H197" s="17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103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89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IFERROR(IF(SUMIFS(tblDaily[Admissions],tblDaily[EntryDate],DATE(2026,6,1),tblDaily[WardCode],"FAE")=0,"",SUMIFS(tblDaily[Admissions],tblDaily[EntryDate],DATE(2026,6,1),tblDaily[WardCode],"FAE")),"")</f>
        <v/>
      </c>
      <c r="C202" s="5" t="str">
        <f>IFERROR(IF(SUMIFS(tblDaily[Discharges],tblDaily[EntryDate],DATE(2026,6,1),tblDaily[WardCode],"FAE")=0,"",SUMIFS(tblDaily[Discharges],tblDaily[EntryDate],DATE(2026,6,1),tblDaily[WardCode],"FAE")),"")</f>
        <v/>
      </c>
      <c r="D202" s="5" t="str">
        <f>IFERROR(IF(SUMIFS(tblDaily[Deaths],tblDaily[EntryDate],DATE(2026,6,1),tblDaily[WardCode],"FAE")=0,"",SUMIFS(tblDaily[Deaths],tblDaily[EntryDate],DATE(2026,6,1),tblDaily[WardCode],"FAE")),"")</f>
        <v/>
      </c>
      <c r="E202" s="5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5" t="str">
        <f>IFERROR(IF(SUMIFS(tblDaily[TransfersIn],tblDaily[EntryDate],DATE(2026,6,1),tblDaily[WardCode],"FAE")=0,"",SUMIFS(tblDaily[TransfersIn],tblDaily[EntryDate],DATE(2026,6,1),tblDaily[WardCode],"FAE")),"")</f>
        <v/>
      </c>
      <c r="G202" s="5" t="str">
        <f>IFERROR(IF(SUMIFS(tblDaily[TransfersOut],tblDaily[EntryDate],DATE(2026,6,1),tblDaily[WardCode],"FAE")=0,"",SUMIFS(tblDaily[TransfersOut],tblDaily[EntryDate],DATE(2026,6,1),tblDaily[WardCode],"FAE")),"")</f>
        <v/>
      </c>
      <c r="H202" s="5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IFERROR(IF(SUMIFS(tblDaily[Admissions],tblDaily[EntryDate],DATE(2026,6,2),tblDaily[WardCode],"FAE")=0,"",SUMIFS(tblDaily[Admissions],tblDaily[EntryDate],DATE(2026,6,2),tblDaily[WardCode],"FAE")),"")</f>
        <v/>
      </c>
      <c r="C203" s="5" t="str">
        <f>IFERROR(IF(SUMIFS(tblDaily[Discharges],tblDaily[EntryDate],DATE(2026,6,2),tblDaily[WardCode],"FAE")=0,"",SUMIFS(tblDaily[Discharges],tblDaily[EntryDate],DATE(2026,6,2),tblDaily[WardCode],"FAE")),"")</f>
        <v/>
      </c>
      <c r="D203" s="5" t="str">
        <f>IFERROR(IF(SUMIFS(tblDaily[Deaths],tblDaily[EntryDate],DATE(2026,6,2),tblDaily[WardCode],"FAE")=0,"",SUMIFS(tblDaily[Deaths],tblDaily[EntryDate],DATE(2026,6,2),tblDaily[WardCode],"FAE")),"")</f>
        <v/>
      </c>
      <c r="E203" s="5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5" t="str">
        <f>IFERROR(IF(SUMIFS(tblDaily[TransfersIn],tblDaily[EntryDate],DATE(2026,6,2),tblDaily[WardCode],"FAE")=0,"",SUMIFS(tblDaily[TransfersIn],tblDaily[EntryDate],DATE(2026,6,2),tblDaily[WardCode],"FAE")),"")</f>
        <v/>
      </c>
      <c r="G203" s="5" t="str">
        <f>IFERROR(IF(SUMIFS(tblDaily[TransfersOut],tblDaily[EntryDate],DATE(2026,6,2),tblDaily[WardCode],"FAE")=0,"",SUMIFS(tblDaily[TransfersOut],tblDaily[EntryDate],DATE(2026,6,2),tblDaily[WardCode],"FAE")),"")</f>
        <v/>
      </c>
      <c r="H203" s="5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IFERROR(IF(SUMIFS(tblDaily[Admissions],tblDaily[EntryDate],DATE(2026,6,3),tblDaily[WardCode],"FAE")=0,"",SUMIFS(tblDaily[Admissions],tblDaily[EntryDate],DATE(2026,6,3),tblDaily[WardCode],"FAE")),"")</f>
        <v/>
      </c>
      <c r="C204" s="5" t="str">
        <f>IFERROR(IF(SUMIFS(tblDaily[Discharges],tblDaily[EntryDate],DATE(2026,6,3),tblDaily[WardCode],"FAE")=0,"",SUMIFS(tblDaily[Discharges],tblDaily[EntryDate],DATE(2026,6,3),tblDaily[WardCode],"FAE")),"")</f>
        <v/>
      </c>
      <c r="D204" s="5" t="str">
        <f>IFERROR(IF(SUMIFS(tblDaily[Deaths],tblDaily[EntryDate],DATE(2026,6,3),tblDaily[WardCode],"FAE")=0,"",SUMIFS(tblDaily[Deaths],tblDaily[EntryDate],DATE(2026,6,3),tblDaily[WardCode],"FAE")),"")</f>
        <v/>
      </c>
      <c r="E204" s="5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5" t="str">
        <f>IFERROR(IF(SUMIFS(tblDaily[TransfersIn],tblDaily[EntryDate],DATE(2026,6,3),tblDaily[WardCode],"FAE")=0,"",SUMIFS(tblDaily[TransfersIn],tblDaily[EntryDate],DATE(2026,6,3),tblDaily[WardCode],"FAE")),"")</f>
        <v/>
      </c>
      <c r="G204" s="5" t="str">
        <f>IFERROR(IF(SUMIFS(tblDaily[TransfersOut],tblDaily[EntryDate],DATE(2026,6,3),tblDaily[WardCode],"FAE")=0,"",SUMIFS(tblDaily[TransfersOut],tblDaily[EntryDate],DATE(2026,6,3),tblDaily[WardCode],"FAE")),"")</f>
        <v/>
      </c>
      <c r="H204" s="5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IFERROR(IF(SUMIFS(tblDaily[Admissions],tblDaily[EntryDate],DATE(2026,6,4),tblDaily[WardCode],"FAE")=0,"",SUMIFS(tblDaily[Admissions],tblDaily[EntryDate],DATE(2026,6,4),tblDaily[WardCode],"FAE")),"")</f>
        <v/>
      </c>
      <c r="C205" s="5" t="str">
        <f>IFERROR(IF(SUMIFS(tblDaily[Discharges],tblDaily[EntryDate],DATE(2026,6,4),tblDaily[WardCode],"FAE")=0,"",SUMIFS(tblDaily[Discharges],tblDaily[EntryDate],DATE(2026,6,4),tblDaily[WardCode],"FAE")),"")</f>
        <v/>
      </c>
      <c r="D205" s="5" t="str">
        <f>IFERROR(IF(SUMIFS(tblDaily[Deaths],tblDaily[EntryDate],DATE(2026,6,4),tblDaily[WardCode],"FAE")=0,"",SUMIFS(tblDaily[Deaths],tblDaily[EntryDate],DATE(2026,6,4),tblDaily[WardCode],"FAE")),"")</f>
        <v/>
      </c>
      <c r="E205" s="5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5" t="str">
        <f>IFERROR(IF(SUMIFS(tblDaily[TransfersIn],tblDaily[EntryDate],DATE(2026,6,4),tblDaily[WardCode],"FAE")=0,"",SUMIFS(tblDaily[TransfersIn],tblDaily[EntryDate],DATE(2026,6,4),tblDaily[WardCode],"FAE")),"")</f>
        <v/>
      </c>
      <c r="G205" s="5" t="str">
        <f>IFERROR(IF(SUMIFS(tblDaily[TransfersOut],tblDaily[EntryDate],DATE(2026,6,4),tblDaily[WardCode],"FAE")=0,"",SUMIFS(tblDaily[TransfersOut],tblDaily[EntryDate],DATE(2026,6,4),tblDaily[WardCode],"FAE")),"")</f>
        <v/>
      </c>
      <c r="H205" s="5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IFERROR(IF(SUMIFS(tblDaily[Admissions],tblDaily[EntryDate],DATE(2026,6,5),tblDaily[WardCode],"FAE")=0,"",SUMIFS(tblDaily[Admissions],tblDaily[EntryDate],DATE(2026,6,5),tblDaily[WardCode],"FAE")),"")</f>
        <v/>
      </c>
      <c r="C206" s="5" t="str">
        <f>IFERROR(IF(SUMIFS(tblDaily[Discharges],tblDaily[EntryDate],DATE(2026,6,5),tblDaily[WardCode],"FAE")=0,"",SUMIFS(tblDaily[Discharges],tblDaily[EntryDate],DATE(2026,6,5),tblDaily[WardCode],"FAE")),"")</f>
        <v/>
      </c>
      <c r="D206" s="5" t="str">
        <f>IFERROR(IF(SUMIFS(tblDaily[Deaths],tblDaily[EntryDate],DATE(2026,6,5),tblDaily[WardCode],"FAE")=0,"",SUMIFS(tblDaily[Deaths],tblDaily[EntryDate],DATE(2026,6,5),tblDaily[WardCode],"FAE")),"")</f>
        <v/>
      </c>
      <c r="E206" s="5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5" t="str">
        <f>IFERROR(IF(SUMIFS(tblDaily[TransfersIn],tblDaily[EntryDate],DATE(2026,6,5),tblDaily[WardCode],"FAE")=0,"",SUMIFS(tblDaily[TransfersIn],tblDaily[EntryDate],DATE(2026,6,5),tblDaily[WardCode],"FAE")),"")</f>
        <v/>
      </c>
      <c r="G206" s="5" t="str">
        <f>IFERROR(IF(SUMIFS(tblDaily[TransfersOut],tblDaily[EntryDate],DATE(2026,6,5),tblDaily[WardCode],"FAE")=0,"",SUMIFS(tblDaily[TransfersOut],tblDaily[EntryDate],DATE(2026,6,5),tblDaily[WardCode],"FAE")),"")</f>
        <v/>
      </c>
      <c r="H206" s="5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IFERROR(IF(SUMIFS(tblDaily[Admissions],tblDaily[EntryDate],DATE(2026,6,6),tblDaily[WardCode],"FAE")=0,"",SUMIFS(tblDaily[Admissions],tblDaily[EntryDate],DATE(2026,6,6),tblDaily[WardCode],"FAE")),"")</f>
        <v/>
      </c>
      <c r="C207" s="5" t="str">
        <f>IFERROR(IF(SUMIFS(tblDaily[Discharges],tblDaily[EntryDate],DATE(2026,6,6),tblDaily[WardCode],"FAE")=0,"",SUMIFS(tblDaily[Discharges],tblDaily[EntryDate],DATE(2026,6,6),tblDaily[WardCode],"FAE")),"")</f>
        <v/>
      </c>
      <c r="D207" s="5" t="str">
        <f>IFERROR(IF(SUMIFS(tblDaily[Deaths],tblDaily[EntryDate],DATE(2026,6,6),tblDaily[WardCode],"FAE")=0,"",SUMIFS(tblDaily[Deaths],tblDaily[EntryDate],DATE(2026,6,6),tblDaily[WardCode],"FAE")),"")</f>
        <v/>
      </c>
      <c r="E207" s="5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5" t="str">
        <f>IFERROR(IF(SUMIFS(tblDaily[TransfersIn],tblDaily[EntryDate],DATE(2026,6,6),tblDaily[WardCode],"FAE")=0,"",SUMIFS(tblDaily[TransfersIn],tblDaily[EntryDate],DATE(2026,6,6),tblDaily[WardCode],"FAE")),"")</f>
        <v/>
      </c>
      <c r="G207" s="5" t="str">
        <f>IFERROR(IF(SUMIFS(tblDaily[TransfersOut],tblDaily[EntryDate],DATE(2026,6,6),tblDaily[WardCode],"FAE")=0,"",SUMIFS(tblDaily[TransfersOut],tblDaily[EntryDate],DATE(2026,6,6),tblDaily[WardCode],"FAE")),"")</f>
        <v/>
      </c>
      <c r="H207" s="5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IFERROR(IF(SUMIFS(tblDaily[Admissions],tblDaily[EntryDate],DATE(2026,6,7),tblDaily[WardCode],"FAE")=0,"",SUMIFS(tblDaily[Admissions],tblDaily[EntryDate],DATE(2026,6,7),tblDaily[WardCode],"FAE")),"")</f>
        <v/>
      </c>
      <c r="C208" s="5" t="str">
        <f>IFERROR(IF(SUMIFS(tblDaily[Discharges],tblDaily[EntryDate],DATE(2026,6,7),tblDaily[WardCode],"FAE")=0,"",SUMIFS(tblDaily[Discharges],tblDaily[EntryDate],DATE(2026,6,7),tblDaily[WardCode],"FAE")),"")</f>
        <v/>
      </c>
      <c r="D208" s="5" t="str">
        <f>IFERROR(IF(SUMIFS(tblDaily[Deaths],tblDaily[EntryDate],DATE(2026,6,7),tblDaily[WardCode],"FAE")=0,"",SUMIFS(tblDaily[Deaths],tblDaily[EntryDate],DATE(2026,6,7),tblDaily[WardCode],"FAE")),"")</f>
        <v/>
      </c>
      <c r="E208" s="5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5" t="str">
        <f>IFERROR(IF(SUMIFS(tblDaily[TransfersIn],tblDaily[EntryDate],DATE(2026,6,7),tblDaily[WardCode],"FAE")=0,"",SUMIFS(tblDaily[TransfersIn],tblDaily[EntryDate],DATE(2026,6,7),tblDaily[WardCode],"FAE")),"")</f>
        <v/>
      </c>
      <c r="G208" s="5" t="str">
        <f>IFERROR(IF(SUMIFS(tblDaily[TransfersOut],tblDaily[EntryDate],DATE(2026,6,7),tblDaily[WardCode],"FAE")=0,"",SUMIFS(tblDaily[TransfersOut],tblDaily[EntryDate],DATE(2026,6,7),tblDaily[WardCode],"FAE")),"")</f>
        <v/>
      </c>
      <c r="H208" s="5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IFERROR(IF(SUMIFS(tblDaily[Admissions],tblDaily[EntryDate],DATE(2026,6,8),tblDaily[WardCode],"FAE")=0,"",SUMIFS(tblDaily[Admissions],tblDaily[EntryDate],DATE(2026,6,8),tblDaily[WardCode],"FAE")),"")</f>
        <v/>
      </c>
      <c r="C209" s="5" t="str">
        <f>IFERROR(IF(SUMIFS(tblDaily[Discharges],tblDaily[EntryDate],DATE(2026,6,8),tblDaily[WardCode],"FAE")=0,"",SUMIFS(tblDaily[Discharges],tblDaily[EntryDate],DATE(2026,6,8),tblDaily[WardCode],"FAE")),"")</f>
        <v/>
      </c>
      <c r="D209" s="5" t="str">
        <f>IFERROR(IF(SUMIFS(tblDaily[Deaths],tblDaily[EntryDate],DATE(2026,6,8),tblDaily[WardCode],"FAE")=0,"",SUMIFS(tblDaily[Deaths],tblDaily[EntryDate],DATE(2026,6,8),tblDaily[WardCode],"FAE")),"")</f>
        <v/>
      </c>
      <c r="E209" s="5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5" t="str">
        <f>IFERROR(IF(SUMIFS(tblDaily[TransfersIn],tblDaily[EntryDate],DATE(2026,6,8),tblDaily[WardCode],"FAE")=0,"",SUMIFS(tblDaily[TransfersIn],tblDaily[EntryDate],DATE(2026,6,8),tblDaily[WardCode],"FAE")),"")</f>
        <v/>
      </c>
      <c r="G209" s="5" t="str">
        <f>IFERROR(IF(SUMIFS(tblDaily[TransfersOut],tblDaily[EntryDate],DATE(2026,6,8),tblDaily[WardCode],"FAE")=0,"",SUMIFS(tblDaily[TransfersOut],tblDaily[EntryDate],DATE(2026,6,8),tblDaily[WardCode],"FAE")),"")</f>
        <v/>
      </c>
      <c r="H209" s="5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IFERROR(IF(SUMIFS(tblDaily[Admissions],tblDaily[EntryDate],DATE(2026,6,9),tblDaily[WardCode],"FAE")=0,"",SUMIFS(tblDaily[Admissions],tblDaily[EntryDate],DATE(2026,6,9),tblDaily[WardCode],"FAE")),"")</f>
        <v/>
      </c>
      <c r="C210" s="5" t="str">
        <f>IFERROR(IF(SUMIFS(tblDaily[Discharges],tblDaily[EntryDate],DATE(2026,6,9),tblDaily[WardCode],"FAE")=0,"",SUMIFS(tblDaily[Discharges],tblDaily[EntryDate],DATE(2026,6,9),tblDaily[WardCode],"FAE")),"")</f>
        <v/>
      </c>
      <c r="D210" s="5" t="str">
        <f>IFERROR(IF(SUMIFS(tblDaily[Deaths],tblDaily[EntryDate],DATE(2026,6,9),tblDaily[WardCode],"FAE")=0,"",SUMIFS(tblDaily[Deaths],tblDaily[EntryDate],DATE(2026,6,9),tblDaily[WardCode],"FAE")),"")</f>
        <v/>
      </c>
      <c r="E210" s="5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5" t="str">
        <f>IFERROR(IF(SUMIFS(tblDaily[TransfersIn],tblDaily[EntryDate],DATE(2026,6,9),tblDaily[WardCode],"FAE")=0,"",SUMIFS(tblDaily[TransfersIn],tblDaily[EntryDate],DATE(2026,6,9),tblDaily[WardCode],"FAE")),"")</f>
        <v/>
      </c>
      <c r="G210" s="5" t="str">
        <f>IFERROR(IF(SUMIFS(tblDaily[TransfersOut],tblDaily[EntryDate],DATE(2026,6,9),tblDaily[WardCode],"FAE")=0,"",SUMIFS(tblDaily[TransfersOut],tblDaily[EntryDate],DATE(2026,6,9),tblDaily[WardCode],"FAE")),"")</f>
        <v/>
      </c>
      <c r="H210" s="5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IFERROR(IF(SUMIFS(tblDaily[Admissions],tblDaily[EntryDate],DATE(2026,6,10),tblDaily[WardCode],"FAE")=0,"",SUMIFS(tblDaily[Admissions],tblDaily[EntryDate],DATE(2026,6,10),tblDaily[WardCode],"FAE")),"")</f>
        <v/>
      </c>
      <c r="C211" s="5" t="str">
        <f>IFERROR(IF(SUMIFS(tblDaily[Discharges],tblDaily[EntryDate],DATE(2026,6,10),tblDaily[WardCode],"FAE")=0,"",SUMIFS(tblDaily[Discharges],tblDaily[EntryDate],DATE(2026,6,10),tblDaily[WardCode],"FAE")),"")</f>
        <v/>
      </c>
      <c r="D211" s="5" t="str">
        <f>IFERROR(IF(SUMIFS(tblDaily[Deaths],tblDaily[EntryDate],DATE(2026,6,10),tblDaily[WardCode],"FAE")=0,"",SUMIFS(tblDaily[Deaths],tblDaily[EntryDate],DATE(2026,6,10),tblDaily[WardCode],"FAE")),"")</f>
        <v/>
      </c>
      <c r="E211" s="5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5" t="str">
        <f>IFERROR(IF(SUMIFS(tblDaily[TransfersIn],tblDaily[EntryDate],DATE(2026,6,10),tblDaily[WardCode],"FAE")=0,"",SUMIFS(tblDaily[TransfersIn],tblDaily[EntryDate],DATE(2026,6,10),tblDaily[WardCode],"FAE")),"")</f>
        <v/>
      </c>
      <c r="G211" s="5" t="str">
        <f>IFERROR(IF(SUMIFS(tblDaily[TransfersOut],tblDaily[EntryDate],DATE(2026,6,10),tblDaily[WardCode],"FAE")=0,"",SUMIFS(tblDaily[TransfersOut],tblDaily[EntryDate],DATE(2026,6,10),tblDaily[WardCode],"FAE")),"")</f>
        <v/>
      </c>
      <c r="H211" s="5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IFERROR(IF(SUMIFS(tblDaily[Admissions],tblDaily[EntryDate],DATE(2026,6,11),tblDaily[WardCode],"FAE")=0,"",SUMIFS(tblDaily[Admissions],tblDaily[EntryDate],DATE(2026,6,11),tblDaily[WardCode],"FAE")),"")</f>
        <v/>
      </c>
      <c r="C212" s="5" t="str">
        <f>IFERROR(IF(SUMIFS(tblDaily[Discharges],tblDaily[EntryDate],DATE(2026,6,11),tblDaily[WardCode],"FAE")=0,"",SUMIFS(tblDaily[Discharges],tblDaily[EntryDate],DATE(2026,6,11),tblDaily[WardCode],"FAE")),"")</f>
        <v/>
      </c>
      <c r="D212" s="5" t="str">
        <f>IFERROR(IF(SUMIFS(tblDaily[Deaths],tblDaily[EntryDate],DATE(2026,6,11),tblDaily[WardCode],"FAE")=0,"",SUMIFS(tblDaily[Deaths],tblDaily[EntryDate],DATE(2026,6,11),tblDaily[WardCode],"FAE")),"")</f>
        <v/>
      </c>
      <c r="E212" s="5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5" t="str">
        <f>IFERROR(IF(SUMIFS(tblDaily[TransfersIn],tblDaily[EntryDate],DATE(2026,6,11),tblDaily[WardCode],"FAE")=0,"",SUMIFS(tblDaily[TransfersIn],tblDaily[EntryDate],DATE(2026,6,11),tblDaily[WardCode],"FAE")),"")</f>
        <v/>
      </c>
      <c r="G212" s="5" t="str">
        <f>IFERROR(IF(SUMIFS(tblDaily[TransfersOut],tblDaily[EntryDate],DATE(2026,6,11),tblDaily[WardCode],"FAE")=0,"",SUMIFS(tblDaily[TransfersOut],tblDaily[EntryDate],DATE(2026,6,11),tblDaily[WardCode],"FAE")),"")</f>
        <v/>
      </c>
      <c r="H212" s="5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IFERROR(IF(SUMIFS(tblDaily[Admissions],tblDaily[EntryDate],DATE(2026,6,12),tblDaily[WardCode],"FAE")=0,"",SUMIFS(tblDaily[Admissions],tblDaily[EntryDate],DATE(2026,6,12),tblDaily[WardCode],"FAE")),"")</f>
        <v/>
      </c>
      <c r="C213" s="5" t="str">
        <f>IFERROR(IF(SUMIFS(tblDaily[Discharges],tblDaily[EntryDate],DATE(2026,6,12),tblDaily[WardCode],"FAE")=0,"",SUMIFS(tblDaily[Discharges],tblDaily[EntryDate],DATE(2026,6,12),tblDaily[WardCode],"FAE")),"")</f>
        <v/>
      </c>
      <c r="D213" s="5" t="str">
        <f>IFERROR(IF(SUMIFS(tblDaily[Deaths],tblDaily[EntryDate],DATE(2026,6,12),tblDaily[WardCode],"FAE")=0,"",SUMIFS(tblDaily[Deaths],tblDaily[EntryDate],DATE(2026,6,12),tblDaily[WardCode],"FAE")),"")</f>
        <v/>
      </c>
      <c r="E213" s="5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5" t="str">
        <f>IFERROR(IF(SUMIFS(tblDaily[TransfersIn],tblDaily[EntryDate],DATE(2026,6,12),tblDaily[WardCode],"FAE")=0,"",SUMIFS(tblDaily[TransfersIn],tblDaily[EntryDate],DATE(2026,6,12),tblDaily[WardCode],"FAE")),"")</f>
        <v/>
      </c>
      <c r="G213" s="5" t="str">
        <f>IFERROR(IF(SUMIFS(tblDaily[TransfersOut],tblDaily[EntryDate],DATE(2026,6,12),tblDaily[WardCode],"FAE")=0,"",SUMIFS(tblDaily[TransfersOut],tblDaily[EntryDate],DATE(2026,6,12),tblDaily[WardCode],"FAE")),"")</f>
        <v/>
      </c>
      <c r="H213" s="5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IFERROR(IF(SUMIFS(tblDaily[Admissions],tblDaily[EntryDate],DATE(2026,6,13),tblDaily[WardCode],"FAE")=0,"",SUMIFS(tblDaily[Admissions],tblDaily[EntryDate],DATE(2026,6,13),tblDaily[WardCode],"FAE")),"")</f>
        <v/>
      </c>
      <c r="C214" s="5" t="str">
        <f>IFERROR(IF(SUMIFS(tblDaily[Discharges],tblDaily[EntryDate],DATE(2026,6,13),tblDaily[WardCode],"FAE")=0,"",SUMIFS(tblDaily[Discharges],tblDaily[EntryDate],DATE(2026,6,13),tblDaily[WardCode],"FAE")),"")</f>
        <v/>
      </c>
      <c r="D214" s="5" t="str">
        <f>IFERROR(IF(SUMIFS(tblDaily[Deaths],tblDaily[EntryDate],DATE(2026,6,13),tblDaily[WardCode],"FAE")=0,"",SUMIFS(tblDaily[Deaths],tblDaily[EntryDate],DATE(2026,6,13),tblDaily[WardCode],"FAE")),"")</f>
        <v/>
      </c>
      <c r="E214" s="5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5" t="str">
        <f>IFERROR(IF(SUMIFS(tblDaily[TransfersIn],tblDaily[EntryDate],DATE(2026,6,13),tblDaily[WardCode],"FAE")=0,"",SUMIFS(tblDaily[TransfersIn],tblDaily[EntryDate],DATE(2026,6,13),tblDaily[WardCode],"FAE")),"")</f>
        <v/>
      </c>
      <c r="G214" s="5" t="str">
        <f>IFERROR(IF(SUMIFS(tblDaily[TransfersOut],tblDaily[EntryDate],DATE(2026,6,13),tblDaily[WardCode],"FAE")=0,"",SUMIFS(tblDaily[TransfersOut],tblDaily[EntryDate],DATE(2026,6,13),tblDaily[WardCode],"FAE")),"")</f>
        <v/>
      </c>
      <c r="H214" s="5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IFERROR(IF(SUMIFS(tblDaily[Admissions],tblDaily[EntryDate],DATE(2026,6,14),tblDaily[WardCode],"FAE")=0,"",SUMIFS(tblDaily[Admissions],tblDaily[EntryDate],DATE(2026,6,14),tblDaily[WardCode],"FAE")),"")</f>
        <v/>
      </c>
      <c r="C215" s="5" t="str">
        <f>IFERROR(IF(SUMIFS(tblDaily[Discharges],tblDaily[EntryDate],DATE(2026,6,14),tblDaily[WardCode],"FAE")=0,"",SUMIFS(tblDaily[Discharges],tblDaily[EntryDate],DATE(2026,6,14),tblDaily[WardCode],"FAE")),"")</f>
        <v/>
      </c>
      <c r="D215" s="5" t="str">
        <f>IFERROR(IF(SUMIFS(tblDaily[Deaths],tblDaily[EntryDate],DATE(2026,6,14),tblDaily[WardCode],"FAE")=0,"",SUMIFS(tblDaily[Deaths],tblDaily[EntryDate],DATE(2026,6,14),tblDaily[WardCode],"FAE")),"")</f>
        <v/>
      </c>
      <c r="E215" s="5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5" t="str">
        <f>IFERROR(IF(SUMIFS(tblDaily[TransfersIn],tblDaily[EntryDate],DATE(2026,6,14),tblDaily[WardCode],"FAE")=0,"",SUMIFS(tblDaily[TransfersIn],tblDaily[EntryDate],DATE(2026,6,14),tblDaily[WardCode],"FAE")),"")</f>
        <v/>
      </c>
      <c r="G215" s="5" t="str">
        <f>IFERROR(IF(SUMIFS(tblDaily[TransfersOut],tblDaily[EntryDate],DATE(2026,6,14),tblDaily[WardCode],"FAE")=0,"",SUMIFS(tblDaily[TransfersOut],tblDaily[EntryDate],DATE(2026,6,14),tblDaily[WardCode],"FAE")),"")</f>
        <v/>
      </c>
      <c r="H215" s="5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IFERROR(IF(SUMIFS(tblDaily[Admissions],tblDaily[EntryDate],DATE(2026,6,15),tblDaily[WardCode],"FAE")=0,"",SUMIFS(tblDaily[Admissions],tblDaily[EntryDate],DATE(2026,6,15),tblDaily[WardCode],"FAE")),"")</f>
        <v/>
      </c>
      <c r="C216" s="5" t="str">
        <f>IFERROR(IF(SUMIFS(tblDaily[Discharges],tblDaily[EntryDate],DATE(2026,6,15),tblDaily[WardCode],"FAE")=0,"",SUMIFS(tblDaily[Discharges],tblDaily[EntryDate],DATE(2026,6,15),tblDaily[WardCode],"FAE")),"")</f>
        <v/>
      </c>
      <c r="D216" s="5" t="str">
        <f>IFERROR(IF(SUMIFS(tblDaily[Deaths],tblDaily[EntryDate],DATE(2026,6,15),tblDaily[WardCode],"FAE")=0,"",SUMIFS(tblDaily[Deaths],tblDaily[EntryDate],DATE(2026,6,15),tblDaily[WardCode],"FAE")),"")</f>
        <v/>
      </c>
      <c r="E216" s="5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5" t="str">
        <f>IFERROR(IF(SUMIFS(tblDaily[TransfersIn],tblDaily[EntryDate],DATE(2026,6,15),tblDaily[WardCode],"FAE")=0,"",SUMIFS(tblDaily[TransfersIn],tblDaily[EntryDate],DATE(2026,6,15),tblDaily[WardCode],"FAE")),"")</f>
        <v/>
      </c>
      <c r="G216" s="5" t="str">
        <f>IFERROR(IF(SUMIFS(tblDaily[TransfersOut],tblDaily[EntryDate],DATE(2026,6,15),tblDaily[WardCode],"FAE")=0,"",SUMIFS(tblDaily[TransfersOut],tblDaily[EntryDate],DATE(2026,6,15),tblDaily[WardCode],"FAE")),"")</f>
        <v/>
      </c>
      <c r="H216" s="5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IFERROR(IF(SUMIFS(tblDaily[Admissions],tblDaily[EntryDate],DATE(2026,6,16),tblDaily[WardCode],"FAE")=0,"",SUMIFS(tblDaily[Admissions],tblDaily[EntryDate],DATE(2026,6,16),tblDaily[WardCode],"FAE")),"")</f>
        <v/>
      </c>
      <c r="C217" s="5" t="str">
        <f>IFERROR(IF(SUMIFS(tblDaily[Discharges],tblDaily[EntryDate],DATE(2026,6,16),tblDaily[WardCode],"FAE")=0,"",SUMIFS(tblDaily[Discharges],tblDaily[EntryDate],DATE(2026,6,16),tblDaily[WardCode],"FAE")),"")</f>
        <v/>
      </c>
      <c r="D217" s="5" t="str">
        <f>IFERROR(IF(SUMIFS(tblDaily[Deaths],tblDaily[EntryDate],DATE(2026,6,16),tblDaily[WardCode],"FAE")=0,"",SUMIFS(tblDaily[Deaths],tblDaily[EntryDate],DATE(2026,6,16),tblDaily[WardCode],"FAE")),"")</f>
        <v/>
      </c>
      <c r="E217" s="5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5" t="str">
        <f>IFERROR(IF(SUMIFS(tblDaily[TransfersIn],tblDaily[EntryDate],DATE(2026,6,16),tblDaily[WardCode],"FAE")=0,"",SUMIFS(tblDaily[TransfersIn],tblDaily[EntryDate],DATE(2026,6,16),tblDaily[WardCode],"FAE")),"")</f>
        <v/>
      </c>
      <c r="G217" s="5" t="str">
        <f>IFERROR(IF(SUMIFS(tblDaily[TransfersOut],tblDaily[EntryDate],DATE(2026,6,16),tblDaily[WardCode],"FAE")=0,"",SUMIFS(tblDaily[TransfersOut],tblDaily[EntryDate],DATE(2026,6,16),tblDaily[WardCode],"FAE")),"")</f>
        <v/>
      </c>
      <c r="H217" s="5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IFERROR(IF(SUMIFS(tblDaily[Admissions],tblDaily[EntryDate],DATE(2026,6,17),tblDaily[WardCode],"FAE")=0,"",SUMIFS(tblDaily[Admissions],tblDaily[EntryDate],DATE(2026,6,17),tblDaily[WardCode],"FAE")),"")</f>
        <v/>
      </c>
      <c r="C218" s="5" t="str">
        <f>IFERROR(IF(SUMIFS(tblDaily[Discharges],tblDaily[EntryDate],DATE(2026,6,17),tblDaily[WardCode],"FAE")=0,"",SUMIFS(tblDaily[Discharges],tblDaily[EntryDate],DATE(2026,6,17),tblDaily[WardCode],"FAE")),"")</f>
        <v/>
      </c>
      <c r="D218" s="5" t="str">
        <f>IFERROR(IF(SUMIFS(tblDaily[Deaths],tblDaily[EntryDate],DATE(2026,6,17),tblDaily[WardCode],"FAE")=0,"",SUMIFS(tblDaily[Deaths],tblDaily[EntryDate],DATE(2026,6,17),tblDaily[WardCode],"FAE")),"")</f>
        <v/>
      </c>
      <c r="E218" s="5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5" t="str">
        <f>IFERROR(IF(SUMIFS(tblDaily[TransfersIn],tblDaily[EntryDate],DATE(2026,6,17),tblDaily[WardCode],"FAE")=0,"",SUMIFS(tblDaily[TransfersIn],tblDaily[EntryDate],DATE(2026,6,17),tblDaily[WardCode],"FAE")),"")</f>
        <v/>
      </c>
      <c r="G218" s="5" t="str">
        <f>IFERROR(IF(SUMIFS(tblDaily[TransfersOut],tblDaily[EntryDate],DATE(2026,6,17),tblDaily[WardCode],"FAE")=0,"",SUMIFS(tblDaily[TransfersOut],tblDaily[EntryDate],DATE(2026,6,17),tblDaily[WardCode],"FAE")),"")</f>
        <v/>
      </c>
      <c r="H218" s="5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IFERROR(IF(SUMIFS(tblDaily[Admissions],tblDaily[EntryDate],DATE(2026,6,18),tblDaily[WardCode],"FAE")=0,"",SUMIFS(tblDaily[Admissions],tblDaily[EntryDate],DATE(2026,6,18),tblDaily[WardCode],"FAE")),"")</f>
        <v/>
      </c>
      <c r="C219" s="5" t="str">
        <f>IFERROR(IF(SUMIFS(tblDaily[Discharges],tblDaily[EntryDate],DATE(2026,6,18),tblDaily[WardCode],"FAE")=0,"",SUMIFS(tblDaily[Discharges],tblDaily[EntryDate],DATE(2026,6,18),tblDaily[WardCode],"FAE")),"")</f>
        <v/>
      </c>
      <c r="D219" s="5" t="str">
        <f>IFERROR(IF(SUMIFS(tblDaily[Deaths],tblDaily[EntryDate],DATE(2026,6,18),tblDaily[WardCode],"FAE")=0,"",SUMIFS(tblDaily[Deaths],tblDaily[EntryDate],DATE(2026,6,18),tblDaily[WardCode],"FAE")),"")</f>
        <v/>
      </c>
      <c r="E219" s="5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5" t="str">
        <f>IFERROR(IF(SUMIFS(tblDaily[TransfersIn],tblDaily[EntryDate],DATE(2026,6,18),tblDaily[WardCode],"FAE")=0,"",SUMIFS(tblDaily[TransfersIn],tblDaily[EntryDate],DATE(2026,6,18),tblDaily[WardCode],"FAE")),"")</f>
        <v/>
      </c>
      <c r="G219" s="5" t="str">
        <f>IFERROR(IF(SUMIFS(tblDaily[TransfersOut],tblDaily[EntryDate],DATE(2026,6,18),tblDaily[WardCode],"FAE")=0,"",SUMIFS(tblDaily[TransfersOut],tblDaily[EntryDate],DATE(2026,6,18),tblDaily[WardCode],"FAE")),"")</f>
        <v/>
      </c>
      <c r="H219" s="5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IFERROR(IF(SUMIFS(tblDaily[Admissions],tblDaily[EntryDate],DATE(2026,6,19),tblDaily[WardCode],"FAE")=0,"",SUMIFS(tblDaily[Admissions],tblDaily[EntryDate],DATE(2026,6,19),tblDaily[WardCode],"FAE")),"")</f>
        <v/>
      </c>
      <c r="C220" s="5" t="str">
        <f>IFERROR(IF(SUMIFS(tblDaily[Discharges],tblDaily[EntryDate],DATE(2026,6,19),tblDaily[WardCode],"FAE")=0,"",SUMIFS(tblDaily[Discharges],tblDaily[EntryDate],DATE(2026,6,19),tblDaily[WardCode],"FAE")),"")</f>
        <v/>
      </c>
      <c r="D220" s="5" t="str">
        <f>IFERROR(IF(SUMIFS(tblDaily[Deaths],tblDaily[EntryDate],DATE(2026,6,19),tblDaily[WardCode],"FAE")=0,"",SUMIFS(tblDaily[Deaths],tblDaily[EntryDate],DATE(2026,6,19),tblDaily[WardCode],"FAE")),"")</f>
        <v/>
      </c>
      <c r="E220" s="5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5" t="str">
        <f>IFERROR(IF(SUMIFS(tblDaily[TransfersIn],tblDaily[EntryDate],DATE(2026,6,19),tblDaily[WardCode],"FAE")=0,"",SUMIFS(tblDaily[TransfersIn],tblDaily[EntryDate],DATE(2026,6,19),tblDaily[WardCode],"FAE")),"")</f>
        <v/>
      </c>
      <c r="G220" s="5" t="str">
        <f>IFERROR(IF(SUMIFS(tblDaily[TransfersOut],tblDaily[EntryDate],DATE(2026,6,19),tblDaily[WardCode],"FAE")=0,"",SUMIFS(tblDaily[TransfersOut],tblDaily[EntryDate],DATE(2026,6,19),tblDaily[WardCode],"FAE")),"")</f>
        <v/>
      </c>
      <c r="H220" s="5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IFERROR(IF(SUMIFS(tblDaily[Admissions],tblDaily[EntryDate],DATE(2026,6,20),tblDaily[WardCode],"FAE")=0,"",SUMIFS(tblDaily[Admissions],tblDaily[EntryDate],DATE(2026,6,20),tblDaily[WardCode],"FAE")),"")</f>
        <v/>
      </c>
      <c r="C221" s="5" t="str">
        <f>IFERROR(IF(SUMIFS(tblDaily[Discharges],tblDaily[EntryDate],DATE(2026,6,20),tblDaily[WardCode],"FAE")=0,"",SUMIFS(tblDaily[Discharges],tblDaily[EntryDate],DATE(2026,6,20),tblDaily[WardCode],"FAE")),"")</f>
        <v/>
      </c>
      <c r="D221" s="5" t="str">
        <f>IFERROR(IF(SUMIFS(tblDaily[Deaths],tblDaily[EntryDate],DATE(2026,6,20),tblDaily[WardCode],"FAE")=0,"",SUMIFS(tblDaily[Deaths],tblDaily[EntryDate],DATE(2026,6,20),tblDaily[WardCode],"FAE")),"")</f>
        <v/>
      </c>
      <c r="E221" s="5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5" t="str">
        <f>IFERROR(IF(SUMIFS(tblDaily[TransfersIn],tblDaily[EntryDate],DATE(2026,6,20),tblDaily[WardCode],"FAE")=0,"",SUMIFS(tblDaily[TransfersIn],tblDaily[EntryDate],DATE(2026,6,20),tblDaily[WardCode],"FAE")),"")</f>
        <v/>
      </c>
      <c r="G221" s="5" t="str">
        <f>IFERROR(IF(SUMIFS(tblDaily[TransfersOut],tblDaily[EntryDate],DATE(2026,6,20),tblDaily[WardCode],"FAE")=0,"",SUMIFS(tblDaily[TransfersOut],tblDaily[EntryDate],DATE(2026,6,20),tblDaily[WardCode],"FAE")),"")</f>
        <v/>
      </c>
      <c r="H221" s="5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IFERROR(IF(SUMIFS(tblDaily[Admissions],tblDaily[EntryDate],DATE(2026,6,21),tblDaily[WardCode],"FAE")=0,"",SUMIFS(tblDaily[Admissions],tblDaily[EntryDate],DATE(2026,6,21),tblDaily[WardCode],"FAE")),"")</f>
        <v/>
      </c>
      <c r="C222" s="5" t="str">
        <f>IFERROR(IF(SUMIFS(tblDaily[Discharges],tblDaily[EntryDate],DATE(2026,6,21),tblDaily[WardCode],"FAE")=0,"",SUMIFS(tblDaily[Discharges],tblDaily[EntryDate],DATE(2026,6,21),tblDaily[WardCode],"FAE")),"")</f>
        <v/>
      </c>
      <c r="D222" s="5" t="str">
        <f>IFERROR(IF(SUMIFS(tblDaily[Deaths],tblDaily[EntryDate],DATE(2026,6,21),tblDaily[WardCode],"FAE")=0,"",SUMIFS(tblDaily[Deaths],tblDaily[EntryDate],DATE(2026,6,21),tblDaily[WardCode],"FAE")),"")</f>
        <v/>
      </c>
      <c r="E222" s="5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5" t="str">
        <f>IFERROR(IF(SUMIFS(tblDaily[TransfersIn],tblDaily[EntryDate],DATE(2026,6,21),tblDaily[WardCode],"FAE")=0,"",SUMIFS(tblDaily[TransfersIn],tblDaily[EntryDate],DATE(2026,6,21),tblDaily[WardCode],"FAE")),"")</f>
        <v/>
      </c>
      <c r="G222" s="5" t="str">
        <f>IFERROR(IF(SUMIFS(tblDaily[TransfersOut],tblDaily[EntryDate],DATE(2026,6,21),tblDaily[WardCode],"FAE")=0,"",SUMIFS(tblDaily[TransfersOut],tblDaily[EntryDate],DATE(2026,6,21),tblDaily[WardCode],"FAE")),"")</f>
        <v/>
      </c>
      <c r="H222" s="5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IFERROR(IF(SUMIFS(tblDaily[Admissions],tblDaily[EntryDate],DATE(2026,6,22),tblDaily[WardCode],"FAE")=0,"",SUMIFS(tblDaily[Admissions],tblDaily[EntryDate],DATE(2026,6,22),tblDaily[WardCode],"FAE")),"")</f>
        <v/>
      </c>
      <c r="C223" s="5" t="str">
        <f>IFERROR(IF(SUMIFS(tblDaily[Discharges],tblDaily[EntryDate],DATE(2026,6,22),tblDaily[WardCode],"FAE")=0,"",SUMIFS(tblDaily[Discharges],tblDaily[EntryDate],DATE(2026,6,22),tblDaily[WardCode],"FAE")),"")</f>
        <v/>
      </c>
      <c r="D223" s="5" t="str">
        <f>IFERROR(IF(SUMIFS(tblDaily[Deaths],tblDaily[EntryDate],DATE(2026,6,22),tblDaily[WardCode],"FAE")=0,"",SUMIFS(tblDaily[Deaths],tblDaily[EntryDate],DATE(2026,6,22),tblDaily[WardCode],"FAE")),"")</f>
        <v/>
      </c>
      <c r="E223" s="5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5" t="str">
        <f>IFERROR(IF(SUMIFS(tblDaily[TransfersIn],tblDaily[EntryDate],DATE(2026,6,22),tblDaily[WardCode],"FAE")=0,"",SUMIFS(tblDaily[TransfersIn],tblDaily[EntryDate],DATE(2026,6,22),tblDaily[WardCode],"FAE")),"")</f>
        <v/>
      </c>
      <c r="G223" s="5" t="str">
        <f>IFERROR(IF(SUMIFS(tblDaily[TransfersOut],tblDaily[EntryDate],DATE(2026,6,22),tblDaily[WardCode],"FAE")=0,"",SUMIFS(tblDaily[TransfersOut],tblDaily[EntryDate],DATE(2026,6,22),tblDaily[WardCode],"FAE")),"")</f>
        <v/>
      </c>
      <c r="H223" s="5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IFERROR(IF(SUMIFS(tblDaily[Admissions],tblDaily[EntryDate],DATE(2026,6,23),tblDaily[WardCode],"FAE")=0,"",SUMIFS(tblDaily[Admissions],tblDaily[EntryDate],DATE(2026,6,23),tblDaily[WardCode],"FAE")),"")</f>
        <v/>
      </c>
      <c r="C224" s="5" t="str">
        <f>IFERROR(IF(SUMIFS(tblDaily[Discharges],tblDaily[EntryDate],DATE(2026,6,23),tblDaily[WardCode],"FAE")=0,"",SUMIFS(tblDaily[Discharges],tblDaily[EntryDate],DATE(2026,6,23),tblDaily[WardCode],"FAE")),"")</f>
        <v/>
      </c>
      <c r="D224" s="5" t="str">
        <f>IFERROR(IF(SUMIFS(tblDaily[Deaths],tblDaily[EntryDate],DATE(2026,6,23),tblDaily[WardCode],"FAE")=0,"",SUMIFS(tblDaily[Deaths],tblDaily[EntryDate],DATE(2026,6,23),tblDaily[WardCode],"FAE")),"")</f>
        <v/>
      </c>
      <c r="E224" s="5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5" t="str">
        <f>IFERROR(IF(SUMIFS(tblDaily[TransfersIn],tblDaily[EntryDate],DATE(2026,6,23),tblDaily[WardCode],"FAE")=0,"",SUMIFS(tblDaily[TransfersIn],tblDaily[EntryDate],DATE(2026,6,23),tblDaily[WardCode],"FAE")),"")</f>
        <v/>
      </c>
      <c r="G224" s="5" t="str">
        <f>IFERROR(IF(SUMIFS(tblDaily[TransfersOut],tblDaily[EntryDate],DATE(2026,6,23),tblDaily[WardCode],"FAE")=0,"",SUMIFS(tblDaily[TransfersOut],tblDaily[EntryDate],DATE(2026,6,23),tblDaily[WardCode],"FAE")),"")</f>
        <v/>
      </c>
      <c r="H224" s="5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IFERROR(IF(SUMIFS(tblDaily[Admissions],tblDaily[EntryDate],DATE(2026,6,24),tblDaily[WardCode],"FAE")=0,"",SUMIFS(tblDaily[Admissions],tblDaily[EntryDate],DATE(2026,6,24),tblDaily[WardCode],"FAE")),"")</f>
        <v/>
      </c>
      <c r="C225" s="5" t="str">
        <f>IFERROR(IF(SUMIFS(tblDaily[Discharges],tblDaily[EntryDate],DATE(2026,6,24),tblDaily[WardCode],"FAE")=0,"",SUMIFS(tblDaily[Discharges],tblDaily[EntryDate],DATE(2026,6,24),tblDaily[WardCode],"FAE")),"")</f>
        <v/>
      </c>
      <c r="D225" s="5" t="str">
        <f>IFERROR(IF(SUMIFS(tblDaily[Deaths],tblDaily[EntryDate],DATE(2026,6,24),tblDaily[WardCode],"FAE")=0,"",SUMIFS(tblDaily[Deaths],tblDaily[EntryDate],DATE(2026,6,24),tblDaily[WardCode],"FAE")),"")</f>
        <v/>
      </c>
      <c r="E225" s="5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5" t="str">
        <f>IFERROR(IF(SUMIFS(tblDaily[TransfersIn],tblDaily[EntryDate],DATE(2026,6,24),tblDaily[WardCode],"FAE")=0,"",SUMIFS(tblDaily[TransfersIn],tblDaily[EntryDate],DATE(2026,6,24),tblDaily[WardCode],"FAE")),"")</f>
        <v/>
      </c>
      <c r="G225" s="5" t="str">
        <f>IFERROR(IF(SUMIFS(tblDaily[TransfersOut],tblDaily[EntryDate],DATE(2026,6,24),tblDaily[WardCode],"FAE")=0,"",SUMIFS(tblDaily[TransfersOut],tblDaily[EntryDate],DATE(2026,6,24),tblDaily[WardCode],"FAE")),"")</f>
        <v/>
      </c>
      <c r="H225" s="5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IFERROR(IF(SUMIFS(tblDaily[Admissions],tblDaily[EntryDate],DATE(2026,6,25),tblDaily[WardCode],"FAE")=0,"",SUMIFS(tblDaily[Admissions],tblDaily[EntryDate],DATE(2026,6,25),tblDaily[WardCode],"FAE")),"")</f>
        <v/>
      </c>
      <c r="C226" s="5" t="str">
        <f>IFERROR(IF(SUMIFS(tblDaily[Discharges],tblDaily[EntryDate],DATE(2026,6,25),tblDaily[WardCode],"FAE")=0,"",SUMIFS(tblDaily[Discharges],tblDaily[EntryDate],DATE(2026,6,25),tblDaily[WardCode],"FAE")),"")</f>
        <v/>
      </c>
      <c r="D226" s="5" t="str">
        <f>IFERROR(IF(SUMIFS(tblDaily[Deaths],tblDaily[EntryDate],DATE(2026,6,25),tblDaily[WardCode],"FAE")=0,"",SUMIFS(tblDaily[Deaths],tblDaily[EntryDate],DATE(2026,6,25),tblDaily[WardCode],"FAE")),"")</f>
        <v/>
      </c>
      <c r="E226" s="5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5" t="str">
        <f>IFERROR(IF(SUMIFS(tblDaily[TransfersIn],tblDaily[EntryDate],DATE(2026,6,25),tblDaily[WardCode],"FAE")=0,"",SUMIFS(tblDaily[TransfersIn],tblDaily[EntryDate],DATE(2026,6,25),tblDaily[WardCode],"FAE")),"")</f>
        <v/>
      </c>
      <c r="G226" s="5" t="str">
        <f>IFERROR(IF(SUMIFS(tblDaily[TransfersOut],tblDaily[EntryDate],DATE(2026,6,25),tblDaily[WardCode],"FAE")=0,"",SUMIFS(tblDaily[TransfersOut],tblDaily[EntryDate],DATE(2026,6,25),tblDaily[WardCode],"FAE")),"")</f>
        <v/>
      </c>
      <c r="H226" s="5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IFERROR(IF(SUMIFS(tblDaily[Admissions],tblDaily[EntryDate],DATE(2026,6,26),tblDaily[WardCode],"FAE")=0,"",SUMIFS(tblDaily[Admissions],tblDaily[EntryDate],DATE(2026,6,26),tblDaily[WardCode],"FAE")),"")</f>
        <v/>
      </c>
      <c r="C227" s="5" t="str">
        <f>IFERROR(IF(SUMIFS(tblDaily[Discharges],tblDaily[EntryDate],DATE(2026,6,26),tblDaily[WardCode],"FAE")=0,"",SUMIFS(tblDaily[Discharges],tblDaily[EntryDate],DATE(2026,6,26),tblDaily[WardCode],"FAE")),"")</f>
        <v/>
      </c>
      <c r="D227" s="5" t="str">
        <f>IFERROR(IF(SUMIFS(tblDaily[Deaths],tblDaily[EntryDate],DATE(2026,6,26),tblDaily[WardCode],"FAE")=0,"",SUMIFS(tblDaily[Deaths],tblDaily[EntryDate],DATE(2026,6,26),tblDaily[WardCode],"FAE")),"")</f>
        <v/>
      </c>
      <c r="E227" s="5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5" t="str">
        <f>IFERROR(IF(SUMIFS(tblDaily[TransfersIn],tblDaily[EntryDate],DATE(2026,6,26),tblDaily[WardCode],"FAE")=0,"",SUMIFS(tblDaily[TransfersIn],tblDaily[EntryDate],DATE(2026,6,26),tblDaily[WardCode],"FAE")),"")</f>
        <v/>
      </c>
      <c r="G227" s="5" t="str">
        <f>IFERROR(IF(SUMIFS(tblDaily[TransfersOut],tblDaily[EntryDate],DATE(2026,6,26),tblDaily[WardCode],"FAE")=0,"",SUMIFS(tblDaily[TransfersOut],tblDaily[EntryDate],DATE(2026,6,26),tblDaily[WardCode],"FAE")),"")</f>
        <v/>
      </c>
      <c r="H227" s="5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IFERROR(IF(SUMIFS(tblDaily[Admissions],tblDaily[EntryDate],DATE(2026,6,27),tblDaily[WardCode],"FAE")=0,"",SUMIFS(tblDaily[Admissions],tblDaily[EntryDate],DATE(2026,6,27),tblDaily[WardCode],"FAE")),"")</f>
        <v/>
      </c>
      <c r="C228" s="5" t="str">
        <f>IFERROR(IF(SUMIFS(tblDaily[Discharges],tblDaily[EntryDate],DATE(2026,6,27),tblDaily[WardCode],"FAE")=0,"",SUMIFS(tblDaily[Discharges],tblDaily[EntryDate],DATE(2026,6,27),tblDaily[WardCode],"FAE")),"")</f>
        <v/>
      </c>
      <c r="D228" s="5" t="str">
        <f>IFERROR(IF(SUMIFS(tblDaily[Deaths],tblDaily[EntryDate],DATE(2026,6,27),tblDaily[WardCode],"FAE")=0,"",SUMIFS(tblDaily[Deaths],tblDaily[EntryDate],DATE(2026,6,27),tblDaily[WardCode],"FAE")),"")</f>
        <v/>
      </c>
      <c r="E228" s="5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5" t="str">
        <f>IFERROR(IF(SUMIFS(tblDaily[TransfersIn],tblDaily[EntryDate],DATE(2026,6,27),tblDaily[WardCode],"FAE")=0,"",SUMIFS(tblDaily[TransfersIn],tblDaily[EntryDate],DATE(2026,6,27),tblDaily[WardCode],"FAE")),"")</f>
        <v/>
      </c>
      <c r="G228" s="5" t="str">
        <f>IFERROR(IF(SUMIFS(tblDaily[TransfersOut],tblDaily[EntryDate],DATE(2026,6,27),tblDaily[WardCode],"FAE")=0,"",SUMIFS(tblDaily[TransfersOut],tblDaily[EntryDate],DATE(2026,6,27),tblDaily[WardCode],"FAE")),"")</f>
        <v/>
      </c>
      <c r="H228" s="5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IFERROR(IF(SUMIFS(tblDaily[Admissions],tblDaily[EntryDate],DATE(2026,6,28),tblDaily[WardCode],"FAE")=0,"",SUMIFS(tblDaily[Admissions],tblDaily[EntryDate],DATE(2026,6,28),tblDaily[WardCode],"FAE")),"")</f>
        <v/>
      </c>
      <c r="C229" s="5" t="str">
        <f>IFERROR(IF(SUMIFS(tblDaily[Discharges],tblDaily[EntryDate],DATE(2026,6,28),tblDaily[WardCode],"FAE")=0,"",SUMIFS(tblDaily[Discharges],tblDaily[EntryDate],DATE(2026,6,28),tblDaily[WardCode],"FAE")),"")</f>
        <v/>
      </c>
      <c r="D229" s="5" t="str">
        <f>IFERROR(IF(SUMIFS(tblDaily[Deaths],tblDaily[EntryDate],DATE(2026,6,28),tblDaily[WardCode],"FAE")=0,"",SUMIFS(tblDaily[Deaths],tblDaily[EntryDate],DATE(2026,6,28),tblDaily[WardCode],"FAE")),"")</f>
        <v/>
      </c>
      <c r="E229" s="5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5" t="str">
        <f>IFERROR(IF(SUMIFS(tblDaily[TransfersIn],tblDaily[EntryDate],DATE(2026,6,28),tblDaily[WardCode],"FAE")=0,"",SUMIFS(tblDaily[TransfersIn],tblDaily[EntryDate],DATE(2026,6,28),tblDaily[WardCode],"FAE")),"")</f>
        <v/>
      </c>
      <c r="G229" s="5" t="str">
        <f>IFERROR(IF(SUMIFS(tblDaily[TransfersOut],tblDaily[EntryDate],DATE(2026,6,28),tblDaily[WardCode],"FAE")=0,"",SUMIFS(tblDaily[TransfersOut],tblDaily[EntryDate],DATE(2026,6,28),tblDaily[WardCode],"FAE")),"")</f>
        <v/>
      </c>
      <c r="H229" s="5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IFERROR(IF(SUMIFS(tblDaily[Admissions],tblDaily[EntryDate],DATE(2026,6,29),tblDaily[WardCode],"FAE")=0,"",SUMIFS(tblDaily[Admissions],tblDaily[EntryDate],DATE(2026,6,29),tblDaily[WardCode],"FAE")),"")</f>
        <v/>
      </c>
      <c r="C230" s="5" t="str">
        <f>IFERROR(IF(SUMIFS(tblDaily[Discharges],tblDaily[EntryDate],DATE(2026,6,29),tblDaily[WardCode],"FAE")=0,"",SUMIFS(tblDaily[Discharges],tblDaily[EntryDate],DATE(2026,6,29),tblDaily[WardCode],"FAE")),"")</f>
        <v/>
      </c>
      <c r="D230" s="5" t="str">
        <f>IFERROR(IF(SUMIFS(tblDaily[Deaths],tblDaily[EntryDate],DATE(2026,6,29),tblDaily[WardCode],"FAE")=0,"",SUMIFS(tblDaily[Deaths],tblDaily[EntryDate],DATE(2026,6,29),tblDaily[WardCode],"FAE")),"")</f>
        <v/>
      </c>
      <c r="E230" s="5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5" t="str">
        <f>IFERROR(IF(SUMIFS(tblDaily[TransfersIn],tblDaily[EntryDate],DATE(2026,6,29),tblDaily[WardCode],"FAE")=0,"",SUMIFS(tblDaily[TransfersIn],tblDaily[EntryDate],DATE(2026,6,29),tblDaily[WardCode],"FAE")),"")</f>
        <v/>
      </c>
      <c r="G230" s="5" t="str">
        <f>IFERROR(IF(SUMIFS(tblDaily[TransfersOut],tblDaily[EntryDate],DATE(2026,6,29),tblDaily[WardCode],"FAE")=0,"",SUMIFS(tblDaily[TransfersOut],tblDaily[EntryDate],DATE(2026,6,29),tblDaily[WardCode],"FAE")),"")</f>
        <v/>
      </c>
      <c r="H230" s="5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IFERROR(IF(SUMIFS(tblDaily[Admissions],tblDaily[EntryDate],DATE(2026,6,30),tblDaily[WardCode],"FAE")=0,"",SUMIFS(tblDaily[Admissions],tblDaily[EntryDate],DATE(2026,6,30),tblDaily[WardCode],"FAE")),"")</f>
        <v/>
      </c>
      <c r="C231" s="5" t="str">
        <f>IFERROR(IF(SUMIFS(tblDaily[Discharges],tblDaily[EntryDate],DATE(2026,6,30),tblDaily[WardCode],"FAE")=0,"",SUMIFS(tblDaily[Discharges],tblDaily[EntryDate],DATE(2026,6,30),tblDaily[WardCode],"FAE")),"")</f>
        <v/>
      </c>
      <c r="D231" s="5" t="str">
        <f>IFERROR(IF(SUMIFS(tblDaily[Deaths],tblDaily[EntryDate],DATE(2026,6,30),tblDaily[WardCode],"FAE")=0,"",SUMIFS(tblDaily[Deaths],tblDaily[EntryDate],DATE(2026,6,30),tblDaily[WardCode],"FAE")),"")</f>
        <v/>
      </c>
      <c r="E231" s="5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5" t="str">
        <f>IFERROR(IF(SUMIFS(tblDaily[TransfersIn],tblDaily[EntryDate],DATE(2026,6,30),tblDaily[WardCode],"FAE")=0,"",SUMIFS(tblDaily[TransfersIn],tblDaily[EntryDate],DATE(2026,6,30),tblDaily[WardCode],"FAE")),"")</f>
        <v/>
      </c>
      <c r="G231" s="5" t="str">
        <f>IFERROR(IF(SUMIFS(tblDaily[TransfersOut],tblDaily[EntryDate],DATE(2026,6,30),tblDaily[WardCode],"FAE")=0,"",SUMIFS(tblDaily[TransfersOut],tblDaily[EntryDate],DATE(2026,6,30),tblDaily[WardCode],"FAE")),"")</f>
        <v/>
      </c>
      <c r="H231" s="5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16" t="s">
        <v>0</v>
      </c>
      <c r="B235" s="17"/>
      <c r="C235" s="17"/>
      <c r="D235" s="17"/>
      <c r="E235" s="17"/>
      <c r="F235" s="17"/>
      <c r="G235" s="17"/>
      <c r="H235" s="17"/>
    </row>
    <row r="236" spans="1:8" ht="15.75" x14ac:dyDescent="0.25">
      <c r="A236" s="21" t="s">
        <v>84</v>
      </c>
      <c r="B236" s="17"/>
      <c r="C236" s="17"/>
      <c r="D236" s="17"/>
      <c r="E236" s="17"/>
      <c r="F236" s="17"/>
      <c r="G236" s="17"/>
      <c r="H236" s="17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103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89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IFERROR(IF(SUMIFS(tblDaily[Admissions],tblDaily[EntryDate],DATE(2026,7,1),tblDaily[WardCode],"FAE")=0,"",SUMIFS(tblDaily[Admissions],tblDaily[EntryDate],DATE(2026,7,1),tblDaily[WardCode],"FAE")),"")</f>
        <v/>
      </c>
      <c r="C241" s="5" t="str">
        <f>IFERROR(IF(SUMIFS(tblDaily[Discharges],tblDaily[EntryDate],DATE(2026,7,1),tblDaily[WardCode],"FAE")=0,"",SUMIFS(tblDaily[Discharges],tblDaily[EntryDate],DATE(2026,7,1),tblDaily[WardCode],"FAE")),"")</f>
        <v/>
      </c>
      <c r="D241" s="5" t="str">
        <f>IFERROR(IF(SUMIFS(tblDaily[Deaths],tblDaily[EntryDate],DATE(2026,7,1),tblDaily[WardCode],"FAE")=0,"",SUMIFS(tblDaily[Deaths],tblDaily[EntryDate],DATE(2026,7,1),tblDaily[WardCode],"FAE")),"")</f>
        <v/>
      </c>
      <c r="E241" s="5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5" t="str">
        <f>IFERROR(IF(SUMIFS(tblDaily[TransfersIn],tblDaily[EntryDate],DATE(2026,7,1),tblDaily[WardCode],"FAE")=0,"",SUMIFS(tblDaily[TransfersIn],tblDaily[EntryDate],DATE(2026,7,1),tblDaily[WardCode],"FAE")),"")</f>
        <v/>
      </c>
      <c r="G241" s="5" t="str">
        <f>IFERROR(IF(SUMIFS(tblDaily[TransfersOut],tblDaily[EntryDate],DATE(2026,7,1),tblDaily[WardCode],"FAE")=0,"",SUMIFS(tblDaily[TransfersOut],tblDaily[EntryDate],DATE(2026,7,1),tblDaily[WardCode],"FAE")),"")</f>
        <v/>
      </c>
      <c r="H241" s="5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IFERROR(IF(SUMIFS(tblDaily[Admissions],tblDaily[EntryDate],DATE(2026,7,2),tblDaily[WardCode],"FAE")=0,"",SUMIFS(tblDaily[Admissions],tblDaily[EntryDate],DATE(2026,7,2),tblDaily[WardCode],"FAE")),"")</f>
        <v/>
      </c>
      <c r="C242" s="5" t="str">
        <f>IFERROR(IF(SUMIFS(tblDaily[Discharges],tblDaily[EntryDate],DATE(2026,7,2),tblDaily[WardCode],"FAE")=0,"",SUMIFS(tblDaily[Discharges],tblDaily[EntryDate],DATE(2026,7,2),tblDaily[WardCode],"FAE")),"")</f>
        <v/>
      </c>
      <c r="D242" s="5" t="str">
        <f>IFERROR(IF(SUMIFS(tblDaily[Deaths],tblDaily[EntryDate],DATE(2026,7,2),tblDaily[WardCode],"FAE")=0,"",SUMIFS(tblDaily[Deaths],tblDaily[EntryDate],DATE(2026,7,2),tblDaily[WardCode],"FAE")),"")</f>
        <v/>
      </c>
      <c r="E242" s="5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5" t="str">
        <f>IFERROR(IF(SUMIFS(tblDaily[TransfersIn],tblDaily[EntryDate],DATE(2026,7,2),tblDaily[WardCode],"FAE")=0,"",SUMIFS(tblDaily[TransfersIn],tblDaily[EntryDate],DATE(2026,7,2),tblDaily[WardCode],"FAE")),"")</f>
        <v/>
      </c>
      <c r="G242" s="5" t="str">
        <f>IFERROR(IF(SUMIFS(tblDaily[TransfersOut],tblDaily[EntryDate],DATE(2026,7,2),tblDaily[WardCode],"FAE")=0,"",SUMIFS(tblDaily[TransfersOut],tblDaily[EntryDate],DATE(2026,7,2),tblDaily[WardCode],"FAE")),"")</f>
        <v/>
      </c>
      <c r="H242" s="5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IFERROR(IF(SUMIFS(tblDaily[Admissions],tblDaily[EntryDate],DATE(2026,7,3),tblDaily[WardCode],"FAE")=0,"",SUMIFS(tblDaily[Admissions],tblDaily[EntryDate],DATE(2026,7,3),tblDaily[WardCode],"FAE")),"")</f>
        <v/>
      </c>
      <c r="C243" s="5" t="str">
        <f>IFERROR(IF(SUMIFS(tblDaily[Discharges],tblDaily[EntryDate],DATE(2026,7,3),tblDaily[WardCode],"FAE")=0,"",SUMIFS(tblDaily[Discharges],tblDaily[EntryDate],DATE(2026,7,3),tblDaily[WardCode],"FAE")),"")</f>
        <v/>
      </c>
      <c r="D243" s="5" t="str">
        <f>IFERROR(IF(SUMIFS(tblDaily[Deaths],tblDaily[EntryDate],DATE(2026,7,3),tblDaily[WardCode],"FAE")=0,"",SUMIFS(tblDaily[Deaths],tblDaily[EntryDate],DATE(2026,7,3),tblDaily[WardCode],"FAE")),"")</f>
        <v/>
      </c>
      <c r="E243" s="5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5" t="str">
        <f>IFERROR(IF(SUMIFS(tblDaily[TransfersIn],tblDaily[EntryDate],DATE(2026,7,3),tblDaily[WardCode],"FAE")=0,"",SUMIFS(tblDaily[TransfersIn],tblDaily[EntryDate],DATE(2026,7,3),tblDaily[WardCode],"FAE")),"")</f>
        <v/>
      </c>
      <c r="G243" s="5" t="str">
        <f>IFERROR(IF(SUMIFS(tblDaily[TransfersOut],tblDaily[EntryDate],DATE(2026,7,3),tblDaily[WardCode],"FAE")=0,"",SUMIFS(tblDaily[TransfersOut],tblDaily[EntryDate],DATE(2026,7,3),tblDaily[WardCode],"FAE")),"")</f>
        <v/>
      </c>
      <c r="H243" s="5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IFERROR(IF(SUMIFS(tblDaily[Admissions],tblDaily[EntryDate],DATE(2026,7,4),tblDaily[WardCode],"FAE")=0,"",SUMIFS(tblDaily[Admissions],tblDaily[EntryDate],DATE(2026,7,4),tblDaily[WardCode],"FAE")),"")</f>
        <v/>
      </c>
      <c r="C244" s="5" t="str">
        <f>IFERROR(IF(SUMIFS(tblDaily[Discharges],tblDaily[EntryDate],DATE(2026,7,4),tblDaily[WardCode],"FAE")=0,"",SUMIFS(tblDaily[Discharges],tblDaily[EntryDate],DATE(2026,7,4),tblDaily[WardCode],"FAE")),"")</f>
        <v/>
      </c>
      <c r="D244" s="5" t="str">
        <f>IFERROR(IF(SUMIFS(tblDaily[Deaths],tblDaily[EntryDate],DATE(2026,7,4),tblDaily[WardCode],"FAE")=0,"",SUMIFS(tblDaily[Deaths],tblDaily[EntryDate],DATE(2026,7,4),tblDaily[WardCode],"FAE")),"")</f>
        <v/>
      </c>
      <c r="E244" s="5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5" t="str">
        <f>IFERROR(IF(SUMIFS(tblDaily[TransfersIn],tblDaily[EntryDate],DATE(2026,7,4),tblDaily[WardCode],"FAE")=0,"",SUMIFS(tblDaily[TransfersIn],tblDaily[EntryDate],DATE(2026,7,4),tblDaily[WardCode],"FAE")),"")</f>
        <v/>
      </c>
      <c r="G244" s="5" t="str">
        <f>IFERROR(IF(SUMIFS(tblDaily[TransfersOut],tblDaily[EntryDate],DATE(2026,7,4),tblDaily[WardCode],"FAE")=0,"",SUMIFS(tblDaily[TransfersOut],tblDaily[EntryDate],DATE(2026,7,4),tblDaily[WardCode],"FAE")),"")</f>
        <v/>
      </c>
      <c r="H244" s="5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IFERROR(IF(SUMIFS(tblDaily[Admissions],tblDaily[EntryDate],DATE(2026,7,5),tblDaily[WardCode],"FAE")=0,"",SUMIFS(tblDaily[Admissions],tblDaily[EntryDate],DATE(2026,7,5),tblDaily[WardCode],"FAE")),"")</f>
        <v/>
      </c>
      <c r="C245" s="5" t="str">
        <f>IFERROR(IF(SUMIFS(tblDaily[Discharges],tblDaily[EntryDate],DATE(2026,7,5),tblDaily[WardCode],"FAE")=0,"",SUMIFS(tblDaily[Discharges],tblDaily[EntryDate],DATE(2026,7,5),tblDaily[WardCode],"FAE")),"")</f>
        <v/>
      </c>
      <c r="D245" s="5" t="str">
        <f>IFERROR(IF(SUMIFS(tblDaily[Deaths],tblDaily[EntryDate],DATE(2026,7,5),tblDaily[WardCode],"FAE")=0,"",SUMIFS(tblDaily[Deaths],tblDaily[EntryDate],DATE(2026,7,5),tblDaily[WardCode],"FAE")),"")</f>
        <v/>
      </c>
      <c r="E245" s="5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5" t="str">
        <f>IFERROR(IF(SUMIFS(tblDaily[TransfersIn],tblDaily[EntryDate],DATE(2026,7,5),tblDaily[WardCode],"FAE")=0,"",SUMIFS(tblDaily[TransfersIn],tblDaily[EntryDate],DATE(2026,7,5),tblDaily[WardCode],"FAE")),"")</f>
        <v/>
      </c>
      <c r="G245" s="5" t="str">
        <f>IFERROR(IF(SUMIFS(tblDaily[TransfersOut],tblDaily[EntryDate],DATE(2026,7,5),tblDaily[WardCode],"FAE")=0,"",SUMIFS(tblDaily[TransfersOut],tblDaily[EntryDate],DATE(2026,7,5),tblDaily[WardCode],"FAE")),"")</f>
        <v/>
      </c>
      <c r="H245" s="5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IFERROR(IF(SUMIFS(tblDaily[Admissions],tblDaily[EntryDate],DATE(2026,7,6),tblDaily[WardCode],"FAE")=0,"",SUMIFS(tblDaily[Admissions],tblDaily[EntryDate],DATE(2026,7,6),tblDaily[WardCode],"FAE")),"")</f>
        <v/>
      </c>
      <c r="C246" s="5" t="str">
        <f>IFERROR(IF(SUMIFS(tblDaily[Discharges],tblDaily[EntryDate],DATE(2026,7,6),tblDaily[WardCode],"FAE")=0,"",SUMIFS(tblDaily[Discharges],tblDaily[EntryDate],DATE(2026,7,6),tblDaily[WardCode],"FAE")),"")</f>
        <v/>
      </c>
      <c r="D246" s="5" t="str">
        <f>IFERROR(IF(SUMIFS(tblDaily[Deaths],tblDaily[EntryDate],DATE(2026,7,6),tblDaily[WardCode],"FAE")=0,"",SUMIFS(tblDaily[Deaths],tblDaily[EntryDate],DATE(2026,7,6),tblDaily[WardCode],"FAE")),"")</f>
        <v/>
      </c>
      <c r="E246" s="5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5" t="str">
        <f>IFERROR(IF(SUMIFS(tblDaily[TransfersIn],tblDaily[EntryDate],DATE(2026,7,6),tblDaily[WardCode],"FAE")=0,"",SUMIFS(tblDaily[TransfersIn],tblDaily[EntryDate],DATE(2026,7,6),tblDaily[WardCode],"FAE")),"")</f>
        <v/>
      </c>
      <c r="G246" s="5" t="str">
        <f>IFERROR(IF(SUMIFS(tblDaily[TransfersOut],tblDaily[EntryDate],DATE(2026,7,6),tblDaily[WardCode],"FAE")=0,"",SUMIFS(tblDaily[TransfersOut],tblDaily[EntryDate],DATE(2026,7,6),tblDaily[WardCode],"FAE")),"")</f>
        <v/>
      </c>
      <c r="H246" s="5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IFERROR(IF(SUMIFS(tblDaily[Admissions],tblDaily[EntryDate],DATE(2026,7,7),tblDaily[WardCode],"FAE")=0,"",SUMIFS(tblDaily[Admissions],tblDaily[EntryDate],DATE(2026,7,7),tblDaily[WardCode],"FAE")),"")</f>
        <v/>
      </c>
      <c r="C247" s="5" t="str">
        <f>IFERROR(IF(SUMIFS(tblDaily[Discharges],tblDaily[EntryDate],DATE(2026,7,7),tblDaily[WardCode],"FAE")=0,"",SUMIFS(tblDaily[Discharges],tblDaily[EntryDate],DATE(2026,7,7),tblDaily[WardCode],"FAE")),"")</f>
        <v/>
      </c>
      <c r="D247" s="5" t="str">
        <f>IFERROR(IF(SUMIFS(tblDaily[Deaths],tblDaily[EntryDate],DATE(2026,7,7),tblDaily[WardCode],"FAE")=0,"",SUMIFS(tblDaily[Deaths],tblDaily[EntryDate],DATE(2026,7,7),tblDaily[WardCode],"FAE")),"")</f>
        <v/>
      </c>
      <c r="E247" s="5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5" t="str">
        <f>IFERROR(IF(SUMIFS(tblDaily[TransfersIn],tblDaily[EntryDate],DATE(2026,7,7),tblDaily[WardCode],"FAE")=0,"",SUMIFS(tblDaily[TransfersIn],tblDaily[EntryDate],DATE(2026,7,7),tblDaily[WardCode],"FAE")),"")</f>
        <v/>
      </c>
      <c r="G247" s="5" t="str">
        <f>IFERROR(IF(SUMIFS(tblDaily[TransfersOut],tblDaily[EntryDate],DATE(2026,7,7),tblDaily[WardCode],"FAE")=0,"",SUMIFS(tblDaily[TransfersOut],tblDaily[EntryDate],DATE(2026,7,7),tblDaily[WardCode],"FAE")),"")</f>
        <v/>
      </c>
      <c r="H247" s="5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IFERROR(IF(SUMIFS(tblDaily[Admissions],tblDaily[EntryDate],DATE(2026,7,8),tblDaily[WardCode],"FAE")=0,"",SUMIFS(tblDaily[Admissions],tblDaily[EntryDate],DATE(2026,7,8),tblDaily[WardCode],"FAE")),"")</f>
        <v/>
      </c>
      <c r="C248" s="5" t="str">
        <f>IFERROR(IF(SUMIFS(tblDaily[Discharges],tblDaily[EntryDate],DATE(2026,7,8),tblDaily[WardCode],"FAE")=0,"",SUMIFS(tblDaily[Discharges],tblDaily[EntryDate],DATE(2026,7,8),tblDaily[WardCode],"FAE")),"")</f>
        <v/>
      </c>
      <c r="D248" s="5" t="str">
        <f>IFERROR(IF(SUMIFS(tblDaily[Deaths],tblDaily[EntryDate],DATE(2026,7,8),tblDaily[WardCode],"FAE")=0,"",SUMIFS(tblDaily[Deaths],tblDaily[EntryDate],DATE(2026,7,8),tblDaily[WardCode],"FAE")),"")</f>
        <v/>
      </c>
      <c r="E248" s="5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5" t="str">
        <f>IFERROR(IF(SUMIFS(tblDaily[TransfersIn],tblDaily[EntryDate],DATE(2026,7,8),tblDaily[WardCode],"FAE")=0,"",SUMIFS(tblDaily[TransfersIn],tblDaily[EntryDate],DATE(2026,7,8),tblDaily[WardCode],"FAE")),"")</f>
        <v/>
      </c>
      <c r="G248" s="5" t="str">
        <f>IFERROR(IF(SUMIFS(tblDaily[TransfersOut],tblDaily[EntryDate],DATE(2026,7,8),tblDaily[WardCode],"FAE")=0,"",SUMIFS(tblDaily[TransfersOut],tblDaily[EntryDate],DATE(2026,7,8),tblDaily[WardCode],"FAE")),"")</f>
        <v/>
      </c>
      <c r="H248" s="5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IFERROR(IF(SUMIFS(tblDaily[Admissions],tblDaily[EntryDate],DATE(2026,7,9),tblDaily[WardCode],"FAE")=0,"",SUMIFS(tblDaily[Admissions],tblDaily[EntryDate],DATE(2026,7,9),tblDaily[WardCode],"FAE")),"")</f>
        <v/>
      </c>
      <c r="C249" s="5" t="str">
        <f>IFERROR(IF(SUMIFS(tblDaily[Discharges],tblDaily[EntryDate],DATE(2026,7,9),tblDaily[WardCode],"FAE")=0,"",SUMIFS(tblDaily[Discharges],tblDaily[EntryDate],DATE(2026,7,9),tblDaily[WardCode],"FAE")),"")</f>
        <v/>
      </c>
      <c r="D249" s="5" t="str">
        <f>IFERROR(IF(SUMIFS(tblDaily[Deaths],tblDaily[EntryDate],DATE(2026,7,9),tblDaily[WardCode],"FAE")=0,"",SUMIFS(tblDaily[Deaths],tblDaily[EntryDate],DATE(2026,7,9),tblDaily[WardCode],"FAE")),"")</f>
        <v/>
      </c>
      <c r="E249" s="5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5" t="str">
        <f>IFERROR(IF(SUMIFS(tblDaily[TransfersIn],tblDaily[EntryDate],DATE(2026,7,9),tblDaily[WardCode],"FAE")=0,"",SUMIFS(tblDaily[TransfersIn],tblDaily[EntryDate],DATE(2026,7,9),tblDaily[WardCode],"FAE")),"")</f>
        <v/>
      </c>
      <c r="G249" s="5" t="str">
        <f>IFERROR(IF(SUMIFS(tblDaily[TransfersOut],tblDaily[EntryDate],DATE(2026,7,9),tblDaily[WardCode],"FAE")=0,"",SUMIFS(tblDaily[TransfersOut],tblDaily[EntryDate],DATE(2026,7,9),tblDaily[WardCode],"FAE")),"")</f>
        <v/>
      </c>
      <c r="H249" s="5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IFERROR(IF(SUMIFS(tblDaily[Admissions],tblDaily[EntryDate],DATE(2026,7,10),tblDaily[WardCode],"FAE")=0,"",SUMIFS(tblDaily[Admissions],tblDaily[EntryDate],DATE(2026,7,10),tblDaily[WardCode],"FAE")),"")</f>
        <v/>
      </c>
      <c r="C250" s="5" t="str">
        <f>IFERROR(IF(SUMIFS(tblDaily[Discharges],tblDaily[EntryDate],DATE(2026,7,10),tblDaily[WardCode],"FAE")=0,"",SUMIFS(tblDaily[Discharges],tblDaily[EntryDate],DATE(2026,7,10),tblDaily[WardCode],"FAE")),"")</f>
        <v/>
      </c>
      <c r="D250" s="5" t="str">
        <f>IFERROR(IF(SUMIFS(tblDaily[Deaths],tblDaily[EntryDate],DATE(2026,7,10),tblDaily[WardCode],"FAE")=0,"",SUMIFS(tblDaily[Deaths],tblDaily[EntryDate],DATE(2026,7,10),tblDaily[WardCode],"FAE")),"")</f>
        <v/>
      </c>
      <c r="E250" s="5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5" t="str">
        <f>IFERROR(IF(SUMIFS(tblDaily[TransfersIn],tblDaily[EntryDate],DATE(2026,7,10),tblDaily[WardCode],"FAE")=0,"",SUMIFS(tblDaily[TransfersIn],tblDaily[EntryDate],DATE(2026,7,10),tblDaily[WardCode],"FAE")),"")</f>
        <v/>
      </c>
      <c r="G250" s="5" t="str">
        <f>IFERROR(IF(SUMIFS(tblDaily[TransfersOut],tblDaily[EntryDate],DATE(2026,7,10),tblDaily[WardCode],"FAE")=0,"",SUMIFS(tblDaily[TransfersOut],tblDaily[EntryDate],DATE(2026,7,10),tblDaily[WardCode],"FAE")),"")</f>
        <v/>
      </c>
      <c r="H250" s="5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IFERROR(IF(SUMIFS(tblDaily[Admissions],tblDaily[EntryDate],DATE(2026,7,11),tblDaily[WardCode],"FAE")=0,"",SUMIFS(tblDaily[Admissions],tblDaily[EntryDate],DATE(2026,7,11),tblDaily[WardCode],"FAE")),"")</f>
        <v/>
      </c>
      <c r="C251" s="5" t="str">
        <f>IFERROR(IF(SUMIFS(tblDaily[Discharges],tblDaily[EntryDate],DATE(2026,7,11),tblDaily[WardCode],"FAE")=0,"",SUMIFS(tblDaily[Discharges],tblDaily[EntryDate],DATE(2026,7,11),tblDaily[WardCode],"FAE")),"")</f>
        <v/>
      </c>
      <c r="D251" s="5" t="str">
        <f>IFERROR(IF(SUMIFS(tblDaily[Deaths],tblDaily[EntryDate],DATE(2026,7,11),tblDaily[WardCode],"FAE")=0,"",SUMIFS(tblDaily[Deaths],tblDaily[EntryDate],DATE(2026,7,11),tblDaily[WardCode],"FAE")),"")</f>
        <v/>
      </c>
      <c r="E251" s="5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5" t="str">
        <f>IFERROR(IF(SUMIFS(tblDaily[TransfersIn],tblDaily[EntryDate],DATE(2026,7,11),tblDaily[WardCode],"FAE")=0,"",SUMIFS(tblDaily[TransfersIn],tblDaily[EntryDate],DATE(2026,7,11),tblDaily[WardCode],"FAE")),"")</f>
        <v/>
      </c>
      <c r="G251" s="5" t="str">
        <f>IFERROR(IF(SUMIFS(tblDaily[TransfersOut],tblDaily[EntryDate],DATE(2026,7,11),tblDaily[WardCode],"FAE")=0,"",SUMIFS(tblDaily[TransfersOut],tblDaily[EntryDate],DATE(2026,7,11),tblDaily[WardCode],"FAE")),"")</f>
        <v/>
      </c>
      <c r="H251" s="5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IFERROR(IF(SUMIFS(tblDaily[Admissions],tblDaily[EntryDate],DATE(2026,7,12),tblDaily[WardCode],"FAE")=0,"",SUMIFS(tblDaily[Admissions],tblDaily[EntryDate],DATE(2026,7,12),tblDaily[WardCode],"FAE")),"")</f>
        <v/>
      </c>
      <c r="C252" s="5" t="str">
        <f>IFERROR(IF(SUMIFS(tblDaily[Discharges],tblDaily[EntryDate],DATE(2026,7,12),tblDaily[WardCode],"FAE")=0,"",SUMIFS(tblDaily[Discharges],tblDaily[EntryDate],DATE(2026,7,12),tblDaily[WardCode],"FAE")),"")</f>
        <v/>
      </c>
      <c r="D252" s="5" t="str">
        <f>IFERROR(IF(SUMIFS(tblDaily[Deaths],tblDaily[EntryDate],DATE(2026,7,12),tblDaily[WardCode],"FAE")=0,"",SUMIFS(tblDaily[Deaths],tblDaily[EntryDate],DATE(2026,7,12),tblDaily[WardCode],"FAE")),"")</f>
        <v/>
      </c>
      <c r="E252" s="5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5" t="str">
        <f>IFERROR(IF(SUMIFS(tblDaily[TransfersIn],tblDaily[EntryDate],DATE(2026,7,12),tblDaily[WardCode],"FAE")=0,"",SUMIFS(tblDaily[TransfersIn],tblDaily[EntryDate],DATE(2026,7,12),tblDaily[WardCode],"FAE")),"")</f>
        <v/>
      </c>
      <c r="G252" s="5" t="str">
        <f>IFERROR(IF(SUMIFS(tblDaily[TransfersOut],tblDaily[EntryDate],DATE(2026,7,12),tblDaily[WardCode],"FAE")=0,"",SUMIFS(tblDaily[TransfersOut],tblDaily[EntryDate],DATE(2026,7,12),tblDaily[WardCode],"FAE")),"")</f>
        <v/>
      </c>
      <c r="H252" s="5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IFERROR(IF(SUMIFS(tblDaily[Admissions],tblDaily[EntryDate],DATE(2026,7,13),tblDaily[WardCode],"FAE")=0,"",SUMIFS(tblDaily[Admissions],tblDaily[EntryDate],DATE(2026,7,13),tblDaily[WardCode],"FAE")),"")</f>
        <v/>
      </c>
      <c r="C253" s="5" t="str">
        <f>IFERROR(IF(SUMIFS(tblDaily[Discharges],tblDaily[EntryDate],DATE(2026,7,13),tblDaily[WardCode],"FAE")=0,"",SUMIFS(tblDaily[Discharges],tblDaily[EntryDate],DATE(2026,7,13),tblDaily[WardCode],"FAE")),"")</f>
        <v/>
      </c>
      <c r="D253" s="5" t="str">
        <f>IFERROR(IF(SUMIFS(tblDaily[Deaths],tblDaily[EntryDate],DATE(2026,7,13),tblDaily[WardCode],"FAE")=0,"",SUMIFS(tblDaily[Deaths],tblDaily[EntryDate],DATE(2026,7,13),tblDaily[WardCode],"FAE")),"")</f>
        <v/>
      </c>
      <c r="E253" s="5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5" t="str">
        <f>IFERROR(IF(SUMIFS(tblDaily[TransfersIn],tblDaily[EntryDate],DATE(2026,7,13),tblDaily[WardCode],"FAE")=0,"",SUMIFS(tblDaily[TransfersIn],tblDaily[EntryDate],DATE(2026,7,13),tblDaily[WardCode],"FAE")),"")</f>
        <v/>
      </c>
      <c r="G253" s="5" t="str">
        <f>IFERROR(IF(SUMIFS(tblDaily[TransfersOut],tblDaily[EntryDate],DATE(2026,7,13),tblDaily[WardCode],"FAE")=0,"",SUMIFS(tblDaily[TransfersOut],tblDaily[EntryDate],DATE(2026,7,13),tblDaily[WardCode],"FAE")),"")</f>
        <v/>
      </c>
      <c r="H253" s="5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IFERROR(IF(SUMIFS(tblDaily[Admissions],tblDaily[EntryDate],DATE(2026,7,14),tblDaily[WardCode],"FAE")=0,"",SUMIFS(tblDaily[Admissions],tblDaily[EntryDate],DATE(2026,7,14),tblDaily[WardCode],"FAE")),"")</f>
        <v/>
      </c>
      <c r="C254" s="5" t="str">
        <f>IFERROR(IF(SUMIFS(tblDaily[Discharges],tblDaily[EntryDate],DATE(2026,7,14),tblDaily[WardCode],"FAE")=0,"",SUMIFS(tblDaily[Discharges],tblDaily[EntryDate],DATE(2026,7,14),tblDaily[WardCode],"FAE")),"")</f>
        <v/>
      </c>
      <c r="D254" s="5" t="str">
        <f>IFERROR(IF(SUMIFS(tblDaily[Deaths],tblDaily[EntryDate],DATE(2026,7,14),tblDaily[WardCode],"FAE")=0,"",SUMIFS(tblDaily[Deaths],tblDaily[EntryDate],DATE(2026,7,14),tblDaily[WardCode],"FAE")),"")</f>
        <v/>
      </c>
      <c r="E254" s="5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5" t="str">
        <f>IFERROR(IF(SUMIFS(tblDaily[TransfersIn],tblDaily[EntryDate],DATE(2026,7,14),tblDaily[WardCode],"FAE")=0,"",SUMIFS(tblDaily[TransfersIn],tblDaily[EntryDate],DATE(2026,7,14),tblDaily[WardCode],"FAE")),"")</f>
        <v/>
      </c>
      <c r="G254" s="5" t="str">
        <f>IFERROR(IF(SUMIFS(tblDaily[TransfersOut],tblDaily[EntryDate],DATE(2026,7,14),tblDaily[WardCode],"FAE")=0,"",SUMIFS(tblDaily[TransfersOut],tblDaily[EntryDate],DATE(2026,7,14),tblDaily[WardCode],"FAE")),"")</f>
        <v/>
      </c>
      <c r="H254" s="5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IFERROR(IF(SUMIFS(tblDaily[Admissions],tblDaily[EntryDate],DATE(2026,7,15),tblDaily[WardCode],"FAE")=0,"",SUMIFS(tblDaily[Admissions],tblDaily[EntryDate],DATE(2026,7,15),tblDaily[WardCode],"FAE")),"")</f>
        <v/>
      </c>
      <c r="C255" s="5" t="str">
        <f>IFERROR(IF(SUMIFS(tblDaily[Discharges],tblDaily[EntryDate],DATE(2026,7,15),tblDaily[WardCode],"FAE")=0,"",SUMIFS(tblDaily[Discharges],tblDaily[EntryDate],DATE(2026,7,15),tblDaily[WardCode],"FAE")),"")</f>
        <v/>
      </c>
      <c r="D255" s="5" t="str">
        <f>IFERROR(IF(SUMIFS(tblDaily[Deaths],tblDaily[EntryDate],DATE(2026,7,15),tblDaily[WardCode],"FAE")=0,"",SUMIFS(tblDaily[Deaths],tblDaily[EntryDate],DATE(2026,7,15),tblDaily[WardCode],"FAE")),"")</f>
        <v/>
      </c>
      <c r="E255" s="5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5" t="str">
        <f>IFERROR(IF(SUMIFS(tblDaily[TransfersIn],tblDaily[EntryDate],DATE(2026,7,15),tblDaily[WardCode],"FAE")=0,"",SUMIFS(tblDaily[TransfersIn],tblDaily[EntryDate],DATE(2026,7,15),tblDaily[WardCode],"FAE")),"")</f>
        <v/>
      </c>
      <c r="G255" s="5" t="str">
        <f>IFERROR(IF(SUMIFS(tblDaily[TransfersOut],tblDaily[EntryDate],DATE(2026,7,15),tblDaily[WardCode],"FAE")=0,"",SUMIFS(tblDaily[TransfersOut],tblDaily[EntryDate],DATE(2026,7,15),tblDaily[WardCode],"FAE")),"")</f>
        <v/>
      </c>
      <c r="H255" s="5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IFERROR(IF(SUMIFS(tblDaily[Admissions],tblDaily[EntryDate],DATE(2026,7,16),tblDaily[WardCode],"FAE")=0,"",SUMIFS(tblDaily[Admissions],tblDaily[EntryDate],DATE(2026,7,16),tblDaily[WardCode],"FAE")),"")</f>
        <v/>
      </c>
      <c r="C256" s="5" t="str">
        <f>IFERROR(IF(SUMIFS(tblDaily[Discharges],tblDaily[EntryDate],DATE(2026,7,16),tblDaily[WardCode],"FAE")=0,"",SUMIFS(tblDaily[Discharges],tblDaily[EntryDate],DATE(2026,7,16),tblDaily[WardCode],"FAE")),"")</f>
        <v/>
      </c>
      <c r="D256" s="5" t="str">
        <f>IFERROR(IF(SUMIFS(tblDaily[Deaths],tblDaily[EntryDate],DATE(2026,7,16),tblDaily[WardCode],"FAE")=0,"",SUMIFS(tblDaily[Deaths],tblDaily[EntryDate],DATE(2026,7,16),tblDaily[WardCode],"FAE")),"")</f>
        <v/>
      </c>
      <c r="E256" s="5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5" t="str">
        <f>IFERROR(IF(SUMIFS(tblDaily[TransfersIn],tblDaily[EntryDate],DATE(2026,7,16),tblDaily[WardCode],"FAE")=0,"",SUMIFS(tblDaily[TransfersIn],tblDaily[EntryDate],DATE(2026,7,16),tblDaily[WardCode],"FAE")),"")</f>
        <v/>
      </c>
      <c r="G256" s="5" t="str">
        <f>IFERROR(IF(SUMIFS(tblDaily[TransfersOut],tblDaily[EntryDate],DATE(2026,7,16),tblDaily[WardCode],"FAE")=0,"",SUMIFS(tblDaily[TransfersOut],tblDaily[EntryDate],DATE(2026,7,16),tblDaily[WardCode],"FAE")),"")</f>
        <v/>
      </c>
      <c r="H256" s="5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IFERROR(IF(SUMIFS(tblDaily[Admissions],tblDaily[EntryDate],DATE(2026,7,17),tblDaily[WardCode],"FAE")=0,"",SUMIFS(tblDaily[Admissions],tblDaily[EntryDate],DATE(2026,7,17),tblDaily[WardCode],"FAE")),"")</f>
        <v/>
      </c>
      <c r="C257" s="5" t="str">
        <f>IFERROR(IF(SUMIFS(tblDaily[Discharges],tblDaily[EntryDate],DATE(2026,7,17),tblDaily[WardCode],"FAE")=0,"",SUMIFS(tblDaily[Discharges],tblDaily[EntryDate],DATE(2026,7,17),tblDaily[WardCode],"FAE")),"")</f>
        <v/>
      </c>
      <c r="D257" s="5" t="str">
        <f>IFERROR(IF(SUMIFS(tblDaily[Deaths],tblDaily[EntryDate],DATE(2026,7,17),tblDaily[WardCode],"FAE")=0,"",SUMIFS(tblDaily[Deaths],tblDaily[EntryDate],DATE(2026,7,17),tblDaily[WardCode],"FAE")),"")</f>
        <v/>
      </c>
      <c r="E257" s="5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5" t="str">
        <f>IFERROR(IF(SUMIFS(tblDaily[TransfersIn],tblDaily[EntryDate],DATE(2026,7,17),tblDaily[WardCode],"FAE")=0,"",SUMIFS(tblDaily[TransfersIn],tblDaily[EntryDate],DATE(2026,7,17),tblDaily[WardCode],"FAE")),"")</f>
        <v/>
      </c>
      <c r="G257" s="5" t="str">
        <f>IFERROR(IF(SUMIFS(tblDaily[TransfersOut],tblDaily[EntryDate],DATE(2026,7,17),tblDaily[WardCode],"FAE")=0,"",SUMIFS(tblDaily[TransfersOut],tblDaily[EntryDate],DATE(2026,7,17),tblDaily[WardCode],"FAE")),"")</f>
        <v/>
      </c>
      <c r="H257" s="5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IFERROR(IF(SUMIFS(tblDaily[Admissions],tblDaily[EntryDate],DATE(2026,7,18),tblDaily[WardCode],"FAE")=0,"",SUMIFS(tblDaily[Admissions],tblDaily[EntryDate],DATE(2026,7,18),tblDaily[WardCode],"FAE")),"")</f>
        <v/>
      </c>
      <c r="C258" s="5" t="str">
        <f>IFERROR(IF(SUMIFS(tblDaily[Discharges],tblDaily[EntryDate],DATE(2026,7,18),tblDaily[WardCode],"FAE")=0,"",SUMIFS(tblDaily[Discharges],tblDaily[EntryDate],DATE(2026,7,18),tblDaily[WardCode],"FAE")),"")</f>
        <v/>
      </c>
      <c r="D258" s="5" t="str">
        <f>IFERROR(IF(SUMIFS(tblDaily[Deaths],tblDaily[EntryDate],DATE(2026,7,18),tblDaily[WardCode],"FAE")=0,"",SUMIFS(tblDaily[Deaths],tblDaily[EntryDate],DATE(2026,7,18),tblDaily[WardCode],"FAE")),"")</f>
        <v/>
      </c>
      <c r="E258" s="5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5" t="str">
        <f>IFERROR(IF(SUMIFS(tblDaily[TransfersIn],tblDaily[EntryDate],DATE(2026,7,18),tblDaily[WardCode],"FAE")=0,"",SUMIFS(tblDaily[TransfersIn],tblDaily[EntryDate],DATE(2026,7,18),tblDaily[WardCode],"FAE")),"")</f>
        <v/>
      </c>
      <c r="G258" s="5" t="str">
        <f>IFERROR(IF(SUMIFS(tblDaily[TransfersOut],tblDaily[EntryDate],DATE(2026,7,18),tblDaily[WardCode],"FAE")=0,"",SUMIFS(tblDaily[TransfersOut],tblDaily[EntryDate],DATE(2026,7,18),tblDaily[WardCode],"FAE")),"")</f>
        <v/>
      </c>
      <c r="H258" s="5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IFERROR(IF(SUMIFS(tblDaily[Admissions],tblDaily[EntryDate],DATE(2026,7,19),tblDaily[WardCode],"FAE")=0,"",SUMIFS(tblDaily[Admissions],tblDaily[EntryDate],DATE(2026,7,19),tblDaily[WardCode],"FAE")),"")</f>
        <v/>
      </c>
      <c r="C259" s="5" t="str">
        <f>IFERROR(IF(SUMIFS(tblDaily[Discharges],tblDaily[EntryDate],DATE(2026,7,19),tblDaily[WardCode],"FAE")=0,"",SUMIFS(tblDaily[Discharges],tblDaily[EntryDate],DATE(2026,7,19),tblDaily[WardCode],"FAE")),"")</f>
        <v/>
      </c>
      <c r="D259" s="5" t="str">
        <f>IFERROR(IF(SUMIFS(tblDaily[Deaths],tblDaily[EntryDate],DATE(2026,7,19),tblDaily[WardCode],"FAE")=0,"",SUMIFS(tblDaily[Deaths],tblDaily[EntryDate],DATE(2026,7,19),tblDaily[WardCode],"FAE")),"")</f>
        <v/>
      </c>
      <c r="E259" s="5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5" t="str">
        <f>IFERROR(IF(SUMIFS(tblDaily[TransfersIn],tblDaily[EntryDate],DATE(2026,7,19),tblDaily[WardCode],"FAE")=0,"",SUMIFS(tblDaily[TransfersIn],tblDaily[EntryDate],DATE(2026,7,19),tblDaily[WardCode],"FAE")),"")</f>
        <v/>
      </c>
      <c r="G259" s="5" t="str">
        <f>IFERROR(IF(SUMIFS(tblDaily[TransfersOut],tblDaily[EntryDate],DATE(2026,7,19),tblDaily[WardCode],"FAE")=0,"",SUMIFS(tblDaily[TransfersOut],tblDaily[EntryDate],DATE(2026,7,19),tblDaily[WardCode],"FAE")),"")</f>
        <v/>
      </c>
      <c r="H259" s="5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IFERROR(IF(SUMIFS(tblDaily[Admissions],tblDaily[EntryDate],DATE(2026,7,20),tblDaily[WardCode],"FAE")=0,"",SUMIFS(tblDaily[Admissions],tblDaily[EntryDate],DATE(2026,7,20),tblDaily[WardCode],"FAE")),"")</f>
        <v/>
      </c>
      <c r="C260" s="5" t="str">
        <f>IFERROR(IF(SUMIFS(tblDaily[Discharges],tblDaily[EntryDate],DATE(2026,7,20),tblDaily[WardCode],"FAE")=0,"",SUMIFS(tblDaily[Discharges],tblDaily[EntryDate],DATE(2026,7,20),tblDaily[WardCode],"FAE")),"")</f>
        <v/>
      </c>
      <c r="D260" s="5" t="str">
        <f>IFERROR(IF(SUMIFS(tblDaily[Deaths],tblDaily[EntryDate],DATE(2026,7,20),tblDaily[WardCode],"FAE")=0,"",SUMIFS(tblDaily[Deaths],tblDaily[EntryDate],DATE(2026,7,20),tblDaily[WardCode],"FAE")),"")</f>
        <v/>
      </c>
      <c r="E260" s="5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5" t="str">
        <f>IFERROR(IF(SUMIFS(tblDaily[TransfersIn],tblDaily[EntryDate],DATE(2026,7,20),tblDaily[WardCode],"FAE")=0,"",SUMIFS(tblDaily[TransfersIn],tblDaily[EntryDate],DATE(2026,7,20),tblDaily[WardCode],"FAE")),"")</f>
        <v/>
      </c>
      <c r="G260" s="5" t="str">
        <f>IFERROR(IF(SUMIFS(tblDaily[TransfersOut],tblDaily[EntryDate],DATE(2026,7,20),tblDaily[WardCode],"FAE")=0,"",SUMIFS(tblDaily[TransfersOut],tblDaily[EntryDate],DATE(2026,7,20),tblDaily[WardCode],"FAE")),"")</f>
        <v/>
      </c>
      <c r="H260" s="5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IFERROR(IF(SUMIFS(tblDaily[Admissions],tblDaily[EntryDate],DATE(2026,7,21),tblDaily[WardCode],"FAE")=0,"",SUMIFS(tblDaily[Admissions],tblDaily[EntryDate],DATE(2026,7,21),tblDaily[WardCode],"FAE")),"")</f>
        <v/>
      </c>
      <c r="C261" s="5" t="str">
        <f>IFERROR(IF(SUMIFS(tblDaily[Discharges],tblDaily[EntryDate],DATE(2026,7,21),tblDaily[WardCode],"FAE")=0,"",SUMIFS(tblDaily[Discharges],tblDaily[EntryDate],DATE(2026,7,21),tblDaily[WardCode],"FAE")),"")</f>
        <v/>
      </c>
      <c r="D261" s="5" t="str">
        <f>IFERROR(IF(SUMIFS(tblDaily[Deaths],tblDaily[EntryDate],DATE(2026,7,21),tblDaily[WardCode],"FAE")=0,"",SUMIFS(tblDaily[Deaths],tblDaily[EntryDate],DATE(2026,7,21),tblDaily[WardCode],"FAE")),"")</f>
        <v/>
      </c>
      <c r="E261" s="5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5" t="str">
        <f>IFERROR(IF(SUMIFS(tblDaily[TransfersIn],tblDaily[EntryDate],DATE(2026,7,21),tblDaily[WardCode],"FAE")=0,"",SUMIFS(tblDaily[TransfersIn],tblDaily[EntryDate],DATE(2026,7,21),tblDaily[WardCode],"FAE")),"")</f>
        <v/>
      </c>
      <c r="G261" s="5" t="str">
        <f>IFERROR(IF(SUMIFS(tblDaily[TransfersOut],tblDaily[EntryDate],DATE(2026,7,21),tblDaily[WardCode],"FAE")=0,"",SUMIFS(tblDaily[TransfersOut],tblDaily[EntryDate],DATE(2026,7,21),tblDaily[WardCode],"FAE")),"")</f>
        <v/>
      </c>
      <c r="H261" s="5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IFERROR(IF(SUMIFS(tblDaily[Admissions],tblDaily[EntryDate],DATE(2026,7,22),tblDaily[WardCode],"FAE")=0,"",SUMIFS(tblDaily[Admissions],tblDaily[EntryDate],DATE(2026,7,22),tblDaily[WardCode],"FAE")),"")</f>
        <v/>
      </c>
      <c r="C262" s="5" t="str">
        <f>IFERROR(IF(SUMIFS(tblDaily[Discharges],tblDaily[EntryDate],DATE(2026,7,22),tblDaily[WardCode],"FAE")=0,"",SUMIFS(tblDaily[Discharges],tblDaily[EntryDate],DATE(2026,7,22),tblDaily[WardCode],"FAE")),"")</f>
        <v/>
      </c>
      <c r="D262" s="5" t="str">
        <f>IFERROR(IF(SUMIFS(tblDaily[Deaths],tblDaily[EntryDate],DATE(2026,7,22),tblDaily[WardCode],"FAE")=0,"",SUMIFS(tblDaily[Deaths],tblDaily[EntryDate],DATE(2026,7,22),tblDaily[WardCode],"FAE")),"")</f>
        <v/>
      </c>
      <c r="E262" s="5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5" t="str">
        <f>IFERROR(IF(SUMIFS(tblDaily[TransfersIn],tblDaily[EntryDate],DATE(2026,7,22),tblDaily[WardCode],"FAE")=0,"",SUMIFS(tblDaily[TransfersIn],tblDaily[EntryDate],DATE(2026,7,22),tblDaily[WardCode],"FAE")),"")</f>
        <v/>
      </c>
      <c r="G262" s="5" t="str">
        <f>IFERROR(IF(SUMIFS(tblDaily[TransfersOut],tblDaily[EntryDate],DATE(2026,7,22),tblDaily[WardCode],"FAE")=0,"",SUMIFS(tblDaily[TransfersOut],tblDaily[EntryDate],DATE(2026,7,22),tblDaily[WardCode],"FAE")),"")</f>
        <v/>
      </c>
      <c r="H262" s="5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IFERROR(IF(SUMIFS(tblDaily[Admissions],tblDaily[EntryDate],DATE(2026,7,23),tblDaily[WardCode],"FAE")=0,"",SUMIFS(tblDaily[Admissions],tblDaily[EntryDate],DATE(2026,7,23),tblDaily[WardCode],"FAE")),"")</f>
        <v/>
      </c>
      <c r="C263" s="5" t="str">
        <f>IFERROR(IF(SUMIFS(tblDaily[Discharges],tblDaily[EntryDate],DATE(2026,7,23),tblDaily[WardCode],"FAE")=0,"",SUMIFS(tblDaily[Discharges],tblDaily[EntryDate],DATE(2026,7,23),tblDaily[WardCode],"FAE")),"")</f>
        <v/>
      </c>
      <c r="D263" s="5" t="str">
        <f>IFERROR(IF(SUMIFS(tblDaily[Deaths],tblDaily[EntryDate],DATE(2026,7,23),tblDaily[WardCode],"FAE")=0,"",SUMIFS(tblDaily[Deaths],tblDaily[EntryDate],DATE(2026,7,23),tblDaily[WardCode],"FAE")),"")</f>
        <v/>
      </c>
      <c r="E263" s="5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5" t="str">
        <f>IFERROR(IF(SUMIFS(tblDaily[TransfersIn],tblDaily[EntryDate],DATE(2026,7,23),tblDaily[WardCode],"FAE")=0,"",SUMIFS(tblDaily[TransfersIn],tblDaily[EntryDate],DATE(2026,7,23),tblDaily[WardCode],"FAE")),"")</f>
        <v/>
      </c>
      <c r="G263" s="5" t="str">
        <f>IFERROR(IF(SUMIFS(tblDaily[TransfersOut],tblDaily[EntryDate],DATE(2026,7,23),tblDaily[WardCode],"FAE")=0,"",SUMIFS(tblDaily[TransfersOut],tblDaily[EntryDate],DATE(2026,7,23),tblDaily[WardCode],"FAE")),"")</f>
        <v/>
      </c>
      <c r="H263" s="5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IFERROR(IF(SUMIFS(tblDaily[Admissions],tblDaily[EntryDate],DATE(2026,7,24),tblDaily[WardCode],"FAE")=0,"",SUMIFS(tblDaily[Admissions],tblDaily[EntryDate],DATE(2026,7,24),tblDaily[WardCode],"FAE")),"")</f>
        <v/>
      </c>
      <c r="C264" s="5" t="str">
        <f>IFERROR(IF(SUMIFS(tblDaily[Discharges],tblDaily[EntryDate],DATE(2026,7,24),tblDaily[WardCode],"FAE")=0,"",SUMIFS(tblDaily[Discharges],tblDaily[EntryDate],DATE(2026,7,24),tblDaily[WardCode],"FAE")),"")</f>
        <v/>
      </c>
      <c r="D264" s="5" t="str">
        <f>IFERROR(IF(SUMIFS(tblDaily[Deaths],tblDaily[EntryDate],DATE(2026,7,24),tblDaily[WardCode],"FAE")=0,"",SUMIFS(tblDaily[Deaths],tblDaily[EntryDate],DATE(2026,7,24),tblDaily[WardCode],"FAE")),"")</f>
        <v/>
      </c>
      <c r="E264" s="5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5" t="str">
        <f>IFERROR(IF(SUMIFS(tblDaily[TransfersIn],tblDaily[EntryDate],DATE(2026,7,24),tblDaily[WardCode],"FAE")=0,"",SUMIFS(tblDaily[TransfersIn],tblDaily[EntryDate],DATE(2026,7,24),tblDaily[WardCode],"FAE")),"")</f>
        <v/>
      </c>
      <c r="G264" s="5" t="str">
        <f>IFERROR(IF(SUMIFS(tblDaily[TransfersOut],tblDaily[EntryDate],DATE(2026,7,24),tblDaily[WardCode],"FAE")=0,"",SUMIFS(tblDaily[TransfersOut],tblDaily[EntryDate],DATE(2026,7,24),tblDaily[WardCode],"FAE")),"")</f>
        <v/>
      </c>
      <c r="H264" s="5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IFERROR(IF(SUMIFS(tblDaily[Admissions],tblDaily[EntryDate],DATE(2026,7,25),tblDaily[WardCode],"FAE")=0,"",SUMIFS(tblDaily[Admissions],tblDaily[EntryDate],DATE(2026,7,25),tblDaily[WardCode],"FAE")),"")</f>
        <v/>
      </c>
      <c r="C265" s="5" t="str">
        <f>IFERROR(IF(SUMIFS(tblDaily[Discharges],tblDaily[EntryDate],DATE(2026,7,25),tblDaily[WardCode],"FAE")=0,"",SUMIFS(tblDaily[Discharges],tblDaily[EntryDate],DATE(2026,7,25),tblDaily[WardCode],"FAE")),"")</f>
        <v/>
      </c>
      <c r="D265" s="5" t="str">
        <f>IFERROR(IF(SUMIFS(tblDaily[Deaths],tblDaily[EntryDate],DATE(2026,7,25),tblDaily[WardCode],"FAE")=0,"",SUMIFS(tblDaily[Deaths],tblDaily[EntryDate],DATE(2026,7,25),tblDaily[WardCode],"FAE")),"")</f>
        <v/>
      </c>
      <c r="E265" s="5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5" t="str">
        <f>IFERROR(IF(SUMIFS(tblDaily[TransfersIn],tblDaily[EntryDate],DATE(2026,7,25),tblDaily[WardCode],"FAE")=0,"",SUMIFS(tblDaily[TransfersIn],tblDaily[EntryDate],DATE(2026,7,25),tblDaily[WardCode],"FAE")),"")</f>
        <v/>
      </c>
      <c r="G265" s="5" t="str">
        <f>IFERROR(IF(SUMIFS(tblDaily[TransfersOut],tblDaily[EntryDate],DATE(2026,7,25),tblDaily[WardCode],"FAE")=0,"",SUMIFS(tblDaily[TransfersOut],tblDaily[EntryDate],DATE(2026,7,25),tblDaily[WardCode],"FAE")),"")</f>
        <v/>
      </c>
      <c r="H265" s="5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IFERROR(IF(SUMIFS(tblDaily[Admissions],tblDaily[EntryDate],DATE(2026,7,26),tblDaily[WardCode],"FAE")=0,"",SUMIFS(tblDaily[Admissions],tblDaily[EntryDate],DATE(2026,7,26),tblDaily[WardCode],"FAE")),"")</f>
        <v/>
      </c>
      <c r="C266" s="5" t="str">
        <f>IFERROR(IF(SUMIFS(tblDaily[Discharges],tblDaily[EntryDate],DATE(2026,7,26),tblDaily[WardCode],"FAE")=0,"",SUMIFS(tblDaily[Discharges],tblDaily[EntryDate],DATE(2026,7,26),tblDaily[WardCode],"FAE")),"")</f>
        <v/>
      </c>
      <c r="D266" s="5" t="str">
        <f>IFERROR(IF(SUMIFS(tblDaily[Deaths],tblDaily[EntryDate],DATE(2026,7,26),tblDaily[WardCode],"FAE")=0,"",SUMIFS(tblDaily[Deaths],tblDaily[EntryDate],DATE(2026,7,26),tblDaily[WardCode],"FAE")),"")</f>
        <v/>
      </c>
      <c r="E266" s="5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5" t="str">
        <f>IFERROR(IF(SUMIFS(tblDaily[TransfersIn],tblDaily[EntryDate],DATE(2026,7,26),tblDaily[WardCode],"FAE")=0,"",SUMIFS(tblDaily[TransfersIn],tblDaily[EntryDate],DATE(2026,7,26),tblDaily[WardCode],"FAE")),"")</f>
        <v/>
      </c>
      <c r="G266" s="5" t="str">
        <f>IFERROR(IF(SUMIFS(tblDaily[TransfersOut],tblDaily[EntryDate],DATE(2026,7,26),tblDaily[WardCode],"FAE")=0,"",SUMIFS(tblDaily[TransfersOut],tblDaily[EntryDate],DATE(2026,7,26),tblDaily[WardCode],"FAE")),"")</f>
        <v/>
      </c>
      <c r="H266" s="5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IFERROR(IF(SUMIFS(tblDaily[Admissions],tblDaily[EntryDate],DATE(2026,7,27),tblDaily[WardCode],"FAE")=0,"",SUMIFS(tblDaily[Admissions],tblDaily[EntryDate],DATE(2026,7,27),tblDaily[WardCode],"FAE")),"")</f>
        <v/>
      </c>
      <c r="C267" s="5" t="str">
        <f>IFERROR(IF(SUMIFS(tblDaily[Discharges],tblDaily[EntryDate],DATE(2026,7,27),tblDaily[WardCode],"FAE")=0,"",SUMIFS(tblDaily[Discharges],tblDaily[EntryDate],DATE(2026,7,27),tblDaily[WardCode],"FAE")),"")</f>
        <v/>
      </c>
      <c r="D267" s="5" t="str">
        <f>IFERROR(IF(SUMIFS(tblDaily[Deaths],tblDaily[EntryDate],DATE(2026,7,27),tblDaily[WardCode],"FAE")=0,"",SUMIFS(tblDaily[Deaths],tblDaily[EntryDate],DATE(2026,7,27),tblDaily[WardCode],"FAE")),"")</f>
        <v/>
      </c>
      <c r="E267" s="5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5" t="str">
        <f>IFERROR(IF(SUMIFS(tblDaily[TransfersIn],tblDaily[EntryDate],DATE(2026,7,27),tblDaily[WardCode],"FAE")=0,"",SUMIFS(tblDaily[TransfersIn],tblDaily[EntryDate],DATE(2026,7,27),tblDaily[WardCode],"FAE")),"")</f>
        <v/>
      </c>
      <c r="G267" s="5" t="str">
        <f>IFERROR(IF(SUMIFS(tblDaily[TransfersOut],tblDaily[EntryDate],DATE(2026,7,27),tblDaily[WardCode],"FAE")=0,"",SUMIFS(tblDaily[TransfersOut],tblDaily[EntryDate],DATE(2026,7,27),tblDaily[WardCode],"FAE")),"")</f>
        <v/>
      </c>
      <c r="H267" s="5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IFERROR(IF(SUMIFS(tblDaily[Admissions],tblDaily[EntryDate],DATE(2026,7,28),tblDaily[WardCode],"FAE")=0,"",SUMIFS(tblDaily[Admissions],tblDaily[EntryDate],DATE(2026,7,28),tblDaily[WardCode],"FAE")),"")</f>
        <v/>
      </c>
      <c r="C268" s="5" t="str">
        <f>IFERROR(IF(SUMIFS(tblDaily[Discharges],tblDaily[EntryDate],DATE(2026,7,28),tblDaily[WardCode],"FAE")=0,"",SUMIFS(tblDaily[Discharges],tblDaily[EntryDate],DATE(2026,7,28),tblDaily[WardCode],"FAE")),"")</f>
        <v/>
      </c>
      <c r="D268" s="5" t="str">
        <f>IFERROR(IF(SUMIFS(tblDaily[Deaths],tblDaily[EntryDate],DATE(2026,7,28),tblDaily[WardCode],"FAE")=0,"",SUMIFS(tblDaily[Deaths],tblDaily[EntryDate],DATE(2026,7,28),tblDaily[WardCode],"FAE")),"")</f>
        <v/>
      </c>
      <c r="E268" s="5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5" t="str">
        <f>IFERROR(IF(SUMIFS(tblDaily[TransfersIn],tblDaily[EntryDate],DATE(2026,7,28),tblDaily[WardCode],"FAE")=0,"",SUMIFS(tblDaily[TransfersIn],tblDaily[EntryDate],DATE(2026,7,28),tblDaily[WardCode],"FAE")),"")</f>
        <v/>
      </c>
      <c r="G268" s="5" t="str">
        <f>IFERROR(IF(SUMIFS(tblDaily[TransfersOut],tblDaily[EntryDate],DATE(2026,7,28),tblDaily[WardCode],"FAE")=0,"",SUMIFS(tblDaily[TransfersOut],tblDaily[EntryDate],DATE(2026,7,28),tblDaily[WardCode],"FAE")),"")</f>
        <v/>
      </c>
      <c r="H268" s="5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IFERROR(IF(SUMIFS(tblDaily[Admissions],tblDaily[EntryDate],DATE(2026,7,29),tblDaily[WardCode],"FAE")=0,"",SUMIFS(tblDaily[Admissions],tblDaily[EntryDate],DATE(2026,7,29),tblDaily[WardCode],"FAE")),"")</f>
        <v/>
      </c>
      <c r="C269" s="5" t="str">
        <f>IFERROR(IF(SUMIFS(tblDaily[Discharges],tblDaily[EntryDate],DATE(2026,7,29),tblDaily[WardCode],"FAE")=0,"",SUMIFS(tblDaily[Discharges],tblDaily[EntryDate],DATE(2026,7,29),tblDaily[WardCode],"FAE")),"")</f>
        <v/>
      </c>
      <c r="D269" s="5" t="str">
        <f>IFERROR(IF(SUMIFS(tblDaily[Deaths],tblDaily[EntryDate],DATE(2026,7,29),tblDaily[WardCode],"FAE")=0,"",SUMIFS(tblDaily[Deaths],tblDaily[EntryDate],DATE(2026,7,29),tblDaily[WardCode],"FAE")),"")</f>
        <v/>
      </c>
      <c r="E269" s="5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5" t="str">
        <f>IFERROR(IF(SUMIFS(tblDaily[TransfersIn],tblDaily[EntryDate],DATE(2026,7,29),tblDaily[WardCode],"FAE")=0,"",SUMIFS(tblDaily[TransfersIn],tblDaily[EntryDate],DATE(2026,7,29),tblDaily[WardCode],"FAE")),"")</f>
        <v/>
      </c>
      <c r="G269" s="5" t="str">
        <f>IFERROR(IF(SUMIFS(tblDaily[TransfersOut],tblDaily[EntryDate],DATE(2026,7,29),tblDaily[WardCode],"FAE")=0,"",SUMIFS(tblDaily[TransfersOut],tblDaily[EntryDate],DATE(2026,7,29),tblDaily[WardCode],"FAE")),"")</f>
        <v/>
      </c>
      <c r="H269" s="5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IFERROR(IF(SUMIFS(tblDaily[Admissions],tblDaily[EntryDate],DATE(2026,7,30),tblDaily[WardCode],"FAE")=0,"",SUMIFS(tblDaily[Admissions],tblDaily[EntryDate],DATE(2026,7,30),tblDaily[WardCode],"FAE")),"")</f>
        <v/>
      </c>
      <c r="C270" s="5" t="str">
        <f>IFERROR(IF(SUMIFS(tblDaily[Discharges],tblDaily[EntryDate],DATE(2026,7,30),tblDaily[WardCode],"FAE")=0,"",SUMIFS(tblDaily[Discharges],tblDaily[EntryDate],DATE(2026,7,30),tblDaily[WardCode],"FAE")),"")</f>
        <v/>
      </c>
      <c r="D270" s="5" t="str">
        <f>IFERROR(IF(SUMIFS(tblDaily[Deaths],tblDaily[EntryDate],DATE(2026,7,30),tblDaily[WardCode],"FAE")=0,"",SUMIFS(tblDaily[Deaths],tblDaily[EntryDate],DATE(2026,7,30),tblDaily[WardCode],"FAE")),"")</f>
        <v/>
      </c>
      <c r="E270" s="5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5" t="str">
        <f>IFERROR(IF(SUMIFS(tblDaily[TransfersIn],tblDaily[EntryDate],DATE(2026,7,30),tblDaily[WardCode],"FAE")=0,"",SUMIFS(tblDaily[TransfersIn],tblDaily[EntryDate],DATE(2026,7,30),tblDaily[WardCode],"FAE")),"")</f>
        <v/>
      </c>
      <c r="G270" s="5" t="str">
        <f>IFERROR(IF(SUMIFS(tblDaily[TransfersOut],tblDaily[EntryDate],DATE(2026,7,30),tblDaily[WardCode],"FAE")=0,"",SUMIFS(tblDaily[TransfersOut],tblDaily[EntryDate],DATE(2026,7,30),tblDaily[WardCode],"FAE")),"")</f>
        <v/>
      </c>
      <c r="H270" s="5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IFERROR(IF(SUMIFS(tblDaily[Admissions],tblDaily[EntryDate],DATE(2026,7,31),tblDaily[WardCode],"FAE")=0,"",SUMIFS(tblDaily[Admissions],tblDaily[EntryDate],DATE(2026,7,31),tblDaily[WardCode],"FAE")),"")</f>
        <v/>
      </c>
      <c r="C271" s="5" t="str">
        <f>IFERROR(IF(SUMIFS(tblDaily[Discharges],tblDaily[EntryDate],DATE(2026,7,31),tblDaily[WardCode],"FAE")=0,"",SUMIFS(tblDaily[Discharges],tblDaily[EntryDate],DATE(2026,7,31),tblDaily[WardCode],"FAE")),"")</f>
        <v/>
      </c>
      <c r="D271" s="5" t="str">
        <f>IFERROR(IF(SUMIFS(tblDaily[Deaths],tblDaily[EntryDate],DATE(2026,7,31),tblDaily[WardCode],"FAE")=0,"",SUMIFS(tblDaily[Deaths],tblDaily[EntryDate],DATE(2026,7,31),tblDaily[WardCode],"FAE")),"")</f>
        <v/>
      </c>
      <c r="E271" s="5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5" t="str">
        <f>IFERROR(IF(SUMIFS(tblDaily[TransfersIn],tblDaily[EntryDate],DATE(2026,7,31),tblDaily[WardCode],"FAE")=0,"",SUMIFS(tblDaily[TransfersIn],tblDaily[EntryDate],DATE(2026,7,31),tblDaily[WardCode],"FAE")),"")</f>
        <v/>
      </c>
      <c r="G271" s="5" t="str">
        <f>IFERROR(IF(SUMIFS(tblDaily[TransfersOut],tblDaily[EntryDate],DATE(2026,7,31),tblDaily[WardCode],"FAE")=0,"",SUMIFS(tblDaily[TransfersOut],tblDaily[EntryDate],DATE(2026,7,31),tblDaily[WardCode],"FAE")),"")</f>
        <v/>
      </c>
      <c r="H271" s="5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95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16" t="s">
        <v>0</v>
      </c>
      <c r="B274" s="17"/>
      <c r="C274" s="17"/>
      <c r="D274" s="17"/>
      <c r="E274" s="17"/>
      <c r="F274" s="17"/>
      <c r="G274" s="17"/>
      <c r="H274" s="17"/>
    </row>
    <row r="275" spans="1:8" ht="15.75" x14ac:dyDescent="0.25">
      <c r="A275" s="21" t="s">
        <v>84</v>
      </c>
      <c r="B275" s="17"/>
      <c r="C275" s="17"/>
      <c r="D275" s="17"/>
      <c r="E275" s="17"/>
      <c r="F275" s="17"/>
      <c r="G275" s="17"/>
      <c r="H275" s="17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103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89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IFERROR(IF(SUMIFS(tblDaily[Admissions],tblDaily[EntryDate],DATE(2026,8,1),tblDaily[WardCode],"FAE")=0,"",SUMIFS(tblDaily[Admissions],tblDaily[EntryDate],DATE(2026,8,1),tblDaily[WardCode],"FAE")),"")</f>
        <v/>
      </c>
      <c r="C280" s="5" t="str">
        <f>IFERROR(IF(SUMIFS(tblDaily[Discharges],tblDaily[EntryDate],DATE(2026,8,1),tblDaily[WardCode],"FAE")=0,"",SUMIFS(tblDaily[Discharges],tblDaily[EntryDate],DATE(2026,8,1),tblDaily[WardCode],"FAE")),"")</f>
        <v/>
      </c>
      <c r="D280" s="5" t="str">
        <f>IFERROR(IF(SUMIFS(tblDaily[Deaths],tblDaily[EntryDate],DATE(2026,8,1),tblDaily[WardCode],"FAE")=0,"",SUMIFS(tblDaily[Deaths],tblDaily[EntryDate],DATE(2026,8,1),tblDaily[WardCode],"FAE")),"")</f>
        <v/>
      </c>
      <c r="E280" s="5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5" t="str">
        <f>IFERROR(IF(SUMIFS(tblDaily[TransfersIn],tblDaily[EntryDate],DATE(2026,8,1),tblDaily[WardCode],"FAE")=0,"",SUMIFS(tblDaily[TransfersIn],tblDaily[EntryDate],DATE(2026,8,1),tblDaily[WardCode],"FAE")),"")</f>
        <v/>
      </c>
      <c r="G280" s="5" t="str">
        <f>IFERROR(IF(SUMIFS(tblDaily[TransfersOut],tblDaily[EntryDate],DATE(2026,8,1),tblDaily[WardCode],"FAE")=0,"",SUMIFS(tblDaily[TransfersOut],tblDaily[EntryDate],DATE(2026,8,1),tblDaily[WardCode],"FAE")),"")</f>
        <v/>
      </c>
      <c r="H280" s="5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IFERROR(IF(SUMIFS(tblDaily[Admissions],tblDaily[EntryDate],DATE(2026,8,2),tblDaily[WardCode],"FAE")=0,"",SUMIFS(tblDaily[Admissions],tblDaily[EntryDate],DATE(2026,8,2),tblDaily[WardCode],"FAE")),"")</f>
        <v/>
      </c>
      <c r="C281" s="5" t="str">
        <f>IFERROR(IF(SUMIFS(tblDaily[Discharges],tblDaily[EntryDate],DATE(2026,8,2),tblDaily[WardCode],"FAE")=0,"",SUMIFS(tblDaily[Discharges],tblDaily[EntryDate],DATE(2026,8,2),tblDaily[WardCode],"FAE")),"")</f>
        <v/>
      </c>
      <c r="D281" s="5" t="str">
        <f>IFERROR(IF(SUMIFS(tblDaily[Deaths],tblDaily[EntryDate],DATE(2026,8,2),tblDaily[WardCode],"FAE")=0,"",SUMIFS(tblDaily[Deaths],tblDaily[EntryDate],DATE(2026,8,2),tblDaily[WardCode],"FAE")),"")</f>
        <v/>
      </c>
      <c r="E281" s="5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5" t="str">
        <f>IFERROR(IF(SUMIFS(tblDaily[TransfersIn],tblDaily[EntryDate],DATE(2026,8,2),tblDaily[WardCode],"FAE")=0,"",SUMIFS(tblDaily[TransfersIn],tblDaily[EntryDate],DATE(2026,8,2),tblDaily[WardCode],"FAE")),"")</f>
        <v/>
      </c>
      <c r="G281" s="5" t="str">
        <f>IFERROR(IF(SUMIFS(tblDaily[TransfersOut],tblDaily[EntryDate],DATE(2026,8,2),tblDaily[WardCode],"FAE")=0,"",SUMIFS(tblDaily[TransfersOut],tblDaily[EntryDate],DATE(2026,8,2),tblDaily[WardCode],"FAE")),"")</f>
        <v/>
      </c>
      <c r="H281" s="5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IFERROR(IF(SUMIFS(tblDaily[Admissions],tblDaily[EntryDate],DATE(2026,8,3),tblDaily[WardCode],"FAE")=0,"",SUMIFS(tblDaily[Admissions],tblDaily[EntryDate],DATE(2026,8,3),tblDaily[WardCode],"FAE")),"")</f>
        <v/>
      </c>
      <c r="C282" s="5" t="str">
        <f>IFERROR(IF(SUMIFS(tblDaily[Discharges],tblDaily[EntryDate],DATE(2026,8,3),tblDaily[WardCode],"FAE")=0,"",SUMIFS(tblDaily[Discharges],tblDaily[EntryDate],DATE(2026,8,3),tblDaily[WardCode],"FAE")),"")</f>
        <v/>
      </c>
      <c r="D282" s="5" t="str">
        <f>IFERROR(IF(SUMIFS(tblDaily[Deaths],tblDaily[EntryDate],DATE(2026,8,3),tblDaily[WardCode],"FAE")=0,"",SUMIFS(tblDaily[Deaths],tblDaily[EntryDate],DATE(2026,8,3),tblDaily[WardCode],"FAE")),"")</f>
        <v/>
      </c>
      <c r="E282" s="5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5" t="str">
        <f>IFERROR(IF(SUMIFS(tblDaily[TransfersIn],tblDaily[EntryDate],DATE(2026,8,3),tblDaily[WardCode],"FAE")=0,"",SUMIFS(tblDaily[TransfersIn],tblDaily[EntryDate],DATE(2026,8,3),tblDaily[WardCode],"FAE")),"")</f>
        <v/>
      </c>
      <c r="G282" s="5" t="str">
        <f>IFERROR(IF(SUMIFS(tblDaily[TransfersOut],tblDaily[EntryDate],DATE(2026,8,3),tblDaily[WardCode],"FAE")=0,"",SUMIFS(tblDaily[TransfersOut],tblDaily[EntryDate],DATE(2026,8,3),tblDaily[WardCode],"FAE")),"")</f>
        <v/>
      </c>
      <c r="H282" s="5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IFERROR(IF(SUMIFS(tblDaily[Admissions],tblDaily[EntryDate],DATE(2026,8,4),tblDaily[WardCode],"FAE")=0,"",SUMIFS(tblDaily[Admissions],tblDaily[EntryDate],DATE(2026,8,4),tblDaily[WardCode],"FAE")),"")</f>
        <v/>
      </c>
      <c r="C283" s="5" t="str">
        <f>IFERROR(IF(SUMIFS(tblDaily[Discharges],tblDaily[EntryDate],DATE(2026,8,4),tblDaily[WardCode],"FAE")=0,"",SUMIFS(tblDaily[Discharges],tblDaily[EntryDate],DATE(2026,8,4),tblDaily[WardCode],"FAE")),"")</f>
        <v/>
      </c>
      <c r="D283" s="5" t="str">
        <f>IFERROR(IF(SUMIFS(tblDaily[Deaths],tblDaily[EntryDate],DATE(2026,8,4),tblDaily[WardCode],"FAE")=0,"",SUMIFS(tblDaily[Deaths],tblDaily[EntryDate],DATE(2026,8,4),tblDaily[WardCode],"FAE")),"")</f>
        <v/>
      </c>
      <c r="E283" s="5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5" t="str">
        <f>IFERROR(IF(SUMIFS(tblDaily[TransfersIn],tblDaily[EntryDate],DATE(2026,8,4),tblDaily[WardCode],"FAE")=0,"",SUMIFS(tblDaily[TransfersIn],tblDaily[EntryDate],DATE(2026,8,4),tblDaily[WardCode],"FAE")),"")</f>
        <v/>
      </c>
      <c r="G283" s="5" t="str">
        <f>IFERROR(IF(SUMIFS(tblDaily[TransfersOut],tblDaily[EntryDate],DATE(2026,8,4),tblDaily[WardCode],"FAE")=0,"",SUMIFS(tblDaily[TransfersOut],tblDaily[EntryDate],DATE(2026,8,4),tblDaily[WardCode],"FAE")),"")</f>
        <v/>
      </c>
      <c r="H283" s="5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IFERROR(IF(SUMIFS(tblDaily[Admissions],tblDaily[EntryDate],DATE(2026,8,5),tblDaily[WardCode],"FAE")=0,"",SUMIFS(tblDaily[Admissions],tblDaily[EntryDate],DATE(2026,8,5),tblDaily[WardCode],"FAE")),"")</f>
        <v/>
      </c>
      <c r="C284" s="5" t="str">
        <f>IFERROR(IF(SUMIFS(tblDaily[Discharges],tblDaily[EntryDate],DATE(2026,8,5),tblDaily[WardCode],"FAE")=0,"",SUMIFS(tblDaily[Discharges],tblDaily[EntryDate],DATE(2026,8,5),tblDaily[WardCode],"FAE")),"")</f>
        <v/>
      </c>
      <c r="D284" s="5" t="str">
        <f>IFERROR(IF(SUMIFS(tblDaily[Deaths],tblDaily[EntryDate],DATE(2026,8,5),tblDaily[WardCode],"FAE")=0,"",SUMIFS(tblDaily[Deaths],tblDaily[EntryDate],DATE(2026,8,5),tblDaily[WardCode],"FAE")),"")</f>
        <v/>
      </c>
      <c r="E284" s="5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5" t="str">
        <f>IFERROR(IF(SUMIFS(tblDaily[TransfersIn],tblDaily[EntryDate],DATE(2026,8,5),tblDaily[WardCode],"FAE")=0,"",SUMIFS(tblDaily[TransfersIn],tblDaily[EntryDate],DATE(2026,8,5),tblDaily[WardCode],"FAE")),"")</f>
        <v/>
      </c>
      <c r="G284" s="5" t="str">
        <f>IFERROR(IF(SUMIFS(tblDaily[TransfersOut],tblDaily[EntryDate],DATE(2026,8,5),tblDaily[WardCode],"FAE")=0,"",SUMIFS(tblDaily[TransfersOut],tblDaily[EntryDate],DATE(2026,8,5),tblDaily[WardCode],"FAE")),"")</f>
        <v/>
      </c>
      <c r="H284" s="5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IFERROR(IF(SUMIFS(tblDaily[Admissions],tblDaily[EntryDate],DATE(2026,8,6),tblDaily[WardCode],"FAE")=0,"",SUMIFS(tblDaily[Admissions],tblDaily[EntryDate],DATE(2026,8,6),tblDaily[WardCode],"FAE")),"")</f>
        <v/>
      </c>
      <c r="C285" s="5" t="str">
        <f>IFERROR(IF(SUMIFS(tblDaily[Discharges],tblDaily[EntryDate],DATE(2026,8,6),tblDaily[WardCode],"FAE")=0,"",SUMIFS(tblDaily[Discharges],tblDaily[EntryDate],DATE(2026,8,6),tblDaily[WardCode],"FAE")),"")</f>
        <v/>
      </c>
      <c r="D285" s="5" t="str">
        <f>IFERROR(IF(SUMIFS(tblDaily[Deaths],tblDaily[EntryDate],DATE(2026,8,6),tblDaily[WardCode],"FAE")=0,"",SUMIFS(tblDaily[Deaths],tblDaily[EntryDate],DATE(2026,8,6),tblDaily[WardCode],"FAE")),"")</f>
        <v/>
      </c>
      <c r="E285" s="5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5" t="str">
        <f>IFERROR(IF(SUMIFS(tblDaily[TransfersIn],tblDaily[EntryDate],DATE(2026,8,6),tblDaily[WardCode],"FAE")=0,"",SUMIFS(tblDaily[TransfersIn],tblDaily[EntryDate],DATE(2026,8,6),tblDaily[WardCode],"FAE")),"")</f>
        <v/>
      </c>
      <c r="G285" s="5" t="str">
        <f>IFERROR(IF(SUMIFS(tblDaily[TransfersOut],tblDaily[EntryDate],DATE(2026,8,6),tblDaily[WardCode],"FAE")=0,"",SUMIFS(tblDaily[TransfersOut],tblDaily[EntryDate],DATE(2026,8,6),tblDaily[WardCode],"FAE")),"")</f>
        <v/>
      </c>
      <c r="H285" s="5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IFERROR(IF(SUMIFS(tblDaily[Admissions],tblDaily[EntryDate],DATE(2026,8,7),tblDaily[WardCode],"FAE")=0,"",SUMIFS(tblDaily[Admissions],tblDaily[EntryDate],DATE(2026,8,7),tblDaily[WardCode],"FAE")),"")</f>
        <v/>
      </c>
      <c r="C286" s="5" t="str">
        <f>IFERROR(IF(SUMIFS(tblDaily[Discharges],tblDaily[EntryDate],DATE(2026,8,7),tblDaily[WardCode],"FAE")=0,"",SUMIFS(tblDaily[Discharges],tblDaily[EntryDate],DATE(2026,8,7),tblDaily[WardCode],"FAE")),"")</f>
        <v/>
      </c>
      <c r="D286" s="5" t="str">
        <f>IFERROR(IF(SUMIFS(tblDaily[Deaths],tblDaily[EntryDate],DATE(2026,8,7),tblDaily[WardCode],"FAE")=0,"",SUMIFS(tblDaily[Deaths],tblDaily[EntryDate],DATE(2026,8,7),tblDaily[WardCode],"FAE")),"")</f>
        <v/>
      </c>
      <c r="E286" s="5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5" t="str">
        <f>IFERROR(IF(SUMIFS(tblDaily[TransfersIn],tblDaily[EntryDate],DATE(2026,8,7),tblDaily[WardCode],"FAE")=0,"",SUMIFS(tblDaily[TransfersIn],tblDaily[EntryDate],DATE(2026,8,7),tblDaily[WardCode],"FAE")),"")</f>
        <v/>
      </c>
      <c r="G286" s="5" t="str">
        <f>IFERROR(IF(SUMIFS(tblDaily[TransfersOut],tblDaily[EntryDate],DATE(2026,8,7),tblDaily[WardCode],"FAE")=0,"",SUMIFS(tblDaily[TransfersOut],tblDaily[EntryDate],DATE(2026,8,7),tblDaily[WardCode],"FAE")),"")</f>
        <v/>
      </c>
      <c r="H286" s="5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IFERROR(IF(SUMIFS(tblDaily[Admissions],tblDaily[EntryDate],DATE(2026,8,8),tblDaily[WardCode],"FAE")=0,"",SUMIFS(tblDaily[Admissions],tblDaily[EntryDate],DATE(2026,8,8),tblDaily[WardCode],"FAE")),"")</f>
        <v/>
      </c>
      <c r="C287" s="5" t="str">
        <f>IFERROR(IF(SUMIFS(tblDaily[Discharges],tblDaily[EntryDate],DATE(2026,8,8),tblDaily[WardCode],"FAE")=0,"",SUMIFS(tblDaily[Discharges],tblDaily[EntryDate],DATE(2026,8,8),tblDaily[WardCode],"FAE")),"")</f>
        <v/>
      </c>
      <c r="D287" s="5" t="str">
        <f>IFERROR(IF(SUMIFS(tblDaily[Deaths],tblDaily[EntryDate],DATE(2026,8,8),tblDaily[WardCode],"FAE")=0,"",SUMIFS(tblDaily[Deaths],tblDaily[EntryDate],DATE(2026,8,8),tblDaily[WardCode],"FAE")),"")</f>
        <v/>
      </c>
      <c r="E287" s="5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5" t="str">
        <f>IFERROR(IF(SUMIFS(tblDaily[TransfersIn],tblDaily[EntryDate],DATE(2026,8,8),tblDaily[WardCode],"FAE")=0,"",SUMIFS(tblDaily[TransfersIn],tblDaily[EntryDate],DATE(2026,8,8),tblDaily[WardCode],"FAE")),"")</f>
        <v/>
      </c>
      <c r="G287" s="5" t="str">
        <f>IFERROR(IF(SUMIFS(tblDaily[TransfersOut],tblDaily[EntryDate],DATE(2026,8,8),tblDaily[WardCode],"FAE")=0,"",SUMIFS(tblDaily[TransfersOut],tblDaily[EntryDate],DATE(2026,8,8),tblDaily[WardCode],"FAE")),"")</f>
        <v/>
      </c>
      <c r="H287" s="5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IFERROR(IF(SUMIFS(tblDaily[Admissions],tblDaily[EntryDate],DATE(2026,8,9),tblDaily[WardCode],"FAE")=0,"",SUMIFS(tblDaily[Admissions],tblDaily[EntryDate],DATE(2026,8,9),tblDaily[WardCode],"FAE")),"")</f>
        <v/>
      </c>
      <c r="C288" s="5" t="str">
        <f>IFERROR(IF(SUMIFS(tblDaily[Discharges],tblDaily[EntryDate],DATE(2026,8,9),tblDaily[WardCode],"FAE")=0,"",SUMIFS(tblDaily[Discharges],tblDaily[EntryDate],DATE(2026,8,9),tblDaily[WardCode],"FAE")),"")</f>
        <v/>
      </c>
      <c r="D288" s="5" t="str">
        <f>IFERROR(IF(SUMIFS(tblDaily[Deaths],tblDaily[EntryDate],DATE(2026,8,9),tblDaily[WardCode],"FAE")=0,"",SUMIFS(tblDaily[Deaths],tblDaily[EntryDate],DATE(2026,8,9),tblDaily[WardCode],"FAE")),"")</f>
        <v/>
      </c>
      <c r="E288" s="5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5" t="str">
        <f>IFERROR(IF(SUMIFS(tblDaily[TransfersIn],tblDaily[EntryDate],DATE(2026,8,9),tblDaily[WardCode],"FAE")=0,"",SUMIFS(tblDaily[TransfersIn],tblDaily[EntryDate],DATE(2026,8,9),tblDaily[WardCode],"FAE")),"")</f>
        <v/>
      </c>
      <c r="G288" s="5" t="str">
        <f>IFERROR(IF(SUMIFS(tblDaily[TransfersOut],tblDaily[EntryDate],DATE(2026,8,9),tblDaily[WardCode],"FAE")=0,"",SUMIFS(tblDaily[TransfersOut],tblDaily[EntryDate],DATE(2026,8,9),tblDaily[WardCode],"FAE")),"")</f>
        <v/>
      </c>
      <c r="H288" s="5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IFERROR(IF(SUMIFS(tblDaily[Admissions],tblDaily[EntryDate],DATE(2026,8,10),tblDaily[WardCode],"FAE")=0,"",SUMIFS(tblDaily[Admissions],tblDaily[EntryDate],DATE(2026,8,10),tblDaily[WardCode],"FAE")),"")</f>
        <v/>
      </c>
      <c r="C289" s="5" t="str">
        <f>IFERROR(IF(SUMIFS(tblDaily[Discharges],tblDaily[EntryDate],DATE(2026,8,10),tblDaily[WardCode],"FAE")=0,"",SUMIFS(tblDaily[Discharges],tblDaily[EntryDate],DATE(2026,8,10),tblDaily[WardCode],"FAE")),"")</f>
        <v/>
      </c>
      <c r="D289" s="5" t="str">
        <f>IFERROR(IF(SUMIFS(tblDaily[Deaths],tblDaily[EntryDate],DATE(2026,8,10),tblDaily[WardCode],"FAE")=0,"",SUMIFS(tblDaily[Deaths],tblDaily[EntryDate],DATE(2026,8,10),tblDaily[WardCode],"FAE")),"")</f>
        <v/>
      </c>
      <c r="E289" s="5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5" t="str">
        <f>IFERROR(IF(SUMIFS(tblDaily[TransfersIn],tblDaily[EntryDate],DATE(2026,8,10),tblDaily[WardCode],"FAE")=0,"",SUMIFS(tblDaily[TransfersIn],tblDaily[EntryDate],DATE(2026,8,10),tblDaily[WardCode],"FAE")),"")</f>
        <v/>
      </c>
      <c r="G289" s="5" t="str">
        <f>IFERROR(IF(SUMIFS(tblDaily[TransfersOut],tblDaily[EntryDate],DATE(2026,8,10),tblDaily[WardCode],"FAE")=0,"",SUMIFS(tblDaily[TransfersOut],tblDaily[EntryDate],DATE(2026,8,10),tblDaily[WardCode],"FAE")),"")</f>
        <v/>
      </c>
      <c r="H289" s="5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IFERROR(IF(SUMIFS(tblDaily[Admissions],tblDaily[EntryDate],DATE(2026,8,11),tblDaily[WardCode],"FAE")=0,"",SUMIFS(tblDaily[Admissions],tblDaily[EntryDate],DATE(2026,8,11),tblDaily[WardCode],"FAE")),"")</f>
        <v/>
      </c>
      <c r="C290" s="5" t="str">
        <f>IFERROR(IF(SUMIFS(tblDaily[Discharges],tblDaily[EntryDate],DATE(2026,8,11),tblDaily[WardCode],"FAE")=0,"",SUMIFS(tblDaily[Discharges],tblDaily[EntryDate],DATE(2026,8,11),tblDaily[WardCode],"FAE")),"")</f>
        <v/>
      </c>
      <c r="D290" s="5" t="str">
        <f>IFERROR(IF(SUMIFS(tblDaily[Deaths],tblDaily[EntryDate],DATE(2026,8,11),tblDaily[WardCode],"FAE")=0,"",SUMIFS(tblDaily[Deaths],tblDaily[EntryDate],DATE(2026,8,11),tblDaily[WardCode],"FAE")),"")</f>
        <v/>
      </c>
      <c r="E290" s="5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5" t="str">
        <f>IFERROR(IF(SUMIFS(tblDaily[TransfersIn],tblDaily[EntryDate],DATE(2026,8,11),tblDaily[WardCode],"FAE")=0,"",SUMIFS(tblDaily[TransfersIn],tblDaily[EntryDate],DATE(2026,8,11),tblDaily[WardCode],"FAE")),"")</f>
        <v/>
      </c>
      <c r="G290" s="5" t="str">
        <f>IFERROR(IF(SUMIFS(tblDaily[TransfersOut],tblDaily[EntryDate],DATE(2026,8,11),tblDaily[WardCode],"FAE")=0,"",SUMIFS(tblDaily[TransfersOut],tblDaily[EntryDate],DATE(2026,8,11),tblDaily[WardCode],"FAE")),"")</f>
        <v/>
      </c>
      <c r="H290" s="5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IFERROR(IF(SUMIFS(tblDaily[Admissions],tblDaily[EntryDate],DATE(2026,8,12),tblDaily[WardCode],"FAE")=0,"",SUMIFS(tblDaily[Admissions],tblDaily[EntryDate],DATE(2026,8,12),tblDaily[WardCode],"FAE")),"")</f>
        <v/>
      </c>
      <c r="C291" s="5" t="str">
        <f>IFERROR(IF(SUMIFS(tblDaily[Discharges],tblDaily[EntryDate],DATE(2026,8,12),tblDaily[WardCode],"FAE")=0,"",SUMIFS(tblDaily[Discharges],tblDaily[EntryDate],DATE(2026,8,12),tblDaily[WardCode],"FAE")),"")</f>
        <v/>
      </c>
      <c r="D291" s="5" t="str">
        <f>IFERROR(IF(SUMIFS(tblDaily[Deaths],tblDaily[EntryDate],DATE(2026,8,12),tblDaily[WardCode],"FAE")=0,"",SUMIFS(tblDaily[Deaths],tblDaily[EntryDate],DATE(2026,8,12),tblDaily[WardCode],"FAE")),"")</f>
        <v/>
      </c>
      <c r="E291" s="5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5" t="str">
        <f>IFERROR(IF(SUMIFS(tblDaily[TransfersIn],tblDaily[EntryDate],DATE(2026,8,12),tblDaily[WardCode],"FAE")=0,"",SUMIFS(tblDaily[TransfersIn],tblDaily[EntryDate],DATE(2026,8,12),tblDaily[WardCode],"FAE")),"")</f>
        <v/>
      </c>
      <c r="G291" s="5" t="str">
        <f>IFERROR(IF(SUMIFS(tblDaily[TransfersOut],tblDaily[EntryDate],DATE(2026,8,12),tblDaily[WardCode],"FAE")=0,"",SUMIFS(tblDaily[TransfersOut],tblDaily[EntryDate],DATE(2026,8,12),tblDaily[WardCode],"FAE")),"")</f>
        <v/>
      </c>
      <c r="H291" s="5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IFERROR(IF(SUMIFS(tblDaily[Admissions],tblDaily[EntryDate],DATE(2026,8,13),tblDaily[WardCode],"FAE")=0,"",SUMIFS(tblDaily[Admissions],tblDaily[EntryDate],DATE(2026,8,13),tblDaily[WardCode],"FAE")),"")</f>
        <v/>
      </c>
      <c r="C292" s="5" t="str">
        <f>IFERROR(IF(SUMIFS(tblDaily[Discharges],tblDaily[EntryDate],DATE(2026,8,13),tblDaily[WardCode],"FAE")=0,"",SUMIFS(tblDaily[Discharges],tblDaily[EntryDate],DATE(2026,8,13),tblDaily[WardCode],"FAE")),"")</f>
        <v/>
      </c>
      <c r="D292" s="5" t="str">
        <f>IFERROR(IF(SUMIFS(tblDaily[Deaths],tblDaily[EntryDate],DATE(2026,8,13),tblDaily[WardCode],"FAE")=0,"",SUMIFS(tblDaily[Deaths],tblDaily[EntryDate],DATE(2026,8,13),tblDaily[WardCode],"FAE")),"")</f>
        <v/>
      </c>
      <c r="E292" s="5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5" t="str">
        <f>IFERROR(IF(SUMIFS(tblDaily[TransfersIn],tblDaily[EntryDate],DATE(2026,8,13),tblDaily[WardCode],"FAE")=0,"",SUMIFS(tblDaily[TransfersIn],tblDaily[EntryDate],DATE(2026,8,13),tblDaily[WardCode],"FAE")),"")</f>
        <v/>
      </c>
      <c r="G292" s="5" t="str">
        <f>IFERROR(IF(SUMIFS(tblDaily[TransfersOut],tblDaily[EntryDate],DATE(2026,8,13),tblDaily[WardCode],"FAE")=0,"",SUMIFS(tblDaily[TransfersOut],tblDaily[EntryDate],DATE(2026,8,13),tblDaily[WardCode],"FAE")),"")</f>
        <v/>
      </c>
      <c r="H292" s="5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IFERROR(IF(SUMIFS(tblDaily[Admissions],tblDaily[EntryDate],DATE(2026,8,14),tblDaily[WardCode],"FAE")=0,"",SUMIFS(tblDaily[Admissions],tblDaily[EntryDate],DATE(2026,8,14),tblDaily[WardCode],"FAE")),"")</f>
        <v/>
      </c>
      <c r="C293" s="5" t="str">
        <f>IFERROR(IF(SUMIFS(tblDaily[Discharges],tblDaily[EntryDate],DATE(2026,8,14),tblDaily[WardCode],"FAE")=0,"",SUMIFS(tblDaily[Discharges],tblDaily[EntryDate],DATE(2026,8,14),tblDaily[WardCode],"FAE")),"")</f>
        <v/>
      </c>
      <c r="D293" s="5" t="str">
        <f>IFERROR(IF(SUMIFS(tblDaily[Deaths],tblDaily[EntryDate],DATE(2026,8,14),tblDaily[WardCode],"FAE")=0,"",SUMIFS(tblDaily[Deaths],tblDaily[EntryDate],DATE(2026,8,14),tblDaily[WardCode],"FAE")),"")</f>
        <v/>
      </c>
      <c r="E293" s="5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5" t="str">
        <f>IFERROR(IF(SUMIFS(tblDaily[TransfersIn],tblDaily[EntryDate],DATE(2026,8,14),tblDaily[WardCode],"FAE")=0,"",SUMIFS(tblDaily[TransfersIn],tblDaily[EntryDate],DATE(2026,8,14),tblDaily[WardCode],"FAE")),"")</f>
        <v/>
      </c>
      <c r="G293" s="5" t="str">
        <f>IFERROR(IF(SUMIFS(tblDaily[TransfersOut],tblDaily[EntryDate],DATE(2026,8,14),tblDaily[WardCode],"FAE")=0,"",SUMIFS(tblDaily[TransfersOut],tblDaily[EntryDate],DATE(2026,8,14),tblDaily[WardCode],"FAE")),"")</f>
        <v/>
      </c>
      <c r="H293" s="5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IFERROR(IF(SUMIFS(tblDaily[Admissions],tblDaily[EntryDate],DATE(2026,8,15),tblDaily[WardCode],"FAE")=0,"",SUMIFS(tblDaily[Admissions],tblDaily[EntryDate],DATE(2026,8,15),tblDaily[WardCode],"FAE")),"")</f>
        <v/>
      </c>
      <c r="C294" s="5" t="str">
        <f>IFERROR(IF(SUMIFS(tblDaily[Discharges],tblDaily[EntryDate],DATE(2026,8,15),tblDaily[WardCode],"FAE")=0,"",SUMIFS(tblDaily[Discharges],tblDaily[EntryDate],DATE(2026,8,15),tblDaily[WardCode],"FAE")),"")</f>
        <v/>
      </c>
      <c r="D294" s="5" t="str">
        <f>IFERROR(IF(SUMIFS(tblDaily[Deaths],tblDaily[EntryDate],DATE(2026,8,15),tblDaily[WardCode],"FAE")=0,"",SUMIFS(tblDaily[Deaths],tblDaily[EntryDate],DATE(2026,8,15),tblDaily[WardCode],"FAE")),"")</f>
        <v/>
      </c>
      <c r="E294" s="5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5" t="str">
        <f>IFERROR(IF(SUMIFS(tblDaily[TransfersIn],tblDaily[EntryDate],DATE(2026,8,15),tblDaily[WardCode],"FAE")=0,"",SUMIFS(tblDaily[TransfersIn],tblDaily[EntryDate],DATE(2026,8,15),tblDaily[WardCode],"FAE")),"")</f>
        <v/>
      </c>
      <c r="G294" s="5" t="str">
        <f>IFERROR(IF(SUMIFS(tblDaily[TransfersOut],tblDaily[EntryDate],DATE(2026,8,15),tblDaily[WardCode],"FAE")=0,"",SUMIFS(tblDaily[TransfersOut],tblDaily[EntryDate],DATE(2026,8,15),tblDaily[WardCode],"FAE")),"")</f>
        <v/>
      </c>
      <c r="H294" s="5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IFERROR(IF(SUMIFS(tblDaily[Admissions],tblDaily[EntryDate],DATE(2026,8,16),tblDaily[WardCode],"FAE")=0,"",SUMIFS(tblDaily[Admissions],tblDaily[EntryDate],DATE(2026,8,16),tblDaily[WardCode],"FAE")),"")</f>
        <v/>
      </c>
      <c r="C295" s="5" t="str">
        <f>IFERROR(IF(SUMIFS(tblDaily[Discharges],tblDaily[EntryDate],DATE(2026,8,16),tblDaily[WardCode],"FAE")=0,"",SUMIFS(tblDaily[Discharges],tblDaily[EntryDate],DATE(2026,8,16),tblDaily[WardCode],"FAE")),"")</f>
        <v/>
      </c>
      <c r="D295" s="5" t="str">
        <f>IFERROR(IF(SUMIFS(tblDaily[Deaths],tblDaily[EntryDate],DATE(2026,8,16),tblDaily[WardCode],"FAE")=0,"",SUMIFS(tblDaily[Deaths],tblDaily[EntryDate],DATE(2026,8,16),tblDaily[WardCode],"FAE")),"")</f>
        <v/>
      </c>
      <c r="E295" s="5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5" t="str">
        <f>IFERROR(IF(SUMIFS(tblDaily[TransfersIn],tblDaily[EntryDate],DATE(2026,8,16),tblDaily[WardCode],"FAE")=0,"",SUMIFS(tblDaily[TransfersIn],tblDaily[EntryDate],DATE(2026,8,16),tblDaily[WardCode],"FAE")),"")</f>
        <v/>
      </c>
      <c r="G295" s="5" t="str">
        <f>IFERROR(IF(SUMIFS(tblDaily[TransfersOut],tblDaily[EntryDate],DATE(2026,8,16),tblDaily[WardCode],"FAE")=0,"",SUMIFS(tblDaily[TransfersOut],tblDaily[EntryDate],DATE(2026,8,16),tblDaily[WardCode],"FAE")),"")</f>
        <v/>
      </c>
      <c r="H295" s="5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IFERROR(IF(SUMIFS(tblDaily[Admissions],tblDaily[EntryDate],DATE(2026,8,17),tblDaily[WardCode],"FAE")=0,"",SUMIFS(tblDaily[Admissions],tblDaily[EntryDate],DATE(2026,8,17),tblDaily[WardCode],"FAE")),"")</f>
        <v/>
      </c>
      <c r="C296" s="5" t="str">
        <f>IFERROR(IF(SUMIFS(tblDaily[Discharges],tblDaily[EntryDate],DATE(2026,8,17),tblDaily[WardCode],"FAE")=0,"",SUMIFS(tblDaily[Discharges],tblDaily[EntryDate],DATE(2026,8,17),tblDaily[WardCode],"FAE")),"")</f>
        <v/>
      </c>
      <c r="D296" s="5" t="str">
        <f>IFERROR(IF(SUMIFS(tblDaily[Deaths],tblDaily[EntryDate],DATE(2026,8,17),tblDaily[WardCode],"FAE")=0,"",SUMIFS(tblDaily[Deaths],tblDaily[EntryDate],DATE(2026,8,17),tblDaily[WardCode],"FAE")),"")</f>
        <v/>
      </c>
      <c r="E296" s="5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5" t="str">
        <f>IFERROR(IF(SUMIFS(tblDaily[TransfersIn],tblDaily[EntryDate],DATE(2026,8,17),tblDaily[WardCode],"FAE")=0,"",SUMIFS(tblDaily[TransfersIn],tblDaily[EntryDate],DATE(2026,8,17),tblDaily[WardCode],"FAE")),"")</f>
        <v/>
      </c>
      <c r="G296" s="5" t="str">
        <f>IFERROR(IF(SUMIFS(tblDaily[TransfersOut],tblDaily[EntryDate],DATE(2026,8,17),tblDaily[WardCode],"FAE")=0,"",SUMIFS(tblDaily[TransfersOut],tblDaily[EntryDate],DATE(2026,8,17),tblDaily[WardCode],"FAE")),"")</f>
        <v/>
      </c>
      <c r="H296" s="5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IFERROR(IF(SUMIFS(tblDaily[Admissions],tblDaily[EntryDate],DATE(2026,8,18),tblDaily[WardCode],"FAE")=0,"",SUMIFS(tblDaily[Admissions],tblDaily[EntryDate],DATE(2026,8,18),tblDaily[WardCode],"FAE")),"")</f>
        <v/>
      </c>
      <c r="C297" s="5" t="str">
        <f>IFERROR(IF(SUMIFS(tblDaily[Discharges],tblDaily[EntryDate],DATE(2026,8,18),tblDaily[WardCode],"FAE")=0,"",SUMIFS(tblDaily[Discharges],tblDaily[EntryDate],DATE(2026,8,18),tblDaily[WardCode],"FAE")),"")</f>
        <v/>
      </c>
      <c r="D297" s="5" t="str">
        <f>IFERROR(IF(SUMIFS(tblDaily[Deaths],tblDaily[EntryDate],DATE(2026,8,18),tblDaily[WardCode],"FAE")=0,"",SUMIFS(tblDaily[Deaths],tblDaily[EntryDate],DATE(2026,8,18),tblDaily[WardCode],"FAE")),"")</f>
        <v/>
      </c>
      <c r="E297" s="5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5" t="str">
        <f>IFERROR(IF(SUMIFS(tblDaily[TransfersIn],tblDaily[EntryDate],DATE(2026,8,18),tblDaily[WardCode],"FAE")=0,"",SUMIFS(tblDaily[TransfersIn],tblDaily[EntryDate],DATE(2026,8,18),tblDaily[WardCode],"FAE")),"")</f>
        <v/>
      </c>
      <c r="G297" s="5" t="str">
        <f>IFERROR(IF(SUMIFS(tblDaily[TransfersOut],tblDaily[EntryDate],DATE(2026,8,18),tblDaily[WardCode],"FAE")=0,"",SUMIFS(tblDaily[TransfersOut],tblDaily[EntryDate],DATE(2026,8,18),tblDaily[WardCode],"FAE")),"")</f>
        <v/>
      </c>
      <c r="H297" s="5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IFERROR(IF(SUMIFS(tblDaily[Admissions],tblDaily[EntryDate],DATE(2026,8,19),tblDaily[WardCode],"FAE")=0,"",SUMIFS(tblDaily[Admissions],tblDaily[EntryDate],DATE(2026,8,19),tblDaily[WardCode],"FAE")),"")</f>
        <v/>
      </c>
      <c r="C298" s="5" t="str">
        <f>IFERROR(IF(SUMIFS(tblDaily[Discharges],tblDaily[EntryDate],DATE(2026,8,19),tblDaily[WardCode],"FAE")=0,"",SUMIFS(tblDaily[Discharges],tblDaily[EntryDate],DATE(2026,8,19),tblDaily[WardCode],"FAE")),"")</f>
        <v/>
      </c>
      <c r="D298" s="5" t="str">
        <f>IFERROR(IF(SUMIFS(tblDaily[Deaths],tblDaily[EntryDate],DATE(2026,8,19),tblDaily[WardCode],"FAE")=0,"",SUMIFS(tblDaily[Deaths],tblDaily[EntryDate],DATE(2026,8,19),tblDaily[WardCode],"FAE")),"")</f>
        <v/>
      </c>
      <c r="E298" s="5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5" t="str">
        <f>IFERROR(IF(SUMIFS(tblDaily[TransfersIn],tblDaily[EntryDate],DATE(2026,8,19),tblDaily[WardCode],"FAE")=0,"",SUMIFS(tblDaily[TransfersIn],tblDaily[EntryDate],DATE(2026,8,19),tblDaily[WardCode],"FAE")),"")</f>
        <v/>
      </c>
      <c r="G298" s="5" t="str">
        <f>IFERROR(IF(SUMIFS(tblDaily[TransfersOut],tblDaily[EntryDate],DATE(2026,8,19),tblDaily[WardCode],"FAE")=0,"",SUMIFS(tblDaily[TransfersOut],tblDaily[EntryDate],DATE(2026,8,19),tblDaily[WardCode],"FAE")),"")</f>
        <v/>
      </c>
      <c r="H298" s="5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IFERROR(IF(SUMIFS(tblDaily[Admissions],tblDaily[EntryDate],DATE(2026,8,20),tblDaily[WardCode],"FAE")=0,"",SUMIFS(tblDaily[Admissions],tblDaily[EntryDate],DATE(2026,8,20),tblDaily[WardCode],"FAE")),"")</f>
        <v/>
      </c>
      <c r="C299" s="5" t="str">
        <f>IFERROR(IF(SUMIFS(tblDaily[Discharges],tblDaily[EntryDate],DATE(2026,8,20),tblDaily[WardCode],"FAE")=0,"",SUMIFS(tblDaily[Discharges],tblDaily[EntryDate],DATE(2026,8,20),tblDaily[WardCode],"FAE")),"")</f>
        <v/>
      </c>
      <c r="D299" s="5" t="str">
        <f>IFERROR(IF(SUMIFS(tblDaily[Deaths],tblDaily[EntryDate],DATE(2026,8,20),tblDaily[WardCode],"FAE")=0,"",SUMIFS(tblDaily[Deaths],tblDaily[EntryDate],DATE(2026,8,20),tblDaily[WardCode],"FAE")),"")</f>
        <v/>
      </c>
      <c r="E299" s="5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5" t="str">
        <f>IFERROR(IF(SUMIFS(tblDaily[TransfersIn],tblDaily[EntryDate],DATE(2026,8,20),tblDaily[WardCode],"FAE")=0,"",SUMIFS(tblDaily[TransfersIn],tblDaily[EntryDate],DATE(2026,8,20),tblDaily[WardCode],"FAE")),"")</f>
        <v/>
      </c>
      <c r="G299" s="5" t="str">
        <f>IFERROR(IF(SUMIFS(tblDaily[TransfersOut],tblDaily[EntryDate],DATE(2026,8,20),tblDaily[WardCode],"FAE")=0,"",SUMIFS(tblDaily[TransfersOut],tblDaily[EntryDate],DATE(2026,8,20),tblDaily[WardCode],"FAE")),"")</f>
        <v/>
      </c>
      <c r="H299" s="5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IFERROR(IF(SUMIFS(tblDaily[Admissions],tblDaily[EntryDate],DATE(2026,8,21),tblDaily[WardCode],"FAE")=0,"",SUMIFS(tblDaily[Admissions],tblDaily[EntryDate],DATE(2026,8,21),tblDaily[WardCode],"FAE")),"")</f>
        <v/>
      </c>
      <c r="C300" s="5" t="str">
        <f>IFERROR(IF(SUMIFS(tblDaily[Discharges],tblDaily[EntryDate],DATE(2026,8,21),tblDaily[WardCode],"FAE")=0,"",SUMIFS(tblDaily[Discharges],tblDaily[EntryDate],DATE(2026,8,21),tblDaily[WardCode],"FAE")),"")</f>
        <v/>
      </c>
      <c r="D300" s="5" t="str">
        <f>IFERROR(IF(SUMIFS(tblDaily[Deaths],tblDaily[EntryDate],DATE(2026,8,21),tblDaily[WardCode],"FAE")=0,"",SUMIFS(tblDaily[Deaths],tblDaily[EntryDate],DATE(2026,8,21),tblDaily[WardCode],"FAE")),"")</f>
        <v/>
      </c>
      <c r="E300" s="5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5" t="str">
        <f>IFERROR(IF(SUMIFS(tblDaily[TransfersIn],tblDaily[EntryDate],DATE(2026,8,21),tblDaily[WardCode],"FAE")=0,"",SUMIFS(tblDaily[TransfersIn],tblDaily[EntryDate],DATE(2026,8,21),tblDaily[WardCode],"FAE")),"")</f>
        <v/>
      </c>
      <c r="G300" s="5" t="str">
        <f>IFERROR(IF(SUMIFS(tblDaily[TransfersOut],tblDaily[EntryDate],DATE(2026,8,21),tblDaily[WardCode],"FAE")=0,"",SUMIFS(tblDaily[TransfersOut],tblDaily[EntryDate],DATE(2026,8,21),tblDaily[WardCode],"FAE")),"")</f>
        <v/>
      </c>
      <c r="H300" s="5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IFERROR(IF(SUMIFS(tblDaily[Admissions],tblDaily[EntryDate],DATE(2026,8,22),tblDaily[WardCode],"FAE")=0,"",SUMIFS(tblDaily[Admissions],tblDaily[EntryDate],DATE(2026,8,22),tblDaily[WardCode],"FAE")),"")</f>
        <v/>
      </c>
      <c r="C301" s="5" t="str">
        <f>IFERROR(IF(SUMIFS(tblDaily[Discharges],tblDaily[EntryDate],DATE(2026,8,22),tblDaily[WardCode],"FAE")=0,"",SUMIFS(tblDaily[Discharges],tblDaily[EntryDate],DATE(2026,8,22),tblDaily[WardCode],"FAE")),"")</f>
        <v/>
      </c>
      <c r="D301" s="5" t="str">
        <f>IFERROR(IF(SUMIFS(tblDaily[Deaths],tblDaily[EntryDate],DATE(2026,8,22),tblDaily[WardCode],"FAE")=0,"",SUMIFS(tblDaily[Deaths],tblDaily[EntryDate],DATE(2026,8,22),tblDaily[WardCode],"FAE")),"")</f>
        <v/>
      </c>
      <c r="E301" s="5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5" t="str">
        <f>IFERROR(IF(SUMIFS(tblDaily[TransfersIn],tblDaily[EntryDate],DATE(2026,8,22),tblDaily[WardCode],"FAE")=0,"",SUMIFS(tblDaily[TransfersIn],tblDaily[EntryDate],DATE(2026,8,22),tblDaily[WardCode],"FAE")),"")</f>
        <v/>
      </c>
      <c r="G301" s="5" t="str">
        <f>IFERROR(IF(SUMIFS(tblDaily[TransfersOut],tblDaily[EntryDate],DATE(2026,8,22),tblDaily[WardCode],"FAE")=0,"",SUMIFS(tblDaily[TransfersOut],tblDaily[EntryDate],DATE(2026,8,22),tblDaily[WardCode],"FAE")),"")</f>
        <v/>
      </c>
      <c r="H301" s="5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IFERROR(IF(SUMIFS(tblDaily[Admissions],tblDaily[EntryDate],DATE(2026,8,23),tblDaily[WardCode],"FAE")=0,"",SUMIFS(tblDaily[Admissions],tblDaily[EntryDate],DATE(2026,8,23),tblDaily[WardCode],"FAE")),"")</f>
        <v/>
      </c>
      <c r="C302" s="5" t="str">
        <f>IFERROR(IF(SUMIFS(tblDaily[Discharges],tblDaily[EntryDate],DATE(2026,8,23),tblDaily[WardCode],"FAE")=0,"",SUMIFS(tblDaily[Discharges],tblDaily[EntryDate],DATE(2026,8,23),tblDaily[WardCode],"FAE")),"")</f>
        <v/>
      </c>
      <c r="D302" s="5" t="str">
        <f>IFERROR(IF(SUMIFS(tblDaily[Deaths],tblDaily[EntryDate],DATE(2026,8,23),tblDaily[WardCode],"FAE")=0,"",SUMIFS(tblDaily[Deaths],tblDaily[EntryDate],DATE(2026,8,23),tblDaily[WardCode],"FAE")),"")</f>
        <v/>
      </c>
      <c r="E302" s="5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5" t="str">
        <f>IFERROR(IF(SUMIFS(tblDaily[TransfersIn],tblDaily[EntryDate],DATE(2026,8,23),tblDaily[WardCode],"FAE")=0,"",SUMIFS(tblDaily[TransfersIn],tblDaily[EntryDate],DATE(2026,8,23),tblDaily[WardCode],"FAE")),"")</f>
        <v/>
      </c>
      <c r="G302" s="5" t="str">
        <f>IFERROR(IF(SUMIFS(tblDaily[TransfersOut],tblDaily[EntryDate],DATE(2026,8,23),tblDaily[WardCode],"FAE")=0,"",SUMIFS(tblDaily[TransfersOut],tblDaily[EntryDate],DATE(2026,8,23),tblDaily[WardCode],"FAE")),"")</f>
        <v/>
      </c>
      <c r="H302" s="5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IFERROR(IF(SUMIFS(tblDaily[Admissions],tblDaily[EntryDate],DATE(2026,8,24),tblDaily[WardCode],"FAE")=0,"",SUMIFS(tblDaily[Admissions],tblDaily[EntryDate],DATE(2026,8,24),tblDaily[WardCode],"FAE")),"")</f>
        <v/>
      </c>
      <c r="C303" s="5" t="str">
        <f>IFERROR(IF(SUMIFS(tblDaily[Discharges],tblDaily[EntryDate],DATE(2026,8,24),tblDaily[WardCode],"FAE")=0,"",SUMIFS(tblDaily[Discharges],tblDaily[EntryDate],DATE(2026,8,24),tblDaily[WardCode],"FAE")),"")</f>
        <v/>
      </c>
      <c r="D303" s="5" t="str">
        <f>IFERROR(IF(SUMIFS(tblDaily[Deaths],tblDaily[EntryDate],DATE(2026,8,24),tblDaily[WardCode],"FAE")=0,"",SUMIFS(tblDaily[Deaths],tblDaily[EntryDate],DATE(2026,8,24),tblDaily[WardCode],"FAE")),"")</f>
        <v/>
      </c>
      <c r="E303" s="5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5" t="str">
        <f>IFERROR(IF(SUMIFS(tblDaily[TransfersIn],tblDaily[EntryDate],DATE(2026,8,24),tblDaily[WardCode],"FAE")=0,"",SUMIFS(tblDaily[TransfersIn],tblDaily[EntryDate],DATE(2026,8,24),tblDaily[WardCode],"FAE")),"")</f>
        <v/>
      </c>
      <c r="G303" s="5" t="str">
        <f>IFERROR(IF(SUMIFS(tblDaily[TransfersOut],tblDaily[EntryDate],DATE(2026,8,24),tblDaily[WardCode],"FAE")=0,"",SUMIFS(tblDaily[TransfersOut],tblDaily[EntryDate],DATE(2026,8,24),tblDaily[WardCode],"FAE")),"")</f>
        <v/>
      </c>
      <c r="H303" s="5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IFERROR(IF(SUMIFS(tblDaily[Admissions],tblDaily[EntryDate],DATE(2026,8,25),tblDaily[WardCode],"FAE")=0,"",SUMIFS(tblDaily[Admissions],tblDaily[EntryDate],DATE(2026,8,25),tblDaily[WardCode],"FAE")),"")</f>
        <v/>
      </c>
      <c r="C304" s="5" t="str">
        <f>IFERROR(IF(SUMIFS(tblDaily[Discharges],tblDaily[EntryDate],DATE(2026,8,25),tblDaily[WardCode],"FAE")=0,"",SUMIFS(tblDaily[Discharges],tblDaily[EntryDate],DATE(2026,8,25),tblDaily[WardCode],"FAE")),"")</f>
        <v/>
      </c>
      <c r="D304" s="5" t="str">
        <f>IFERROR(IF(SUMIFS(tblDaily[Deaths],tblDaily[EntryDate],DATE(2026,8,25),tblDaily[WardCode],"FAE")=0,"",SUMIFS(tblDaily[Deaths],tblDaily[EntryDate],DATE(2026,8,25),tblDaily[WardCode],"FAE")),"")</f>
        <v/>
      </c>
      <c r="E304" s="5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5" t="str">
        <f>IFERROR(IF(SUMIFS(tblDaily[TransfersIn],tblDaily[EntryDate],DATE(2026,8,25),tblDaily[WardCode],"FAE")=0,"",SUMIFS(tblDaily[TransfersIn],tblDaily[EntryDate],DATE(2026,8,25),tblDaily[WardCode],"FAE")),"")</f>
        <v/>
      </c>
      <c r="G304" s="5" t="str">
        <f>IFERROR(IF(SUMIFS(tblDaily[TransfersOut],tblDaily[EntryDate],DATE(2026,8,25),tblDaily[WardCode],"FAE")=0,"",SUMIFS(tblDaily[TransfersOut],tblDaily[EntryDate],DATE(2026,8,25),tblDaily[WardCode],"FAE")),"")</f>
        <v/>
      </c>
      <c r="H304" s="5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IFERROR(IF(SUMIFS(tblDaily[Admissions],tblDaily[EntryDate],DATE(2026,8,26),tblDaily[WardCode],"FAE")=0,"",SUMIFS(tblDaily[Admissions],tblDaily[EntryDate],DATE(2026,8,26),tblDaily[WardCode],"FAE")),"")</f>
        <v/>
      </c>
      <c r="C305" s="5" t="str">
        <f>IFERROR(IF(SUMIFS(tblDaily[Discharges],tblDaily[EntryDate],DATE(2026,8,26),tblDaily[WardCode],"FAE")=0,"",SUMIFS(tblDaily[Discharges],tblDaily[EntryDate],DATE(2026,8,26),tblDaily[WardCode],"FAE")),"")</f>
        <v/>
      </c>
      <c r="D305" s="5" t="str">
        <f>IFERROR(IF(SUMIFS(tblDaily[Deaths],tblDaily[EntryDate],DATE(2026,8,26),tblDaily[WardCode],"FAE")=0,"",SUMIFS(tblDaily[Deaths],tblDaily[EntryDate],DATE(2026,8,26),tblDaily[WardCode],"FAE")),"")</f>
        <v/>
      </c>
      <c r="E305" s="5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5" t="str">
        <f>IFERROR(IF(SUMIFS(tblDaily[TransfersIn],tblDaily[EntryDate],DATE(2026,8,26),tblDaily[WardCode],"FAE")=0,"",SUMIFS(tblDaily[TransfersIn],tblDaily[EntryDate],DATE(2026,8,26),tblDaily[WardCode],"FAE")),"")</f>
        <v/>
      </c>
      <c r="G305" s="5" t="str">
        <f>IFERROR(IF(SUMIFS(tblDaily[TransfersOut],tblDaily[EntryDate],DATE(2026,8,26),tblDaily[WardCode],"FAE")=0,"",SUMIFS(tblDaily[TransfersOut],tblDaily[EntryDate],DATE(2026,8,26),tblDaily[WardCode],"FAE")),"")</f>
        <v/>
      </c>
      <c r="H305" s="5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IFERROR(IF(SUMIFS(tblDaily[Admissions],tblDaily[EntryDate],DATE(2026,8,27),tblDaily[WardCode],"FAE")=0,"",SUMIFS(tblDaily[Admissions],tblDaily[EntryDate],DATE(2026,8,27),tblDaily[WardCode],"FAE")),"")</f>
        <v/>
      </c>
      <c r="C306" s="5" t="str">
        <f>IFERROR(IF(SUMIFS(tblDaily[Discharges],tblDaily[EntryDate],DATE(2026,8,27),tblDaily[WardCode],"FAE")=0,"",SUMIFS(tblDaily[Discharges],tblDaily[EntryDate],DATE(2026,8,27),tblDaily[WardCode],"FAE")),"")</f>
        <v/>
      </c>
      <c r="D306" s="5" t="str">
        <f>IFERROR(IF(SUMIFS(tblDaily[Deaths],tblDaily[EntryDate],DATE(2026,8,27),tblDaily[WardCode],"FAE")=0,"",SUMIFS(tblDaily[Deaths],tblDaily[EntryDate],DATE(2026,8,27),tblDaily[WardCode],"FAE")),"")</f>
        <v/>
      </c>
      <c r="E306" s="5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5" t="str">
        <f>IFERROR(IF(SUMIFS(tblDaily[TransfersIn],tblDaily[EntryDate],DATE(2026,8,27),tblDaily[WardCode],"FAE")=0,"",SUMIFS(tblDaily[TransfersIn],tblDaily[EntryDate],DATE(2026,8,27),tblDaily[WardCode],"FAE")),"")</f>
        <v/>
      </c>
      <c r="G306" s="5" t="str">
        <f>IFERROR(IF(SUMIFS(tblDaily[TransfersOut],tblDaily[EntryDate],DATE(2026,8,27),tblDaily[WardCode],"FAE")=0,"",SUMIFS(tblDaily[TransfersOut],tblDaily[EntryDate],DATE(2026,8,27),tblDaily[WardCode],"FAE")),"")</f>
        <v/>
      </c>
      <c r="H306" s="5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IFERROR(IF(SUMIFS(tblDaily[Admissions],tblDaily[EntryDate],DATE(2026,8,28),tblDaily[WardCode],"FAE")=0,"",SUMIFS(tblDaily[Admissions],tblDaily[EntryDate],DATE(2026,8,28),tblDaily[WardCode],"FAE")),"")</f>
        <v/>
      </c>
      <c r="C307" s="5" t="str">
        <f>IFERROR(IF(SUMIFS(tblDaily[Discharges],tblDaily[EntryDate],DATE(2026,8,28),tblDaily[WardCode],"FAE")=0,"",SUMIFS(tblDaily[Discharges],tblDaily[EntryDate],DATE(2026,8,28),tblDaily[WardCode],"FAE")),"")</f>
        <v/>
      </c>
      <c r="D307" s="5" t="str">
        <f>IFERROR(IF(SUMIFS(tblDaily[Deaths],tblDaily[EntryDate],DATE(2026,8,28),tblDaily[WardCode],"FAE")=0,"",SUMIFS(tblDaily[Deaths],tblDaily[EntryDate],DATE(2026,8,28),tblDaily[WardCode],"FAE")),"")</f>
        <v/>
      </c>
      <c r="E307" s="5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5" t="str">
        <f>IFERROR(IF(SUMIFS(tblDaily[TransfersIn],tblDaily[EntryDate],DATE(2026,8,28),tblDaily[WardCode],"FAE")=0,"",SUMIFS(tblDaily[TransfersIn],tblDaily[EntryDate],DATE(2026,8,28),tblDaily[WardCode],"FAE")),"")</f>
        <v/>
      </c>
      <c r="G307" s="5" t="str">
        <f>IFERROR(IF(SUMIFS(tblDaily[TransfersOut],tblDaily[EntryDate],DATE(2026,8,28),tblDaily[WardCode],"FAE")=0,"",SUMIFS(tblDaily[TransfersOut],tblDaily[EntryDate],DATE(2026,8,28),tblDaily[WardCode],"FAE")),"")</f>
        <v/>
      </c>
      <c r="H307" s="5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IFERROR(IF(SUMIFS(tblDaily[Admissions],tblDaily[EntryDate],DATE(2026,8,29),tblDaily[WardCode],"FAE")=0,"",SUMIFS(tblDaily[Admissions],tblDaily[EntryDate],DATE(2026,8,29),tblDaily[WardCode],"FAE")),"")</f>
        <v/>
      </c>
      <c r="C308" s="5" t="str">
        <f>IFERROR(IF(SUMIFS(tblDaily[Discharges],tblDaily[EntryDate],DATE(2026,8,29),tblDaily[WardCode],"FAE")=0,"",SUMIFS(tblDaily[Discharges],tblDaily[EntryDate],DATE(2026,8,29),tblDaily[WardCode],"FAE")),"")</f>
        <v/>
      </c>
      <c r="D308" s="5" t="str">
        <f>IFERROR(IF(SUMIFS(tblDaily[Deaths],tblDaily[EntryDate],DATE(2026,8,29),tblDaily[WardCode],"FAE")=0,"",SUMIFS(tblDaily[Deaths],tblDaily[EntryDate],DATE(2026,8,29),tblDaily[WardCode],"FAE")),"")</f>
        <v/>
      </c>
      <c r="E308" s="5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5" t="str">
        <f>IFERROR(IF(SUMIFS(tblDaily[TransfersIn],tblDaily[EntryDate],DATE(2026,8,29),tblDaily[WardCode],"FAE")=0,"",SUMIFS(tblDaily[TransfersIn],tblDaily[EntryDate],DATE(2026,8,29),tblDaily[WardCode],"FAE")),"")</f>
        <v/>
      </c>
      <c r="G308" s="5" t="str">
        <f>IFERROR(IF(SUMIFS(tblDaily[TransfersOut],tblDaily[EntryDate],DATE(2026,8,29),tblDaily[WardCode],"FAE")=0,"",SUMIFS(tblDaily[TransfersOut],tblDaily[EntryDate],DATE(2026,8,29),tblDaily[WardCode],"FAE")),"")</f>
        <v/>
      </c>
      <c r="H308" s="5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IFERROR(IF(SUMIFS(tblDaily[Admissions],tblDaily[EntryDate],DATE(2026,8,30),tblDaily[WardCode],"FAE")=0,"",SUMIFS(tblDaily[Admissions],tblDaily[EntryDate],DATE(2026,8,30),tblDaily[WardCode],"FAE")),"")</f>
        <v/>
      </c>
      <c r="C309" s="5" t="str">
        <f>IFERROR(IF(SUMIFS(tblDaily[Discharges],tblDaily[EntryDate],DATE(2026,8,30),tblDaily[WardCode],"FAE")=0,"",SUMIFS(tblDaily[Discharges],tblDaily[EntryDate],DATE(2026,8,30),tblDaily[WardCode],"FAE")),"")</f>
        <v/>
      </c>
      <c r="D309" s="5" t="str">
        <f>IFERROR(IF(SUMIFS(tblDaily[Deaths],tblDaily[EntryDate],DATE(2026,8,30),tblDaily[WardCode],"FAE")=0,"",SUMIFS(tblDaily[Deaths],tblDaily[EntryDate],DATE(2026,8,30),tblDaily[WardCode],"FAE")),"")</f>
        <v/>
      </c>
      <c r="E309" s="5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5" t="str">
        <f>IFERROR(IF(SUMIFS(tblDaily[TransfersIn],tblDaily[EntryDate],DATE(2026,8,30),tblDaily[WardCode],"FAE")=0,"",SUMIFS(tblDaily[TransfersIn],tblDaily[EntryDate],DATE(2026,8,30),tblDaily[WardCode],"FAE")),"")</f>
        <v/>
      </c>
      <c r="G309" s="5" t="str">
        <f>IFERROR(IF(SUMIFS(tblDaily[TransfersOut],tblDaily[EntryDate],DATE(2026,8,30),tblDaily[WardCode],"FAE")=0,"",SUMIFS(tblDaily[TransfersOut],tblDaily[EntryDate],DATE(2026,8,30),tblDaily[WardCode],"FAE")),"")</f>
        <v/>
      </c>
      <c r="H309" s="5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IFERROR(IF(SUMIFS(tblDaily[Admissions],tblDaily[EntryDate],DATE(2026,8,31),tblDaily[WardCode],"FAE")=0,"",SUMIFS(tblDaily[Admissions],tblDaily[EntryDate],DATE(2026,8,31),tblDaily[WardCode],"FAE")),"")</f>
        <v/>
      </c>
      <c r="C310" s="5" t="str">
        <f>IFERROR(IF(SUMIFS(tblDaily[Discharges],tblDaily[EntryDate],DATE(2026,8,31),tblDaily[WardCode],"FAE")=0,"",SUMIFS(tblDaily[Discharges],tblDaily[EntryDate],DATE(2026,8,31),tblDaily[WardCode],"FAE")),"")</f>
        <v/>
      </c>
      <c r="D310" s="5" t="str">
        <f>IFERROR(IF(SUMIFS(tblDaily[Deaths],tblDaily[EntryDate],DATE(2026,8,31),tblDaily[WardCode],"FAE")=0,"",SUMIFS(tblDaily[Deaths],tblDaily[EntryDate],DATE(2026,8,31),tblDaily[WardCode],"FAE")),"")</f>
        <v/>
      </c>
      <c r="E310" s="5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5" t="str">
        <f>IFERROR(IF(SUMIFS(tblDaily[TransfersIn],tblDaily[EntryDate],DATE(2026,8,31),tblDaily[WardCode],"FAE")=0,"",SUMIFS(tblDaily[TransfersIn],tblDaily[EntryDate],DATE(2026,8,31),tblDaily[WardCode],"FAE")),"")</f>
        <v/>
      </c>
      <c r="G310" s="5" t="str">
        <f>IFERROR(IF(SUMIFS(tblDaily[TransfersOut],tblDaily[EntryDate],DATE(2026,8,31),tblDaily[WardCode],"FAE")=0,"",SUMIFS(tblDaily[TransfersOut],tblDaily[EntryDate],DATE(2026,8,31),tblDaily[WardCode],"FAE")),"")</f>
        <v/>
      </c>
      <c r="H310" s="5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95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16" t="s">
        <v>0</v>
      </c>
      <c r="B313" s="17"/>
      <c r="C313" s="17"/>
      <c r="D313" s="17"/>
      <c r="E313" s="17"/>
      <c r="F313" s="17"/>
      <c r="G313" s="17"/>
      <c r="H313" s="17"/>
    </row>
    <row r="314" spans="1:8" ht="15.75" x14ac:dyDescent="0.25">
      <c r="A314" s="21" t="s">
        <v>84</v>
      </c>
      <c r="B314" s="17"/>
      <c r="C314" s="17"/>
      <c r="D314" s="17"/>
      <c r="E314" s="17"/>
      <c r="F314" s="17"/>
      <c r="G314" s="17"/>
      <c r="H314" s="17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103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89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IFERROR(IF(SUMIFS(tblDaily[Admissions],tblDaily[EntryDate],DATE(2026,9,1),tblDaily[WardCode],"FAE")=0,"",SUMIFS(tblDaily[Admissions],tblDaily[EntryDate],DATE(2026,9,1),tblDaily[WardCode],"FAE")),"")</f>
        <v/>
      </c>
      <c r="C319" s="5" t="str">
        <f>IFERROR(IF(SUMIFS(tblDaily[Discharges],tblDaily[EntryDate],DATE(2026,9,1),tblDaily[WardCode],"FAE")=0,"",SUMIFS(tblDaily[Discharges],tblDaily[EntryDate],DATE(2026,9,1),tblDaily[WardCode],"FAE")),"")</f>
        <v/>
      </c>
      <c r="D319" s="5" t="str">
        <f>IFERROR(IF(SUMIFS(tblDaily[Deaths],tblDaily[EntryDate],DATE(2026,9,1),tblDaily[WardCode],"FAE")=0,"",SUMIFS(tblDaily[Deaths],tblDaily[EntryDate],DATE(2026,9,1),tblDaily[WardCode],"FAE")),"")</f>
        <v/>
      </c>
      <c r="E319" s="5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5" t="str">
        <f>IFERROR(IF(SUMIFS(tblDaily[TransfersIn],tblDaily[EntryDate],DATE(2026,9,1),tblDaily[WardCode],"FAE")=0,"",SUMIFS(tblDaily[TransfersIn],tblDaily[EntryDate],DATE(2026,9,1),tblDaily[WardCode],"FAE")),"")</f>
        <v/>
      </c>
      <c r="G319" s="5" t="str">
        <f>IFERROR(IF(SUMIFS(tblDaily[TransfersOut],tblDaily[EntryDate],DATE(2026,9,1),tblDaily[WardCode],"FAE")=0,"",SUMIFS(tblDaily[TransfersOut],tblDaily[EntryDate],DATE(2026,9,1),tblDaily[WardCode],"FAE")),"")</f>
        <v/>
      </c>
      <c r="H319" s="5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IFERROR(IF(SUMIFS(tblDaily[Admissions],tblDaily[EntryDate],DATE(2026,9,2),tblDaily[WardCode],"FAE")=0,"",SUMIFS(tblDaily[Admissions],tblDaily[EntryDate],DATE(2026,9,2),tblDaily[WardCode],"FAE")),"")</f>
        <v/>
      </c>
      <c r="C320" s="5" t="str">
        <f>IFERROR(IF(SUMIFS(tblDaily[Discharges],tblDaily[EntryDate],DATE(2026,9,2),tblDaily[WardCode],"FAE")=0,"",SUMIFS(tblDaily[Discharges],tblDaily[EntryDate],DATE(2026,9,2),tblDaily[WardCode],"FAE")),"")</f>
        <v/>
      </c>
      <c r="D320" s="5" t="str">
        <f>IFERROR(IF(SUMIFS(tblDaily[Deaths],tblDaily[EntryDate],DATE(2026,9,2),tblDaily[WardCode],"FAE")=0,"",SUMIFS(tblDaily[Deaths],tblDaily[EntryDate],DATE(2026,9,2),tblDaily[WardCode],"FAE")),"")</f>
        <v/>
      </c>
      <c r="E320" s="5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5" t="str">
        <f>IFERROR(IF(SUMIFS(tblDaily[TransfersIn],tblDaily[EntryDate],DATE(2026,9,2),tblDaily[WardCode],"FAE")=0,"",SUMIFS(tblDaily[TransfersIn],tblDaily[EntryDate],DATE(2026,9,2),tblDaily[WardCode],"FAE")),"")</f>
        <v/>
      </c>
      <c r="G320" s="5" t="str">
        <f>IFERROR(IF(SUMIFS(tblDaily[TransfersOut],tblDaily[EntryDate],DATE(2026,9,2),tblDaily[WardCode],"FAE")=0,"",SUMIFS(tblDaily[TransfersOut],tblDaily[EntryDate],DATE(2026,9,2),tblDaily[WardCode],"FAE")),"")</f>
        <v/>
      </c>
      <c r="H320" s="5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IFERROR(IF(SUMIFS(tblDaily[Admissions],tblDaily[EntryDate],DATE(2026,9,3),tblDaily[WardCode],"FAE")=0,"",SUMIFS(tblDaily[Admissions],tblDaily[EntryDate],DATE(2026,9,3),tblDaily[WardCode],"FAE")),"")</f>
        <v/>
      </c>
      <c r="C321" s="5" t="str">
        <f>IFERROR(IF(SUMIFS(tblDaily[Discharges],tblDaily[EntryDate],DATE(2026,9,3),tblDaily[WardCode],"FAE")=0,"",SUMIFS(tblDaily[Discharges],tblDaily[EntryDate],DATE(2026,9,3),tblDaily[WardCode],"FAE")),"")</f>
        <v/>
      </c>
      <c r="D321" s="5" t="str">
        <f>IFERROR(IF(SUMIFS(tblDaily[Deaths],tblDaily[EntryDate],DATE(2026,9,3),tblDaily[WardCode],"FAE")=0,"",SUMIFS(tblDaily[Deaths],tblDaily[EntryDate],DATE(2026,9,3),tblDaily[WardCode],"FAE")),"")</f>
        <v/>
      </c>
      <c r="E321" s="5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5" t="str">
        <f>IFERROR(IF(SUMIFS(tblDaily[TransfersIn],tblDaily[EntryDate],DATE(2026,9,3),tblDaily[WardCode],"FAE")=0,"",SUMIFS(tblDaily[TransfersIn],tblDaily[EntryDate],DATE(2026,9,3),tblDaily[WardCode],"FAE")),"")</f>
        <v/>
      </c>
      <c r="G321" s="5" t="str">
        <f>IFERROR(IF(SUMIFS(tblDaily[TransfersOut],tblDaily[EntryDate],DATE(2026,9,3),tblDaily[WardCode],"FAE")=0,"",SUMIFS(tblDaily[TransfersOut],tblDaily[EntryDate],DATE(2026,9,3),tblDaily[WardCode],"FAE")),"")</f>
        <v/>
      </c>
      <c r="H321" s="5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IFERROR(IF(SUMIFS(tblDaily[Admissions],tblDaily[EntryDate],DATE(2026,9,4),tblDaily[WardCode],"FAE")=0,"",SUMIFS(tblDaily[Admissions],tblDaily[EntryDate],DATE(2026,9,4),tblDaily[WardCode],"FAE")),"")</f>
        <v/>
      </c>
      <c r="C322" s="5" t="str">
        <f>IFERROR(IF(SUMIFS(tblDaily[Discharges],tblDaily[EntryDate],DATE(2026,9,4),tblDaily[WardCode],"FAE")=0,"",SUMIFS(tblDaily[Discharges],tblDaily[EntryDate],DATE(2026,9,4),tblDaily[WardCode],"FAE")),"")</f>
        <v/>
      </c>
      <c r="D322" s="5" t="str">
        <f>IFERROR(IF(SUMIFS(tblDaily[Deaths],tblDaily[EntryDate],DATE(2026,9,4),tblDaily[WardCode],"FAE")=0,"",SUMIFS(tblDaily[Deaths],tblDaily[EntryDate],DATE(2026,9,4),tblDaily[WardCode],"FAE")),"")</f>
        <v/>
      </c>
      <c r="E322" s="5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5" t="str">
        <f>IFERROR(IF(SUMIFS(tblDaily[TransfersIn],tblDaily[EntryDate],DATE(2026,9,4),tblDaily[WardCode],"FAE")=0,"",SUMIFS(tblDaily[TransfersIn],tblDaily[EntryDate],DATE(2026,9,4),tblDaily[WardCode],"FAE")),"")</f>
        <v/>
      </c>
      <c r="G322" s="5" t="str">
        <f>IFERROR(IF(SUMIFS(tblDaily[TransfersOut],tblDaily[EntryDate],DATE(2026,9,4),tblDaily[WardCode],"FAE")=0,"",SUMIFS(tblDaily[TransfersOut],tblDaily[EntryDate],DATE(2026,9,4),tblDaily[WardCode],"FAE")),"")</f>
        <v/>
      </c>
      <c r="H322" s="5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IFERROR(IF(SUMIFS(tblDaily[Admissions],tblDaily[EntryDate],DATE(2026,9,5),tblDaily[WardCode],"FAE")=0,"",SUMIFS(tblDaily[Admissions],tblDaily[EntryDate],DATE(2026,9,5),tblDaily[WardCode],"FAE")),"")</f>
        <v/>
      </c>
      <c r="C323" s="5" t="str">
        <f>IFERROR(IF(SUMIFS(tblDaily[Discharges],tblDaily[EntryDate],DATE(2026,9,5),tblDaily[WardCode],"FAE")=0,"",SUMIFS(tblDaily[Discharges],tblDaily[EntryDate],DATE(2026,9,5),tblDaily[WardCode],"FAE")),"")</f>
        <v/>
      </c>
      <c r="D323" s="5" t="str">
        <f>IFERROR(IF(SUMIFS(tblDaily[Deaths],tblDaily[EntryDate],DATE(2026,9,5),tblDaily[WardCode],"FAE")=0,"",SUMIFS(tblDaily[Deaths],tblDaily[EntryDate],DATE(2026,9,5),tblDaily[WardCode],"FAE")),"")</f>
        <v/>
      </c>
      <c r="E323" s="5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5" t="str">
        <f>IFERROR(IF(SUMIFS(tblDaily[TransfersIn],tblDaily[EntryDate],DATE(2026,9,5),tblDaily[WardCode],"FAE")=0,"",SUMIFS(tblDaily[TransfersIn],tblDaily[EntryDate],DATE(2026,9,5),tblDaily[WardCode],"FAE")),"")</f>
        <v/>
      </c>
      <c r="G323" s="5" t="str">
        <f>IFERROR(IF(SUMIFS(tblDaily[TransfersOut],tblDaily[EntryDate],DATE(2026,9,5),tblDaily[WardCode],"FAE")=0,"",SUMIFS(tblDaily[TransfersOut],tblDaily[EntryDate],DATE(2026,9,5),tblDaily[WardCode],"FAE")),"")</f>
        <v/>
      </c>
      <c r="H323" s="5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IFERROR(IF(SUMIFS(tblDaily[Admissions],tblDaily[EntryDate],DATE(2026,9,6),tblDaily[WardCode],"FAE")=0,"",SUMIFS(tblDaily[Admissions],tblDaily[EntryDate],DATE(2026,9,6),tblDaily[WardCode],"FAE")),"")</f>
        <v/>
      </c>
      <c r="C324" s="5" t="str">
        <f>IFERROR(IF(SUMIFS(tblDaily[Discharges],tblDaily[EntryDate],DATE(2026,9,6),tblDaily[WardCode],"FAE")=0,"",SUMIFS(tblDaily[Discharges],tblDaily[EntryDate],DATE(2026,9,6),tblDaily[WardCode],"FAE")),"")</f>
        <v/>
      </c>
      <c r="D324" s="5" t="str">
        <f>IFERROR(IF(SUMIFS(tblDaily[Deaths],tblDaily[EntryDate],DATE(2026,9,6),tblDaily[WardCode],"FAE")=0,"",SUMIFS(tblDaily[Deaths],tblDaily[EntryDate],DATE(2026,9,6),tblDaily[WardCode],"FAE")),"")</f>
        <v/>
      </c>
      <c r="E324" s="5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5" t="str">
        <f>IFERROR(IF(SUMIFS(tblDaily[TransfersIn],tblDaily[EntryDate],DATE(2026,9,6),tblDaily[WardCode],"FAE")=0,"",SUMIFS(tblDaily[TransfersIn],tblDaily[EntryDate],DATE(2026,9,6),tblDaily[WardCode],"FAE")),"")</f>
        <v/>
      </c>
      <c r="G324" s="5" t="str">
        <f>IFERROR(IF(SUMIFS(tblDaily[TransfersOut],tblDaily[EntryDate],DATE(2026,9,6),tblDaily[WardCode],"FAE")=0,"",SUMIFS(tblDaily[TransfersOut],tblDaily[EntryDate],DATE(2026,9,6),tblDaily[WardCode],"FAE")),"")</f>
        <v/>
      </c>
      <c r="H324" s="5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IFERROR(IF(SUMIFS(tblDaily[Admissions],tblDaily[EntryDate],DATE(2026,9,7),tblDaily[WardCode],"FAE")=0,"",SUMIFS(tblDaily[Admissions],tblDaily[EntryDate],DATE(2026,9,7),tblDaily[WardCode],"FAE")),"")</f>
        <v/>
      </c>
      <c r="C325" s="5" t="str">
        <f>IFERROR(IF(SUMIFS(tblDaily[Discharges],tblDaily[EntryDate],DATE(2026,9,7),tblDaily[WardCode],"FAE")=0,"",SUMIFS(tblDaily[Discharges],tblDaily[EntryDate],DATE(2026,9,7),tblDaily[WardCode],"FAE")),"")</f>
        <v/>
      </c>
      <c r="D325" s="5" t="str">
        <f>IFERROR(IF(SUMIFS(tblDaily[Deaths],tblDaily[EntryDate],DATE(2026,9,7),tblDaily[WardCode],"FAE")=0,"",SUMIFS(tblDaily[Deaths],tblDaily[EntryDate],DATE(2026,9,7),tblDaily[WardCode],"FAE")),"")</f>
        <v/>
      </c>
      <c r="E325" s="5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5" t="str">
        <f>IFERROR(IF(SUMIFS(tblDaily[TransfersIn],tblDaily[EntryDate],DATE(2026,9,7),tblDaily[WardCode],"FAE")=0,"",SUMIFS(tblDaily[TransfersIn],tblDaily[EntryDate],DATE(2026,9,7),tblDaily[WardCode],"FAE")),"")</f>
        <v/>
      </c>
      <c r="G325" s="5" t="str">
        <f>IFERROR(IF(SUMIFS(tblDaily[TransfersOut],tblDaily[EntryDate],DATE(2026,9,7),tblDaily[WardCode],"FAE")=0,"",SUMIFS(tblDaily[TransfersOut],tblDaily[EntryDate],DATE(2026,9,7),tblDaily[WardCode],"FAE")),"")</f>
        <v/>
      </c>
      <c r="H325" s="5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IFERROR(IF(SUMIFS(tblDaily[Admissions],tblDaily[EntryDate],DATE(2026,9,8),tblDaily[WardCode],"FAE")=0,"",SUMIFS(tblDaily[Admissions],tblDaily[EntryDate],DATE(2026,9,8),tblDaily[WardCode],"FAE")),"")</f>
        <v/>
      </c>
      <c r="C326" s="5" t="str">
        <f>IFERROR(IF(SUMIFS(tblDaily[Discharges],tblDaily[EntryDate],DATE(2026,9,8),tblDaily[WardCode],"FAE")=0,"",SUMIFS(tblDaily[Discharges],tblDaily[EntryDate],DATE(2026,9,8),tblDaily[WardCode],"FAE")),"")</f>
        <v/>
      </c>
      <c r="D326" s="5" t="str">
        <f>IFERROR(IF(SUMIFS(tblDaily[Deaths],tblDaily[EntryDate],DATE(2026,9,8),tblDaily[WardCode],"FAE")=0,"",SUMIFS(tblDaily[Deaths],tblDaily[EntryDate],DATE(2026,9,8),tblDaily[WardCode],"FAE")),"")</f>
        <v/>
      </c>
      <c r="E326" s="5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5" t="str">
        <f>IFERROR(IF(SUMIFS(tblDaily[TransfersIn],tblDaily[EntryDate],DATE(2026,9,8),tblDaily[WardCode],"FAE")=0,"",SUMIFS(tblDaily[TransfersIn],tblDaily[EntryDate],DATE(2026,9,8),tblDaily[WardCode],"FAE")),"")</f>
        <v/>
      </c>
      <c r="G326" s="5" t="str">
        <f>IFERROR(IF(SUMIFS(tblDaily[TransfersOut],tblDaily[EntryDate],DATE(2026,9,8),tblDaily[WardCode],"FAE")=0,"",SUMIFS(tblDaily[TransfersOut],tblDaily[EntryDate],DATE(2026,9,8),tblDaily[WardCode],"FAE")),"")</f>
        <v/>
      </c>
      <c r="H326" s="5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IFERROR(IF(SUMIFS(tblDaily[Admissions],tblDaily[EntryDate],DATE(2026,9,9),tblDaily[WardCode],"FAE")=0,"",SUMIFS(tblDaily[Admissions],tblDaily[EntryDate],DATE(2026,9,9),tblDaily[WardCode],"FAE")),"")</f>
        <v/>
      </c>
      <c r="C327" s="5" t="str">
        <f>IFERROR(IF(SUMIFS(tblDaily[Discharges],tblDaily[EntryDate],DATE(2026,9,9),tblDaily[WardCode],"FAE")=0,"",SUMIFS(tblDaily[Discharges],tblDaily[EntryDate],DATE(2026,9,9),tblDaily[WardCode],"FAE")),"")</f>
        <v/>
      </c>
      <c r="D327" s="5" t="str">
        <f>IFERROR(IF(SUMIFS(tblDaily[Deaths],tblDaily[EntryDate],DATE(2026,9,9),tblDaily[WardCode],"FAE")=0,"",SUMIFS(tblDaily[Deaths],tblDaily[EntryDate],DATE(2026,9,9),tblDaily[WardCode],"FAE")),"")</f>
        <v/>
      </c>
      <c r="E327" s="5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5" t="str">
        <f>IFERROR(IF(SUMIFS(tblDaily[TransfersIn],tblDaily[EntryDate],DATE(2026,9,9),tblDaily[WardCode],"FAE")=0,"",SUMIFS(tblDaily[TransfersIn],tblDaily[EntryDate],DATE(2026,9,9),tblDaily[WardCode],"FAE")),"")</f>
        <v/>
      </c>
      <c r="G327" s="5" t="str">
        <f>IFERROR(IF(SUMIFS(tblDaily[TransfersOut],tblDaily[EntryDate],DATE(2026,9,9),tblDaily[WardCode],"FAE")=0,"",SUMIFS(tblDaily[TransfersOut],tblDaily[EntryDate],DATE(2026,9,9),tblDaily[WardCode],"FAE")),"")</f>
        <v/>
      </c>
      <c r="H327" s="5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IFERROR(IF(SUMIFS(tblDaily[Admissions],tblDaily[EntryDate],DATE(2026,9,10),tblDaily[WardCode],"FAE")=0,"",SUMIFS(tblDaily[Admissions],tblDaily[EntryDate],DATE(2026,9,10),tblDaily[WardCode],"FAE")),"")</f>
        <v/>
      </c>
      <c r="C328" s="5" t="str">
        <f>IFERROR(IF(SUMIFS(tblDaily[Discharges],tblDaily[EntryDate],DATE(2026,9,10),tblDaily[WardCode],"FAE")=0,"",SUMIFS(tblDaily[Discharges],tblDaily[EntryDate],DATE(2026,9,10),tblDaily[WardCode],"FAE")),"")</f>
        <v/>
      </c>
      <c r="D328" s="5" t="str">
        <f>IFERROR(IF(SUMIFS(tblDaily[Deaths],tblDaily[EntryDate],DATE(2026,9,10),tblDaily[WardCode],"FAE")=0,"",SUMIFS(tblDaily[Deaths],tblDaily[EntryDate],DATE(2026,9,10),tblDaily[WardCode],"FAE")),"")</f>
        <v/>
      </c>
      <c r="E328" s="5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5" t="str">
        <f>IFERROR(IF(SUMIFS(tblDaily[TransfersIn],tblDaily[EntryDate],DATE(2026,9,10),tblDaily[WardCode],"FAE")=0,"",SUMIFS(tblDaily[TransfersIn],tblDaily[EntryDate],DATE(2026,9,10),tblDaily[WardCode],"FAE")),"")</f>
        <v/>
      </c>
      <c r="G328" s="5" t="str">
        <f>IFERROR(IF(SUMIFS(tblDaily[TransfersOut],tblDaily[EntryDate],DATE(2026,9,10),tblDaily[WardCode],"FAE")=0,"",SUMIFS(tblDaily[TransfersOut],tblDaily[EntryDate],DATE(2026,9,10),tblDaily[WardCode],"FAE")),"")</f>
        <v/>
      </c>
      <c r="H328" s="5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IFERROR(IF(SUMIFS(tblDaily[Admissions],tblDaily[EntryDate],DATE(2026,9,11),tblDaily[WardCode],"FAE")=0,"",SUMIFS(tblDaily[Admissions],tblDaily[EntryDate],DATE(2026,9,11),tblDaily[WardCode],"FAE")),"")</f>
        <v/>
      </c>
      <c r="C329" s="5" t="str">
        <f>IFERROR(IF(SUMIFS(tblDaily[Discharges],tblDaily[EntryDate],DATE(2026,9,11),tblDaily[WardCode],"FAE")=0,"",SUMIFS(tblDaily[Discharges],tblDaily[EntryDate],DATE(2026,9,11),tblDaily[WardCode],"FAE")),"")</f>
        <v/>
      </c>
      <c r="D329" s="5" t="str">
        <f>IFERROR(IF(SUMIFS(tblDaily[Deaths],tblDaily[EntryDate],DATE(2026,9,11),tblDaily[WardCode],"FAE")=0,"",SUMIFS(tblDaily[Deaths],tblDaily[EntryDate],DATE(2026,9,11),tblDaily[WardCode],"FAE")),"")</f>
        <v/>
      </c>
      <c r="E329" s="5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5" t="str">
        <f>IFERROR(IF(SUMIFS(tblDaily[TransfersIn],tblDaily[EntryDate],DATE(2026,9,11),tblDaily[WardCode],"FAE")=0,"",SUMIFS(tblDaily[TransfersIn],tblDaily[EntryDate],DATE(2026,9,11),tblDaily[WardCode],"FAE")),"")</f>
        <v/>
      </c>
      <c r="G329" s="5" t="str">
        <f>IFERROR(IF(SUMIFS(tblDaily[TransfersOut],tblDaily[EntryDate],DATE(2026,9,11),tblDaily[WardCode],"FAE")=0,"",SUMIFS(tblDaily[TransfersOut],tblDaily[EntryDate],DATE(2026,9,11),tblDaily[WardCode],"FAE")),"")</f>
        <v/>
      </c>
      <c r="H329" s="5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IFERROR(IF(SUMIFS(tblDaily[Admissions],tblDaily[EntryDate],DATE(2026,9,12),tblDaily[WardCode],"FAE")=0,"",SUMIFS(tblDaily[Admissions],tblDaily[EntryDate],DATE(2026,9,12),tblDaily[WardCode],"FAE")),"")</f>
        <v/>
      </c>
      <c r="C330" s="5" t="str">
        <f>IFERROR(IF(SUMIFS(tblDaily[Discharges],tblDaily[EntryDate],DATE(2026,9,12),tblDaily[WardCode],"FAE")=0,"",SUMIFS(tblDaily[Discharges],tblDaily[EntryDate],DATE(2026,9,12),tblDaily[WardCode],"FAE")),"")</f>
        <v/>
      </c>
      <c r="D330" s="5" t="str">
        <f>IFERROR(IF(SUMIFS(tblDaily[Deaths],tblDaily[EntryDate],DATE(2026,9,12),tblDaily[WardCode],"FAE")=0,"",SUMIFS(tblDaily[Deaths],tblDaily[EntryDate],DATE(2026,9,12),tblDaily[WardCode],"FAE")),"")</f>
        <v/>
      </c>
      <c r="E330" s="5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5" t="str">
        <f>IFERROR(IF(SUMIFS(tblDaily[TransfersIn],tblDaily[EntryDate],DATE(2026,9,12),tblDaily[WardCode],"FAE")=0,"",SUMIFS(tblDaily[TransfersIn],tblDaily[EntryDate],DATE(2026,9,12),tblDaily[WardCode],"FAE")),"")</f>
        <v/>
      </c>
      <c r="G330" s="5" t="str">
        <f>IFERROR(IF(SUMIFS(tblDaily[TransfersOut],tblDaily[EntryDate],DATE(2026,9,12),tblDaily[WardCode],"FAE")=0,"",SUMIFS(tblDaily[TransfersOut],tblDaily[EntryDate],DATE(2026,9,12),tblDaily[WardCode],"FAE")),"")</f>
        <v/>
      </c>
      <c r="H330" s="5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IFERROR(IF(SUMIFS(tblDaily[Admissions],tblDaily[EntryDate],DATE(2026,9,13),tblDaily[WardCode],"FAE")=0,"",SUMIFS(tblDaily[Admissions],tblDaily[EntryDate],DATE(2026,9,13),tblDaily[WardCode],"FAE")),"")</f>
        <v/>
      </c>
      <c r="C331" s="5" t="str">
        <f>IFERROR(IF(SUMIFS(tblDaily[Discharges],tblDaily[EntryDate],DATE(2026,9,13),tblDaily[WardCode],"FAE")=0,"",SUMIFS(tblDaily[Discharges],tblDaily[EntryDate],DATE(2026,9,13),tblDaily[WardCode],"FAE")),"")</f>
        <v/>
      </c>
      <c r="D331" s="5" t="str">
        <f>IFERROR(IF(SUMIFS(tblDaily[Deaths],tblDaily[EntryDate],DATE(2026,9,13),tblDaily[WardCode],"FAE")=0,"",SUMIFS(tblDaily[Deaths],tblDaily[EntryDate],DATE(2026,9,13),tblDaily[WardCode],"FAE")),"")</f>
        <v/>
      </c>
      <c r="E331" s="5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5" t="str">
        <f>IFERROR(IF(SUMIFS(tblDaily[TransfersIn],tblDaily[EntryDate],DATE(2026,9,13),tblDaily[WardCode],"FAE")=0,"",SUMIFS(tblDaily[TransfersIn],tblDaily[EntryDate],DATE(2026,9,13),tblDaily[WardCode],"FAE")),"")</f>
        <v/>
      </c>
      <c r="G331" s="5" t="str">
        <f>IFERROR(IF(SUMIFS(tblDaily[TransfersOut],tblDaily[EntryDate],DATE(2026,9,13),tblDaily[WardCode],"FAE")=0,"",SUMIFS(tblDaily[TransfersOut],tblDaily[EntryDate],DATE(2026,9,13),tblDaily[WardCode],"FAE")),"")</f>
        <v/>
      </c>
      <c r="H331" s="5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IFERROR(IF(SUMIFS(tblDaily[Admissions],tblDaily[EntryDate],DATE(2026,9,14),tblDaily[WardCode],"FAE")=0,"",SUMIFS(tblDaily[Admissions],tblDaily[EntryDate],DATE(2026,9,14),tblDaily[WardCode],"FAE")),"")</f>
        <v/>
      </c>
      <c r="C332" s="5" t="str">
        <f>IFERROR(IF(SUMIFS(tblDaily[Discharges],tblDaily[EntryDate],DATE(2026,9,14),tblDaily[WardCode],"FAE")=0,"",SUMIFS(tblDaily[Discharges],tblDaily[EntryDate],DATE(2026,9,14),tblDaily[WardCode],"FAE")),"")</f>
        <v/>
      </c>
      <c r="D332" s="5" t="str">
        <f>IFERROR(IF(SUMIFS(tblDaily[Deaths],tblDaily[EntryDate],DATE(2026,9,14),tblDaily[WardCode],"FAE")=0,"",SUMIFS(tblDaily[Deaths],tblDaily[EntryDate],DATE(2026,9,14),tblDaily[WardCode],"FAE")),"")</f>
        <v/>
      </c>
      <c r="E332" s="5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5" t="str">
        <f>IFERROR(IF(SUMIFS(tblDaily[TransfersIn],tblDaily[EntryDate],DATE(2026,9,14),tblDaily[WardCode],"FAE")=0,"",SUMIFS(tblDaily[TransfersIn],tblDaily[EntryDate],DATE(2026,9,14),tblDaily[WardCode],"FAE")),"")</f>
        <v/>
      </c>
      <c r="G332" s="5" t="str">
        <f>IFERROR(IF(SUMIFS(tblDaily[TransfersOut],tblDaily[EntryDate],DATE(2026,9,14),tblDaily[WardCode],"FAE")=0,"",SUMIFS(tblDaily[TransfersOut],tblDaily[EntryDate],DATE(2026,9,14),tblDaily[WardCode],"FAE")),"")</f>
        <v/>
      </c>
      <c r="H332" s="5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IFERROR(IF(SUMIFS(tblDaily[Admissions],tblDaily[EntryDate],DATE(2026,9,15),tblDaily[WardCode],"FAE")=0,"",SUMIFS(tblDaily[Admissions],tblDaily[EntryDate],DATE(2026,9,15),tblDaily[WardCode],"FAE")),"")</f>
        <v/>
      </c>
      <c r="C333" s="5" t="str">
        <f>IFERROR(IF(SUMIFS(tblDaily[Discharges],tblDaily[EntryDate],DATE(2026,9,15),tblDaily[WardCode],"FAE")=0,"",SUMIFS(tblDaily[Discharges],tblDaily[EntryDate],DATE(2026,9,15),tblDaily[WardCode],"FAE")),"")</f>
        <v/>
      </c>
      <c r="D333" s="5" t="str">
        <f>IFERROR(IF(SUMIFS(tblDaily[Deaths],tblDaily[EntryDate],DATE(2026,9,15),tblDaily[WardCode],"FAE")=0,"",SUMIFS(tblDaily[Deaths],tblDaily[EntryDate],DATE(2026,9,15),tblDaily[WardCode],"FAE")),"")</f>
        <v/>
      </c>
      <c r="E333" s="5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5" t="str">
        <f>IFERROR(IF(SUMIFS(tblDaily[TransfersIn],tblDaily[EntryDate],DATE(2026,9,15),tblDaily[WardCode],"FAE")=0,"",SUMIFS(tblDaily[TransfersIn],tblDaily[EntryDate],DATE(2026,9,15),tblDaily[WardCode],"FAE")),"")</f>
        <v/>
      </c>
      <c r="G333" s="5" t="str">
        <f>IFERROR(IF(SUMIFS(tblDaily[TransfersOut],tblDaily[EntryDate],DATE(2026,9,15),tblDaily[WardCode],"FAE")=0,"",SUMIFS(tblDaily[TransfersOut],tblDaily[EntryDate],DATE(2026,9,15),tblDaily[WardCode],"FAE")),"")</f>
        <v/>
      </c>
      <c r="H333" s="5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IFERROR(IF(SUMIFS(tblDaily[Admissions],tblDaily[EntryDate],DATE(2026,9,16),tblDaily[WardCode],"FAE")=0,"",SUMIFS(tblDaily[Admissions],tblDaily[EntryDate],DATE(2026,9,16),tblDaily[WardCode],"FAE")),"")</f>
        <v/>
      </c>
      <c r="C334" s="5" t="str">
        <f>IFERROR(IF(SUMIFS(tblDaily[Discharges],tblDaily[EntryDate],DATE(2026,9,16),tblDaily[WardCode],"FAE")=0,"",SUMIFS(tblDaily[Discharges],tblDaily[EntryDate],DATE(2026,9,16),tblDaily[WardCode],"FAE")),"")</f>
        <v/>
      </c>
      <c r="D334" s="5" t="str">
        <f>IFERROR(IF(SUMIFS(tblDaily[Deaths],tblDaily[EntryDate],DATE(2026,9,16),tblDaily[WardCode],"FAE")=0,"",SUMIFS(tblDaily[Deaths],tblDaily[EntryDate],DATE(2026,9,16),tblDaily[WardCode],"FAE")),"")</f>
        <v/>
      </c>
      <c r="E334" s="5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5" t="str">
        <f>IFERROR(IF(SUMIFS(tblDaily[TransfersIn],tblDaily[EntryDate],DATE(2026,9,16),tblDaily[WardCode],"FAE")=0,"",SUMIFS(tblDaily[TransfersIn],tblDaily[EntryDate],DATE(2026,9,16),tblDaily[WardCode],"FAE")),"")</f>
        <v/>
      </c>
      <c r="G334" s="5" t="str">
        <f>IFERROR(IF(SUMIFS(tblDaily[TransfersOut],tblDaily[EntryDate],DATE(2026,9,16),tblDaily[WardCode],"FAE")=0,"",SUMIFS(tblDaily[TransfersOut],tblDaily[EntryDate],DATE(2026,9,16),tblDaily[WardCode],"FAE")),"")</f>
        <v/>
      </c>
      <c r="H334" s="5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IFERROR(IF(SUMIFS(tblDaily[Admissions],tblDaily[EntryDate],DATE(2026,9,17),tblDaily[WardCode],"FAE")=0,"",SUMIFS(tblDaily[Admissions],tblDaily[EntryDate],DATE(2026,9,17),tblDaily[WardCode],"FAE")),"")</f>
        <v/>
      </c>
      <c r="C335" s="5" t="str">
        <f>IFERROR(IF(SUMIFS(tblDaily[Discharges],tblDaily[EntryDate],DATE(2026,9,17),tblDaily[WardCode],"FAE")=0,"",SUMIFS(tblDaily[Discharges],tblDaily[EntryDate],DATE(2026,9,17),tblDaily[WardCode],"FAE")),"")</f>
        <v/>
      </c>
      <c r="D335" s="5" t="str">
        <f>IFERROR(IF(SUMIFS(tblDaily[Deaths],tblDaily[EntryDate],DATE(2026,9,17),tblDaily[WardCode],"FAE")=0,"",SUMIFS(tblDaily[Deaths],tblDaily[EntryDate],DATE(2026,9,17),tblDaily[WardCode],"FAE")),"")</f>
        <v/>
      </c>
      <c r="E335" s="5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5" t="str">
        <f>IFERROR(IF(SUMIFS(tblDaily[TransfersIn],tblDaily[EntryDate],DATE(2026,9,17),tblDaily[WardCode],"FAE")=0,"",SUMIFS(tblDaily[TransfersIn],tblDaily[EntryDate],DATE(2026,9,17),tblDaily[WardCode],"FAE")),"")</f>
        <v/>
      </c>
      <c r="G335" s="5" t="str">
        <f>IFERROR(IF(SUMIFS(tblDaily[TransfersOut],tblDaily[EntryDate],DATE(2026,9,17),tblDaily[WardCode],"FAE")=0,"",SUMIFS(tblDaily[TransfersOut],tblDaily[EntryDate],DATE(2026,9,17),tblDaily[WardCode],"FAE")),"")</f>
        <v/>
      </c>
      <c r="H335" s="5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IFERROR(IF(SUMIFS(tblDaily[Admissions],tblDaily[EntryDate],DATE(2026,9,18),tblDaily[WardCode],"FAE")=0,"",SUMIFS(tblDaily[Admissions],tblDaily[EntryDate],DATE(2026,9,18),tblDaily[WardCode],"FAE")),"")</f>
        <v/>
      </c>
      <c r="C336" s="5" t="str">
        <f>IFERROR(IF(SUMIFS(tblDaily[Discharges],tblDaily[EntryDate],DATE(2026,9,18),tblDaily[WardCode],"FAE")=0,"",SUMIFS(tblDaily[Discharges],tblDaily[EntryDate],DATE(2026,9,18),tblDaily[WardCode],"FAE")),"")</f>
        <v/>
      </c>
      <c r="D336" s="5" t="str">
        <f>IFERROR(IF(SUMIFS(tblDaily[Deaths],tblDaily[EntryDate],DATE(2026,9,18),tblDaily[WardCode],"FAE")=0,"",SUMIFS(tblDaily[Deaths],tblDaily[EntryDate],DATE(2026,9,18),tblDaily[WardCode],"FAE")),"")</f>
        <v/>
      </c>
      <c r="E336" s="5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5" t="str">
        <f>IFERROR(IF(SUMIFS(tblDaily[TransfersIn],tblDaily[EntryDate],DATE(2026,9,18),tblDaily[WardCode],"FAE")=0,"",SUMIFS(tblDaily[TransfersIn],tblDaily[EntryDate],DATE(2026,9,18),tblDaily[WardCode],"FAE")),"")</f>
        <v/>
      </c>
      <c r="G336" s="5" t="str">
        <f>IFERROR(IF(SUMIFS(tblDaily[TransfersOut],tblDaily[EntryDate],DATE(2026,9,18),tblDaily[WardCode],"FAE")=0,"",SUMIFS(tblDaily[TransfersOut],tblDaily[EntryDate],DATE(2026,9,18),tblDaily[WardCode],"FAE")),"")</f>
        <v/>
      </c>
      <c r="H336" s="5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IFERROR(IF(SUMIFS(tblDaily[Admissions],tblDaily[EntryDate],DATE(2026,9,19),tblDaily[WardCode],"FAE")=0,"",SUMIFS(tblDaily[Admissions],tblDaily[EntryDate],DATE(2026,9,19),tblDaily[WardCode],"FAE")),"")</f>
        <v/>
      </c>
      <c r="C337" s="5" t="str">
        <f>IFERROR(IF(SUMIFS(tblDaily[Discharges],tblDaily[EntryDate],DATE(2026,9,19),tblDaily[WardCode],"FAE")=0,"",SUMIFS(tblDaily[Discharges],tblDaily[EntryDate],DATE(2026,9,19),tblDaily[WardCode],"FAE")),"")</f>
        <v/>
      </c>
      <c r="D337" s="5" t="str">
        <f>IFERROR(IF(SUMIFS(tblDaily[Deaths],tblDaily[EntryDate],DATE(2026,9,19),tblDaily[WardCode],"FAE")=0,"",SUMIFS(tblDaily[Deaths],tblDaily[EntryDate],DATE(2026,9,19),tblDaily[WardCode],"FAE")),"")</f>
        <v/>
      </c>
      <c r="E337" s="5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5" t="str">
        <f>IFERROR(IF(SUMIFS(tblDaily[TransfersIn],tblDaily[EntryDate],DATE(2026,9,19),tblDaily[WardCode],"FAE")=0,"",SUMIFS(tblDaily[TransfersIn],tblDaily[EntryDate],DATE(2026,9,19),tblDaily[WardCode],"FAE")),"")</f>
        <v/>
      </c>
      <c r="G337" s="5" t="str">
        <f>IFERROR(IF(SUMIFS(tblDaily[TransfersOut],tblDaily[EntryDate],DATE(2026,9,19),tblDaily[WardCode],"FAE")=0,"",SUMIFS(tblDaily[TransfersOut],tblDaily[EntryDate],DATE(2026,9,19),tblDaily[WardCode],"FAE")),"")</f>
        <v/>
      </c>
      <c r="H337" s="5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IFERROR(IF(SUMIFS(tblDaily[Admissions],tblDaily[EntryDate],DATE(2026,9,20),tblDaily[WardCode],"FAE")=0,"",SUMIFS(tblDaily[Admissions],tblDaily[EntryDate],DATE(2026,9,20),tblDaily[WardCode],"FAE")),"")</f>
        <v/>
      </c>
      <c r="C338" s="5" t="str">
        <f>IFERROR(IF(SUMIFS(tblDaily[Discharges],tblDaily[EntryDate],DATE(2026,9,20),tblDaily[WardCode],"FAE")=0,"",SUMIFS(tblDaily[Discharges],tblDaily[EntryDate],DATE(2026,9,20),tblDaily[WardCode],"FAE")),"")</f>
        <v/>
      </c>
      <c r="D338" s="5" t="str">
        <f>IFERROR(IF(SUMIFS(tblDaily[Deaths],tblDaily[EntryDate],DATE(2026,9,20),tblDaily[WardCode],"FAE")=0,"",SUMIFS(tblDaily[Deaths],tblDaily[EntryDate],DATE(2026,9,20),tblDaily[WardCode],"FAE")),"")</f>
        <v/>
      </c>
      <c r="E338" s="5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5" t="str">
        <f>IFERROR(IF(SUMIFS(tblDaily[TransfersIn],tblDaily[EntryDate],DATE(2026,9,20),tblDaily[WardCode],"FAE")=0,"",SUMIFS(tblDaily[TransfersIn],tblDaily[EntryDate],DATE(2026,9,20),tblDaily[WardCode],"FAE")),"")</f>
        <v/>
      </c>
      <c r="G338" s="5" t="str">
        <f>IFERROR(IF(SUMIFS(tblDaily[TransfersOut],tblDaily[EntryDate],DATE(2026,9,20),tblDaily[WardCode],"FAE")=0,"",SUMIFS(tblDaily[TransfersOut],tblDaily[EntryDate],DATE(2026,9,20),tblDaily[WardCode],"FAE")),"")</f>
        <v/>
      </c>
      <c r="H338" s="5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IFERROR(IF(SUMIFS(tblDaily[Admissions],tblDaily[EntryDate],DATE(2026,9,21),tblDaily[WardCode],"FAE")=0,"",SUMIFS(tblDaily[Admissions],tblDaily[EntryDate],DATE(2026,9,21),tblDaily[WardCode],"FAE")),"")</f>
        <v/>
      </c>
      <c r="C339" s="5" t="str">
        <f>IFERROR(IF(SUMIFS(tblDaily[Discharges],tblDaily[EntryDate],DATE(2026,9,21),tblDaily[WardCode],"FAE")=0,"",SUMIFS(tblDaily[Discharges],tblDaily[EntryDate],DATE(2026,9,21),tblDaily[WardCode],"FAE")),"")</f>
        <v/>
      </c>
      <c r="D339" s="5" t="str">
        <f>IFERROR(IF(SUMIFS(tblDaily[Deaths],tblDaily[EntryDate],DATE(2026,9,21),tblDaily[WardCode],"FAE")=0,"",SUMIFS(tblDaily[Deaths],tblDaily[EntryDate],DATE(2026,9,21),tblDaily[WardCode],"FAE")),"")</f>
        <v/>
      </c>
      <c r="E339" s="5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5" t="str">
        <f>IFERROR(IF(SUMIFS(tblDaily[TransfersIn],tblDaily[EntryDate],DATE(2026,9,21),tblDaily[WardCode],"FAE")=0,"",SUMIFS(tblDaily[TransfersIn],tblDaily[EntryDate],DATE(2026,9,21),tblDaily[WardCode],"FAE")),"")</f>
        <v/>
      </c>
      <c r="G339" s="5" t="str">
        <f>IFERROR(IF(SUMIFS(tblDaily[TransfersOut],tblDaily[EntryDate],DATE(2026,9,21),tblDaily[WardCode],"FAE")=0,"",SUMIFS(tblDaily[TransfersOut],tblDaily[EntryDate],DATE(2026,9,21),tblDaily[WardCode],"FAE")),"")</f>
        <v/>
      </c>
      <c r="H339" s="5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IFERROR(IF(SUMIFS(tblDaily[Admissions],tblDaily[EntryDate],DATE(2026,9,22),tblDaily[WardCode],"FAE")=0,"",SUMIFS(tblDaily[Admissions],tblDaily[EntryDate],DATE(2026,9,22),tblDaily[WardCode],"FAE")),"")</f>
        <v/>
      </c>
      <c r="C340" s="5" t="str">
        <f>IFERROR(IF(SUMIFS(tblDaily[Discharges],tblDaily[EntryDate],DATE(2026,9,22),tblDaily[WardCode],"FAE")=0,"",SUMIFS(tblDaily[Discharges],tblDaily[EntryDate],DATE(2026,9,22),tblDaily[WardCode],"FAE")),"")</f>
        <v/>
      </c>
      <c r="D340" s="5" t="str">
        <f>IFERROR(IF(SUMIFS(tblDaily[Deaths],tblDaily[EntryDate],DATE(2026,9,22),tblDaily[WardCode],"FAE")=0,"",SUMIFS(tblDaily[Deaths],tblDaily[EntryDate],DATE(2026,9,22),tblDaily[WardCode],"FAE")),"")</f>
        <v/>
      </c>
      <c r="E340" s="5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5" t="str">
        <f>IFERROR(IF(SUMIFS(tblDaily[TransfersIn],tblDaily[EntryDate],DATE(2026,9,22),tblDaily[WardCode],"FAE")=0,"",SUMIFS(tblDaily[TransfersIn],tblDaily[EntryDate],DATE(2026,9,22),tblDaily[WardCode],"FAE")),"")</f>
        <v/>
      </c>
      <c r="G340" s="5" t="str">
        <f>IFERROR(IF(SUMIFS(tblDaily[TransfersOut],tblDaily[EntryDate],DATE(2026,9,22),tblDaily[WardCode],"FAE")=0,"",SUMIFS(tblDaily[TransfersOut],tblDaily[EntryDate],DATE(2026,9,22),tblDaily[WardCode],"FAE")),"")</f>
        <v/>
      </c>
      <c r="H340" s="5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IFERROR(IF(SUMIFS(tblDaily[Admissions],tblDaily[EntryDate],DATE(2026,9,23),tblDaily[WardCode],"FAE")=0,"",SUMIFS(tblDaily[Admissions],tblDaily[EntryDate],DATE(2026,9,23),tblDaily[WardCode],"FAE")),"")</f>
        <v/>
      </c>
      <c r="C341" s="5" t="str">
        <f>IFERROR(IF(SUMIFS(tblDaily[Discharges],tblDaily[EntryDate],DATE(2026,9,23),tblDaily[WardCode],"FAE")=0,"",SUMIFS(tblDaily[Discharges],tblDaily[EntryDate],DATE(2026,9,23),tblDaily[WardCode],"FAE")),"")</f>
        <v/>
      </c>
      <c r="D341" s="5" t="str">
        <f>IFERROR(IF(SUMIFS(tblDaily[Deaths],tblDaily[EntryDate],DATE(2026,9,23),tblDaily[WardCode],"FAE")=0,"",SUMIFS(tblDaily[Deaths],tblDaily[EntryDate],DATE(2026,9,23),tblDaily[WardCode],"FAE")),"")</f>
        <v/>
      </c>
      <c r="E341" s="5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5" t="str">
        <f>IFERROR(IF(SUMIFS(tblDaily[TransfersIn],tblDaily[EntryDate],DATE(2026,9,23),tblDaily[WardCode],"FAE")=0,"",SUMIFS(tblDaily[TransfersIn],tblDaily[EntryDate],DATE(2026,9,23),tblDaily[WardCode],"FAE")),"")</f>
        <v/>
      </c>
      <c r="G341" s="5" t="str">
        <f>IFERROR(IF(SUMIFS(tblDaily[TransfersOut],tblDaily[EntryDate],DATE(2026,9,23),tblDaily[WardCode],"FAE")=0,"",SUMIFS(tblDaily[TransfersOut],tblDaily[EntryDate],DATE(2026,9,23),tblDaily[WardCode],"FAE")),"")</f>
        <v/>
      </c>
      <c r="H341" s="5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IFERROR(IF(SUMIFS(tblDaily[Admissions],tblDaily[EntryDate],DATE(2026,9,24),tblDaily[WardCode],"FAE")=0,"",SUMIFS(tblDaily[Admissions],tblDaily[EntryDate],DATE(2026,9,24),tblDaily[WardCode],"FAE")),"")</f>
        <v/>
      </c>
      <c r="C342" s="5" t="str">
        <f>IFERROR(IF(SUMIFS(tblDaily[Discharges],tblDaily[EntryDate],DATE(2026,9,24),tblDaily[WardCode],"FAE")=0,"",SUMIFS(tblDaily[Discharges],tblDaily[EntryDate],DATE(2026,9,24),tblDaily[WardCode],"FAE")),"")</f>
        <v/>
      </c>
      <c r="D342" s="5" t="str">
        <f>IFERROR(IF(SUMIFS(tblDaily[Deaths],tblDaily[EntryDate],DATE(2026,9,24),tblDaily[WardCode],"FAE")=0,"",SUMIFS(tblDaily[Deaths],tblDaily[EntryDate],DATE(2026,9,24),tblDaily[WardCode],"FAE")),"")</f>
        <v/>
      </c>
      <c r="E342" s="5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5" t="str">
        <f>IFERROR(IF(SUMIFS(tblDaily[TransfersIn],tblDaily[EntryDate],DATE(2026,9,24),tblDaily[WardCode],"FAE")=0,"",SUMIFS(tblDaily[TransfersIn],tblDaily[EntryDate],DATE(2026,9,24),tblDaily[WardCode],"FAE")),"")</f>
        <v/>
      </c>
      <c r="G342" s="5" t="str">
        <f>IFERROR(IF(SUMIFS(tblDaily[TransfersOut],tblDaily[EntryDate],DATE(2026,9,24),tblDaily[WardCode],"FAE")=0,"",SUMIFS(tblDaily[TransfersOut],tblDaily[EntryDate],DATE(2026,9,24),tblDaily[WardCode],"FAE")),"")</f>
        <v/>
      </c>
      <c r="H342" s="5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IFERROR(IF(SUMIFS(tblDaily[Admissions],tblDaily[EntryDate],DATE(2026,9,25),tblDaily[WardCode],"FAE")=0,"",SUMIFS(tblDaily[Admissions],tblDaily[EntryDate],DATE(2026,9,25),tblDaily[WardCode],"FAE")),"")</f>
        <v/>
      </c>
      <c r="C343" s="5" t="str">
        <f>IFERROR(IF(SUMIFS(tblDaily[Discharges],tblDaily[EntryDate],DATE(2026,9,25),tblDaily[WardCode],"FAE")=0,"",SUMIFS(tblDaily[Discharges],tblDaily[EntryDate],DATE(2026,9,25),tblDaily[WardCode],"FAE")),"")</f>
        <v/>
      </c>
      <c r="D343" s="5" t="str">
        <f>IFERROR(IF(SUMIFS(tblDaily[Deaths],tblDaily[EntryDate],DATE(2026,9,25),tblDaily[WardCode],"FAE")=0,"",SUMIFS(tblDaily[Deaths],tblDaily[EntryDate],DATE(2026,9,25),tblDaily[WardCode],"FAE")),"")</f>
        <v/>
      </c>
      <c r="E343" s="5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5" t="str">
        <f>IFERROR(IF(SUMIFS(tblDaily[TransfersIn],tblDaily[EntryDate],DATE(2026,9,25),tblDaily[WardCode],"FAE")=0,"",SUMIFS(tblDaily[TransfersIn],tblDaily[EntryDate],DATE(2026,9,25),tblDaily[WardCode],"FAE")),"")</f>
        <v/>
      </c>
      <c r="G343" s="5" t="str">
        <f>IFERROR(IF(SUMIFS(tblDaily[TransfersOut],tblDaily[EntryDate],DATE(2026,9,25),tblDaily[WardCode],"FAE")=0,"",SUMIFS(tblDaily[TransfersOut],tblDaily[EntryDate],DATE(2026,9,25),tblDaily[WardCode],"FAE")),"")</f>
        <v/>
      </c>
      <c r="H343" s="5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IFERROR(IF(SUMIFS(tblDaily[Admissions],tblDaily[EntryDate],DATE(2026,9,26),tblDaily[WardCode],"FAE")=0,"",SUMIFS(tblDaily[Admissions],tblDaily[EntryDate],DATE(2026,9,26),tblDaily[WardCode],"FAE")),"")</f>
        <v/>
      </c>
      <c r="C344" s="5" t="str">
        <f>IFERROR(IF(SUMIFS(tblDaily[Discharges],tblDaily[EntryDate],DATE(2026,9,26),tblDaily[WardCode],"FAE")=0,"",SUMIFS(tblDaily[Discharges],tblDaily[EntryDate],DATE(2026,9,26),tblDaily[WardCode],"FAE")),"")</f>
        <v/>
      </c>
      <c r="D344" s="5" t="str">
        <f>IFERROR(IF(SUMIFS(tblDaily[Deaths],tblDaily[EntryDate],DATE(2026,9,26),tblDaily[WardCode],"FAE")=0,"",SUMIFS(tblDaily[Deaths],tblDaily[EntryDate],DATE(2026,9,26),tblDaily[WardCode],"FAE")),"")</f>
        <v/>
      </c>
      <c r="E344" s="5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5" t="str">
        <f>IFERROR(IF(SUMIFS(tblDaily[TransfersIn],tblDaily[EntryDate],DATE(2026,9,26),tblDaily[WardCode],"FAE")=0,"",SUMIFS(tblDaily[TransfersIn],tblDaily[EntryDate],DATE(2026,9,26),tblDaily[WardCode],"FAE")),"")</f>
        <v/>
      </c>
      <c r="G344" s="5" t="str">
        <f>IFERROR(IF(SUMIFS(tblDaily[TransfersOut],tblDaily[EntryDate],DATE(2026,9,26),tblDaily[WardCode],"FAE")=0,"",SUMIFS(tblDaily[TransfersOut],tblDaily[EntryDate],DATE(2026,9,26),tblDaily[WardCode],"FAE")),"")</f>
        <v/>
      </c>
      <c r="H344" s="5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IFERROR(IF(SUMIFS(tblDaily[Admissions],tblDaily[EntryDate],DATE(2026,9,27),tblDaily[WardCode],"FAE")=0,"",SUMIFS(tblDaily[Admissions],tblDaily[EntryDate],DATE(2026,9,27),tblDaily[WardCode],"FAE")),"")</f>
        <v/>
      </c>
      <c r="C345" s="5" t="str">
        <f>IFERROR(IF(SUMIFS(tblDaily[Discharges],tblDaily[EntryDate],DATE(2026,9,27),tblDaily[WardCode],"FAE")=0,"",SUMIFS(tblDaily[Discharges],tblDaily[EntryDate],DATE(2026,9,27),tblDaily[WardCode],"FAE")),"")</f>
        <v/>
      </c>
      <c r="D345" s="5" t="str">
        <f>IFERROR(IF(SUMIFS(tblDaily[Deaths],tblDaily[EntryDate],DATE(2026,9,27),tblDaily[WardCode],"FAE")=0,"",SUMIFS(tblDaily[Deaths],tblDaily[EntryDate],DATE(2026,9,27),tblDaily[WardCode],"FAE")),"")</f>
        <v/>
      </c>
      <c r="E345" s="5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5" t="str">
        <f>IFERROR(IF(SUMIFS(tblDaily[TransfersIn],tblDaily[EntryDate],DATE(2026,9,27),tblDaily[WardCode],"FAE")=0,"",SUMIFS(tblDaily[TransfersIn],tblDaily[EntryDate],DATE(2026,9,27),tblDaily[WardCode],"FAE")),"")</f>
        <v/>
      </c>
      <c r="G345" s="5" t="str">
        <f>IFERROR(IF(SUMIFS(tblDaily[TransfersOut],tblDaily[EntryDate],DATE(2026,9,27),tblDaily[WardCode],"FAE")=0,"",SUMIFS(tblDaily[TransfersOut],tblDaily[EntryDate],DATE(2026,9,27),tblDaily[WardCode],"FAE")),"")</f>
        <v/>
      </c>
      <c r="H345" s="5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IFERROR(IF(SUMIFS(tblDaily[Admissions],tblDaily[EntryDate],DATE(2026,9,28),tblDaily[WardCode],"FAE")=0,"",SUMIFS(tblDaily[Admissions],tblDaily[EntryDate],DATE(2026,9,28),tblDaily[WardCode],"FAE")),"")</f>
        <v/>
      </c>
      <c r="C346" s="5" t="str">
        <f>IFERROR(IF(SUMIFS(tblDaily[Discharges],tblDaily[EntryDate],DATE(2026,9,28),tblDaily[WardCode],"FAE")=0,"",SUMIFS(tblDaily[Discharges],tblDaily[EntryDate],DATE(2026,9,28),tblDaily[WardCode],"FAE")),"")</f>
        <v/>
      </c>
      <c r="D346" s="5" t="str">
        <f>IFERROR(IF(SUMIFS(tblDaily[Deaths],tblDaily[EntryDate],DATE(2026,9,28),tblDaily[WardCode],"FAE")=0,"",SUMIFS(tblDaily[Deaths],tblDaily[EntryDate],DATE(2026,9,28),tblDaily[WardCode],"FAE")),"")</f>
        <v/>
      </c>
      <c r="E346" s="5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5" t="str">
        <f>IFERROR(IF(SUMIFS(tblDaily[TransfersIn],tblDaily[EntryDate],DATE(2026,9,28),tblDaily[WardCode],"FAE")=0,"",SUMIFS(tblDaily[TransfersIn],tblDaily[EntryDate],DATE(2026,9,28),tblDaily[WardCode],"FAE")),"")</f>
        <v/>
      </c>
      <c r="G346" s="5" t="str">
        <f>IFERROR(IF(SUMIFS(tblDaily[TransfersOut],tblDaily[EntryDate],DATE(2026,9,28),tblDaily[WardCode],"FAE")=0,"",SUMIFS(tblDaily[TransfersOut],tblDaily[EntryDate],DATE(2026,9,28),tblDaily[WardCode],"FAE")),"")</f>
        <v/>
      </c>
      <c r="H346" s="5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IFERROR(IF(SUMIFS(tblDaily[Admissions],tblDaily[EntryDate],DATE(2026,9,29),tblDaily[WardCode],"FAE")=0,"",SUMIFS(tblDaily[Admissions],tblDaily[EntryDate],DATE(2026,9,29),tblDaily[WardCode],"FAE")),"")</f>
        <v/>
      </c>
      <c r="C347" s="5" t="str">
        <f>IFERROR(IF(SUMIFS(tblDaily[Discharges],tblDaily[EntryDate],DATE(2026,9,29),tblDaily[WardCode],"FAE")=0,"",SUMIFS(tblDaily[Discharges],tblDaily[EntryDate],DATE(2026,9,29),tblDaily[WardCode],"FAE")),"")</f>
        <v/>
      </c>
      <c r="D347" s="5" t="str">
        <f>IFERROR(IF(SUMIFS(tblDaily[Deaths],tblDaily[EntryDate],DATE(2026,9,29),tblDaily[WardCode],"FAE")=0,"",SUMIFS(tblDaily[Deaths],tblDaily[EntryDate],DATE(2026,9,29),tblDaily[WardCode],"FAE")),"")</f>
        <v/>
      </c>
      <c r="E347" s="5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5" t="str">
        <f>IFERROR(IF(SUMIFS(tblDaily[TransfersIn],tblDaily[EntryDate],DATE(2026,9,29),tblDaily[WardCode],"FAE")=0,"",SUMIFS(tblDaily[TransfersIn],tblDaily[EntryDate],DATE(2026,9,29),tblDaily[WardCode],"FAE")),"")</f>
        <v/>
      </c>
      <c r="G347" s="5" t="str">
        <f>IFERROR(IF(SUMIFS(tblDaily[TransfersOut],tblDaily[EntryDate],DATE(2026,9,29),tblDaily[WardCode],"FAE")=0,"",SUMIFS(tblDaily[TransfersOut],tblDaily[EntryDate],DATE(2026,9,29),tblDaily[WardCode],"FAE")),"")</f>
        <v/>
      </c>
      <c r="H347" s="5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IFERROR(IF(SUMIFS(tblDaily[Admissions],tblDaily[EntryDate],DATE(2026,9,30),tblDaily[WardCode],"FAE")=0,"",SUMIFS(tblDaily[Admissions],tblDaily[EntryDate],DATE(2026,9,30),tblDaily[WardCode],"FAE")),"")</f>
        <v/>
      </c>
      <c r="C348" s="5" t="str">
        <f>IFERROR(IF(SUMIFS(tblDaily[Discharges],tblDaily[EntryDate],DATE(2026,9,30),tblDaily[WardCode],"FAE")=0,"",SUMIFS(tblDaily[Discharges],tblDaily[EntryDate],DATE(2026,9,30),tblDaily[WardCode],"FAE")),"")</f>
        <v/>
      </c>
      <c r="D348" s="5" t="str">
        <f>IFERROR(IF(SUMIFS(tblDaily[Deaths],tblDaily[EntryDate],DATE(2026,9,30),tblDaily[WardCode],"FAE")=0,"",SUMIFS(tblDaily[Deaths],tblDaily[EntryDate],DATE(2026,9,30),tblDaily[WardCode],"FAE")),"")</f>
        <v/>
      </c>
      <c r="E348" s="5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5" t="str">
        <f>IFERROR(IF(SUMIFS(tblDaily[TransfersIn],tblDaily[EntryDate],DATE(2026,9,30),tblDaily[WardCode],"FAE")=0,"",SUMIFS(tblDaily[TransfersIn],tblDaily[EntryDate],DATE(2026,9,30),tblDaily[WardCode],"FAE")),"")</f>
        <v/>
      </c>
      <c r="G348" s="5" t="str">
        <f>IFERROR(IF(SUMIFS(tblDaily[TransfersOut],tblDaily[EntryDate],DATE(2026,9,30),tblDaily[WardCode],"FAE")=0,"",SUMIFS(tblDaily[TransfersOut],tblDaily[EntryDate],DATE(2026,9,30),tblDaily[WardCode],"FAE")),"")</f>
        <v/>
      </c>
      <c r="H348" s="5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16" t="s">
        <v>0</v>
      </c>
      <c r="B352" s="17"/>
      <c r="C352" s="17"/>
      <c r="D352" s="17"/>
      <c r="E352" s="17"/>
      <c r="F352" s="17"/>
      <c r="G352" s="17"/>
      <c r="H352" s="17"/>
    </row>
    <row r="353" spans="1:8" ht="15.75" x14ac:dyDescent="0.25">
      <c r="A353" s="21" t="s">
        <v>84</v>
      </c>
      <c r="B353" s="17"/>
      <c r="C353" s="17"/>
      <c r="D353" s="17"/>
      <c r="E353" s="17"/>
      <c r="F353" s="17"/>
      <c r="G353" s="17"/>
      <c r="H353" s="17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103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89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IFERROR(IF(SUMIFS(tblDaily[Admissions],tblDaily[EntryDate],DATE(2026,10,1),tblDaily[WardCode],"FAE")=0,"",SUMIFS(tblDaily[Admissions],tblDaily[EntryDate],DATE(2026,10,1),tblDaily[WardCode],"FAE")),"")</f>
        <v/>
      </c>
      <c r="C358" s="5" t="str">
        <f>IFERROR(IF(SUMIFS(tblDaily[Discharges],tblDaily[EntryDate],DATE(2026,10,1),tblDaily[WardCode],"FAE")=0,"",SUMIFS(tblDaily[Discharges],tblDaily[EntryDate],DATE(2026,10,1),tblDaily[WardCode],"FAE")),"")</f>
        <v/>
      </c>
      <c r="D358" s="5" t="str">
        <f>IFERROR(IF(SUMIFS(tblDaily[Deaths],tblDaily[EntryDate],DATE(2026,10,1),tblDaily[WardCode],"FAE")=0,"",SUMIFS(tblDaily[Deaths],tblDaily[EntryDate],DATE(2026,10,1),tblDaily[WardCode],"FAE")),"")</f>
        <v/>
      </c>
      <c r="E358" s="5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5" t="str">
        <f>IFERROR(IF(SUMIFS(tblDaily[TransfersIn],tblDaily[EntryDate],DATE(2026,10,1),tblDaily[WardCode],"FAE")=0,"",SUMIFS(tblDaily[TransfersIn],tblDaily[EntryDate],DATE(2026,10,1),tblDaily[WardCode],"FAE")),"")</f>
        <v/>
      </c>
      <c r="G358" s="5" t="str">
        <f>IFERROR(IF(SUMIFS(tblDaily[TransfersOut],tblDaily[EntryDate],DATE(2026,10,1),tblDaily[WardCode],"FAE")=0,"",SUMIFS(tblDaily[TransfersOut],tblDaily[EntryDate],DATE(2026,10,1),tblDaily[WardCode],"FAE")),"")</f>
        <v/>
      </c>
      <c r="H358" s="5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IFERROR(IF(SUMIFS(tblDaily[Admissions],tblDaily[EntryDate],DATE(2026,10,2),tblDaily[WardCode],"FAE")=0,"",SUMIFS(tblDaily[Admissions],tblDaily[EntryDate],DATE(2026,10,2),tblDaily[WardCode],"FAE")),"")</f>
        <v/>
      </c>
      <c r="C359" s="5" t="str">
        <f>IFERROR(IF(SUMIFS(tblDaily[Discharges],tblDaily[EntryDate],DATE(2026,10,2),tblDaily[WardCode],"FAE")=0,"",SUMIFS(tblDaily[Discharges],tblDaily[EntryDate],DATE(2026,10,2),tblDaily[WardCode],"FAE")),"")</f>
        <v/>
      </c>
      <c r="D359" s="5" t="str">
        <f>IFERROR(IF(SUMIFS(tblDaily[Deaths],tblDaily[EntryDate],DATE(2026,10,2),tblDaily[WardCode],"FAE")=0,"",SUMIFS(tblDaily[Deaths],tblDaily[EntryDate],DATE(2026,10,2),tblDaily[WardCode],"FAE")),"")</f>
        <v/>
      </c>
      <c r="E359" s="5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5" t="str">
        <f>IFERROR(IF(SUMIFS(tblDaily[TransfersIn],tblDaily[EntryDate],DATE(2026,10,2),tblDaily[WardCode],"FAE")=0,"",SUMIFS(tblDaily[TransfersIn],tblDaily[EntryDate],DATE(2026,10,2),tblDaily[WardCode],"FAE")),"")</f>
        <v/>
      </c>
      <c r="G359" s="5" t="str">
        <f>IFERROR(IF(SUMIFS(tblDaily[TransfersOut],tblDaily[EntryDate],DATE(2026,10,2),tblDaily[WardCode],"FAE")=0,"",SUMIFS(tblDaily[TransfersOut],tblDaily[EntryDate],DATE(2026,10,2),tblDaily[WardCode],"FAE")),"")</f>
        <v/>
      </c>
      <c r="H359" s="5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IFERROR(IF(SUMIFS(tblDaily[Admissions],tblDaily[EntryDate],DATE(2026,10,3),tblDaily[WardCode],"FAE")=0,"",SUMIFS(tblDaily[Admissions],tblDaily[EntryDate],DATE(2026,10,3),tblDaily[WardCode],"FAE")),"")</f>
        <v/>
      </c>
      <c r="C360" s="5" t="str">
        <f>IFERROR(IF(SUMIFS(tblDaily[Discharges],tblDaily[EntryDate],DATE(2026,10,3),tblDaily[WardCode],"FAE")=0,"",SUMIFS(tblDaily[Discharges],tblDaily[EntryDate],DATE(2026,10,3),tblDaily[WardCode],"FAE")),"")</f>
        <v/>
      </c>
      <c r="D360" s="5" t="str">
        <f>IFERROR(IF(SUMIFS(tblDaily[Deaths],tblDaily[EntryDate],DATE(2026,10,3),tblDaily[WardCode],"FAE")=0,"",SUMIFS(tblDaily[Deaths],tblDaily[EntryDate],DATE(2026,10,3),tblDaily[WardCode],"FAE")),"")</f>
        <v/>
      </c>
      <c r="E360" s="5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5" t="str">
        <f>IFERROR(IF(SUMIFS(tblDaily[TransfersIn],tblDaily[EntryDate],DATE(2026,10,3),tblDaily[WardCode],"FAE")=0,"",SUMIFS(tblDaily[TransfersIn],tblDaily[EntryDate],DATE(2026,10,3),tblDaily[WardCode],"FAE")),"")</f>
        <v/>
      </c>
      <c r="G360" s="5" t="str">
        <f>IFERROR(IF(SUMIFS(tblDaily[TransfersOut],tblDaily[EntryDate],DATE(2026,10,3),tblDaily[WardCode],"FAE")=0,"",SUMIFS(tblDaily[TransfersOut],tblDaily[EntryDate],DATE(2026,10,3),tblDaily[WardCode],"FAE")),"")</f>
        <v/>
      </c>
      <c r="H360" s="5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IFERROR(IF(SUMIFS(tblDaily[Admissions],tblDaily[EntryDate],DATE(2026,10,4),tblDaily[WardCode],"FAE")=0,"",SUMIFS(tblDaily[Admissions],tblDaily[EntryDate],DATE(2026,10,4),tblDaily[WardCode],"FAE")),"")</f>
        <v/>
      </c>
      <c r="C361" s="5" t="str">
        <f>IFERROR(IF(SUMIFS(tblDaily[Discharges],tblDaily[EntryDate],DATE(2026,10,4),tblDaily[WardCode],"FAE")=0,"",SUMIFS(tblDaily[Discharges],tblDaily[EntryDate],DATE(2026,10,4),tblDaily[WardCode],"FAE")),"")</f>
        <v/>
      </c>
      <c r="D361" s="5" t="str">
        <f>IFERROR(IF(SUMIFS(tblDaily[Deaths],tblDaily[EntryDate],DATE(2026,10,4),tblDaily[WardCode],"FAE")=0,"",SUMIFS(tblDaily[Deaths],tblDaily[EntryDate],DATE(2026,10,4),tblDaily[WardCode],"FAE")),"")</f>
        <v/>
      </c>
      <c r="E361" s="5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5" t="str">
        <f>IFERROR(IF(SUMIFS(tblDaily[TransfersIn],tblDaily[EntryDate],DATE(2026,10,4),tblDaily[WardCode],"FAE")=0,"",SUMIFS(tblDaily[TransfersIn],tblDaily[EntryDate],DATE(2026,10,4),tblDaily[WardCode],"FAE")),"")</f>
        <v/>
      </c>
      <c r="G361" s="5" t="str">
        <f>IFERROR(IF(SUMIFS(tblDaily[TransfersOut],tblDaily[EntryDate],DATE(2026,10,4),tblDaily[WardCode],"FAE")=0,"",SUMIFS(tblDaily[TransfersOut],tblDaily[EntryDate],DATE(2026,10,4),tblDaily[WardCode],"FAE")),"")</f>
        <v/>
      </c>
      <c r="H361" s="5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IFERROR(IF(SUMIFS(tblDaily[Admissions],tblDaily[EntryDate],DATE(2026,10,5),tblDaily[WardCode],"FAE")=0,"",SUMIFS(tblDaily[Admissions],tblDaily[EntryDate],DATE(2026,10,5),tblDaily[WardCode],"FAE")),"")</f>
        <v/>
      </c>
      <c r="C362" s="5" t="str">
        <f>IFERROR(IF(SUMIFS(tblDaily[Discharges],tblDaily[EntryDate],DATE(2026,10,5),tblDaily[WardCode],"FAE")=0,"",SUMIFS(tblDaily[Discharges],tblDaily[EntryDate],DATE(2026,10,5),tblDaily[WardCode],"FAE")),"")</f>
        <v/>
      </c>
      <c r="D362" s="5" t="str">
        <f>IFERROR(IF(SUMIFS(tblDaily[Deaths],tblDaily[EntryDate],DATE(2026,10,5),tblDaily[WardCode],"FAE")=0,"",SUMIFS(tblDaily[Deaths],tblDaily[EntryDate],DATE(2026,10,5),tblDaily[WardCode],"FAE")),"")</f>
        <v/>
      </c>
      <c r="E362" s="5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5" t="str">
        <f>IFERROR(IF(SUMIFS(tblDaily[TransfersIn],tblDaily[EntryDate],DATE(2026,10,5),tblDaily[WardCode],"FAE")=0,"",SUMIFS(tblDaily[TransfersIn],tblDaily[EntryDate],DATE(2026,10,5),tblDaily[WardCode],"FAE")),"")</f>
        <v/>
      </c>
      <c r="G362" s="5" t="str">
        <f>IFERROR(IF(SUMIFS(tblDaily[TransfersOut],tblDaily[EntryDate],DATE(2026,10,5),tblDaily[WardCode],"FAE")=0,"",SUMIFS(tblDaily[TransfersOut],tblDaily[EntryDate],DATE(2026,10,5),tblDaily[WardCode],"FAE")),"")</f>
        <v/>
      </c>
      <c r="H362" s="5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IFERROR(IF(SUMIFS(tblDaily[Admissions],tblDaily[EntryDate],DATE(2026,10,6),tblDaily[WardCode],"FAE")=0,"",SUMIFS(tblDaily[Admissions],tblDaily[EntryDate],DATE(2026,10,6),tblDaily[WardCode],"FAE")),"")</f>
        <v/>
      </c>
      <c r="C363" s="5" t="str">
        <f>IFERROR(IF(SUMIFS(tblDaily[Discharges],tblDaily[EntryDate],DATE(2026,10,6),tblDaily[WardCode],"FAE")=0,"",SUMIFS(tblDaily[Discharges],tblDaily[EntryDate],DATE(2026,10,6),tblDaily[WardCode],"FAE")),"")</f>
        <v/>
      </c>
      <c r="D363" s="5" t="str">
        <f>IFERROR(IF(SUMIFS(tblDaily[Deaths],tblDaily[EntryDate],DATE(2026,10,6),tblDaily[WardCode],"FAE")=0,"",SUMIFS(tblDaily[Deaths],tblDaily[EntryDate],DATE(2026,10,6),tblDaily[WardCode],"FAE")),"")</f>
        <v/>
      </c>
      <c r="E363" s="5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5" t="str">
        <f>IFERROR(IF(SUMIFS(tblDaily[TransfersIn],tblDaily[EntryDate],DATE(2026,10,6),tblDaily[WardCode],"FAE")=0,"",SUMIFS(tblDaily[TransfersIn],tblDaily[EntryDate],DATE(2026,10,6),tblDaily[WardCode],"FAE")),"")</f>
        <v/>
      </c>
      <c r="G363" s="5" t="str">
        <f>IFERROR(IF(SUMIFS(tblDaily[TransfersOut],tblDaily[EntryDate],DATE(2026,10,6),tblDaily[WardCode],"FAE")=0,"",SUMIFS(tblDaily[TransfersOut],tblDaily[EntryDate],DATE(2026,10,6),tblDaily[WardCode],"FAE")),"")</f>
        <v/>
      </c>
      <c r="H363" s="5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IFERROR(IF(SUMIFS(tblDaily[Admissions],tblDaily[EntryDate],DATE(2026,10,7),tblDaily[WardCode],"FAE")=0,"",SUMIFS(tblDaily[Admissions],tblDaily[EntryDate],DATE(2026,10,7),tblDaily[WardCode],"FAE")),"")</f>
        <v/>
      </c>
      <c r="C364" s="5" t="str">
        <f>IFERROR(IF(SUMIFS(tblDaily[Discharges],tblDaily[EntryDate],DATE(2026,10,7),tblDaily[WardCode],"FAE")=0,"",SUMIFS(tblDaily[Discharges],tblDaily[EntryDate],DATE(2026,10,7),tblDaily[WardCode],"FAE")),"")</f>
        <v/>
      </c>
      <c r="D364" s="5" t="str">
        <f>IFERROR(IF(SUMIFS(tblDaily[Deaths],tblDaily[EntryDate],DATE(2026,10,7),tblDaily[WardCode],"FAE")=0,"",SUMIFS(tblDaily[Deaths],tblDaily[EntryDate],DATE(2026,10,7),tblDaily[WardCode],"FAE")),"")</f>
        <v/>
      </c>
      <c r="E364" s="5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5" t="str">
        <f>IFERROR(IF(SUMIFS(tblDaily[TransfersIn],tblDaily[EntryDate],DATE(2026,10,7),tblDaily[WardCode],"FAE")=0,"",SUMIFS(tblDaily[TransfersIn],tblDaily[EntryDate],DATE(2026,10,7),tblDaily[WardCode],"FAE")),"")</f>
        <v/>
      </c>
      <c r="G364" s="5" t="str">
        <f>IFERROR(IF(SUMIFS(tblDaily[TransfersOut],tblDaily[EntryDate],DATE(2026,10,7),tblDaily[WardCode],"FAE")=0,"",SUMIFS(tblDaily[TransfersOut],tblDaily[EntryDate],DATE(2026,10,7),tblDaily[WardCode],"FAE")),"")</f>
        <v/>
      </c>
      <c r="H364" s="5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IFERROR(IF(SUMIFS(tblDaily[Admissions],tblDaily[EntryDate],DATE(2026,10,8),tblDaily[WardCode],"FAE")=0,"",SUMIFS(tblDaily[Admissions],tblDaily[EntryDate],DATE(2026,10,8),tblDaily[WardCode],"FAE")),"")</f>
        <v/>
      </c>
      <c r="C365" s="5" t="str">
        <f>IFERROR(IF(SUMIFS(tblDaily[Discharges],tblDaily[EntryDate],DATE(2026,10,8),tblDaily[WardCode],"FAE")=0,"",SUMIFS(tblDaily[Discharges],tblDaily[EntryDate],DATE(2026,10,8),tblDaily[WardCode],"FAE")),"")</f>
        <v/>
      </c>
      <c r="D365" s="5" t="str">
        <f>IFERROR(IF(SUMIFS(tblDaily[Deaths],tblDaily[EntryDate],DATE(2026,10,8),tblDaily[WardCode],"FAE")=0,"",SUMIFS(tblDaily[Deaths],tblDaily[EntryDate],DATE(2026,10,8),tblDaily[WardCode],"FAE")),"")</f>
        <v/>
      </c>
      <c r="E365" s="5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5" t="str">
        <f>IFERROR(IF(SUMIFS(tblDaily[TransfersIn],tblDaily[EntryDate],DATE(2026,10,8),tblDaily[WardCode],"FAE")=0,"",SUMIFS(tblDaily[TransfersIn],tblDaily[EntryDate],DATE(2026,10,8),tblDaily[WardCode],"FAE")),"")</f>
        <v/>
      </c>
      <c r="G365" s="5" t="str">
        <f>IFERROR(IF(SUMIFS(tblDaily[TransfersOut],tblDaily[EntryDate],DATE(2026,10,8),tblDaily[WardCode],"FAE")=0,"",SUMIFS(tblDaily[TransfersOut],tblDaily[EntryDate],DATE(2026,10,8),tblDaily[WardCode],"FAE")),"")</f>
        <v/>
      </c>
      <c r="H365" s="5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IFERROR(IF(SUMIFS(tblDaily[Admissions],tblDaily[EntryDate],DATE(2026,10,9),tblDaily[WardCode],"FAE")=0,"",SUMIFS(tblDaily[Admissions],tblDaily[EntryDate],DATE(2026,10,9),tblDaily[WardCode],"FAE")),"")</f>
        <v/>
      </c>
      <c r="C366" s="5" t="str">
        <f>IFERROR(IF(SUMIFS(tblDaily[Discharges],tblDaily[EntryDate],DATE(2026,10,9),tblDaily[WardCode],"FAE")=0,"",SUMIFS(tblDaily[Discharges],tblDaily[EntryDate],DATE(2026,10,9),tblDaily[WardCode],"FAE")),"")</f>
        <v/>
      </c>
      <c r="D366" s="5" t="str">
        <f>IFERROR(IF(SUMIFS(tblDaily[Deaths],tblDaily[EntryDate],DATE(2026,10,9),tblDaily[WardCode],"FAE")=0,"",SUMIFS(tblDaily[Deaths],tblDaily[EntryDate],DATE(2026,10,9),tblDaily[WardCode],"FAE")),"")</f>
        <v/>
      </c>
      <c r="E366" s="5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5" t="str">
        <f>IFERROR(IF(SUMIFS(tblDaily[TransfersIn],tblDaily[EntryDate],DATE(2026,10,9),tblDaily[WardCode],"FAE")=0,"",SUMIFS(tblDaily[TransfersIn],tblDaily[EntryDate],DATE(2026,10,9),tblDaily[WardCode],"FAE")),"")</f>
        <v/>
      </c>
      <c r="G366" s="5" t="str">
        <f>IFERROR(IF(SUMIFS(tblDaily[TransfersOut],tblDaily[EntryDate],DATE(2026,10,9),tblDaily[WardCode],"FAE")=0,"",SUMIFS(tblDaily[TransfersOut],tblDaily[EntryDate],DATE(2026,10,9),tblDaily[WardCode],"FAE")),"")</f>
        <v/>
      </c>
      <c r="H366" s="5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IFERROR(IF(SUMIFS(tblDaily[Admissions],tblDaily[EntryDate],DATE(2026,10,10),tblDaily[WardCode],"FAE")=0,"",SUMIFS(tblDaily[Admissions],tblDaily[EntryDate],DATE(2026,10,10),tblDaily[WardCode],"FAE")),"")</f>
        <v/>
      </c>
      <c r="C367" s="5" t="str">
        <f>IFERROR(IF(SUMIFS(tblDaily[Discharges],tblDaily[EntryDate],DATE(2026,10,10),tblDaily[WardCode],"FAE")=0,"",SUMIFS(tblDaily[Discharges],tblDaily[EntryDate],DATE(2026,10,10),tblDaily[WardCode],"FAE")),"")</f>
        <v/>
      </c>
      <c r="D367" s="5" t="str">
        <f>IFERROR(IF(SUMIFS(tblDaily[Deaths],tblDaily[EntryDate],DATE(2026,10,10),tblDaily[WardCode],"FAE")=0,"",SUMIFS(tblDaily[Deaths],tblDaily[EntryDate],DATE(2026,10,10),tblDaily[WardCode],"FAE")),"")</f>
        <v/>
      </c>
      <c r="E367" s="5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5" t="str">
        <f>IFERROR(IF(SUMIFS(tblDaily[TransfersIn],tblDaily[EntryDate],DATE(2026,10,10),tblDaily[WardCode],"FAE")=0,"",SUMIFS(tblDaily[TransfersIn],tblDaily[EntryDate],DATE(2026,10,10),tblDaily[WardCode],"FAE")),"")</f>
        <v/>
      </c>
      <c r="G367" s="5" t="str">
        <f>IFERROR(IF(SUMIFS(tblDaily[TransfersOut],tblDaily[EntryDate],DATE(2026,10,10),tblDaily[WardCode],"FAE")=0,"",SUMIFS(tblDaily[TransfersOut],tblDaily[EntryDate],DATE(2026,10,10),tblDaily[WardCode],"FAE")),"")</f>
        <v/>
      </c>
      <c r="H367" s="5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IFERROR(IF(SUMIFS(tblDaily[Admissions],tblDaily[EntryDate],DATE(2026,10,11),tblDaily[WardCode],"FAE")=0,"",SUMIFS(tblDaily[Admissions],tblDaily[EntryDate],DATE(2026,10,11),tblDaily[WardCode],"FAE")),"")</f>
        <v/>
      </c>
      <c r="C368" s="5" t="str">
        <f>IFERROR(IF(SUMIFS(tblDaily[Discharges],tblDaily[EntryDate],DATE(2026,10,11),tblDaily[WardCode],"FAE")=0,"",SUMIFS(tblDaily[Discharges],tblDaily[EntryDate],DATE(2026,10,11),tblDaily[WardCode],"FAE")),"")</f>
        <v/>
      </c>
      <c r="D368" s="5" t="str">
        <f>IFERROR(IF(SUMIFS(tblDaily[Deaths],tblDaily[EntryDate],DATE(2026,10,11),tblDaily[WardCode],"FAE")=0,"",SUMIFS(tblDaily[Deaths],tblDaily[EntryDate],DATE(2026,10,11),tblDaily[WardCode],"FAE")),"")</f>
        <v/>
      </c>
      <c r="E368" s="5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5" t="str">
        <f>IFERROR(IF(SUMIFS(tblDaily[TransfersIn],tblDaily[EntryDate],DATE(2026,10,11),tblDaily[WardCode],"FAE")=0,"",SUMIFS(tblDaily[TransfersIn],tblDaily[EntryDate],DATE(2026,10,11),tblDaily[WardCode],"FAE")),"")</f>
        <v/>
      </c>
      <c r="G368" s="5" t="str">
        <f>IFERROR(IF(SUMIFS(tblDaily[TransfersOut],tblDaily[EntryDate],DATE(2026,10,11),tblDaily[WardCode],"FAE")=0,"",SUMIFS(tblDaily[TransfersOut],tblDaily[EntryDate],DATE(2026,10,11),tblDaily[WardCode],"FAE")),"")</f>
        <v/>
      </c>
      <c r="H368" s="5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IFERROR(IF(SUMIFS(tblDaily[Admissions],tblDaily[EntryDate],DATE(2026,10,12),tblDaily[WardCode],"FAE")=0,"",SUMIFS(tblDaily[Admissions],tblDaily[EntryDate],DATE(2026,10,12),tblDaily[WardCode],"FAE")),"")</f>
        <v/>
      </c>
      <c r="C369" s="5" t="str">
        <f>IFERROR(IF(SUMIFS(tblDaily[Discharges],tblDaily[EntryDate],DATE(2026,10,12),tblDaily[WardCode],"FAE")=0,"",SUMIFS(tblDaily[Discharges],tblDaily[EntryDate],DATE(2026,10,12),tblDaily[WardCode],"FAE")),"")</f>
        <v/>
      </c>
      <c r="D369" s="5" t="str">
        <f>IFERROR(IF(SUMIFS(tblDaily[Deaths],tblDaily[EntryDate],DATE(2026,10,12),tblDaily[WardCode],"FAE")=0,"",SUMIFS(tblDaily[Deaths],tblDaily[EntryDate],DATE(2026,10,12),tblDaily[WardCode],"FAE")),"")</f>
        <v/>
      </c>
      <c r="E369" s="5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5" t="str">
        <f>IFERROR(IF(SUMIFS(tblDaily[TransfersIn],tblDaily[EntryDate],DATE(2026,10,12),tblDaily[WardCode],"FAE")=0,"",SUMIFS(tblDaily[TransfersIn],tblDaily[EntryDate],DATE(2026,10,12),tblDaily[WardCode],"FAE")),"")</f>
        <v/>
      </c>
      <c r="G369" s="5" t="str">
        <f>IFERROR(IF(SUMIFS(tblDaily[TransfersOut],tblDaily[EntryDate],DATE(2026,10,12),tblDaily[WardCode],"FAE")=0,"",SUMIFS(tblDaily[TransfersOut],tblDaily[EntryDate],DATE(2026,10,12),tblDaily[WardCode],"FAE")),"")</f>
        <v/>
      </c>
      <c r="H369" s="5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IFERROR(IF(SUMIFS(tblDaily[Admissions],tblDaily[EntryDate],DATE(2026,10,13),tblDaily[WardCode],"FAE")=0,"",SUMIFS(tblDaily[Admissions],tblDaily[EntryDate],DATE(2026,10,13),tblDaily[WardCode],"FAE")),"")</f>
        <v/>
      </c>
      <c r="C370" s="5" t="str">
        <f>IFERROR(IF(SUMIFS(tblDaily[Discharges],tblDaily[EntryDate],DATE(2026,10,13),tblDaily[WardCode],"FAE")=0,"",SUMIFS(tblDaily[Discharges],tblDaily[EntryDate],DATE(2026,10,13),tblDaily[WardCode],"FAE")),"")</f>
        <v/>
      </c>
      <c r="D370" s="5" t="str">
        <f>IFERROR(IF(SUMIFS(tblDaily[Deaths],tblDaily[EntryDate],DATE(2026,10,13),tblDaily[WardCode],"FAE")=0,"",SUMIFS(tblDaily[Deaths],tblDaily[EntryDate],DATE(2026,10,13),tblDaily[WardCode],"FAE")),"")</f>
        <v/>
      </c>
      <c r="E370" s="5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5" t="str">
        <f>IFERROR(IF(SUMIFS(tblDaily[TransfersIn],tblDaily[EntryDate],DATE(2026,10,13),tblDaily[WardCode],"FAE")=0,"",SUMIFS(tblDaily[TransfersIn],tblDaily[EntryDate],DATE(2026,10,13),tblDaily[WardCode],"FAE")),"")</f>
        <v/>
      </c>
      <c r="G370" s="5" t="str">
        <f>IFERROR(IF(SUMIFS(tblDaily[TransfersOut],tblDaily[EntryDate],DATE(2026,10,13),tblDaily[WardCode],"FAE")=0,"",SUMIFS(tblDaily[TransfersOut],tblDaily[EntryDate],DATE(2026,10,13),tblDaily[WardCode],"FAE")),"")</f>
        <v/>
      </c>
      <c r="H370" s="5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IFERROR(IF(SUMIFS(tblDaily[Admissions],tblDaily[EntryDate],DATE(2026,10,14),tblDaily[WardCode],"FAE")=0,"",SUMIFS(tblDaily[Admissions],tblDaily[EntryDate],DATE(2026,10,14),tblDaily[WardCode],"FAE")),"")</f>
        <v/>
      </c>
      <c r="C371" s="5" t="str">
        <f>IFERROR(IF(SUMIFS(tblDaily[Discharges],tblDaily[EntryDate],DATE(2026,10,14),tblDaily[WardCode],"FAE")=0,"",SUMIFS(tblDaily[Discharges],tblDaily[EntryDate],DATE(2026,10,14),tblDaily[WardCode],"FAE")),"")</f>
        <v/>
      </c>
      <c r="D371" s="5" t="str">
        <f>IFERROR(IF(SUMIFS(tblDaily[Deaths],tblDaily[EntryDate],DATE(2026,10,14),tblDaily[WardCode],"FAE")=0,"",SUMIFS(tblDaily[Deaths],tblDaily[EntryDate],DATE(2026,10,14),tblDaily[WardCode],"FAE")),"")</f>
        <v/>
      </c>
      <c r="E371" s="5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5" t="str">
        <f>IFERROR(IF(SUMIFS(tblDaily[TransfersIn],tblDaily[EntryDate],DATE(2026,10,14),tblDaily[WardCode],"FAE")=0,"",SUMIFS(tblDaily[TransfersIn],tblDaily[EntryDate],DATE(2026,10,14),tblDaily[WardCode],"FAE")),"")</f>
        <v/>
      </c>
      <c r="G371" s="5" t="str">
        <f>IFERROR(IF(SUMIFS(tblDaily[TransfersOut],tblDaily[EntryDate],DATE(2026,10,14),tblDaily[WardCode],"FAE")=0,"",SUMIFS(tblDaily[TransfersOut],tblDaily[EntryDate],DATE(2026,10,14),tblDaily[WardCode],"FAE")),"")</f>
        <v/>
      </c>
      <c r="H371" s="5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IFERROR(IF(SUMIFS(tblDaily[Admissions],tblDaily[EntryDate],DATE(2026,10,15),tblDaily[WardCode],"FAE")=0,"",SUMIFS(tblDaily[Admissions],tblDaily[EntryDate],DATE(2026,10,15),tblDaily[WardCode],"FAE")),"")</f>
        <v/>
      </c>
      <c r="C372" s="5" t="str">
        <f>IFERROR(IF(SUMIFS(tblDaily[Discharges],tblDaily[EntryDate],DATE(2026,10,15),tblDaily[WardCode],"FAE")=0,"",SUMIFS(tblDaily[Discharges],tblDaily[EntryDate],DATE(2026,10,15),tblDaily[WardCode],"FAE")),"")</f>
        <v/>
      </c>
      <c r="D372" s="5" t="str">
        <f>IFERROR(IF(SUMIFS(tblDaily[Deaths],tblDaily[EntryDate],DATE(2026,10,15),tblDaily[WardCode],"FAE")=0,"",SUMIFS(tblDaily[Deaths],tblDaily[EntryDate],DATE(2026,10,15),tblDaily[WardCode],"FAE")),"")</f>
        <v/>
      </c>
      <c r="E372" s="5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5" t="str">
        <f>IFERROR(IF(SUMIFS(tblDaily[TransfersIn],tblDaily[EntryDate],DATE(2026,10,15),tblDaily[WardCode],"FAE")=0,"",SUMIFS(tblDaily[TransfersIn],tblDaily[EntryDate],DATE(2026,10,15),tblDaily[WardCode],"FAE")),"")</f>
        <v/>
      </c>
      <c r="G372" s="5" t="str">
        <f>IFERROR(IF(SUMIFS(tblDaily[TransfersOut],tblDaily[EntryDate],DATE(2026,10,15),tblDaily[WardCode],"FAE")=0,"",SUMIFS(tblDaily[TransfersOut],tblDaily[EntryDate],DATE(2026,10,15),tblDaily[WardCode],"FAE")),"")</f>
        <v/>
      </c>
      <c r="H372" s="5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IFERROR(IF(SUMIFS(tblDaily[Admissions],tblDaily[EntryDate],DATE(2026,10,16),tblDaily[WardCode],"FAE")=0,"",SUMIFS(tblDaily[Admissions],tblDaily[EntryDate],DATE(2026,10,16),tblDaily[WardCode],"FAE")),"")</f>
        <v/>
      </c>
      <c r="C373" s="5" t="str">
        <f>IFERROR(IF(SUMIFS(tblDaily[Discharges],tblDaily[EntryDate],DATE(2026,10,16),tblDaily[WardCode],"FAE")=0,"",SUMIFS(tblDaily[Discharges],tblDaily[EntryDate],DATE(2026,10,16),tblDaily[WardCode],"FAE")),"")</f>
        <v/>
      </c>
      <c r="D373" s="5" t="str">
        <f>IFERROR(IF(SUMIFS(tblDaily[Deaths],tblDaily[EntryDate],DATE(2026,10,16),tblDaily[WardCode],"FAE")=0,"",SUMIFS(tblDaily[Deaths],tblDaily[EntryDate],DATE(2026,10,16),tblDaily[WardCode],"FAE")),"")</f>
        <v/>
      </c>
      <c r="E373" s="5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5" t="str">
        <f>IFERROR(IF(SUMIFS(tblDaily[TransfersIn],tblDaily[EntryDate],DATE(2026,10,16),tblDaily[WardCode],"FAE")=0,"",SUMIFS(tblDaily[TransfersIn],tblDaily[EntryDate],DATE(2026,10,16),tblDaily[WardCode],"FAE")),"")</f>
        <v/>
      </c>
      <c r="G373" s="5" t="str">
        <f>IFERROR(IF(SUMIFS(tblDaily[TransfersOut],tblDaily[EntryDate],DATE(2026,10,16),tblDaily[WardCode],"FAE")=0,"",SUMIFS(tblDaily[TransfersOut],tblDaily[EntryDate],DATE(2026,10,16),tblDaily[WardCode],"FAE")),"")</f>
        <v/>
      </c>
      <c r="H373" s="5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IFERROR(IF(SUMIFS(tblDaily[Admissions],tblDaily[EntryDate],DATE(2026,10,17),tblDaily[WardCode],"FAE")=0,"",SUMIFS(tblDaily[Admissions],tblDaily[EntryDate],DATE(2026,10,17),tblDaily[WardCode],"FAE")),"")</f>
        <v/>
      </c>
      <c r="C374" s="5" t="str">
        <f>IFERROR(IF(SUMIFS(tblDaily[Discharges],tblDaily[EntryDate],DATE(2026,10,17),tblDaily[WardCode],"FAE")=0,"",SUMIFS(tblDaily[Discharges],tblDaily[EntryDate],DATE(2026,10,17),tblDaily[WardCode],"FAE")),"")</f>
        <v/>
      </c>
      <c r="D374" s="5" t="str">
        <f>IFERROR(IF(SUMIFS(tblDaily[Deaths],tblDaily[EntryDate],DATE(2026,10,17),tblDaily[WardCode],"FAE")=0,"",SUMIFS(tblDaily[Deaths],tblDaily[EntryDate],DATE(2026,10,17),tblDaily[WardCode],"FAE")),"")</f>
        <v/>
      </c>
      <c r="E374" s="5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5" t="str">
        <f>IFERROR(IF(SUMIFS(tblDaily[TransfersIn],tblDaily[EntryDate],DATE(2026,10,17),tblDaily[WardCode],"FAE")=0,"",SUMIFS(tblDaily[TransfersIn],tblDaily[EntryDate],DATE(2026,10,17),tblDaily[WardCode],"FAE")),"")</f>
        <v/>
      </c>
      <c r="G374" s="5" t="str">
        <f>IFERROR(IF(SUMIFS(tblDaily[TransfersOut],tblDaily[EntryDate],DATE(2026,10,17),tblDaily[WardCode],"FAE")=0,"",SUMIFS(tblDaily[TransfersOut],tblDaily[EntryDate],DATE(2026,10,17),tblDaily[WardCode],"FAE")),"")</f>
        <v/>
      </c>
      <c r="H374" s="5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IFERROR(IF(SUMIFS(tblDaily[Admissions],tblDaily[EntryDate],DATE(2026,10,18),tblDaily[WardCode],"FAE")=0,"",SUMIFS(tblDaily[Admissions],tblDaily[EntryDate],DATE(2026,10,18),tblDaily[WardCode],"FAE")),"")</f>
        <v/>
      </c>
      <c r="C375" s="5" t="str">
        <f>IFERROR(IF(SUMIFS(tblDaily[Discharges],tblDaily[EntryDate],DATE(2026,10,18),tblDaily[WardCode],"FAE")=0,"",SUMIFS(tblDaily[Discharges],tblDaily[EntryDate],DATE(2026,10,18),tblDaily[WardCode],"FAE")),"")</f>
        <v/>
      </c>
      <c r="D375" s="5" t="str">
        <f>IFERROR(IF(SUMIFS(tblDaily[Deaths],tblDaily[EntryDate],DATE(2026,10,18),tblDaily[WardCode],"FAE")=0,"",SUMIFS(tblDaily[Deaths],tblDaily[EntryDate],DATE(2026,10,18),tblDaily[WardCode],"FAE")),"")</f>
        <v/>
      </c>
      <c r="E375" s="5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5" t="str">
        <f>IFERROR(IF(SUMIFS(tblDaily[TransfersIn],tblDaily[EntryDate],DATE(2026,10,18),tblDaily[WardCode],"FAE")=0,"",SUMIFS(tblDaily[TransfersIn],tblDaily[EntryDate],DATE(2026,10,18),tblDaily[WardCode],"FAE")),"")</f>
        <v/>
      </c>
      <c r="G375" s="5" t="str">
        <f>IFERROR(IF(SUMIFS(tblDaily[TransfersOut],tblDaily[EntryDate],DATE(2026,10,18),tblDaily[WardCode],"FAE")=0,"",SUMIFS(tblDaily[TransfersOut],tblDaily[EntryDate],DATE(2026,10,18),tblDaily[WardCode],"FAE")),"")</f>
        <v/>
      </c>
      <c r="H375" s="5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IFERROR(IF(SUMIFS(tblDaily[Admissions],tblDaily[EntryDate],DATE(2026,10,19),tblDaily[WardCode],"FAE")=0,"",SUMIFS(tblDaily[Admissions],tblDaily[EntryDate],DATE(2026,10,19),tblDaily[WardCode],"FAE")),"")</f>
        <v/>
      </c>
      <c r="C376" s="5" t="str">
        <f>IFERROR(IF(SUMIFS(tblDaily[Discharges],tblDaily[EntryDate],DATE(2026,10,19),tblDaily[WardCode],"FAE")=0,"",SUMIFS(tblDaily[Discharges],tblDaily[EntryDate],DATE(2026,10,19),tblDaily[WardCode],"FAE")),"")</f>
        <v/>
      </c>
      <c r="D376" s="5" t="str">
        <f>IFERROR(IF(SUMIFS(tblDaily[Deaths],tblDaily[EntryDate],DATE(2026,10,19),tblDaily[WardCode],"FAE")=0,"",SUMIFS(tblDaily[Deaths],tblDaily[EntryDate],DATE(2026,10,19),tblDaily[WardCode],"FAE")),"")</f>
        <v/>
      </c>
      <c r="E376" s="5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5" t="str">
        <f>IFERROR(IF(SUMIFS(tblDaily[TransfersIn],tblDaily[EntryDate],DATE(2026,10,19),tblDaily[WardCode],"FAE")=0,"",SUMIFS(tblDaily[TransfersIn],tblDaily[EntryDate],DATE(2026,10,19),tblDaily[WardCode],"FAE")),"")</f>
        <v/>
      </c>
      <c r="G376" s="5" t="str">
        <f>IFERROR(IF(SUMIFS(tblDaily[TransfersOut],tblDaily[EntryDate],DATE(2026,10,19),tblDaily[WardCode],"FAE")=0,"",SUMIFS(tblDaily[TransfersOut],tblDaily[EntryDate],DATE(2026,10,19),tblDaily[WardCode],"FAE")),"")</f>
        <v/>
      </c>
      <c r="H376" s="5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IFERROR(IF(SUMIFS(tblDaily[Admissions],tblDaily[EntryDate],DATE(2026,10,20),tblDaily[WardCode],"FAE")=0,"",SUMIFS(tblDaily[Admissions],tblDaily[EntryDate],DATE(2026,10,20),tblDaily[WardCode],"FAE")),"")</f>
        <v/>
      </c>
      <c r="C377" s="5" t="str">
        <f>IFERROR(IF(SUMIFS(tblDaily[Discharges],tblDaily[EntryDate],DATE(2026,10,20),tblDaily[WardCode],"FAE")=0,"",SUMIFS(tblDaily[Discharges],tblDaily[EntryDate],DATE(2026,10,20),tblDaily[WardCode],"FAE")),"")</f>
        <v/>
      </c>
      <c r="D377" s="5" t="str">
        <f>IFERROR(IF(SUMIFS(tblDaily[Deaths],tblDaily[EntryDate],DATE(2026,10,20),tblDaily[WardCode],"FAE")=0,"",SUMIFS(tblDaily[Deaths],tblDaily[EntryDate],DATE(2026,10,20),tblDaily[WardCode],"FAE")),"")</f>
        <v/>
      </c>
      <c r="E377" s="5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5" t="str">
        <f>IFERROR(IF(SUMIFS(tblDaily[TransfersIn],tblDaily[EntryDate],DATE(2026,10,20),tblDaily[WardCode],"FAE")=0,"",SUMIFS(tblDaily[TransfersIn],tblDaily[EntryDate],DATE(2026,10,20),tblDaily[WardCode],"FAE")),"")</f>
        <v/>
      </c>
      <c r="G377" s="5" t="str">
        <f>IFERROR(IF(SUMIFS(tblDaily[TransfersOut],tblDaily[EntryDate],DATE(2026,10,20),tblDaily[WardCode],"FAE")=0,"",SUMIFS(tblDaily[TransfersOut],tblDaily[EntryDate],DATE(2026,10,20),tblDaily[WardCode],"FAE")),"")</f>
        <v/>
      </c>
      <c r="H377" s="5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IFERROR(IF(SUMIFS(tblDaily[Admissions],tblDaily[EntryDate],DATE(2026,10,21),tblDaily[WardCode],"FAE")=0,"",SUMIFS(tblDaily[Admissions],tblDaily[EntryDate],DATE(2026,10,21),tblDaily[WardCode],"FAE")),"")</f>
        <v/>
      </c>
      <c r="C378" s="5" t="str">
        <f>IFERROR(IF(SUMIFS(tblDaily[Discharges],tblDaily[EntryDate],DATE(2026,10,21),tblDaily[WardCode],"FAE")=0,"",SUMIFS(tblDaily[Discharges],tblDaily[EntryDate],DATE(2026,10,21),tblDaily[WardCode],"FAE")),"")</f>
        <v/>
      </c>
      <c r="D378" s="5" t="str">
        <f>IFERROR(IF(SUMIFS(tblDaily[Deaths],tblDaily[EntryDate],DATE(2026,10,21),tblDaily[WardCode],"FAE")=0,"",SUMIFS(tblDaily[Deaths],tblDaily[EntryDate],DATE(2026,10,21),tblDaily[WardCode],"FAE")),"")</f>
        <v/>
      </c>
      <c r="E378" s="5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5" t="str">
        <f>IFERROR(IF(SUMIFS(tblDaily[TransfersIn],tblDaily[EntryDate],DATE(2026,10,21),tblDaily[WardCode],"FAE")=0,"",SUMIFS(tblDaily[TransfersIn],tblDaily[EntryDate],DATE(2026,10,21),tblDaily[WardCode],"FAE")),"")</f>
        <v/>
      </c>
      <c r="G378" s="5" t="str">
        <f>IFERROR(IF(SUMIFS(tblDaily[TransfersOut],tblDaily[EntryDate],DATE(2026,10,21),tblDaily[WardCode],"FAE")=0,"",SUMIFS(tblDaily[TransfersOut],tblDaily[EntryDate],DATE(2026,10,21),tblDaily[WardCode],"FAE")),"")</f>
        <v/>
      </c>
      <c r="H378" s="5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IFERROR(IF(SUMIFS(tblDaily[Admissions],tblDaily[EntryDate],DATE(2026,10,22),tblDaily[WardCode],"FAE")=0,"",SUMIFS(tblDaily[Admissions],tblDaily[EntryDate],DATE(2026,10,22),tblDaily[WardCode],"FAE")),"")</f>
        <v/>
      </c>
      <c r="C379" s="5" t="str">
        <f>IFERROR(IF(SUMIFS(tblDaily[Discharges],tblDaily[EntryDate],DATE(2026,10,22),tblDaily[WardCode],"FAE")=0,"",SUMIFS(tblDaily[Discharges],tblDaily[EntryDate],DATE(2026,10,22),tblDaily[WardCode],"FAE")),"")</f>
        <v/>
      </c>
      <c r="D379" s="5" t="str">
        <f>IFERROR(IF(SUMIFS(tblDaily[Deaths],tblDaily[EntryDate],DATE(2026,10,22),tblDaily[WardCode],"FAE")=0,"",SUMIFS(tblDaily[Deaths],tblDaily[EntryDate],DATE(2026,10,22),tblDaily[WardCode],"FAE")),"")</f>
        <v/>
      </c>
      <c r="E379" s="5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5" t="str">
        <f>IFERROR(IF(SUMIFS(tblDaily[TransfersIn],tblDaily[EntryDate],DATE(2026,10,22),tblDaily[WardCode],"FAE")=0,"",SUMIFS(tblDaily[TransfersIn],tblDaily[EntryDate],DATE(2026,10,22),tblDaily[WardCode],"FAE")),"")</f>
        <v/>
      </c>
      <c r="G379" s="5" t="str">
        <f>IFERROR(IF(SUMIFS(tblDaily[TransfersOut],tblDaily[EntryDate],DATE(2026,10,22),tblDaily[WardCode],"FAE")=0,"",SUMIFS(tblDaily[TransfersOut],tblDaily[EntryDate],DATE(2026,10,22),tblDaily[WardCode],"FAE")),"")</f>
        <v/>
      </c>
      <c r="H379" s="5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IFERROR(IF(SUMIFS(tblDaily[Admissions],tblDaily[EntryDate],DATE(2026,10,23),tblDaily[WardCode],"FAE")=0,"",SUMIFS(tblDaily[Admissions],tblDaily[EntryDate],DATE(2026,10,23),tblDaily[WardCode],"FAE")),"")</f>
        <v/>
      </c>
      <c r="C380" s="5" t="str">
        <f>IFERROR(IF(SUMIFS(tblDaily[Discharges],tblDaily[EntryDate],DATE(2026,10,23),tblDaily[WardCode],"FAE")=0,"",SUMIFS(tblDaily[Discharges],tblDaily[EntryDate],DATE(2026,10,23),tblDaily[WardCode],"FAE")),"")</f>
        <v/>
      </c>
      <c r="D380" s="5" t="str">
        <f>IFERROR(IF(SUMIFS(tblDaily[Deaths],tblDaily[EntryDate],DATE(2026,10,23),tblDaily[WardCode],"FAE")=0,"",SUMIFS(tblDaily[Deaths],tblDaily[EntryDate],DATE(2026,10,23),tblDaily[WardCode],"FAE")),"")</f>
        <v/>
      </c>
      <c r="E380" s="5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5" t="str">
        <f>IFERROR(IF(SUMIFS(tblDaily[TransfersIn],tblDaily[EntryDate],DATE(2026,10,23),tblDaily[WardCode],"FAE")=0,"",SUMIFS(tblDaily[TransfersIn],tblDaily[EntryDate],DATE(2026,10,23),tblDaily[WardCode],"FAE")),"")</f>
        <v/>
      </c>
      <c r="G380" s="5" t="str">
        <f>IFERROR(IF(SUMIFS(tblDaily[TransfersOut],tblDaily[EntryDate],DATE(2026,10,23),tblDaily[WardCode],"FAE")=0,"",SUMIFS(tblDaily[TransfersOut],tblDaily[EntryDate],DATE(2026,10,23),tblDaily[WardCode],"FAE")),"")</f>
        <v/>
      </c>
      <c r="H380" s="5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IFERROR(IF(SUMIFS(tblDaily[Admissions],tblDaily[EntryDate],DATE(2026,10,24),tblDaily[WardCode],"FAE")=0,"",SUMIFS(tblDaily[Admissions],tblDaily[EntryDate],DATE(2026,10,24),tblDaily[WardCode],"FAE")),"")</f>
        <v/>
      </c>
      <c r="C381" s="5" t="str">
        <f>IFERROR(IF(SUMIFS(tblDaily[Discharges],tblDaily[EntryDate],DATE(2026,10,24),tblDaily[WardCode],"FAE")=0,"",SUMIFS(tblDaily[Discharges],tblDaily[EntryDate],DATE(2026,10,24),tblDaily[WardCode],"FAE")),"")</f>
        <v/>
      </c>
      <c r="D381" s="5" t="str">
        <f>IFERROR(IF(SUMIFS(tblDaily[Deaths],tblDaily[EntryDate],DATE(2026,10,24),tblDaily[WardCode],"FAE")=0,"",SUMIFS(tblDaily[Deaths],tblDaily[EntryDate],DATE(2026,10,24),tblDaily[WardCode],"FAE")),"")</f>
        <v/>
      </c>
      <c r="E381" s="5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5" t="str">
        <f>IFERROR(IF(SUMIFS(tblDaily[TransfersIn],tblDaily[EntryDate],DATE(2026,10,24),tblDaily[WardCode],"FAE")=0,"",SUMIFS(tblDaily[TransfersIn],tblDaily[EntryDate],DATE(2026,10,24),tblDaily[WardCode],"FAE")),"")</f>
        <v/>
      </c>
      <c r="G381" s="5" t="str">
        <f>IFERROR(IF(SUMIFS(tblDaily[TransfersOut],tblDaily[EntryDate],DATE(2026,10,24),tblDaily[WardCode],"FAE")=0,"",SUMIFS(tblDaily[TransfersOut],tblDaily[EntryDate],DATE(2026,10,24),tblDaily[WardCode],"FAE")),"")</f>
        <v/>
      </c>
      <c r="H381" s="5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IFERROR(IF(SUMIFS(tblDaily[Admissions],tblDaily[EntryDate],DATE(2026,10,25),tblDaily[WardCode],"FAE")=0,"",SUMIFS(tblDaily[Admissions],tblDaily[EntryDate],DATE(2026,10,25),tblDaily[WardCode],"FAE")),"")</f>
        <v/>
      </c>
      <c r="C382" s="5" t="str">
        <f>IFERROR(IF(SUMIFS(tblDaily[Discharges],tblDaily[EntryDate],DATE(2026,10,25),tblDaily[WardCode],"FAE")=0,"",SUMIFS(tblDaily[Discharges],tblDaily[EntryDate],DATE(2026,10,25),tblDaily[WardCode],"FAE")),"")</f>
        <v/>
      </c>
      <c r="D382" s="5" t="str">
        <f>IFERROR(IF(SUMIFS(tblDaily[Deaths],tblDaily[EntryDate],DATE(2026,10,25),tblDaily[WardCode],"FAE")=0,"",SUMIFS(tblDaily[Deaths],tblDaily[EntryDate],DATE(2026,10,25),tblDaily[WardCode],"FAE")),"")</f>
        <v/>
      </c>
      <c r="E382" s="5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5" t="str">
        <f>IFERROR(IF(SUMIFS(tblDaily[TransfersIn],tblDaily[EntryDate],DATE(2026,10,25),tblDaily[WardCode],"FAE")=0,"",SUMIFS(tblDaily[TransfersIn],tblDaily[EntryDate],DATE(2026,10,25),tblDaily[WardCode],"FAE")),"")</f>
        <v/>
      </c>
      <c r="G382" s="5" t="str">
        <f>IFERROR(IF(SUMIFS(tblDaily[TransfersOut],tblDaily[EntryDate],DATE(2026,10,25),tblDaily[WardCode],"FAE")=0,"",SUMIFS(tblDaily[TransfersOut],tblDaily[EntryDate],DATE(2026,10,25),tblDaily[WardCode],"FAE")),"")</f>
        <v/>
      </c>
      <c r="H382" s="5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IFERROR(IF(SUMIFS(tblDaily[Admissions],tblDaily[EntryDate],DATE(2026,10,26),tblDaily[WardCode],"FAE")=0,"",SUMIFS(tblDaily[Admissions],tblDaily[EntryDate],DATE(2026,10,26),tblDaily[WardCode],"FAE")),"")</f>
        <v/>
      </c>
      <c r="C383" s="5" t="str">
        <f>IFERROR(IF(SUMIFS(tblDaily[Discharges],tblDaily[EntryDate],DATE(2026,10,26),tblDaily[WardCode],"FAE")=0,"",SUMIFS(tblDaily[Discharges],tblDaily[EntryDate],DATE(2026,10,26),tblDaily[WardCode],"FAE")),"")</f>
        <v/>
      </c>
      <c r="D383" s="5" t="str">
        <f>IFERROR(IF(SUMIFS(tblDaily[Deaths],tblDaily[EntryDate],DATE(2026,10,26),tblDaily[WardCode],"FAE")=0,"",SUMIFS(tblDaily[Deaths],tblDaily[EntryDate],DATE(2026,10,26),tblDaily[WardCode],"FAE")),"")</f>
        <v/>
      </c>
      <c r="E383" s="5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5" t="str">
        <f>IFERROR(IF(SUMIFS(tblDaily[TransfersIn],tblDaily[EntryDate],DATE(2026,10,26),tblDaily[WardCode],"FAE")=0,"",SUMIFS(tblDaily[TransfersIn],tblDaily[EntryDate],DATE(2026,10,26),tblDaily[WardCode],"FAE")),"")</f>
        <v/>
      </c>
      <c r="G383" s="5" t="str">
        <f>IFERROR(IF(SUMIFS(tblDaily[TransfersOut],tblDaily[EntryDate],DATE(2026,10,26),tblDaily[WardCode],"FAE")=0,"",SUMIFS(tblDaily[TransfersOut],tblDaily[EntryDate],DATE(2026,10,26),tblDaily[WardCode],"FAE")),"")</f>
        <v/>
      </c>
      <c r="H383" s="5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IFERROR(IF(SUMIFS(tblDaily[Admissions],tblDaily[EntryDate],DATE(2026,10,27),tblDaily[WardCode],"FAE")=0,"",SUMIFS(tblDaily[Admissions],tblDaily[EntryDate],DATE(2026,10,27),tblDaily[WardCode],"FAE")),"")</f>
        <v/>
      </c>
      <c r="C384" s="5" t="str">
        <f>IFERROR(IF(SUMIFS(tblDaily[Discharges],tblDaily[EntryDate],DATE(2026,10,27),tblDaily[WardCode],"FAE")=0,"",SUMIFS(tblDaily[Discharges],tblDaily[EntryDate],DATE(2026,10,27),tblDaily[WardCode],"FAE")),"")</f>
        <v/>
      </c>
      <c r="D384" s="5" t="str">
        <f>IFERROR(IF(SUMIFS(tblDaily[Deaths],tblDaily[EntryDate],DATE(2026,10,27),tblDaily[WardCode],"FAE")=0,"",SUMIFS(tblDaily[Deaths],tblDaily[EntryDate],DATE(2026,10,27),tblDaily[WardCode],"FAE")),"")</f>
        <v/>
      </c>
      <c r="E384" s="5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5" t="str">
        <f>IFERROR(IF(SUMIFS(tblDaily[TransfersIn],tblDaily[EntryDate],DATE(2026,10,27),tblDaily[WardCode],"FAE")=0,"",SUMIFS(tblDaily[TransfersIn],tblDaily[EntryDate],DATE(2026,10,27),tblDaily[WardCode],"FAE")),"")</f>
        <v/>
      </c>
      <c r="G384" s="5" t="str">
        <f>IFERROR(IF(SUMIFS(tblDaily[TransfersOut],tblDaily[EntryDate],DATE(2026,10,27),tblDaily[WardCode],"FAE")=0,"",SUMIFS(tblDaily[TransfersOut],tblDaily[EntryDate],DATE(2026,10,27),tblDaily[WardCode],"FAE")),"")</f>
        <v/>
      </c>
      <c r="H384" s="5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IFERROR(IF(SUMIFS(tblDaily[Admissions],tblDaily[EntryDate],DATE(2026,10,28),tblDaily[WardCode],"FAE")=0,"",SUMIFS(tblDaily[Admissions],tblDaily[EntryDate],DATE(2026,10,28),tblDaily[WardCode],"FAE")),"")</f>
        <v/>
      </c>
      <c r="C385" s="5" t="str">
        <f>IFERROR(IF(SUMIFS(tblDaily[Discharges],tblDaily[EntryDate],DATE(2026,10,28),tblDaily[WardCode],"FAE")=0,"",SUMIFS(tblDaily[Discharges],tblDaily[EntryDate],DATE(2026,10,28),tblDaily[WardCode],"FAE")),"")</f>
        <v/>
      </c>
      <c r="D385" s="5" t="str">
        <f>IFERROR(IF(SUMIFS(tblDaily[Deaths],tblDaily[EntryDate],DATE(2026,10,28),tblDaily[WardCode],"FAE")=0,"",SUMIFS(tblDaily[Deaths],tblDaily[EntryDate],DATE(2026,10,28),tblDaily[WardCode],"FAE")),"")</f>
        <v/>
      </c>
      <c r="E385" s="5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5" t="str">
        <f>IFERROR(IF(SUMIFS(tblDaily[TransfersIn],tblDaily[EntryDate],DATE(2026,10,28),tblDaily[WardCode],"FAE")=0,"",SUMIFS(tblDaily[TransfersIn],tblDaily[EntryDate],DATE(2026,10,28),tblDaily[WardCode],"FAE")),"")</f>
        <v/>
      </c>
      <c r="G385" s="5" t="str">
        <f>IFERROR(IF(SUMIFS(tblDaily[TransfersOut],tblDaily[EntryDate],DATE(2026,10,28),tblDaily[WardCode],"FAE")=0,"",SUMIFS(tblDaily[TransfersOut],tblDaily[EntryDate],DATE(2026,10,28),tblDaily[WardCode],"FAE")),"")</f>
        <v/>
      </c>
      <c r="H385" s="5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IFERROR(IF(SUMIFS(tblDaily[Admissions],tblDaily[EntryDate],DATE(2026,10,29),tblDaily[WardCode],"FAE")=0,"",SUMIFS(tblDaily[Admissions],tblDaily[EntryDate],DATE(2026,10,29),tblDaily[WardCode],"FAE")),"")</f>
        <v/>
      </c>
      <c r="C386" s="5" t="str">
        <f>IFERROR(IF(SUMIFS(tblDaily[Discharges],tblDaily[EntryDate],DATE(2026,10,29),tblDaily[WardCode],"FAE")=0,"",SUMIFS(tblDaily[Discharges],tblDaily[EntryDate],DATE(2026,10,29),tblDaily[WardCode],"FAE")),"")</f>
        <v/>
      </c>
      <c r="D386" s="5" t="str">
        <f>IFERROR(IF(SUMIFS(tblDaily[Deaths],tblDaily[EntryDate],DATE(2026,10,29),tblDaily[WardCode],"FAE")=0,"",SUMIFS(tblDaily[Deaths],tblDaily[EntryDate],DATE(2026,10,29),tblDaily[WardCode],"FAE")),"")</f>
        <v/>
      </c>
      <c r="E386" s="5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5" t="str">
        <f>IFERROR(IF(SUMIFS(tblDaily[TransfersIn],tblDaily[EntryDate],DATE(2026,10,29),tblDaily[WardCode],"FAE")=0,"",SUMIFS(tblDaily[TransfersIn],tblDaily[EntryDate],DATE(2026,10,29),tblDaily[WardCode],"FAE")),"")</f>
        <v/>
      </c>
      <c r="G386" s="5" t="str">
        <f>IFERROR(IF(SUMIFS(tblDaily[TransfersOut],tblDaily[EntryDate],DATE(2026,10,29),tblDaily[WardCode],"FAE")=0,"",SUMIFS(tblDaily[TransfersOut],tblDaily[EntryDate],DATE(2026,10,29),tblDaily[WardCode],"FAE")),"")</f>
        <v/>
      </c>
      <c r="H386" s="5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IFERROR(IF(SUMIFS(tblDaily[Admissions],tblDaily[EntryDate],DATE(2026,10,30),tblDaily[WardCode],"FAE")=0,"",SUMIFS(tblDaily[Admissions],tblDaily[EntryDate],DATE(2026,10,30),tblDaily[WardCode],"FAE")),"")</f>
        <v/>
      </c>
      <c r="C387" s="5" t="str">
        <f>IFERROR(IF(SUMIFS(tblDaily[Discharges],tblDaily[EntryDate],DATE(2026,10,30),tblDaily[WardCode],"FAE")=0,"",SUMIFS(tblDaily[Discharges],tblDaily[EntryDate],DATE(2026,10,30),tblDaily[WardCode],"FAE")),"")</f>
        <v/>
      </c>
      <c r="D387" s="5" t="str">
        <f>IFERROR(IF(SUMIFS(tblDaily[Deaths],tblDaily[EntryDate],DATE(2026,10,30),tblDaily[WardCode],"FAE")=0,"",SUMIFS(tblDaily[Deaths],tblDaily[EntryDate],DATE(2026,10,30),tblDaily[WardCode],"FAE")),"")</f>
        <v/>
      </c>
      <c r="E387" s="5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5" t="str">
        <f>IFERROR(IF(SUMIFS(tblDaily[TransfersIn],tblDaily[EntryDate],DATE(2026,10,30),tblDaily[WardCode],"FAE")=0,"",SUMIFS(tblDaily[TransfersIn],tblDaily[EntryDate],DATE(2026,10,30),tblDaily[WardCode],"FAE")),"")</f>
        <v/>
      </c>
      <c r="G387" s="5" t="str">
        <f>IFERROR(IF(SUMIFS(tblDaily[TransfersOut],tblDaily[EntryDate],DATE(2026,10,30),tblDaily[WardCode],"FAE")=0,"",SUMIFS(tblDaily[TransfersOut],tblDaily[EntryDate],DATE(2026,10,30),tblDaily[WardCode],"FAE")),"")</f>
        <v/>
      </c>
      <c r="H387" s="5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IFERROR(IF(SUMIFS(tblDaily[Admissions],tblDaily[EntryDate],DATE(2026,10,31),tblDaily[WardCode],"FAE")=0,"",SUMIFS(tblDaily[Admissions],tblDaily[EntryDate],DATE(2026,10,31),tblDaily[WardCode],"FAE")),"")</f>
        <v/>
      </c>
      <c r="C388" s="5" t="str">
        <f>IFERROR(IF(SUMIFS(tblDaily[Discharges],tblDaily[EntryDate],DATE(2026,10,31),tblDaily[WardCode],"FAE")=0,"",SUMIFS(tblDaily[Discharges],tblDaily[EntryDate],DATE(2026,10,31),tblDaily[WardCode],"FAE")),"")</f>
        <v/>
      </c>
      <c r="D388" s="5" t="str">
        <f>IFERROR(IF(SUMIFS(tblDaily[Deaths],tblDaily[EntryDate],DATE(2026,10,31),tblDaily[WardCode],"FAE")=0,"",SUMIFS(tblDaily[Deaths],tblDaily[EntryDate],DATE(2026,10,31),tblDaily[WardCode],"FAE")),"")</f>
        <v/>
      </c>
      <c r="E388" s="5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5" t="str">
        <f>IFERROR(IF(SUMIFS(tblDaily[TransfersIn],tblDaily[EntryDate],DATE(2026,10,31),tblDaily[WardCode],"FAE")=0,"",SUMIFS(tblDaily[TransfersIn],tblDaily[EntryDate],DATE(2026,10,31),tblDaily[WardCode],"FAE")),"")</f>
        <v/>
      </c>
      <c r="G388" s="5" t="str">
        <f>IFERROR(IF(SUMIFS(tblDaily[TransfersOut],tblDaily[EntryDate],DATE(2026,10,31),tblDaily[WardCode],"FAE")=0,"",SUMIFS(tblDaily[TransfersOut],tblDaily[EntryDate],DATE(2026,10,31),tblDaily[WardCode],"FAE")),"")</f>
        <v/>
      </c>
      <c r="H388" s="5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95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16" t="s">
        <v>0</v>
      </c>
      <c r="B391" s="17"/>
      <c r="C391" s="17"/>
      <c r="D391" s="17"/>
      <c r="E391" s="17"/>
      <c r="F391" s="17"/>
      <c r="G391" s="17"/>
      <c r="H391" s="17"/>
    </row>
    <row r="392" spans="1:8" ht="15.75" x14ac:dyDescent="0.25">
      <c r="A392" s="21" t="s">
        <v>84</v>
      </c>
      <c r="B392" s="17"/>
      <c r="C392" s="17"/>
      <c r="D392" s="17"/>
      <c r="E392" s="17"/>
      <c r="F392" s="17"/>
      <c r="G392" s="17"/>
      <c r="H392" s="17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103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89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IFERROR(IF(SUMIFS(tblDaily[Admissions],tblDaily[EntryDate],DATE(2026,11,1),tblDaily[WardCode],"FAE")=0,"",SUMIFS(tblDaily[Admissions],tblDaily[EntryDate],DATE(2026,11,1),tblDaily[WardCode],"FAE")),"")</f>
        <v/>
      </c>
      <c r="C397" s="5" t="str">
        <f>IFERROR(IF(SUMIFS(tblDaily[Discharges],tblDaily[EntryDate],DATE(2026,11,1),tblDaily[WardCode],"FAE")=0,"",SUMIFS(tblDaily[Discharges],tblDaily[EntryDate],DATE(2026,11,1),tblDaily[WardCode],"FAE")),"")</f>
        <v/>
      </c>
      <c r="D397" s="5" t="str">
        <f>IFERROR(IF(SUMIFS(tblDaily[Deaths],tblDaily[EntryDate],DATE(2026,11,1),tblDaily[WardCode],"FAE")=0,"",SUMIFS(tblDaily[Deaths],tblDaily[EntryDate],DATE(2026,11,1),tblDaily[WardCode],"FAE")),"")</f>
        <v/>
      </c>
      <c r="E397" s="5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5" t="str">
        <f>IFERROR(IF(SUMIFS(tblDaily[TransfersIn],tblDaily[EntryDate],DATE(2026,11,1),tblDaily[WardCode],"FAE")=0,"",SUMIFS(tblDaily[TransfersIn],tblDaily[EntryDate],DATE(2026,11,1),tblDaily[WardCode],"FAE")),"")</f>
        <v/>
      </c>
      <c r="G397" s="5" t="str">
        <f>IFERROR(IF(SUMIFS(tblDaily[TransfersOut],tblDaily[EntryDate],DATE(2026,11,1),tblDaily[WardCode],"FAE")=0,"",SUMIFS(tblDaily[TransfersOut],tblDaily[EntryDate],DATE(2026,11,1),tblDaily[WardCode],"FAE")),"")</f>
        <v/>
      </c>
      <c r="H397" s="5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IFERROR(IF(SUMIFS(tblDaily[Admissions],tblDaily[EntryDate],DATE(2026,11,2),tblDaily[WardCode],"FAE")=0,"",SUMIFS(tblDaily[Admissions],tblDaily[EntryDate],DATE(2026,11,2),tblDaily[WardCode],"FAE")),"")</f>
        <v/>
      </c>
      <c r="C398" s="5" t="str">
        <f>IFERROR(IF(SUMIFS(tblDaily[Discharges],tblDaily[EntryDate],DATE(2026,11,2),tblDaily[WardCode],"FAE")=0,"",SUMIFS(tblDaily[Discharges],tblDaily[EntryDate],DATE(2026,11,2),tblDaily[WardCode],"FAE")),"")</f>
        <v/>
      </c>
      <c r="D398" s="5" t="str">
        <f>IFERROR(IF(SUMIFS(tblDaily[Deaths],tblDaily[EntryDate],DATE(2026,11,2),tblDaily[WardCode],"FAE")=0,"",SUMIFS(tblDaily[Deaths],tblDaily[EntryDate],DATE(2026,11,2),tblDaily[WardCode],"FAE")),"")</f>
        <v/>
      </c>
      <c r="E398" s="5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5" t="str">
        <f>IFERROR(IF(SUMIFS(tblDaily[TransfersIn],tblDaily[EntryDate],DATE(2026,11,2),tblDaily[WardCode],"FAE")=0,"",SUMIFS(tblDaily[TransfersIn],tblDaily[EntryDate],DATE(2026,11,2),tblDaily[WardCode],"FAE")),"")</f>
        <v/>
      </c>
      <c r="G398" s="5" t="str">
        <f>IFERROR(IF(SUMIFS(tblDaily[TransfersOut],tblDaily[EntryDate],DATE(2026,11,2),tblDaily[WardCode],"FAE")=0,"",SUMIFS(tblDaily[TransfersOut],tblDaily[EntryDate],DATE(2026,11,2),tblDaily[WardCode],"FAE")),"")</f>
        <v/>
      </c>
      <c r="H398" s="5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IFERROR(IF(SUMIFS(tblDaily[Admissions],tblDaily[EntryDate],DATE(2026,11,3),tblDaily[WardCode],"FAE")=0,"",SUMIFS(tblDaily[Admissions],tblDaily[EntryDate],DATE(2026,11,3),tblDaily[WardCode],"FAE")),"")</f>
        <v/>
      </c>
      <c r="C399" s="5" t="str">
        <f>IFERROR(IF(SUMIFS(tblDaily[Discharges],tblDaily[EntryDate],DATE(2026,11,3),tblDaily[WardCode],"FAE")=0,"",SUMIFS(tblDaily[Discharges],tblDaily[EntryDate],DATE(2026,11,3),tblDaily[WardCode],"FAE")),"")</f>
        <v/>
      </c>
      <c r="D399" s="5" t="str">
        <f>IFERROR(IF(SUMIFS(tblDaily[Deaths],tblDaily[EntryDate],DATE(2026,11,3),tblDaily[WardCode],"FAE")=0,"",SUMIFS(tblDaily[Deaths],tblDaily[EntryDate],DATE(2026,11,3),tblDaily[WardCode],"FAE")),"")</f>
        <v/>
      </c>
      <c r="E399" s="5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5" t="str">
        <f>IFERROR(IF(SUMIFS(tblDaily[TransfersIn],tblDaily[EntryDate],DATE(2026,11,3),tblDaily[WardCode],"FAE")=0,"",SUMIFS(tblDaily[TransfersIn],tblDaily[EntryDate],DATE(2026,11,3),tblDaily[WardCode],"FAE")),"")</f>
        <v/>
      </c>
      <c r="G399" s="5" t="str">
        <f>IFERROR(IF(SUMIFS(tblDaily[TransfersOut],tblDaily[EntryDate],DATE(2026,11,3),tblDaily[WardCode],"FAE")=0,"",SUMIFS(tblDaily[TransfersOut],tblDaily[EntryDate],DATE(2026,11,3),tblDaily[WardCode],"FAE")),"")</f>
        <v/>
      </c>
      <c r="H399" s="5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IFERROR(IF(SUMIFS(tblDaily[Admissions],tblDaily[EntryDate],DATE(2026,11,4),tblDaily[WardCode],"FAE")=0,"",SUMIFS(tblDaily[Admissions],tblDaily[EntryDate],DATE(2026,11,4),tblDaily[WardCode],"FAE")),"")</f>
        <v/>
      </c>
      <c r="C400" s="5" t="str">
        <f>IFERROR(IF(SUMIFS(tblDaily[Discharges],tblDaily[EntryDate],DATE(2026,11,4),tblDaily[WardCode],"FAE")=0,"",SUMIFS(tblDaily[Discharges],tblDaily[EntryDate],DATE(2026,11,4),tblDaily[WardCode],"FAE")),"")</f>
        <v/>
      </c>
      <c r="D400" s="5" t="str">
        <f>IFERROR(IF(SUMIFS(tblDaily[Deaths],tblDaily[EntryDate],DATE(2026,11,4),tblDaily[WardCode],"FAE")=0,"",SUMIFS(tblDaily[Deaths],tblDaily[EntryDate],DATE(2026,11,4),tblDaily[WardCode],"FAE")),"")</f>
        <v/>
      </c>
      <c r="E400" s="5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5" t="str">
        <f>IFERROR(IF(SUMIFS(tblDaily[TransfersIn],tblDaily[EntryDate],DATE(2026,11,4),tblDaily[WardCode],"FAE")=0,"",SUMIFS(tblDaily[TransfersIn],tblDaily[EntryDate],DATE(2026,11,4),tblDaily[WardCode],"FAE")),"")</f>
        <v/>
      </c>
      <c r="G400" s="5" t="str">
        <f>IFERROR(IF(SUMIFS(tblDaily[TransfersOut],tblDaily[EntryDate],DATE(2026,11,4),tblDaily[WardCode],"FAE")=0,"",SUMIFS(tblDaily[TransfersOut],tblDaily[EntryDate],DATE(2026,11,4),tblDaily[WardCode],"FAE")),"")</f>
        <v/>
      </c>
      <c r="H400" s="5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IFERROR(IF(SUMIFS(tblDaily[Admissions],tblDaily[EntryDate],DATE(2026,11,5),tblDaily[WardCode],"FAE")=0,"",SUMIFS(tblDaily[Admissions],tblDaily[EntryDate],DATE(2026,11,5),tblDaily[WardCode],"FAE")),"")</f>
        <v/>
      </c>
      <c r="C401" s="5" t="str">
        <f>IFERROR(IF(SUMIFS(tblDaily[Discharges],tblDaily[EntryDate],DATE(2026,11,5),tblDaily[WardCode],"FAE")=0,"",SUMIFS(tblDaily[Discharges],tblDaily[EntryDate],DATE(2026,11,5),tblDaily[WardCode],"FAE")),"")</f>
        <v/>
      </c>
      <c r="D401" s="5" t="str">
        <f>IFERROR(IF(SUMIFS(tblDaily[Deaths],tblDaily[EntryDate],DATE(2026,11,5),tblDaily[WardCode],"FAE")=0,"",SUMIFS(tblDaily[Deaths],tblDaily[EntryDate],DATE(2026,11,5),tblDaily[WardCode],"FAE")),"")</f>
        <v/>
      </c>
      <c r="E401" s="5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5" t="str">
        <f>IFERROR(IF(SUMIFS(tblDaily[TransfersIn],tblDaily[EntryDate],DATE(2026,11,5),tblDaily[WardCode],"FAE")=0,"",SUMIFS(tblDaily[TransfersIn],tblDaily[EntryDate],DATE(2026,11,5),tblDaily[WardCode],"FAE")),"")</f>
        <v/>
      </c>
      <c r="G401" s="5" t="str">
        <f>IFERROR(IF(SUMIFS(tblDaily[TransfersOut],tblDaily[EntryDate],DATE(2026,11,5),tblDaily[WardCode],"FAE")=0,"",SUMIFS(tblDaily[TransfersOut],tblDaily[EntryDate],DATE(2026,11,5),tblDaily[WardCode],"FAE")),"")</f>
        <v/>
      </c>
      <c r="H401" s="5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IFERROR(IF(SUMIFS(tblDaily[Admissions],tblDaily[EntryDate],DATE(2026,11,6),tblDaily[WardCode],"FAE")=0,"",SUMIFS(tblDaily[Admissions],tblDaily[EntryDate],DATE(2026,11,6),tblDaily[WardCode],"FAE")),"")</f>
        <v/>
      </c>
      <c r="C402" s="5" t="str">
        <f>IFERROR(IF(SUMIFS(tblDaily[Discharges],tblDaily[EntryDate],DATE(2026,11,6),tblDaily[WardCode],"FAE")=0,"",SUMIFS(tblDaily[Discharges],tblDaily[EntryDate],DATE(2026,11,6),tblDaily[WardCode],"FAE")),"")</f>
        <v/>
      </c>
      <c r="D402" s="5" t="str">
        <f>IFERROR(IF(SUMIFS(tblDaily[Deaths],tblDaily[EntryDate],DATE(2026,11,6),tblDaily[WardCode],"FAE")=0,"",SUMIFS(tblDaily[Deaths],tblDaily[EntryDate],DATE(2026,11,6),tblDaily[WardCode],"FAE")),"")</f>
        <v/>
      </c>
      <c r="E402" s="5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5" t="str">
        <f>IFERROR(IF(SUMIFS(tblDaily[TransfersIn],tblDaily[EntryDate],DATE(2026,11,6),tblDaily[WardCode],"FAE")=0,"",SUMIFS(tblDaily[TransfersIn],tblDaily[EntryDate],DATE(2026,11,6),tblDaily[WardCode],"FAE")),"")</f>
        <v/>
      </c>
      <c r="G402" s="5" t="str">
        <f>IFERROR(IF(SUMIFS(tblDaily[TransfersOut],tblDaily[EntryDate],DATE(2026,11,6),tblDaily[WardCode],"FAE")=0,"",SUMIFS(tblDaily[TransfersOut],tblDaily[EntryDate],DATE(2026,11,6),tblDaily[WardCode],"FAE")),"")</f>
        <v/>
      </c>
      <c r="H402" s="5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IFERROR(IF(SUMIFS(tblDaily[Admissions],tblDaily[EntryDate],DATE(2026,11,7),tblDaily[WardCode],"FAE")=0,"",SUMIFS(tblDaily[Admissions],tblDaily[EntryDate],DATE(2026,11,7),tblDaily[WardCode],"FAE")),"")</f>
        <v/>
      </c>
      <c r="C403" s="5" t="str">
        <f>IFERROR(IF(SUMIFS(tblDaily[Discharges],tblDaily[EntryDate],DATE(2026,11,7),tblDaily[WardCode],"FAE")=0,"",SUMIFS(tblDaily[Discharges],tblDaily[EntryDate],DATE(2026,11,7),tblDaily[WardCode],"FAE")),"")</f>
        <v/>
      </c>
      <c r="D403" s="5" t="str">
        <f>IFERROR(IF(SUMIFS(tblDaily[Deaths],tblDaily[EntryDate],DATE(2026,11,7),tblDaily[WardCode],"FAE")=0,"",SUMIFS(tblDaily[Deaths],tblDaily[EntryDate],DATE(2026,11,7),tblDaily[WardCode],"FAE")),"")</f>
        <v/>
      </c>
      <c r="E403" s="5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5" t="str">
        <f>IFERROR(IF(SUMIFS(tblDaily[TransfersIn],tblDaily[EntryDate],DATE(2026,11,7),tblDaily[WardCode],"FAE")=0,"",SUMIFS(tblDaily[TransfersIn],tblDaily[EntryDate],DATE(2026,11,7),tblDaily[WardCode],"FAE")),"")</f>
        <v/>
      </c>
      <c r="G403" s="5" t="str">
        <f>IFERROR(IF(SUMIFS(tblDaily[TransfersOut],tblDaily[EntryDate],DATE(2026,11,7),tblDaily[WardCode],"FAE")=0,"",SUMIFS(tblDaily[TransfersOut],tblDaily[EntryDate],DATE(2026,11,7),tblDaily[WardCode],"FAE")),"")</f>
        <v/>
      </c>
      <c r="H403" s="5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IFERROR(IF(SUMIFS(tblDaily[Admissions],tblDaily[EntryDate],DATE(2026,11,8),tblDaily[WardCode],"FAE")=0,"",SUMIFS(tblDaily[Admissions],tblDaily[EntryDate],DATE(2026,11,8),tblDaily[WardCode],"FAE")),"")</f>
        <v/>
      </c>
      <c r="C404" s="5" t="str">
        <f>IFERROR(IF(SUMIFS(tblDaily[Discharges],tblDaily[EntryDate],DATE(2026,11,8),tblDaily[WardCode],"FAE")=0,"",SUMIFS(tblDaily[Discharges],tblDaily[EntryDate],DATE(2026,11,8),tblDaily[WardCode],"FAE")),"")</f>
        <v/>
      </c>
      <c r="D404" s="5" t="str">
        <f>IFERROR(IF(SUMIFS(tblDaily[Deaths],tblDaily[EntryDate],DATE(2026,11,8),tblDaily[WardCode],"FAE")=0,"",SUMIFS(tblDaily[Deaths],tblDaily[EntryDate],DATE(2026,11,8),tblDaily[WardCode],"FAE")),"")</f>
        <v/>
      </c>
      <c r="E404" s="5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5" t="str">
        <f>IFERROR(IF(SUMIFS(tblDaily[TransfersIn],tblDaily[EntryDate],DATE(2026,11,8),tblDaily[WardCode],"FAE")=0,"",SUMIFS(tblDaily[TransfersIn],tblDaily[EntryDate],DATE(2026,11,8),tblDaily[WardCode],"FAE")),"")</f>
        <v/>
      </c>
      <c r="G404" s="5" t="str">
        <f>IFERROR(IF(SUMIFS(tblDaily[TransfersOut],tblDaily[EntryDate],DATE(2026,11,8),tblDaily[WardCode],"FAE")=0,"",SUMIFS(tblDaily[TransfersOut],tblDaily[EntryDate],DATE(2026,11,8),tblDaily[WardCode],"FAE")),"")</f>
        <v/>
      </c>
      <c r="H404" s="5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IFERROR(IF(SUMIFS(tblDaily[Admissions],tblDaily[EntryDate],DATE(2026,11,9),tblDaily[WardCode],"FAE")=0,"",SUMIFS(tblDaily[Admissions],tblDaily[EntryDate],DATE(2026,11,9),tblDaily[WardCode],"FAE")),"")</f>
        <v/>
      </c>
      <c r="C405" s="5" t="str">
        <f>IFERROR(IF(SUMIFS(tblDaily[Discharges],tblDaily[EntryDate],DATE(2026,11,9),tblDaily[WardCode],"FAE")=0,"",SUMIFS(tblDaily[Discharges],tblDaily[EntryDate],DATE(2026,11,9),tblDaily[WardCode],"FAE")),"")</f>
        <v/>
      </c>
      <c r="D405" s="5" t="str">
        <f>IFERROR(IF(SUMIFS(tblDaily[Deaths],tblDaily[EntryDate],DATE(2026,11,9),tblDaily[WardCode],"FAE")=0,"",SUMIFS(tblDaily[Deaths],tblDaily[EntryDate],DATE(2026,11,9),tblDaily[WardCode],"FAE")),"")</f>
        <v/>
      </c>
      <c r="E405" s="5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5" t="str">
        <f>IFERROR(IF(SUMIFS(tblDaily[TransfersIn],tblDaily[EntryDate],DATE(2026,11,9),tblDaily[WardCode],"FAE")=0,"",SUMIFS(tblDaily[TransfersIn],tblDaily[EntryDate],DATE(2026,11,9),tblDaily[WardCode],"FAE")),"")</f>
        <v/>
      </c>
      <c r="G405" s="5" t="str">
        <f>IFERROR(IF(SUMIFS(tblDaily[TransfersOut],tblDaily[EntryDate],DATE(2026,11,9),tblDaily[WardCode],"FAE")=0,"",SUMIFS(tblDaily[TransfersOut],tblDaily[EntryDate],DATE(2026,11,9),tblDaily[WardCode],"FAE")),"")</f>
        <v/>
      </c>
      <c r="H405" s="5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IFERROR(IF(SUMIFS(tblDaily[Admissions],tblDaily[EntryDate],DATE(2026,11,10),tblDaily[WardCode],"FAE")=0,"",SUMIFS(tblDaily[Admissions],tblDaily[EntryDate],DATE(2026,11,10),tblDaily[WardCode],"FAE")),"")</f>
        <v/>
      </c>
      <c r="C406" s="5" t="str">
        <f>IFERROR(IF(SUMIFS(tblDaily[Discharges],tblDaily[EntryDate],DATE(2026,11,10),tblDaily[WardCode],"FAE")=0,"",SUMIFS(tblDaily[Discharges],tblDaily[EntryDate],DATE(2026,11,10),tblDaily[WardCode],"FAE")),"")</f>
        <v/>
      </c>
      <c r="D406" s="5" t="str">
        <f>IFERROR(IF(SUMIFS(tblDaily[Deaths],tblDaily[EntryDate],DATE(2026,11,10),tblDaily[WardCode],"FAE")=0,"",SUMIFS(tblDaily[Deaths],tblDaily[EntryDate],DATE(2026,11,10),tblDaily[WardCode],"FAE")),"")</f>
        <v/>
      </c>
      <c r="E406" s="5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5" t="str">
        <f>IFERROR(IF(SUMIFS(tblDaily[TransfersIn],tblDaily[EntryDate],DATE(2026,11,10),tblDaily[WardCode],"FAE")=0,"",SUMIFS(tblDaily[TransfersIn],tblDaily[EntryDate],DATE(2026,11,10),tblDaily[WardCode],"FAE")),"")</f>
        <v/>
      </c>
      <c r="G406" s="5" t="str">
        <f>IFERROR(IF(SUMIFS(tblDaily[TransfersOut],tblDaily[EntryDate],DATE(2026,11,10),tblDaily[WardCode],"FAE")=0,"",SUMIFS(tblDaily[TransfersOut],tblDaily[EntryDate],DATE(2026,11,10),tblDaily[WardCode],"FAE")),"")</f>
        <v/>
      </c>
      <c r="H406" s="5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IFERROR(IF(SUMIFS(tblDaily[Admissions],tblDaily[EntryDate],DATE(2026,11,11),tblDaily[WardCode],"FAE")=0,"",SUMIFS(tblDaily[Admissions],tblDaily[EntryDate],DATE(2026,11,11),tblDaily[WardCode],"FAE")),"")</f>
        <v/>
      </c>
      <c r="C407" s="5" t="str">
        <f>IFERROR(IF(SUMIFS(tblDaily[Discharges],tblDaily[EntryDate],DATE(2026,11,11),tblDaily[WardCode],"FAE")=0,"",SUMIFS(tblDaily[Discharges],tblDaily[EntryDate],DATE(2026,11,11),tblDaily[WardCode],"FAE")),"")</f>
        <v/>
      </c>
      <c r="D407" s="5" t="str">
        <f>IFERROR(IF(SUMIFS(tblDaily[Deaths],tblDaily[EntryDate],DATE(2026,11,11),tblDaily[WardCode],"FAE")=0,"",SUMIFS(tblDaily[Deaths],tblDaily[EntryDate],DATE(2026,11,11),tblDaily[WardCode],"FAE")),"")</f>
        <v/>
      </c>
      <c r="E407" s="5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5" t="str">
        <f>IFERROR(IF(SUMIFS(tblDaily[TransfersIn],tblDaily[EntryDate],DATE(2026,11,11),tblDaily[WardCode],"FAE")=0,"",SUMIFS(tblDaily[TransfersIn],tblDaily[EntryDate],DATE(2026,11,11),tblDaily[WardCode],"FAE")),"")</f>
        <v/>
      </c>
      <c r="G407" s="5" t="str">
        <f>IFERROR(IF(SUMIFS(tblDaily[TransfersOut],tblDaily[EntryDate],DATE(2026,11,11),tblDaily[WardCode],"FAE")=0,"",SUMIFS(tblDaily[TransfersOut],tblDaily[EntryDate],DATE(2026,11,11),tblDaily[WardCode],"FAE")),"")</f>
        <v/>
      </c>
      <c r="H407" s="5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IFERROR(IF(SUMIFS(tblDaily[Admissions],tblDaily[EntryDate],DATE(2026,11,12),tblDaily[WardCode],"FAE")=0,"",SUMIFS(tblDaily[Admissions],tblDaily[EntryDate],DATE(2026,11,12),tblDaily[WardCode],"FAE")),"")</f>
        <v/>
      </c>
      <c r="C408" s="5" t="str">
        <f>IFERROR(IF(SUMIFS(tblDaily[Discharges],tblDaily[EntryDate],DATE(2026,11,12),tblDaily[WardCode],"FAE")=0,"",SUMIFS(tblDaily[Discharges],tblDaily[EntryDate],DATE(2026,11,12),tblDaily[WardCode],"FAE")),"")</f>
        <v/>
      </c>
      <c r="D408" s="5" t="str">
        <f>IFERROR(IF(SUMIFS(tblDaily[Deaths],tblDaily[EntryDate],DATE(2026,11,12),tblDaily[WardCode],"FAE")=0,"",SUMIFS(tblDaily[Deaths],tblDaily[EntryDate],DATE(2026,11,12),tblDaily[WardCode],"FAE")),"")</f>
        <v/>
      </c>
      <c r="E408" s="5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5" t="str">
        <f>IFERROR(IF(SUMIFS(tblDaily[TransfersIn],tblDaily[EntryDate],DATE(2026,11,12),tblDaily[WardCode],"FAE")=0,"",SUMIFS(tblDaily[TransfersIn],tblDaily[EntryDate],DATE(2026,11,12),tblDaily[WardCode],"FAE")),"")</f>
        <v/>
      </c>
      <c r="G408" s="5" t="str">
        <f>IFERROR(IF(SUMIFS(tblDaily[TransfersOut],tblDaily[EntryDate],DATE(2026,11,12),tblDaily[WardCode],"FAE")=0,"",SUMIFS(tblDaily[TransfersOut],tblDaily[EntryDate],DATE(2026,11,12),tblDaily[WardCode],"FAE")),"")</f>
        <v/>
      </c>
      <c r="H408" s="5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IFERROR(IF(SUMIFS(tblDaily[Admissions],tblDaily[EntryDate],DATE(2026,11,13),tblDaily[WardCode],"FAE")=0,"",SUMIFS(tblDaily[Admissions],tblDaily[EntryDate],DATE(2026,11,13),tblDaily[WardCode],"FAE")),"")</f>
        <v/>
      </c>
      <c r="C409" s="5" t="str">
        <f>IFERROR(IF(SUMIFS(tblDaily[Discharges],tblDaily[EntryDate],DATE(2026,11,13),tblDaily[WardCode],"FAE")=0,"",SUMIFS(tblDaily[Discharges],tblDaily[EntryDate],DATE(2026,11,13),tblDaily[WardCode],"FAE")),"")</f>
        <v/>
      </c>
      <c r="D409" s="5" t="str">
        <f>IFERROR(IF(SUMIFS(tblDaily[Deaths],tblDaily[EntryDate],DATE(2026,11,13),tblDaily[WardCode],"FAE")=0,"",SUMIFS(tblDaily[Deaths],tblDaily[EntryDate],DATE(2026,11,13),tblDaily[WardCode],"FAE")),"")</f>
        <v/>
      </c>
      <c r="E409" s="5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5" t="str">
        <f>IFERROR(IF(SUMIFS(tblDaily[TransfersIn],tblDaily[EntryDate],DATE(2026,11,13),tblDaily[WardCode],"FAE")=0,"",SUMIFS(tblDaily[TransfersIn],tblDaily[EntryDate],DATE(2026,11,13),tblDaily[WardCode],"FAE")),"")</f>
        <v/>
      </c>
      <c r="G409" s="5" t="str">
        <f>IFERROR(IF(SUMIFS(tblDaily[TransfersOut],tblDaily[EntryDate],DATE(2026,11,13),tblDaily[WardCode],"FAE")=0,"",SUMIFS(tblDaily[TransfersOut],tblDaily[EntryDate],DATE(2026,11,13),tblDaily[WardCode],"FAE")),"")</f>
        <v/>
      </c>
      <c r="H409" s="5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IFERROR(IF(SUMIFS(tblDaily[Admissions],tblDaily[EntryDate],DATE(2026,11,14),tblDaily[WardCode],"FAE")=0,"",SUMIFS(tblDaily[Admissions],tblDaily[EntryDate],DATE(2026,11,14),tblDaily[WardCode],"FAE")),"")</f>
        <v/>
      </c>
      <c r="C410" s="5" t="str">
        <f>IFERROR(IF(SUMIFS(tblDaily[Discharges],tblDaily[EntryDate],DATE(2026,11,14),tblDaily[WardCode],"FAE")=0,"",SUMIFS(tblDaily[Discharges],tblDaily[EntryDate],DATE(2026,11,14),tblDaily[WardCode],"FAE")),"")</f>
        <v/>
      </c>
      <c r="D410" s="5" t="str">
        <f>IFERROR(IF(SUMIFS(tblDaily[Deaths],tblDaily[EntryDate],DATE(2026,11,14),tblDaily[WardCode],"FAE")=0,"",SUMIFS(tblDaily[Deaths],tblDaily[EntryDate],DATE(2026,11,14),tblDaily[WardCode],"FAE")),"")</f>
        <v/>
      </c>
      <c r="E410" s="5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5" t="str">
        <f>IFERROR(IF(SUMIFS(tblDaily[TransfersIn],tblDaily[EntryDate],DATE(2026,11,14),tblDaily[WardCode],"FAE")=0,"",SUMIFS(tblDaily[TransfersIn],tblDaily[EntryDate],DATE(2026,11,14),tblDaily[WardCode],"FAE")),"")</f>
        <v/>
      </c>
      <c r="G410" s="5" t="str">
        <f>IFERROR(IF(SUMIFS(tblDaily[TransfersOut],tblDaily[EntryDate],DATE(2026,11,14),tblDaily[WardCode],"FAE")=0,"",SUMIFS(tblDaily[TransfersOut],tblDaily[EntryDate],DATE(2026,11,14),tblDaily[WardCode],"FAE")),"")</f>
        <v/>
      </c>
      <c r="H410" s="5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IFERROR(IF(SUMIFS(tblDaily[Admissions],tblDaily[EntryDate],DATE(2026,11,15),tblDaily[WardCode],"FAE")=0,"",SUMIFS(tblDaily[Admissions],tblDaily[EntryDate],DATE(2026,11,15),tblDaily[WardCode],"FAE")),"")</f>
        <v/>
      </c>
      <c r="C411" s="5" t="str">
        <f>IFERROR(IF(SUMIFS(tblDaily[Discharges],tblDaily[EntryDate],DATE(2026,11,15),tblDaily[WardCode],"FAE")=0,"",SUMIFS(tblDaily[Discharges],tblDaily[EntryDate],DATE(2026,11,15),tblDaily[WardCode],"FAE")),"")</f>
        <v/>
      </c>
      <c r="D411" s="5" t="str">
        <f>IFERROR(IF(SUMIFS(tblDaily[Deaths],tblDaily[EntryDate],DATE(2026,11,15),tblDaily[WardCode],"FAE")=0,"",SUMIFS(tblDaily[Deaths],tblDaily[EntryDate],DATE(2026,11,15),tblDaily[WardCode],"FAE")),"")</f>
        <v/>
      </c>
      <c r="E411" s="5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5" t="str">
        <f>IFERROR(IF(SUMIFS(tblDaily[TransfersIn],tblDaily[EntryDate],DATE(2026,11,15),tblDaily[WardCode],"FAE")=0,"",SUMIFS(tblDaily[TransfersIn],tblDaily[EntryDate],DATE(2026,11,15),tblDaily[WardCode],"FAE")),"")</f>
        <v/>
      </c>
      <c r="G411" s="5" t="str">
        <f>IFERROR(IF(SUMIFS(tblDaily[TransfersOut],tblDaily[EntryDate],DATE(2026,11,15),tblDaily[WardCode],"FAE")=0,"",SUMIFS(tblDaily[TransfersOut],tblDaily[EntryDate],DATE(2026,11,15),tblDaily[WardCode],"FAE")),"")</f>
        <v/>
      </c>
      <c r="H411" s="5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IFERROR(IF(SUMIFS(tblDaily[Admissions],tblDaily[EntryDate],DATE(2026,11,16),tblDaily[WardCode],"FAE")=0,"",SUMIFS(tblDaily[Admissions],tblDaily[EntryDate],DATE(2026,11,16),tblDaily[WardCode],"FAE")),"")</f>
        <v/>
      </c>
      <c r="C412" s="5" t="str">
        <f>IFERROR(IF(SUMIFS(tblDaily[Discharges],tblDaily[EntryDate],DATE(2026,11,16),tblDaily[WardCode],"FAE")=0,"",SUMIFS(tblDaily[Discharges],tblDaily[EntryDate],DATE(2026,11,16),tblDaily[WardCode],"FAE")),"")</f>
        <v/>
      </c>
      <c r="D412" s="5" t="str">
        <f>IFERROR(IF(SUMIFS(tblDaily[Deaths],tblDaily[EntryDate],DATE(2026,11,16),tblDaily[WardCode],"FAE")=0,"",SUMIFS(tblDaily[Deaths],tblDaily[EntryDate],DATE(2026,11,16),tblDaily[WardCode],"FAE")),"")</f>
        <v/>
      </c>
      <c r="E412" s="5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5" t="str">
        <f>IFERROR(IF(SUMIFS(tblDaily[TransfersIn],tblDaily[EntryDate],DATE(2026,11,16),tblDaily[WardCode],"FAE")=0,"",SUMIFS(tblDaily[TransfersIn],tblDaily[EntryDate],DATE(2026,11,16),tblDaily[WardCode],"FAE")),"")</f>
        <v/>
      </c>
      <c r="G412" s="5" t="str">
        <f>IFERROR(IF(SUMIFS(tblDaily[TransfersOut],tblDaily[EntryDate],DATE(2026,11,16),tblDaily[WardCode],"FAE")=0,"",SUMIFS(tblDaily[TransfersOut],tblDaily[EntryDate],DATE(2026,11,16),tblDaily[WardCode],"FAE")),"")</f>
        <v/>
      </c>
      <c r="H412" s="5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IFERROR(IF(SUMIFS(tblDaily[Admissions],tblDaily[EntryDate],DATE(2026,11,17),tblDaily[WardCode],"FAE")=0,"",SUMIFS(tblDaily[Admissions],tblDaily[EntryDate],DATE(2026,11,17),tblDaily[WardCode],"FAE")),"")</f>
        <v/>
      </c>
      <c r="C413" s="5" t="str">
        <f>IFERROR(IF(SUMIFS(tblDaily[Discharges],tblDaily[EntryDate],DATE(2026,11,17),tblDaily[WardCode],"FAE")=0,"",SUMIFS(tblDaily[Discharges],tblDaily[EntryDate],DATE(2026,11,17),tblDaily[WardCode],"FAE")),"")</f>
        <v/>
      </c>
      <c r="D413" s="5" t="str">
        <f>IFERROR(IF(SUMIFS(tblDaily[Deaths],tblDaily[EntryDate],DATE(2026,11,17),tblDaily[WardCode],"FAE")=0,"",SUMIFS(tblDaily[Deaths],tblDaily[EntryDate],DATE(2026,11,17),tblDaily[WardCode],"FAE")),"")</f>
        <v/>
      </c>
      <c r="E413" s="5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5" t="str">
        <f>IFERROR(IF(SUMIFS(tblDaily[TransfersIn],tblDaily[EntryDate],DATE(2026,11,17),tblDaily[WardCode],"FAE")=0,"",SUMIFS(tblDaily[TransfersIn],tblDaily[EntryDate],DATE(2026,11,17),tblDaily[WardCode],"FAE")),"")</f>
        <v/>
      </c>
      <c r="G413" s="5" t="str">
        <f>IFERROR(IF(SUMIFS(tblDaily[TransfersOut],tblDaily[EntryDate],DATE(2026,11,17),tblDaily[WardCode],"FAE")=0,"",SUMIFS(tblDaily[TransfersOut],tblDaily[EntryDate],DATE(2026,11,17),tblDaily[WardCode],"FAE")),"")</f>
        <v/>
      </c>
      <c r="H413" s="5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IFERROR(IF(SUMIFS(tblDaily[Admissions],tblDaily[EntryDate],DATE(2026,11,18),tblDaily[WardCode],"FAE")=0,"",SUMIFS(tblDaily[Admissions],tblDaily[EntryDate],DATE(2026,11,18),tblDaily[WardCode],"FAE")),"")</f>
        <v/>
      </c>
      <c r="C414" s="5" t="str">
        <f>IFERROR(IF(SUMIFS(tblDaily[Discharges],tblDaily[EntryDate],DATE(2026,11,18),tblDaily[WardCode],"FAE")=0,"",SUMIFS(tblDaily[Discharges],tblDaily[EntryDate],DATE(2026,11,18),tblDaily[WardCode],"FAE")),"")</f>
        <v/>
      </c>
      <c r="D414" s="5" t="str">
        <f>IFERROR(IF(SUMIFS(tblDaily[Deaths],tblDaily[EntryDate],DATE(2026,11,18),tblDaily[WardCode],"FAE")=0,"",SUMIFS(tblDaily[Deaths],tblDaily[EntryDate],DATE(2026,11,18),tblDaily[WardCode],"FAE")),"")</f>
        <v/>
      </c>
      <c r="E414" s="5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5" t="str">
        <f>IFERROR(IF(SUMIFS(tblDaily[TransfersIn],tblDaily[EntryDate],DATE(2026,11,18),tblDaily[WardCode],"FAE")=0,"",SUMIFS(tblDaily[TransfersIn],tblDaily[EntryDate],DATE(2026,11,18),tblDaily[WardCode],"FAE")),"")</f>
        <v/>
      </c>
      <c r="G414" s="5" t="str">
        <f>IFERROR(IF(SUMIFS(tblDaily[TransfersOut],tblDaily[EntryDate],DATE(2026,11,18),tblDaily[WardCode],"FAE")=0,"",SUMIFS(tblDaily[TransfersOut],tblDaily[EntryDate],DATE(2026,11,18),tblDaily[WardCode],"FAE")),"")</f>
        <v/>
      </c>
      <c r="H414" s="5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IFERROR(IF(SUMIFS(tblDaily[Admissions],tblDaily[EntryDate],DATE(2026,11,19),tblDaily[WardCode],"FAE")=0,"",SUMIFS(tblDaily[Admissions],tblDaily[EntryDate],DATE(2026,11,19),tblDaily[WardCode],"FAE")),"")</f>
        <v/>
      </c>
      <c r="C415" s="5" t="str">
        <f>IFERROR(IF(SUMIFS(tblDaily[Discharges],tblDaily[EntryDate],DATE(2026,11,19),tblDaily[WardCode],"FAE")=0,"",SUMIFS(tblDaily[Discharges],tblDaily[EntryDate],DATE(2026,11,19),tblDaily[WardCode],"FAE")),"")</f>
        <v/>
      </c>
      <c r="D415" s="5" t="str">
        <f>IFERROR(IF(SUMIFS(tblDaily[Deaths],tblDaily[EntryDate],DATE(2026,11,19),tblDaily[WardCode],"FAE")=0,"",SUMIFS(tblDaily[Deaths],tblDaily[EntryDate],DATE(2026,11,19),tblDaily[WardCode],"FAE")),"")</f>
        <v/>
      </c>
      <c r="E415" s="5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5" t="str">
        <f>IFERROR(IF(SUMIFS(tblDaily[TransfersIn],tblDaily[EntryDate],DATE(2026,11,19),tblDaily[WardCode],"FAE")=0,"",SUMIFS(tblDaily[TransfersIn],tblDaily[EntryDate],DATE(2026,11,19),tblDaily[WardCode],"FAE")),"")</f>
        <v/>
      </c>
      <c r="G415" s="5" t="str">
        <f>IFERROR(IF(SUMIFS(tblDaily[TransfersOut],tblDaily[EntryDate],DATE(2026,11,19),tblDaily[WardCode],"FAE")=0,"",SUMIFS(tblDaily[TransfersOut],tblDaily[EntryDate],DATE(2026,11,19),tblDaily[WardCode],"FAE")),"")</f>
        <v/>
      </c>
      <c r="H415" s="5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IFERROR(IF(SUMIFS(tblDaily[Admissions],tblDaily[EntryDate],DATE(2026,11,20),tblDaily[WardCode],"FAE")=0,"",SUMIFS(tblDaily[Admissions],tblDaily[EntryDate],DATE(2026,11,20),tblDaily[WardCode],"FAE")),"")</f>
        <v/>
      </c>
      <c r="C416" s="5" t="str">
        <f>IFERROR(IF(SUMIFS(tblDaily[Discharges],tblDaily[EntryDate],DATE(2026,11,20),tblDaily[WardCode],"FAE")=0,"",SUMIFS(tblDaily[Discharges],tblDaily[EntryDate],DATE(2026,11,20),tblDaily[WardCode],"FAE")),"")</f>
        <v/>
      </c>
      <c r="D416" s="5" t="str">
        <f>IFERROR(IF(SUMIFS(tblDaily[Deaths],tblDaily[EntryDate],DATE(2026,11,20),tblDaily[WardCode],"FAE")=0,"",SUMIFS(tblDaily[Deaths],tblDaily[EntryDate],DATE(2026,11,20),tblDaily[WardCode],"FAE")),"")</f>
        <v/>
      </c>
      <c r="E416" s="5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5" t="str">
        <f>IFERROR(IF(SUMIFS(tblDaily[TransfersIn],tblDaily[EntryDate],DATE(2026,11,20),tblDaily[WardCode],"FAE")=0,"",SUMIFS(tblDaily[TransfersIn],tblDaily[EntryDate],DATE(2026,11,20),tblDaily[WardCode],"FAE")),"")</f>
        <v/>
      </c>
      <c r="G416" s="5" t="str">
        <f>IFERROR(IF(SUMIFS(tblDaily[TransfersOut],tblDaily[EntryDate],DATE(2026,11,20),tblDaily[WardCode],"FAE")=0,"",SUMIFS(tblDaily[TransfersOut],tblDaily[EntryDate],DATE(2026,11,20),tblDaily[WardCode],"FAE")),"")</f>
        <v/>
      </c>
      <c r="H416" s="5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IFERROR(IF(SUMIFS(tblDaily[Admissions],tblDaily[EntryDate],DATE(2026,11,21),tblDaily[WardCode],"FAE")=0,"",SUMIFS(tblDaily[Admissions],tblDaily[EntryDate],DATE(2026,11,21),tblDaily[WardCode],"FAE")),"")</f>
        <v/>
      </c>
      <c r="C417" s="5" t="str">
        <f>IFERROR(IF(SUMIFS(tblDaily[Discharges],tblDaily[EntryDate],DATE(2026,11,21),tblDaily[WardCode],"FAE")=0,"",SUMIFS(tblDaily[Discharges],tblDaily[EntryDate],DATE(2026,11,21),tblDaily[WardCode],"FAE")),"")</f>
        <v/>
      </c>
      <c r="D417" s="5" t="str">
        <f>IFERROR(IF(SUMIFS(tblDaily[Deaths],tblDaily[EntryDate],DATE(2026,11,21),tblDaily[WardCode],"FAE")=0,"",SUMIFS(tblDaily[Deaths],tblDaily[EntryDate],DATE(2026,11,21),tblDaily[WardCode],"FAE")),"")</f>
        <v/>
      </c>
      <c r="E417" s="5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5" t="str">
        <f>IFERROR(IF(SUMIFS(tblDaily[TransfersIn],tblDaily[EntryDate],DATE(2026,11,21),tblDaily[WardCode],"FAE")=0,"",SUMIFS(tblDaily[TransfersIn],tblDaily[EntryDate],DATE(2026,11,21),tblDaily[WardCode],"FAE")),"")</f>
        <v/>
      </c>
      <c r="G417" s="5" t="str">
        <f>IFERROR(IF(SUMIFS(tblDaily[TransfersOut],tblDaily[EntryDate],DATE(2026,11,21),tblDaily[WardCode],"FAE")=0,"",SUMIFS(tblDaily[TransfersOut],tblDaily[EntryDate],DATE(2026,11,21),tblDaily[WardCode],"FAE")),"")</f>
        <v/>
      </c>
      <c r="H417" s="5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IFERROR(IF(SUMIFS(tblDaily[Admissions],tblDaily[EntryDate],DATE(2026,11,22),tblDaily[WardCode],"FAE")=0,"",SUMIFS(tblDaily[Admissions],tblDaily[EntryDate],DATE(2026,11,22),tblDaily[WardCode],"FAE")),"")</f>
        <v/>
      </c>
      <c r="C418" s="5" t="str">
        <f>IFERROR(IF(SUMIFS(tblDaily[Discharges],tblDaily[EntryDate],DATE(2026,11,22),tblDaily[WardCode],"FAE")=0,"",SUMIFS(tblDaily[Discharges],tblDaily[EntryDate],DATE(2026,11,22),tblDaily[WardCode],"FAE")),"")</f>
        <v/>
      </c>
      <c r="D418" s="5" t="str">
        <f>IFERROR(IF(SUMIFS(tblDaily[Deaths],tblDaily[EntryDate],DATE(2026,11,22),tblDaily[WardCode],"FAE")=0,"",SUMIFS(tblDaily[Deaths],tblDaily[EntryDate],DATE(2026,11,22),tblDaily[WardCode],"FAE")),"")</f>
        <v/>
      </c>
      <c r="E418" s="5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5" t="str">
        <f>IFERROR(IF(SUMIFS(tblDaily[TransfersIn],tblDaily[EntryDate],DATE(2026,11,22),tblDaily[WardCode],"FAE")=0,"",SUMIFS(tblDaily[TransfersIn],tblDaily[EntryDate],DATE(2026,11,22),tblDaily[WardCode],"FAE")),"")</f>
        <v/>
      </c>
      <c r="G418" s="5" t="str">
        <f>IFERROR(IF(SUMIFS(tblDaily[TransfersOut],tblDaily[EntryDate],DATE(2026,11,22),tblDaily[WardCode],"FAE")=0,"",SUMIFS(tblDaily[TransfersOut],tblDaily[EntryDate],DATE(2026,11,22),tblDaily[WardCode],"FAE")),"")</f>
        <v/>
      </c>
      <c r="H418" s="5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IFERROR(IF(SUMIFS(tblDaily[Admissions],tblDaily[EntryDate],DATE(2026,11,23),tblDaily[WardCode],"FAE")=0,"",SUMIFS(tblDaily[Admissions],tblDaily[EntryDate],DATE(2026,11,23),tblDaily[WardCode],"FAE")),"")</f>
        <v/>
      </c>
      <c r="C419" s="5" t="str">
        <f>IFERROR(IF(SUMIFS(tblDaily[Discharges],tblDaily[EntryDate],DATE(2026,11,23),tblDaily[WardCode],"FAE")=0,"",SUMIFS(tblDaily[Discharges],tblDaily[EntryDate],DATE(2026,11,23),tblDaily[WardCode],"FAE")),"")</f>
        <v/>
      </c>
      <c r="D419" s="5" t="str">
        <f>IFERROR(IF(SUMIFS(tblDaily[Deaths],tblDaily[EntryDate],DATE(2026,11,23),tblDaily[WardCode],"FAE")=0,"",SUMIFS(tblDaily[Deaths],tblDaily[EntryDate],DATE(2026,11,23),tblDaily[WardCode],"FAE")),"")</f>
        <v/>
      </c>
      <c r="E419" s="5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5" t="str">
        <f>IFERROR(IF(SUMIFS(tblDaily[TransfersIn],tblDaily[EntryDate],DATE(2026,11,23),tblDaily[WardCode],"FAE")=0,"",SUMIFS(tblDaily[TransfersIn],tblDaily[EntryDate],DATE(2026,11,23),tblDaily[WardCode],"FAE")),"")</f>
        <v/>
      </c>
      <c r="G419" s="5" t="str">
        <f>IFERROR(IF(SUMIFS(tblDaily[TransfersOut],tblDaily[EntryDate],DATE(2026,11,23),tblDaily[WardCode],"FAE")=0,"",SUMIFS(tblDaily[TransfersOut],tblDaily[EntryDate],DATE(2026,11,23),tblDaily[WardCode],"FAE")),"")</f>
        <v/>
      </c>
      <c r="H419" s="5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IFERROR(IF(SUMIFS(tblDaily[Admissions],tblDaily[EntryDate],DATE(2026,11,24),tblDaily[WardCode],"FAE")=0,"",SUMIFS(tblDaily[Admissions],tblDaily[EntryDate],DATE(2026,11,24),tblDaily[WardCode],"FAE")),"")</f>
        <v/>
      </c>
      <c r="C420" s="5" t="str">
        <f>IFERROR(IF(SUMIFS(tblDaily[Discharges],tblDaily[EntryDate],DATE(2026,11,24),tblDaily[WardCode],"FAE")=0,"",SUMIFS(tblDaily[Discharges],tblDaily[EntryDate],DATE(2026,11,24),tblDaily[WardCode],"FAE")),"")</f>
        <v/>
      </c>
      <c r="D420" s="5" t="str">
        <f>IFERROR(IF(SUMIFS(tblDaily[Deaths],tblDaily[EntryDate],DATE(2026,11,24),tblDaily[WardCode],"FAE")=0,"",SUMIFS(tblDaily[Deaths],tblDaily[EntryDate],DATE(2026,11,24),tblDaily[WardCode],"FAE")),"")</f>
        <v/>
      </c>
      <c r="E420" s="5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5" t="str">
        <f>IFERROR(IF(SUMIFS(tblDaily[TransfersIn],tblDaily[EntryDate],DATE(2026,11,24),tblDaily[WardCode],"FAE")=0,"",SUMIFS(tblDaily[TransfersIn],tblDaily[EntryDate],DATE(2026,11,24),tblDaily[WardCode],"FAE")),"")</f>
        <v/>
      </c>
      <c r="G420" s="5" t="str">
        <f>IFERROR(IF(SUMIFS(tblDaily[TransfersOut],tblDaily[EntryDate],DATE(2026,11,24),tblDaily[WardCode],"FAE")=0,"",SUMIFS(tblDaily[TransfersOut],tblDaily[EntryDate],DATE(2026,11,24),tblDaily[WardCode],"FAE")),"")</f>
        <v/>
      </c>
      <c r="H420" s="5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IFERROR(IF(SUMIFS(tblDaily[Admissions],tblDaily[EntryDate],DATE(2026,11,25),tblDaily[WardCode],"FAE")=0,"",SUMIFS(tblDaily[Admissions],tblDaily[EntryDate],DATE(2026,11,25),tblDaily[WardCode],"FAE")),"")</f>
        <v/>
      </c>
      <c r="C421" s="5" t="str">
        <f>IFERROR(IF(SUMIFS(tblDaily[Discharges],tblDaily[EntryDate],DATE(2026,11,25),tblDaily[WardCode],"FAE")=0,"",SUMIFS(tblDaily[Discharges],tblDaily[EntryDate],DATE(2026,11,25),tblDaily[WardCode],"FAE")),"")</f>
        <v/>
      </c>
      <c r="D421" s="5" t="str">
        <f>IFERROR(IF(SUMIFS(tblDaily[Deaths],tblDaily[EntryDate],DATE(2026,11,25),tblDaily[WardCode],"FAE")=0,"",SUMIFS(tblDaily[Deaths],tblDaily[EntryDate],DATE(2026,11,25),tblDaily[WardCode],"FAE")),"")</f>
        <v/>
      </c>
      <c r="E421" s="5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5" t="str">
        <f>IFERROR(IF(SUMIFS(tblDaily[TransfersIn],tblDaily[EntryDate],DATE(2026,11,25),tblDaily[WardCode],"FAE")=0,"",SUMIFS(tblDaily[TransfersIn],tblDaily[EntryDate],DATE(2026,11,25),tblDaily[WardCode],"FAE")),"")</f>
        <v/>
      </c>
      <c r="G421" s="5" t="str">
        <f>IFERROR(IF(SUMIFS(tblDaily[TransfersOut],tblDaily[EntryDate],DATE(2026,11,25),tblDaily[WardCode],"FAE")=0,"",SUMIFS(tblDaily[TransfersOut],tblDaily[EntryDate],DATE(2026,11,25),tblDaily[WardCode],"FAE")),"")</f>
        <v/>
      </c>
      <c r="H421" s="5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IFERROR(IF(SUMIFS(tblDaily[Admissions],tblDaily[EntryDate],DATE(2026,11,26),tblDaily[WardCode],"FAE")=0,"",SUMIFS(tblDaily[Admissions],tblDaily[EntryDate],DATE(2026,11,26),tblDaily[WardCode],"FAE")),"")</f>
        <v/>
      </c>
      <c r="C422" s="5" t="str">
        <f>IFERROR(IF(SUMIFS(tblDaily[Discharges],tblDaily[EntryDate],DATE(2026,11,26),tblDaily[WardCode],"FAE")=0,"",SUMIFS(tblDaily[Discharges],tblDaily[EntryDate],DATE(2026,11,26),tblDaily[WardCode],"FAE")),"")</f>
        <v/>
      </c>
      <c r="D422" s="5" t="str">
        <f>IFERROR(IF(SUMIFS(tblDaily[Deaths],tblDaily[EntryDate],DATE(2026,11,26),tblDaily[WardCode],"FAE")=0,"",SUMIFS(tblDaily[Deaths],tblDaily[EntryDate],DATE(2026,11,26),tblDaily[WardCode],"FAE")),"")</f>
        <v/>
      </c>
      <c r="E422" s="5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5" t="str">
        <f>IFERROR(IF(SUMIFS(tblDaily[TransfersIn],tblDaily[EntryDate],DATE(2026,11,26),tblDaily[WardCode],"FAE")=0,"",SUMIFS(tblDaily[TransfersIn],tblDaily[EntryDate],DATE(2026,11,26),tblDaily[WardCode],"FAE")),"")</f>
        <v/>
      </c>
      <c r="G422" s="5" t="str">
        <f>IFERROR(IF(SUMIFS(tblDaily[TransfersOut],tblDaily[EntryDate],DATE(2026,11,26),tblDaily[WardCode],"FAE")=0,"",SUMIFS(tblDaily[TransfersOut],tblDaily[EntryDate],DATE(2026,11,26),tblDaily[WardCode],"FAE")),"")</f>
        <v/>
      </c>
      <c r="H422" s="5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IFERROR(IF(SUMIFS(tblDaily[Admissions],tblDaily[EntryDate],DATE(2026,11,27),tblDaily[WardCode],"FAE")=0,"",SUMIFS(tblDaily[Admissions],tblDaily[EntryDate],DATE(2026,11,27),tblDaily[WardCode],"FAE")),"")</f>
        <v/>
      </c>
      <c r="C423" s="5" t="str">
        <f>IFERROR(IF(SUMIFS(tblDaily[Discharges],tblDaily[EntryDate],DATE(2026,11,27),tblDaily[WardCode],"FAE")=0,"",SUMIFS(tblDaily[Discharges],tblDaily[EntryDate],DATE(2026,11,27),tblDaily[WardCode],"FAE")),"")</f>
        <v/>
      </c>
      <c r="D423" s="5" t="str">
        <f>IFERROR(IF(SUMIFS(tblDaily[Deaths],tblDaily[EntryDate],DATE(2026,11,27),tblDaily[WardCode],"FAE")=0,"",SUMIFS(tblDaily[Deaths],tblDaily[EntryDate],DATE(2026,11,27),tblDaily[WardCode],"FAE")),"")</f>
        <v/>
      </c>
      <c r="E423" s="5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5" t="str">
        <f>IFERROR(IF(SUMIFS(tblDaily[TransfersIn],tblDaily[EntryDate],DATE(2026,11,27),tblDaily[WardCode],"FAE")=0,"",SUMIFS(tblDaily[TransfersIn],tblDaily[EntryDate],DATE(2026,11,27),tblDaily[WardCode],"FAE")),"")</f>
        <v/>
      </c>
      <c r="G423" s="5" t="str">
        <f>IFERROR(IF(SUMIFS(tblDaily[TransfersOut],tblDaily[EntryDate],DATE(2026,11,27),tblDaily[WardCode],"FAE")=0,"",SUMIFS(tblDaily[TransfersOut],tblDaily[EntryDate],DATE(2026,11,27),tblDaily[WardCode],"FAE")),"")</f>
        <v/>
      </c>
      <c r="H423" s="5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IFERROR(IF(SUMIFS(tblDaily[Admissions],tblDaily[EntryDate],DATE(2026,11,28),tblDaily[WardCode],"FAE")=0,"",SUMIFS(tblDaily[Admissions],tblDaily[EntryDate],DATE(2026,11,28),tblDaily[WardCode],"FAE")),"")</f>
        <v/>
      </c>
      <c r="C424" s="5" t="str">
        <f>IFERROR(IF(SUMIFS(tblDaily[Discharges],tblDaily[EntryDate],DATE(2026,11,28),tblDaily[WardCode],"FAE")=0,"",SUMIFS(tblDaily[Discharges],tblDaily[EntryDate],DATE(2026,11,28),tblDaily[WardCode],"FAE")),"")</f>
        <v/>
      </c>
      <c r="D424" s="5" t="str">
        <f>IFERROR(IF(SUMIFS(tblDaily[Deaths],tblDaily[EntryDate],DATE(2026,11,28),tblDaily[WardCode],"FAE")=0,"",SUMIFS(tblDaily[Deaths],tblDaily[EntryDate],DATE(2026,11,28),tblDaily[WardCode],"FAE")),"")</f>
        <v/>
      </c>
      <c r="E424" s="5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5" t="str">
        <f>IFERROR(IF(SUMIFS(tblDaily[TransfersIn],tblDaily[EntryDate],DATE(2026,11,28),tblDaily[WardCode],"FAE")=0,"",SUMIFS(tblDaily[TransfersIn],tblDaily[EntryDate],DATE(2026,11,28),tblDaily[WardCode],"FAE")),"")</f>
        <v/>
      </c>
      <c r="G424" s="5" t="str">
        <f>IFERROR(IF(SUMIFS(tblDaily[TransfersOut],tblDaily[EntryDate],DATE(2026,11,28),tblDaily[WardCode],"FAE")=0,"",SUMIFS(tblDaily[TransfersOut],tblDaily[EntryDate],DATE(2026,11,28),tblDaily[WardCode],"FAE")),"")</f>
        <v/>
      </c>
      <c r="H424" s="5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IFERROR(IF(SUMIFS(tblDaily[Admissions],tblDaily[EntryDate],DATE(2026,11,29),tblDaily[WardCode],"FAE")=0,"",SUMIFS(tblDaily[Admissions],tblDaily[EntryDate],DATE(2026,11,29),tblDaily[WardCode],"FAE")),"")</f>
        <v/>
      </c>
      <c r="C425" s="5" t="str">
        <f>IFERROR(IF(SUMIFS(tblDaily[Discharges],tblDaily[EntryDate],DATE(2026,11,29),tblDaily[WardCode],"FAE")=0,"",SUMIFS(tblDaily[Discharges],tblDaily[EntryDate],DATE(2026,11,29),tblDaily[WardCode],"FAE")),"")</f>
        <v/>
      </c>
      <c r="D425" s="5" t="str">
        <f>IFERROR(IF(SUMIFS(tblDaily[Deaths],tblDaily[EntryDate],DATE(2026,11,29),tblDaily[WardCode],"FAE")=0,"",SUMIFS(tblDaily[Deaths],tblDaily[EntryDate],DATE(2026,11,29),tblDaily[WardCode],"FAE")),"")</f>
        <v/>
      </c>
      <c r="E425" s="5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5" t="str">
        <f>IFERROR(IF(SUMIFS(tblDaily[TransfersIn],tblDaily[EntryDate],DATE(2026,11,29),tblDaily[WardCode],"FAE")=0,"",SUMIFS(tblDaily[TransfersIn],tblDaily[EntryDate],DATE(2026,11,29),tblDaily[WardCode],"FAE")),"")</f>
        <v/>
      </c>
      <c r="G425" s="5" t="str">
        <f>IFERROR(IF(SUMIFS(tblDaily[TransfersOut],tblDaily[EntryDate],DATE(2026,11,29),tblDaily[WardCode],"FAE")=0,"",SUMIFS(tblDaily[TransfersOut],tblDaily[EntryDate],DATE(2026,11,29),tblDaily[WardCode],"FAE")),"")</f>
        <v/>
      </c>
      <c r="H425" s="5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IFERROR(IF(SUMIFS(tblDaily[Admissions],tblDaily[EntryDate],DATE(2026,11,30),tblDaily[WardCode],"FAE")=0,"",SUMIFS(tblDaily[Admissions],tblDaily[EntryDate],DATE(2026,11,30),tblDaily[WardCode],"FAE")),"")</f>
        <v/>
      </c>
      <c r="C426" s="5" t="str">
        <f>IFERROR(IF(SUMIFS(tblDaily[Discharges],tblDaily[EntryDate],DATE(2026,11,30),tblDaily[WardCode],"FAE")=0,"",SUMIFS(tblDaily[Discharges],tblDaily[EntryDate],DATE(2026,11,30),tblDaily[WardCode],"FAE")),"")</f>
        <v/>
      </c>
      <c r="D426" s="5" t="str">
        <f>IFERROR(IF(SUMIFS(tblDaily[Deaths],tblDaily[EntryDate],DATE(2026,11,30),tblDaily[WardCode],"FAE")=0,"",SUMIFS(tblDaily[Deaths],tblDaily[EntryDate],DATE(2026,11,30),tblDaily[WardCode],"FAE")),"")</f>
        <v/>
      </c>
      <c r="E426" s="5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5" t="str">
        <f>IFERROR(IF(SUMIFS(tblDaily[TransfersIn],tblDaily[EntryDate],DATE(2026,11,30),tblDaily[WardCode],"FAE")=0,"",SUMIFS(tblDaily[TransfersIn],tblDaily[EntryDate],DATE(2026,11,30),tblDaily[WardCode],"FAE")),"")</f>
        <v/>
      </c>
      <c r="G426" s="5" t="str">
        <f>IFERROR(IF(SUMIFS(tblDaily[TransfersOut],tblDaily[EntryDate],DATE(2026,11,30),tblDaily[WardCode],"FAE")=0,"",SUMIFS(tblDaily[TransfersOut],tblDaily[EntryDate],DATE(2026,11,30),tblDaily[WardCode],"FAE")),"")</f>
        <v/>
      </c>
      <c r="H426" s="5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16" t="s">
        <v>0</v>
      </c>
      <c r="B430" s="17"/>
      <c r="C430" s="17"/>
      <c r="D430" s="17"/>
      <c r="E430" s="17"/>
      <c r="F430" s="17"/>
      <c r="G430" s="17"/>
      <c r="H430" s="17"/>
    </row>
    <row r="431" spans="1:8" ht="15.75" x14ac:dyDescent="0.25">
      <c r="A431" s="21" t="s">
        <v>84</v>
      </c>
      <c r="B431" s="17"/>
      <c r="C431" s="17"/>
      <c r="D431" s="17"/>
      <c r="E431" s="17"/>
      <c r="F431" s="17"/>
      <c r="G431" s="17"/>
      <c r="H431" s="17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103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89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IFERROR(IF(SUMIFS(tblDaily[Admissions],tblDaily[EntryDate],DATE(2026,12,1),tblDaily[WardCode],"FAE")=0,"",SUMIFS(tblDaily[Admissions],tblDaily[EntryDate],DATE(2026,12,1),tblDaily[WardCode],"FAE")),"")</f>
        <v/>
      </c>
      <c r="C436" s="5" t="str">
        <f>IFERROR(IF(SUMIFS(tblDaily[Discharges],tblDaily[EntryDate],DATE(2026,12,1),tblDaily[WardCode],"FAE")=0,"",SUMIFS(tblDaily[Discharges],tblDaily[EntryDate],DATE(2026,12,1),tblDaily[WardCode],"FAE")),"")</f>
        <v/>
      </c>
      <c r="D436" s="5" t="str">
        <f>IFERROR(IF(SUMIFS(tblDaily[Deaths],tblDaily[EntryDate],DATE(2026,12,1),tblDaily[WardCode],"FAE")=0,"",SUMIFS(tblDaily[Deaths],tblDaily[EntryDate],DATE(2026,12,1),tblDaily[WardCode],"FAE")),"")</f>
        <v/>
      </c>
      <c r="E436" s="5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5" t="str">
        <f>IFERROR(IF(SUMIFS(tblDaily[TransfersIn],tblDaily[EntryDate],DATE(2026,12,1),tblDaily[WardCode],"FAE")=0,"",SUMIFS(tblDaily[TransfersIn],tblDaily[EntryDate],DATE(2026,12,1),tblDaily[WardCode],"FAE")),"")</f>
        <v/>
      </c>
      <c r="G436" s="5" t="str">
        <f>IFERROR(IF(SUMIFS(tblDaily[TransfersOut],tblDaily[EntryDate],DATE(2026,12,1),tblDaily[WardCode],"FAE")=0,"",SUMIFS(tblDaily[TransfersOut],tblDaily[EntryDate],DATE(2026,12,1),tblDaily[WardCode],"FAE")),"")</f>
        <v/>
      </c>
      <c r="H436" s="5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IFERROR(IF(SUMIFS(tblDaily[Admissions],tblDaily[EntryDate],DATE(2026,12,2),tblDaily[WardCode],"FAE")=0,"",SUMIFS(tblDaily[Admissions],tblDaily[EntryDate],DATE(2026,12,2),tblDaily[WardCode],"FAE")),"")</f>
        <v/>
      </c>
      <c r="C437" s="5" t="str">
        <f>IFERROR(IF(SUMIFS(tblDaily[Discharges],tblDaily[EntryDate],DATE(2026,12,2),tblDaily[WardCode],"FAE")=0,"",SUMIFS(tblDaily[Discharges],tblDaily[EntryDate],DATE(2026,12,2),tblDaily[WardCode],"FAE")),"")</f>
        <v/>
      </c>
      <c r="D437" s="5" t="str">
        <f>IFERROR(IF(SUMIFS(tblDaily[Deaths],tblDaily[EntryDate],DATE(2026,12,2),tblDaily[WardCode],"FAE")=0,"",SUMIFS(tblDaily[Deaths],tblDaily[EntryDate],DATE(2026,12,2),tblDaily[WardCode],"FAE")),"")</f>
        <v/>
      </c>
      <c r="E437" s="5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5" t="str">
        <f>IFERROR(IF(SUMIFS(tblDaily[TransfersIn],tblDaily[EntryDate],DATE(2026,12,2),tblDaily[WardCode],"FAE")=0,"",SUMIFS(tblDaily[TransfersIn],tblDaily[EntryDate],DATE(2026,12,2),tblDaily[WardCode],"FAE")),"")</f>
        <v/>
      </c>
      <c r="G437" s="5" t="str">
        <f>IFERROR(IF(SUMIFS(tblDaily[TransfersOut],tblDaily[EntryDate],DATE(2026,12,2),tblDaily[WardCode],"FAE")=0,"",SUMIFS(tblDaily[TransfersOut],tblDaily[EntryDate],DATE(2026,12,2),tblDaily[WardCode],"FAE")),"")</f>
        <v/>
      </c>
      <c r="H437" s="5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IFERROR(IF(SUMIFS(tblDaily[Admissions],tblDaily[EntryDate],DATE(2026,12,3),tblDaily[WardCode],"FAE")=0,"",SUMIFS(tblDaily[Admissions],tblDaily[EntryDate],DATE(2026,12,3),tblDaily[WardCode],"FAE")),"")</f>
        <v/>
      </c>
      <c r="C438" s="5" t="str">
        <f>IFERROR(IF(SUMIFS(tblDaily[Discharges],tblDaily[EntryDate],DATE(2026,12,3),tblDaily[WardCode],"FAE")=0,"",SUMIFS(tblDaily[Discharges],tblDaily[EntryDate],DATE(2026,12,3),tblDaily[WardCode],"FAE")),"")</f>
        <v/>
      </c>
      <c r="D438" s="5" t="str">
        <f>IFERROR(IF(SUMIFS(tblDaily[Deaths],tblDaily[EntryDate],DATE(2026,12,3),tblDaily[WardCode],"FAE")=0,"",SUMIFS(tblDaily[Deaths],tblDaily[EntryDate],DATE(2026,12,3),tblDaily[WardCode],"FAE")),"")</f>
        <v/>
      </c>
      <c r="E438" s="5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5" t="str">
        <f>IFERROR(IF(SUMIFS(tblDaily[TransfersIn],tblDaily[EntryDate],DATE(2026,12,3),tblDaily[WardCode],"FAE")=0,"",SUMIFS(tblDaily[TransfersIn],tblDaily[EntryDate],DATE(2026,12,3),tblDaily[WardCode],"FAE")),"")</f>
        <v/>
      </c>
      <c r="G438" s="5" t="str">
        <f>IFERROR(IF(SUMIFS(tblDaily[TransfersOut],tblDaily[EntryDate],DATE(2026,12,3),tblDaily[WardCode],"FAE")=0,"",SUMIFS(tblDaily[TransfersOut],tblDaily[EntryDate],DATE(2026,12,3),tblDaily[WardCode],"FAE")),"")</f>
        <v/>
      </c>
      <c r="H438" s="5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IFERROR(IF(SUMIFS(tblDaily[Admissions],tblDaily[EntryDate],DATE(2026,12,4),tblDaily[WardCode],"FAE")=0,"",SUMIFS(tblDaily[Admissions],tblDaily[EntryDate],DATE(2026,12,4),tblDaily[WardCode],"FAE")),"")</f>
        <v/>
      </c>
      <c r="C439" s="5" t="str">
        <f>IFERROR(IF(SUMIFS(tblDaily[Discharges],tblDaily[EntryDate],DATE(2026,12,4),tblDaily[WardCode],"FAE")=0,"",SUMIFS(tblDaily[Discharges],tblDaily[EntryDate],DATE(2026,12,4),tblDaily[WardCode],"FAE")),"")</f>
        <v/>
      </c>
      <c r="D439" s="5" t="str">
        <f>IFERROR(IF(SUMIFS(tblDaily[Deaths],tblDaily[EntryDate],DATE(2026,12,4),tblDaily[WardCode],"FAE")=0,"",SUMIFS(tblDaily[Deaths],tblDaily[EntryDate],DATE(2026,12,4),tblDaily[WardCode],"FAE")),"")</f>
        <v/>
      </c>
      <c r="E439" s="5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5" t="str">
        <f>IFERROR(IF(SUMIFS(tblDaily[TransfersIn],tblDaily[EntryDate],DATE(2026,12,4),tblDaily[WardCode],"FAE")=0,"",SUMIFS(tblDaily[TransfersIn],tblDaily[EntryDate],DATE(2026,12,4),tblDaily[WardCode],"FAE")),"")</f>
        <v/>
      </c>
      <c r="G439" s="5" t="str">
        <f>IFERROR(IF(SUMIFS(tblDaily[TransfersOut],tblDaily[EntryDate],DATE(2026,12,4),tblDaily[WardCode],"FAE")=0,"",SUMIFS(tblDaily[TransfersOut],tblDaily[EntryDate],DATE(2026,12,4),tblDaily[WardCode],"FAE")),"")</f>
        <v/>
      </c>
      <c r="H439" s="5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IFERROR(IF(SUMIFS(tblDaily[Admissions],tblDaily[EntryDate],DATE(2026,12,5),tblDaily[WardCode],"FAE")=0,"",SUMIFS(tblDaily[Admissions],tblDaily[EntryDate],DATE(2026,12,5),tblDaily[WardCode],"FAE")),"")</f>
        <v/>
      </c>
      <c r="C440" s="5" t="str">
        <f>IFERROR(IF(SUMIFS(tblDaily[Discharges],tblDaily[EntryDate],DATE(2026,12,5),tblDaily[WardCode],"FAE")=0,"",SUMIFS(tblDaily[Discharges],tblDaily[EntryDate],DATE(2026,12,5),tblDaily[WardCode],"FAE")),"")</f>
        <v/>
      </c>
      <c r="D440" s="5" t="str">
        <f>IFERROR(IF(SUMIFS(tblDaily[Deaths],tblDaily[EntryDate],DATE(2026,12,5),tblDaily[WardCode],"FAE")=0,"",SUMIFS(tblDaily[Deaths],tblDaily[EntryDate],DATE(2026,12,5),tblDaily[WardCode],"FAE")),"")</f>
        <v/>
      </c>
      <c r="E440" s="5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5" t="str">
        <f>IFERROR(IF(SUMIFS(tblDaily[TransfersIn],tblDaily[EntryDate],DATE(2026,12,5),tblDaily[WardCode],"FAE")=0,"",SUMIFS(tblDaily[TransfersIn],tblDaily[EntryDate],DATE(2026,12,5),tblDaily[WardCode],"FAE")),"")</f>
        <v/>
      </c>
      <c r="G440" s="5" t="str">
        <f>IFERROR(IF(SUMIFS(tblDaily[TransfersOut],tblDaily[EntryDate],DATE(2026,12,5),tblDaily[WardCode],"FAE")=0,"",SUMIFS(tblDaily[TransfersOut],tblDaily[EntryDate],DATE(2026,12,5),tblDaily[WardCode],"FAE")),"")</f>
        <v/>
      </c>
      <c r="H440" s="5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IFERROR(IF(SUMIFS(tblDaily[Admissions],tblDaily[EntryDate],DATE(2026,12,6),tblDaily[WardCode],"FAE")=0,"",SUMIFS(tblDaily[Admissions],tblDaily[EntryDate],DATE(2026,12,6),tblDaily[WardCode],"FAE")),"")</f>
        <v/>
      </c>
      <c r="C441" s="5" t="str">
        <f>IFERROR(IF(SUMIFS(tblDaily[Discharges],tblDaily[EntryDate],DATE(2026,12,6),tblDaily[WardCode],"FAE")=0,"",SUMIFS(tblDaily[Discharges],tblDaily[EntryDate],DATE(2026,12,6),tblDaily[WardCode],"FAE")),"")</f>
        <v/>
      </c>
      <c r="D441" s="5" t="str">
        <f>IFERROR(IF(SUMIFS(tblDaily[Deaths],tblDaily[EntryDate],DATE(2026,12,6),tblDaily[WardCode],"FAE")=0,"",SUMIFS(tblDaily[Deaths],tblDaily[EntryDate],DATE(2026,12,6),tblDaily[WardCode],"FAE")),"")</f>
        <v/>
      </c>
      <c r="E441" s="5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5" t="str">
        <f>IFERROR(IF(SUMIFS(tblDaily[TransfersIn],tblDaily[EntryDate],DATE(2026,12,6),tblDaily[WardCode],"FAE")=0,"",SUMIFS(tblDaily[TransfersIn],tblDaily[EntryDate],DATE(2026,12,6),tblDaily[WardCode],"FAE")),"")</f>
        <v/>
      </c>
      <c r="G441" s="5" t="str">
        <f>IFERROR(IF(SUMIFS(tblDaily[TransfersOut],tblDaily[EntryDate],DATE(2026,12,6),tblDaily[WardCode],"FAE")=0,"",SUMIFS(tblDaily[TransfersOut],tblDaily[EntryDate],DATE(2026,12,6),tblDaily[WardCode],"FAE")),"")</f>
        <v/>
      </c>
      <c r="H441" s="5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IFERROR(IF(SUMIFS(tblDaily[Admissions],tblDaily[EntryDate],DATE(2026,12,7),tblDaily[WardCode],"FAE")=0,"",SUMIFS(tblDaily[Admissions],tblDaily[EntryDate],DATE(2026,12,7),tblDaily[WardCode],"FAE")),"")</f>
        <v/>
      </c>
      <c r="C442" s="5" t="str">
        <f>IFERROR(IF(SUMIFS(tblDaily[Discharges],tblDaily[EntryDate],DATE(2026,12,7),tblDaily[WardCode],"FAE")=0,"",SUMIFS(tblDaily[Discharges],tblDaily[EntryDate],DATE(2026,12,7),tblDaily[WardCode],"FAE")),"")</f>
        <v/>
      </c>
      <c r="D442" s="5" t="str">
        <f>IFERROR(IF(SUMIFS(tblDaily[Deaths],tblDaily[EntryDate],DATE(2026,12,7),tblDaily[WardCode],"FAE")=0,"",SUMIFS(tblDaily[Deaths],tblDaily[EntryDate],DATE(2026,12,7),tblDaily[WardCode],"FAE")),"")</f>
        <v/>
      </c>
      <c r="E442" s="5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5" t="str">
        <f>IFERROR(IF(SUMIFS(tblDaily[TransfersIn],tblDaily[EntryDate],DATE(2026,12,7),tblDaily[WardCode],"FAE")=0,"",SUMIFS(tblDaily[TransfersIn],tblDaily[EntryDate],DATE(2026,12,7),tblDaily[WardCode],"FAE")),"")</f>
        <v/>
      </c>
      <c r="G442" s="5" t="str">
        <f>IFERROR(IF(SUMIFS(tblDaily[TransfersOut],tblDaily[EntryDate],DATE(2026,12,7),tblDaily[WardCode],"FAE")=0,"",SUMIFS(tblDaily[TransfersOut],tblDaily[EntryDate],DATE(2026,12,7),tblDaily[WardCode],"FAE")),"")</f>
        <v/>
      </c>
      <c r="H442" s="5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IFERROR(IF(SUMIFS(tblDaily[Admissions],tblDaily[EntryDate],DATE(2026,12,8),tblDaily[WardCode],"FAE")=0,"",SUMIFS(tblDaily[Admissions],tblDaily[EntryDate],DATE(2026,12,8),tblDaily[WardCode],"FAE")),"")</f>
        <v/>
      </c>
      <c r="C443" s="5" t="str">
        <f>IFERROR(IF(SUMIFS(tblDaily[Discharges],tblDaily[EntryDate],DATE(2026,12,8),tblDaily[WardCode],"FAE")=0,"",SUMIFS(tblDaily[Discharges],tblDaily[EntryDate],DATE(2026,12,8),tblDaily[WardCode],"FAE")),"")</f>
        <v/>
      </c>
      <c r="D443" s="5" t="str">
        <f>IFERROR(IF(SUMIFS(tblDaily[Deaths],tblDaily[EntryDate],DATE(2026,12,8),tblDaily[WardCode],"FAE")=0,"",SUMIFS(tblDaily[Deaths],tblDaily[EntryDate],DATE(2026,12,8),tblDaily[WardCode],"FAE")),"")</f>
        <v/>
      </c>
      <c r="E443" s="5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5" t="str">
        <f>IFERROR(IF(SUMIFS(tblDaily[TransfersIn],tblDaily[EntryDate],DATE(2026,12,8),tblDaily[WardCode],"FAE")=0,"",SUMIFS(tblDaily[TransfersIn],tblDaily[EntryDate],DATE(2026,12,8),tblDaily[WardCode],"FAE")),"")</f>
        <v/>
      </c>
      <c r="G443" s="5" t="str">
        <f>IFERROR(IF(SUMIFS(tblDaily[TransfersOut],tblDaily[EntryDate],DATE(2026,12,8),tblDaily[WardCode],"FAE")=0,"",SUMIFS(tblDaily[TransfersOut],tblDaily[EntryDate],DATE(2026,12,8),tblDaily[WardCode],"FAE")),"")</f>
        <v/>
      </c>
      <c r="H443" s="5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IFERROR(IF(SUMIFS(tblDaily[Admissions],tblDaily[EntryDate],DATE(2026,12,9),tblDaily[WardCode],"FAE")=0,"",SUMIFS(tblDaily[Admissions],tblDaily[EntryDate],DATE(2026,12,9),tblDaily[WardCode],"FAE")),"")</f>
        <v/>
      </c>
      <c r="C444" s="5" t="str">
        <f>IFERROR(IF(SUMIFS(tblDaily[Discharges],tblDaily[EntryDate],DATE(2026,12,9),tblDaily[WardCode],"FAE")=0,"",SUMIFS(tblDaily[Discharges],tblDaily[EntryDate],DATE(2026,12,9),tblDaily[WardCode],"FAE")),"")</f>
        <v/>
      </c>
      <c r="D444" s="5" t="str">
        <f>IFERROR(IF(SUMIFS(tblDaily[Deaths],tblDaily[EntryDate],DATE(2026,12,9),tblDaily[WardCode],"FAE")=0,"",SUMIFS(tblDaily[Deaths],tblDaily[EntryDate],DATE(2026,12,9),tblDaily[WardCode],"FAE")),"")</f>
        <v/>
      </c>
      <c r="E444" s="5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5" t="str">
        <f>IFERROR(IF(SUMIFS(tblDaily[TransfersIn],tblDaily[EntryDate],DATE(2026,12,9),tblDaily[WardCode],"FAE")=0,"",SUMIFS(tblDaily[TransfersIn],tblDaily[EntryDate],DATE(2026,12,9),tblDaily[WardCode],"FAE")),"")</f>
        <v/>
      </c>
      <c r="G444" s="5" t="str">
        <f>IFERROR(IF(SUMIFS(tblDaily[TransfersOut],tblDaily[EntryDate],DATE(2026,12,9),tblDaily[WardCode],"FAE")=0,"",SUMIFS(tblDaily[TransfersOut],tblDaily[EntryDate],DATE(2026,12,9),tblDaily[WardCode],"FAE")),"")</f>
        <v/>
      </c>
      <c r="H444" s="5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IFERROR(IF(SUMIFS(tblDaily[Admissions],tblDaily[EntryDate],DATE(2026,12,10),tblDaily[WardCode],"FAE")=0,"",SUMIFS(tblDaily[Admissions],tblDaily[EntryDate],DATE(2026,12,10),tblDaily[WardCode],"FAE")),"")</f>
        <v/>
      </c>
      <c r="C445" s="5" t="str">
        <f>IFERROR(IF(SUMIFS(tblDaily[Discharges],tblDaily[EntryDate],DATE(2026,12,10),tblDaily[WardCode],"FAE")=0,"",SUMIFS(tblDaily[Discharges],tblDaily[EntryDate],DATE(2026,12,10),tblDaily[WardCode],"FAE")),"")</f>
        <v/>
      </c>
      <c r="D445" s="5" t="str">
        <f>IFERROR(IF(SUMIFS(tblDaily[Deaths],tblDaily[EntryDate],DATE(2026,12,10),tblDaily[WardCode],"FAE")=0,"",SUMIFS(tblDaily[Deaths],tblDaily[EntryDate],DATE(2026,12,10),tblDaily[WardCode],"FAE")),"")</f>
        <v/>
      </c>
      <c r="E445" s="5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5" t="str">
        <f>IFERROR(IF(SUMIFS(tblDaily[TransfersIn],tblDaily[EntryDate],DATE(2026,12,10),tblDaily[WardCode],"FAE")=0,"",SUMIFS(tblDaily[TransfersIn],tblDaily[EntryDate],DATE(2026,12,10),tblDaily[WardCode],"FAE")),"")</f>
        <v/>
      </c>
      <c r="G445" s="5" t="str">
        <f>IFERROR(IF(SUMIFS(tblDaily[TransfersOut],tblDaily[EntryDate],DATE(2026,12,10),tblDaily[WardCode],"FAE")=0,"",SUMIFS(tblDaily[TransfersOut],tblDaily[EntryDate],DATE(2026,12,10),tblDaily[WardCode],"FAE")),"")</f>
        <v/>
      </c>
      <c r="H445" s="5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IFERROR(IF(SUMIFS(tblDaily[Admissions],tblDaily[EntryDate],DATE(2026,12,11),tblDaily[WardCode],"FAE")=0,"",SUMIFS(tblDaily[Admissions],tblDaily[EntryDate],DATE(2026,12,11),tblDaily[WardCode],"FAE")),"")</f>
        <v/>
      </c>
      <c r="C446" s="5" t="str">
        <f>IFERROR(IF(SUMIFS(tblDaily[Discharges],tblDaily[EntryDate],DATE(2026,12,11),tblDaily[WardCode],"FAE")=0,"",SUMIFS(tblDaily[Discharges],tblDaily[EntryDate],DATE(2026,12,11),tblDaily[WardCode],"FAE")),"")</f>
        <v/>
      </c>
      <c r="D446" s="5" t="str">
        <f>IFERROR(IF(SUMIFS(tblDaily[Deaths],tblDaily[EntryDate],DATE(2026,12,11),tblDaily[WardCode],"FAE")=0,"",SUMIFS(tblDaily[Deaths],tblDaily[EntryDate],DATE(2026,12,11),tblDaily[WardCode],"FAE")),"")</f>
        <v/>
      </c>
      <c r="E446" s="5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5" t="str">
        <f>IFERROR(IF(SUMIFS(tblDaily[TransfersIn],tblDaily[EntryDate],DATE(2026,12,11),tblDaily[WardCode],"FAE")=0,"",SUMIFS(tblDaily[TransfersIn],tblDaily[EntryDate],DATE(2026,12,11),tblDaily[WardCode],"FAE")),"")</f>
        <v/>
      </c>
      <c r="G446" s="5" t="str">
        <f>IFERROR(IF(SUMIFS(tblDaily[TransfersOut],tblDaily[EntryDate],DATE(2026,12,11),tblDaily[WardCode],"FAE")=0,"",SUMIFS(tblDaily[TransfersOut],tblDaily[EntryDate],DATE(2026,12,11),tblDaily[WardCode],"FAE")),"")</f>
        <v/>
      </c>
      <c r="H446" s="5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IFERROR(IF(SUMIFS(tblDaily[Admissions],tblDaily[EntryDate],DATE(2026,12,12),tblDaily[WardCode],"FAE")=0,"",SUMIFS(tblDaily[Admissions],tblDaily[EntryDate],DATE(2026,12,12),tblDaily[WardCode],"FAE")),"")</f>
        <v/>
      </c>
      <c r="C447" s="5" t="str">
        <f>IFERROR(IF(SUMIFS(tblDaily[Discharges],tblDaily[EntryDate],DATE(2026,12,12),tblDaily[WardCode],"FAE")=0,"",SUMIFS(tblDaily[Discharges],tblDaily[EntryDate],DATE(2026,12,12),tblDaily[WardCode],"FAE")),"")</f>
        <v/>
      </c>
      <c r="D447" s="5" t="str">
        <f>IFERROR(IF(SUMIFS(tblDaily[Deaths],tblDaily[EntryDate],DATE(2026,12,12),tblDaily[WardCode],"FAE")=0,"",SUMIFS(tblDaily[Deaths],tblDaily[EntryDate],DATE(2026,12,12),tblDaily[WardCode],"FAE")),"")</f>
        <v/>
      </c>
      <c r="E447" s="5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5" t="str">
        <f>IFERROR(IF(SUMIFS(tblDaily[TransfersIn],tblDaily[EntryDate],DATE(2026,12,12),tblDaily[WardCode],"FAE")=0,"",SUMIFS(tblDaily[TransfersIn],tblDaily[EntryDate],DATE(2026,12,12),tblDaily[WardCode],"FAE")),"")</f>
        <v/>
      </c>
      <c r="G447" s="5" t="str">
        <f>IFERROR(IF(SUMIFS(tblDaily[TransfersOut],tblDaily[EntryDate],DATE(2026,12,12),tblDaily[WardCode],"FAE")=0,"",SUMIFS(tblDaily[TransfersOut],tblDaily[EntryDate],DATE(2026,12,12),tblDaily[WardCode],"FAE")),"")</f>
        <v/>
      </c>
      <c r="H447" s="5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IFERROR(IF(SUMIFS(tblDaily[Admissions],tblDaily[EntryDate],DATE(2026,12,13),tblDaily[WardCode],"FAE")=0,"",SUMIFS(tblDaily[Admissions],tblDaily[EntryDate],DATE(2026,12,13),tblDaily[WardCode],"FAE")),"")</f>
        <v/>
      </c>
      <c r="C448" s="5" t="str">
        <f>IFERROR(IF(SUMIFS(tblDaily[Discharges],tblDaily[EntryDate],DATE(2026,12,13),tblDaily[WardCode],"FAE")=0,"",SUMIFS(tblDaily[Discharges],tblDaily[EntryDate],DATE(2026,12,13),tblDaily[WardCode],"FAE")),"")</f>
        <v/>
      </c>
      <c r="D448" s="5" t="str">
        <f>IFERROR(IF(SUMIFS(tblDaily[Deaths],tblDaily[EntryDate],DATE(2026,12,13),tblDaily[WardCode],"FAE")=0,"",SUMIFS(tblDaily[Deaths],tblDaily[EntryDate],DATE(2026,12,13),tblDaily[WardCode],"FAE")),"")</f>
        <v/>
      </c>
      <c r="E448" s="5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5" t="str">
        <f>IFERROR(IF(SUMIFS(tblDaily[TransfersIn],tblDaily[EntryDate],DATE(2026,12,13),tblDaily[WardCode],"FAE")=0,"",SUMIFS(tblDaily[TransfersIn],tblDaily[EntryDate],DATE(2026,12,13),tblDaily[WardCode],"FAE")),"")</f>
        <v/>
      </c>
      <c r="G448" s="5" t="str">
        <f>IFERROR(IF(SUMIFS(tblDaily[TransfersOut],tblDaily[EntryDate],DATE(2026,12,13),tblDaily[WardCode],"FAE")=0,"",SUMIFS(tblDaily[TransfersOut],tblDaily[EntryDate],DATE(2026,12,13),tblDaily[WardCode],"FAE")),"")</f>
        <v/>
      </c>
      <c r="H448" s="5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IFERROR(IF(SUMIFS(tblDaily[Admissions],tblDaily[EntryDate],DATE(2026,12,14),tblDaily[WardCode],"FAE")=0,"",SUMIFS(tblDaily[Admissions],tblDaily[EntryDate],DATE(2026,12,14),tblDaily[WardCode],"FAE")),"")</f>
        <v/>
      </c>
      <c r="C449" s="5" t="str">
        <f>IFERROR(IF(SUMIFS(tblDaily[Discharges],tblDaily[EntryDate],DATE(2026,12,14),tblDaily[WardCode],"FAE")=0,"",SUMIFS(tblDaily[Discharges],tblDaily[EntryDate],DATE(2026,12,14),tblDaily[WardCode],"FAE")),"")</f>
        <v/>
      </c>
      <c r="D449" s="5" t="str">
        <f>IFERROR(IF(SUMIFS(tblDaily[Deaths],tblDaily[EntryDate],DATE(2026,12,14),tblDaily[WardCode],"FAE")=0,"",SUMIFS(tblDaily[Deaths],tblDaily[EntryDate],DATE(2026,12,14),tblDaily[WardCode],"FAE")),"")</f>
        <v/>
      </c>
      <c r="E449" s="5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5" t="str">
        <f>IFERROR(IF(SUMIFS(tblDaily[TransfersIn],tblDaily[EntryDate],DATE(2026,12,14),tblDaily[WardCode],"FAE")=0,"",SUMIFS(tblDaily[TransfersIn],tblDaily[EntryDate],DATE(2026,12,14),tblDaily[WardCode],"FAE")),"")</f>
        <v/>
      </c>
      <c r="G449" s="5" t="str">
        <f>IFERROR(IF(SUMIFS(tblDaily[TransfersOut],tblDaily[EntryDate],DATE(2026,12,14),tblDaily[WardCode],"FAE")=0,"",SUMIFS(tblDaily[TransfersOut],tblDaily[EntryDate],DATE(2026,12,14),tblDaily[WardCode],"FAE")),"")</f>
        <v/>
      </c>
      <c r="H449" s="5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IFERROR(IF(SUMIFS(tblDaily[Admissions],tblDaily[EntryDate],DATE(2026,12,15),tblDaily[WardCode],"FAE")=0,"",SUMIFS(tblDaily[Admissions],tblDaily[EntryDate],DATE(2026,12,15),tblDaily[WardCode],"FAE")),"")</f>
        <v/>
      </c>
      <c r="C450" s="5" t="str">
        <f>IFERROR(IF(SUMIFS(tblDaily[Discharges],tblDaily[EntryDate],DATE(2026,12,15),tblDaily[WardCode],"FAE")=0,"",SUMIFS(tblDaily[Discharges],tblDaily[EntryDate],DATE(2026,12,15),tblDaily[WardCode],"FAE")),"")</f>
        <v/>
      </c>
      <c r="D450" s="5" t="str">
        <f>IFERROR(IF(SUMIFS(tblDaily[Deaths],tblDaily[EntryDate],DATE(2026,12,15),tblDaily[WardCode],"FAE")=0,"",SUMIFS(tblDaily[Deaths],tblDaily[EntryDate],DATE(2026,12,15),tblDaily[WardCode],"FAE")),"")</f>
        <v/>
      </c>
      <c r="E450" s="5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5" t="str">
        <f>IFERROR(IF(SUMIFS(tblDaily[TransfersIn],tblDaily[EntryDate],DATE(2026,12,15),tblDaily[WardCode],"FAE")=0,"",SUMIFS(tblDaily[TransfersIn],tblDaily[EntryDate],DATE(2026,12,15),tblDaily[WardCode],"FAE")),"")</f>
        <v/>
      </c>
      <c r="G450" s="5" t="str">
        <f>IFERROR(IF(SUMIFS(tblDaily[TransfersOut],tblDaily[EntryDate],DATE(2026,12,15),tblDaily[WardCode],"FAE")=0,"",SUMIFS(tblDaily[TransfersOut],tblDaily[EntryDate],DATE(2026,12,15),tblDaily[WardCode],"FAE")),"")</f>
        <v/>
      </c>
      <c r="H450" s="5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IFERROR(IF(SUMIFS(tblDaily[Admissions],tblDaily[EntryDate],DATE(2026,12,16),tblDaily[WardCode],"FAE")=0,"",SUMIFS(tblDaily[Admissions],tblDaily[EntryDate],DATE(2026,12,16),tblDaily[WardCode],"FAE")),"")</f>
        <v/>
      </c>
      <c r="C451" s="5" t="str">
        <f>IFERROR(IF(SUMIFS(tblDaily[Discharges],tblDaily[EntryDate],DATE(2026,12,16),tblDaily[WardCode],"FAE")=0,"",SUMIFS(tblDaily[Discharges],tblDaily[EntryDate],DATE(2026,12,16),tblDaily[WardCode],"FAE")),"")</f>
        <v/>
      </c>
      <c r="D451" s="5" t="str">
        <f>IFERROR(IF(SUMIFS(tblDaily[Deaths],tblDaily[EntryDate],DATE(2026,12,16),tblDaily[WardCode],"FAE")=0,"",SUMIFS(tblDaily[Deaths],tblDaily[EntryDate],DATE(2026,12,16),tblDaily[WardCode],"FAE")),"")</f>
        <v/>
      </c>
      <c r="E451" s="5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5" t="str">
        <f>IFERROR(IF(SUMIFS(tblDaily[TransfersIn],tblDaily[EntryDate],DATE(2026,12,16),tblDaily[WardCode],"FAE")=0,"",SUMIFS(tblDaily[TransfersIn],tblDaily[EntryDate],DATE(2026,12,16),tblDaily[WardCode],"FAE")),"")</f>
        <v/>
      </c>
      <c r="G451" s="5" t="str">
        <f>IFERROR(IF(SUMIFS(tblDaily[TransfersOut],tblDaily[EntryDate],DATE(2026,12,16),tblDaily[WardCode],"FAE")=0,"",SUMIFS(tblDaily[TransfersOut],tblDaily[EntryDate],DATE(2026,12,16),tblDaily[WardCode],"FAE")),"")</f>
        <v/>
      </c>
      <c r="H451" s="5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IFERROR(IF(SUMIFS(tblDaily[Admissions],tblDaily[EntryDate],DATE(2026,12,17),tblDaily[WardCode],"FAE")=0,"",SUMIFS(tblDaily[Admissions],tblDaily[EntryDate],DATE(2026,12,17),tblDaily[WardCode],"FAE")),"")</f>
        <v/>
      </c>
      <c r="C452" s="5" t="str">
        <f>IFERROR(IF(SUMIFS(tblDaily[Discharges],tblDaily[EntryDate],DATE(2026,12,17),tblDaily[WardCode],"FAE")=0,"",SUMIFS(tblDaily[Discharges],tblDaily[EntryDate],DATE(2026,12,17),tblDaily[WardCode],"FAE")),"")</f>
        <v/>
      </c>
      <c r="D452" s="5" t="str">
        <f>IFERROR(IF(SUMIFS(tblDaily[Deaths],tblDaily[EntryDate],DATE(2026,12,17),tblDaily[WardCode],"FAE")=0,"",SUMIFS(tblDaily[Deaths],tblDaily[EntryDate],DATE(2026,12,17),tblDaily[WardCode],"FAE")),"")</f>
        <v/>
      </c>
      <c r="E452" s="5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5" t="str">
        <f>IFERROR(IF(SUMIFS(tblDaily[TransfersIn],tblDaily[EntryDate],DATE(2026,12,17),tblDaily[WardCode],"FAE")=0,"",SUMIFS(tblDaily[TransfersIn],tblDaily[EntryDate],DATE(2026,12,17),tblDaily[WardCode],"FAE")),"")</f>
        <v/>
      </c>
      <c r="G452" s="5" t="str">
        <f>IFERROR(IF(SUMIFS(tblDaily[TransfersOut],tblDaily[EntryDate],DATE(2026,12,17),tblDaily[WardCode],"FAE")=0,"",SUMIFS(tblDaily[TransfersOut],tblDaily[EntryDate],DATE(2026,12,17),tblDaily[WardCode],"FAE")),"")</f>
        <v/>
      </c>
      <c r="H452" s="5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IFERROR(IF(SUMIFS(tblDaily[Admissions],tblDaily[EntryDate],DATE(2026,12,18),tblDaily[WardCode],"FAE")=0,"",SUMIFS(tblDaily[Admissions],tblDaily[EntryDate],DATE(2026,12,18),tblDaily[WardCode],"FAE")),"")</f>
        <v/>
      </c>
      <c r="C453" s="5" t="str">
        <f>IFERROR(IF(SUMIFS(tblDaily[Discharges],tblDaily[EntryDate],DATE(2026,12,18),tblDaily[WardCode],"FAE")=0,"",SUMIFS(tblDaily[Discharges],tblDaily[EntryDate],DATE(2026,12,18),tblDaily[WardCode],"FAE")),"")</f>
        <v/>
      </c>
      <c r="D453" s="5" t="str">
        <f>IFERROR(IF(SUMIFS(tblDaily[Deaths],tblDaily[EntryDate],DATE(2026,12,18),tblDaily[WardCode],"FAE")=0,"",SUMIFS(tblDaily[Deaths],tblDaily[EntryDate],DATE(2026,12,18),tblDaily[WardCode],"FAE")),"")</f>
        <v/>
      </c>
      <c r="E453" s="5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5" t="str">
        <f>IFERROR(IF(SUMIFS(tblDaily[TransfersIn],tblDaily[EntryDate],DATE(2026,12,18),tblDaily[WardCode],"FAE")=0,"",SUMIFS(tblDaily[TransfersIn],tblDaily[EntryDate],DATE(2026,12,18),tblDaily[WardCode],"FAE")),"")</f>
        <v/>
      </c>
      <c r="G453" s="5" t="str">
        <f>IFERROR(IF(SUMIFS(tblDaily[TransfersOut],tblDaily[EntryDate],DATE(2026,12,18),tblDaily[WardCode],"FAE")=0,"",SUMIFS(tblDaily[TransfersOut],tblDaily[EntryDate],DATE(2026,12,18),tblDaily[WardCode],"FAE")),"")</f>
        <v/>
      </c>
      <c r="H453" s="5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IFERROR(IF(SUMIFS(tblDaily[Admissions],tblDaily[EntryDate],DATE(2026,12,19),tblDaily[WardCode],"FAE")=0,"",SUMIFS(tblDaily[Admissions],tblDaily[EntryDate],DATE(2026,12,19),tblDaily[WardCode],"FAE")),"")</f>
        <v/>
      </c>
      <c r="C454" s="5" t="str">
        <f>IFERROR(IF(SUMIFS(tblDaily[Discharges],tblDaily[EntryDate],DATE(2026,12,19),tblDaily[WardCode],"FAE")=0,"",SUMIFS(tblDaily[Discharges],tblDaily[EntryDate],DATE(2026,12,19),tblDaily[WardCode],"FAE")),"")</f>
        <v/>
      </c>
      <c r="D454" s="5" t="str">
        <f>IFERROR(IF(SUMIFS(tblDaily[Deaths],tblDaily[EntryDate],DATE(2026,12,19),tblDaily[WardCode],"FAE")=0,"",SUMIFS(tblDaily[Deaths],tblDaily[EntryDate],DATE(2026,12,19),tblDaily[WardCode],"FAE")),"")</f>
        <v/>
      </c>
      <c r="E454" s="5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5" t="str">
        <f>IFERROR(IF(SUMIFS(tblDaily[TransfersIn],tblDaily[EntryDate],DATE(2026,12,19),tblDaily[WardCode],"FAE")=0,"",SUMIFS(tblDaily[TransfersIn],tblDaily[EntryDate],DATE(2026,12,19),tblDaily[WardCode],"FAE")),"")</f>
        <v/>
      </c>
      <c r="G454" s="5" t="str">
        <f>IFERROR(IF(SUMIFS(tblDaily[TransfersOut],tblDaily[EntryDate],DATE(2026,12,19),tblDaily[WardCode],"FAE")=0,"",SUMIFS(tblDaily[TransfersOut],tblDaily[EntryDate],DATE(2026,12,19),tblDaily[WardCode],"FAE")),"")</f>
        <v/>
      </c>
      <c r="H454" s="5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IFERROR(IF(SUMIFS(tblDaily[Admissions],tblDaily[EntryDate],DATE(2026,12,20),tblDaily[WardCode],"FAE")=0,"",SUMIFS(tblDaily[Admissions],tblDaily[EntryDate],DATE(2026,12,20),tblDaily[WardCode],"FAE")),"")</f>
        <v/>
      </c>
      <c r="C455" s="5" t="str">
        <f>IFERROR(IF(SUMIFS(tblDaily[Discharges],tblDaily[EntryDate],DATE(2026,12,20),tblDaily[WardCode],"FAE")=0,"",SUMIFS(tblDaily[Discharges],tblDaily[EntryDate],DATE(2026,12,20),tblDaily[WardCode],"FAE")),"")</f>
        <v/>
      </c>
      <c r="D455" s="5" t="str">
        <f>IFERROR(IF(SUMIFS(tblDaily[Deaths],tblDaily[EntryDate],DATE(2026,12,20),tblDaily[WardCode],"FAE")=0,"",SUMIFS(tblDaily[Deaths],tblDaily[EntryDate],DATE(2026,12,20),tblDaily[WardCode],"FAE")),"")</f>
        <v/>
      </c>
      <c r="E455" s="5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5" t="str">
        <f>IFERROR(IF(SUMIFS(tblDaily[TransfersIn],tblDaily[EntryDate],DATE(2026,12,20),tblDaily[WardCode],"FAE")=0,"",SUMIFS(tblDaily[TransfersIn],tblDaily[EntryDate],DATE(2026,12,20),tblDaily[WardCode],"FAE")),"")</f>
        <v/>
      </c>
      <c r="G455" s="5" t="str">
        <f>IFERROR(IF(SUMIFS(tblDaily[TransfersOut],tblDaily[EntryDate],DATE(2026,12,20),tblDaily[WardCode],"FAE")=0,"",SUMIFS(tblDaily[TransfersOut],tblDaily[EntryDate],DATE(2026,12,20),tblDaily[WardCode],"FAE")),"")</f>
        <v/>
      </c>
      <c r="H455" s="5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IFERROR(IF(SUMIFS(tblDaily[Admissions],tblDaily[EntryDate],DATE(2026,12,21),tblDaily[WardCode],"FAE")=0,"",SUMIFS(tblDaily[Admissions],tblDaily[EntryDate],DATE(2026,12,21),tblDaily[WardCode],"FAE")),"")</f>
        <v/>
      </c>
      <c r="C456" s="5" t="str">
        <f>IFERROR(IF(SUMIFS(tblDaily[Discharges],tblDaily[EntryDate],DATE(2026,12,21),tblDaily[WardCode],"FAE")=0,"",SUMIFS(tblDaily[Discharges],tblDaily[EntryDate],DATE(2026,12,21),tblDaily[WardCode],"FAE")),"")</f>
        <v/>
      </c>
      <c r="D456" s="5" t="str">
        <f>IFERROR(IF(SUMIFS(tblDaily[Deaths],tblDaily[EntryDate],DATE(2026,12,21),tblDaily[WardCode],"FAE")=0,"",SUMIFS(tblDaily[Deaths],tblDaily[EntryDate],DATE(2026,12,21),tblDaily[WardCode],"FAE")),"")</f>
        <v/>
      </c>
      <c r="E456" s="5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5" t="str">
        <f>IFERROR(IF(SUMIFS(tblDaily[TransfersIn],tblDaily[EntryDate],DATE(2026,12,21),tblDaily[WardCode],"FAE")=0,"",SUMIFS(tblDaily[TransfersIn],tblDaily[EntryDate],DATE(2026,12,21),tblDaily[WardCode],"FAE")),"")</f>
        <v/>
      </c>
      <c r="G456" s="5" t="str">
        <f>IFERROR(IF(SUMIFS(tblDaily[TransfersOut],tblDaily[EntryDate],DATE(2026,12,21),tblDaily[WardCode],"FAE")=0,"",SUMIFS(tblDaily[TransfersOut],tblDaily[EntryDate],DATE(2026,12,21),tblDaily[WardCode],"FAE")),"")</f>
        <v/>
      </c>
      <c r="H456" s="5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IFERROR(IF(SUMIFS(tblDaily[Admissions],tblDaily[EntryDate],DATE(2026,12,22),tblDaily[WardCode],"FAE")=0,"",SUMIFS(tblDaily[Admissions],tblDaily[EntryDate],DATE(2026,12,22),tblDaily[WardCode],"FAE")),"")</f>
        <v/>
      </c>
      <c r="C457" s="5" t="str">
        <f>IFERROR(IF(SUMIFS(tblDaily[Discharges],tblDaily[EntryDate],DATE(2026,12,22),tblDaily[WardCode],"FAE")=0,"",SUMIFS(tblDaily[Discharges],tblDaily[EntryDate],DATE(2026,12,22),tblDaily[WardCode],"FAE")),"")</f>
        <v/>
      </c>
      <c r="D457" s="5" t="str">
        <f>IFERROR(IF(SUMIFS(tblDaily[Deaths],tblDaily[EntryDate],DATE(2026,12,22),tblDaily[WardCode],"FAE")=0,"",SUMIFS(tblDaily[Deaths],tblDaily[EntryDate],DATE(2026,12,22),tblDaily[WardCode],"FAE")),"")</f>
        <v/>
      </c>
      <c r="E457" s="5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5" t="str">
        <f>IFERROR(IF(SUMIFS(tblDaily[TransfersIn],tblDaily[EntryDate],DATE(2026,12,22),tblDaily[WardCode],"FAE")=0,"",SUMIFS(tblDaily[TransfersIn],tblDaily[EntryDate],DATE(2026,12,22),tblDaily[WardCode],"FAE")),"")</f>
        <v/>
      </c>
      <c r="G457" s="5" t="str">
        <f>IFERROR(IF(SUMIFS(tblDaily[TransfersOut],tblDaily[EntryDate],DATE(2026,12,22),tblDaily[WardCode],"FAE")=0,"",SUMIFS(tblDaily[TransfersOut],tblDaily[EntryDate],DATE(2026,12,22),tblDaily[WardCode],"FAE")),"")</f>
        <v/>
      </c>
      <c r="H457" s="5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IFERROR(IF(SUMIFS(tblDaily[Admissions],tblDaily[EntryDate],DATE(2026,12,23),tblDaily[WardCode],"FAE")=0,"",SUMIFS(tblDaily[Admissions],tblDaily[EntryDate],DATE(2026,12,23),tblDaily[WardCode],"FAE")),"")</f>
        <v/>
      </c>
      <c r="C458" s="5" t="str">
        <f>IFERROR(IF(SUMIFS(tblDaily[Discharges],tblDaily[EntryDate],DATE(2026,12,23),tblDaily[WardCode],"FAE")=0,"",SUMIFS(tblDaily[Discharges],tblDaily[EntryDate],DATE(2026,12,23),tblDaily[WardCode],"FAE")),"")</f>
        <v/>
      </c>
      <c r="D458" s="5" t="str">
        <f>IFERROR(IF(SUMIFS(tblDaily[Deaths],tblDaily[EntryDate],DATE(2026,12,23),tblDaily[WardCode],"FAE")=0,"",SUMIFS(tblDaily[Deaths],tblDaily[EntryDate],DATE(2026,12,23),tblDaily[WardCode],"FAE")),"")</f>
        <v/>
      </c>
      <c r="E458" s="5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5" t="str">
        <f>IFERROR(IF(SUMIFS(tblDaily[TransfersIn],tblDaily[EntryDate],DATE(2026,12,23),tblDaily[WardCode],"FAE")=0,"",SUMIFS(tblDaily[TransfersIn],tblDaily[EntryDate],DATE(2026,12,23),tblDaily[WardCode],"FAE")),"")</f>
        <v/>
      </c>
      <c r="G458" s="5" t="str">
        <f>IFERROR(IF(SUMIFS(tblDaily[TransfersOut],tblDaily[EntryDate],DATE(2026,12,23),tblDaily[WardCode],"FAE")=0,"",SUMIFS(tblDaily[TransfersOut],tblDaily[EntryDate],DATE(2026,12,23),tblDaily[WardCode],"FAE")),"")</f>
        <v/>
      </c>
      <c r="H458" s="5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IFERROR(IF(SUMIFS(tblDaily[Admissions],tblDaily[EntryDate],DATE(2026,12,24),tblDaily[WardCode],"FAE")=0,"",SUMIFS(tblDaily[Admissions],tblDaily[EntryDate],DATE(2026,12,24),tblDaily[WardCode],"FAE")),"")</f>
        <v/>
      </c>
      <c r="C459" s="5" t="str">
        <f>IFERROR(IF(SUMIFS(tblDaily[Discharges],tblDaily[EntryDate],DATE(2026,12,24),tblDaily[WardCode],"FAE")=0,"",SUMIFS(tblDaily[Discharges],tblDaily[EntryDate],DATE(2026,12,24),tblDaily[WardCode],"FAE")),"")</f>
        <v/>
      </c>
      <c r="D459" s="5" t="str">
        <f>IFERROR(IF(SUMIFS(tblDaily[Deaths],tblDaily[EntryDate],DATE(2026,12,24),tblDaily[WardCode],"FAE")=0,"",SUMIFS(tblDaily[Deaths],tblDaily[EntryDate],DATE(2026,12,24),tblDaily[WardCode],"FAE")),"")</f>
        <v/>
      </c>
      <c r="E459" s="5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5" t="str">
        <f>IFERROR(IF(SUMIFS(tblDaily[TransfersIn],tblDaily[EntryDate],DATE(2026,12,24),tblDaily[WardCode],"FAE")=0,"",SUMIFS(tblDaily[TransfersIn],tblDaily[EntryDate],DATE(2026,12,24),tblDaily[WardCode],"FAE")),"")</f>
        <v/>
      </c>
      <c r="G459" s="5" t="str">
        <f>IFERROR(IF(SUMIFS(tblDaily[TransfersOut],tblDaily[EntryDate],DATE(2026,12,24),tblDaily[WardCode],"FAE")=0,"",SUMIFS(tblDaily[TransfersOut],tblDaily[EntryDate],DATE(2026,12,24),tblDaily[WardCode],"FAE")),"")</f>
        <v/>
      </c>
      <c r="H459" s="5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IFERROR(IF(SUMIFS(tblDaily[Admissions],tblDaily[EntryDate],DATE(2026,12,25),tblDaily[WardCode],"FAE")=0,"",SUMIFS(tblDaily[Admissions],tblDaily[EntryDate],DATE(2026,12,25),tblDaily[WardCode],"FAE")),"")</f>
        <v/>
      </c>
      <c r="C460" s="5" t="str">
        <f>IFERROR(IF(SUMIFS(tblDaily[Discharges],tblDaily[EntryDate],DATE(2026,12,25),tblDaily[WardCode],"FAE")=0,"",SUMIFS(tblDaily[Discharges],tblDaily[EntryDate],DATE(2026,12,25),tblDaily[WardCode],"FAE")),"")</f>
        <v/>
      </c>
      <c r="D460" s="5" t="str">
        <f>IFERROR(IF(SUMIFS(tblDaily[Deaths],tblDaily[EntryDate],DATE(2026,12,25),tblDaily[WardCode],"FAE")=0,"",SUMIFS(tblDaily[Deaths],tblDaily[EntryDate],DATE(2026,12,25),tblDaily[WardCode],"FAE")),"")</f>
        <v/>
      </c>
      <c r="E460" s="5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5" t="str">
        <f>IFERROR(IF(SUMIFS(tblDaily[TransfersIn],tblDaily[EntryDate],DATE(2026,12,25),tblDaily[WardCode],"FAE")=0,"",SUMIFS(tblDaily[TransfersIn],tblDaily[EntryDate],DATE(2026,12,25),tblDaily[WardCode],"FAE")),"")</f>
        <v/>
      </c>
      <c r="G460" s="5" t="str">
        <f>IFERROR(IF(SUMIFS(tblDaily[TransfersOut],tblDaily[EntryDate],DATE(2026,12,25),tblDaily[WardCode],"FAE")=0,"",SUMIFS(tblDaily[TransfersOut],tblDaily[EntryDate],DATE(2026,12,25),tblDaily[WardCode],"FAE")),"")</f>
        <v/>
      </c>
      <c r="H460" s="5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IFERROR(IF(SUMIFS(tblDaily[Admissions],tblDaily[EntryDate],DATE(2026,12,26),tblDaily[WardCode],"FAE")=0,"",SUMIFS(tblDaily[Admissions],tblDaily[EntryDate],DATE(2026,12,26),tblDaily[WardCode],"FAE")),"")</f>
        <v/>
      </c>
      <c r="C461" s="5" t="str">
        <f>IFERROR(IF(SUMIFS(tblDaily[Discharges],tblDaily[EntryDate],DATE(2026,12,26),tblDaily[WardCode],"FAE")=0,"",SUMIFS(tblDaily[Discharges],tblDaily[EntryDate],DATE(2026,12,26),tblDaily[WardCode],"FAE")),"")</f>
        <v/>
      </c>
      <c r="D461" s="5" t="str">
        <f>IFERROR(IF(SUMIFS(tblDaily[Deaths],tblDaily[EntryDate],DATE(2026,12,26),tblDaily[WardCode],"FAE")=0,"",SUMIFS(tblDaily[Deaths],tblDaily[EntryDate],DATE(2026,12,26),tblDaily[WardCode],"FAE")),"")</f>
        <v/>
      </c>
      <c r="E461" s="5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5" t="str">
        <f>IFERROR(IF(SUMIFS(tblDaily[TransfersIn],tblDaily[EntryDate],DATE(2026,12,26),tblDaily[WardCode],"FAE")=0,"",SUMIFS(tblDaily[TransfersIn],tblDaily[EntryDate],DATE(2026,12,26),tblDaily[WardCode],"FAE")),"")</f>
        <v/>
      </c>
      <c r="G461" s="5" t="str">
        <f>IFERROR(IF(SUMIFS(tblDaily[TransfersOut],tblDaily[EntryDate],DATE(2026,12,26),tblDaily[WardCode],"FAE")=0,"",SUMIFS(tblDaily[TransfersOut],tblDaily[EntryDate],DATE(2026,12,26),tblDaily[WardCode],"FAE")),"")</f>
        <v/>
      </c>
      <c r="H461" s="5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IFERROR(IF(SUMIFS(tblDaily[Admissions],tblDaily[EntryDate],DATE(2026,12,27),tblDaily[WardCode],"FAE")=0,"",SUMIFS(tblDaily[Admissions],tblDaily[EntryDate],DATE(2026,12,27),tblDaily[WardCode],"FAE")),"")</f>
        <v/>
      </c>
      <c r="C462" s="5" t="str">
        <f>IFERROR(IF(SUMIFS(tblDaily[Discharges],tblDaily[EntryDate],DATE(2026,12,27),tblDaily[WardCode],"FAE")=0,"",SUMIFS(tblDaily[Discharges],tblDaily[EntryDate],DATE(2026,12,27),tblDaily[WardCode],"FAE")),"")</f>
        <v/>
      </c>
      <c r="D462" s="5" t="str">
        <f>IFERROR(IF(SUMIFS(tblDaily[Deaths],tblDaily[EntryDate],DATE(2026,12,27),tblDaily[WardCode],"FAE")=0,"",SUMIFS(tblDaily[Deaths],tblDaily[EntryDate],DATE(2026,12,27),tblDaily[WardCode],"FAE")),"")</f>
        <v/>
      </c>
      <c r="E462" s="5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5" t="str">
        <f>IFERROR(IF(SUMIFS(tblDaily[TransfersIn],tblDaily[EntryDate],DATE(2026,12,27),tblDaily[WardCode],"FAE")=0,"",SUMIFS(tblDaily[TransfersIn],tblDaily[EntryDate],DATE(2026,12,27),tblDaily[WardCode],"FAE")),"")</f>
        <v/>
      </c>
      <c r="G462" s="5" t="str">
        <f>IFERROR(IF(SUMIFS(tblDaily[TransfersOut],tblDaily[EntryDate],DATE(2026,12,27),tblDaily[WardCode],"FAE")=0,"",SUMIFS(tblDaily[TransfersOut],tblDaily[EntryDate],DATE(2026,12,27),tblDaily[WardCode],"FAE")),"")</f>
        <v/>
      </c>
      <c r="H462" s="5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IFERROR(IF(SUMIFS(tblDaily[Admissions],tblDaily[EntryDate],DATE(2026,12,28),tblDaily[WardCode],"FAE")=0,"",SUMIFS(tblDaily[Admissions],tblDaily[EntryDate],DATE(2026,12,28),tblDaily[WardCode],"FAE")),"")</f>
        <v/>
      </c>
      <c r="C463" s="5" t="str">
        <f>IFERROR(IF(SUMIFS(tblDaily[Discharges],tblDaily[EntryDate],DATE(2026,12,28),tblDaily[WardCode],"FAE")=0,"",SUMIFS(tblDaily[Discharges],tblDaily[EntryDate],DATE(2026,12,28),tblDaily[WardCode],"FAE")),"")</f>
        <v/>
      </c>
      <c r="D463" s="5" t="str">
        <f>IFERROR(IF(SUMIFS(tblDaily[Deaths],tblDaily[EntryDate],DATE(2026,12,28),tblDaily[WardCode],"FAE")=0,"",SUMIFS(tblDaily[Deaths],tblDaily[EntryDate],DATE(2026,12,28),tblDaily[WardCode],"FAE")),"")</f>
        <v/>
      </c>
      <c r="E463" s="5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5" t="str">
        <f>IFERROR(IF(SUMIFS(tblDaily[TransfersIn],tblDaily[EntryDate],DATE(2026,12,28),tblDaily[WardCode],"FAE")=0,"",SUMIFS(tblDaily[TransfersIn],tblDaily[EntryDate],DATE(2026,12,28),tblDaily[WardCode],"FAE")),"")</f>
        <v/>
      </c>
      <c r="G463" s="5" t="str">
        <f>IFERROR(IF(SUMIFS(tblDaily[TransfersOut],tblDaily[EntryDate],DATE(2026,12,28),tblDaily[WardCode],"FAE")=0,"",SUMIFS(tblDaily[TransfersOut],tblDaily[EntryDate],DATE(2026,12,28),tblDaily[WardCode],"FAE")),"")</f>
        <v/>
      </c>
      <c r="H463" s="5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IFERROR(IF(SUMIFS(tblDaily[Admissions],tblDaily[EntryDate],DATE(2026,12,29),tblDaily[WardCode],"FAE")=0,"",SUMIFS(tblDaily[Admissions],tblDaily[EntryDate],DATE(2026,12,29),tblDaily[WardCode],"FAE")),"")</f>
        <v/>
      </c>
      <c r="C464" s="5" t="str">
        <f>IFERROR(IF(SUMIFS(tblDaily[Discharges],tblDaily[EntryDate],DATE(2026,12,29),tblDaily[WardCode],"FAE")=0,"",SUMIFS(tblDaily[Discharges],tblDaily[EntryDate],DATE(2026,12,29),tblDaily[WardCode],"FAE")),"")</f>
        <v/>
      </c>
      <c r="D464" s="5" t="str">
        <f>IFERROR(IF(SUMIFS(tblDaily[Deaths],tblDaily[EntryDate],DATE(2026,12,29),tblDaily[WardCode],"FAE")=0,"",SUMIFS(tblDaily[Deaths],tblDaily[EntryDate],DATE(2026,12,29),tblDaily[WardCode],"FAE")),"")</f>
        <v/>
      </c>
      <c r="E464" s="5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5" t="str">
        <f>IFERROR(IF(SUMIFS(tblDaily[TransfersIn],tblDaily[EntryDate],DATE(2026,12,29),tblDaily[WardCode],"FAE")=0,"",SUMIFS(tblDaily[TransfersIn],tblDaily[EntryDate],DATE(2026,12,29),tblDaily[WardCode],"FAE")),"")</f>
        <v/>
      </c>
      <c r="G464" s="5" t="str">
        <f>IFERROR(IF(SUMIFS(tblDaily[TransfersOut],tblDaily[EntryDate],DATE(2026,12,29),tblDaily[WardCode],"FAE")=0,"",SUMIFS(tblDaily[TransfersOut],tblDaily[EntryDate],DATE(2026,12,29),tblDaily[WardCode],"FAE")),"")</f>
        <v/>
      </c>
      <c r="H464" s="5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IFERROR(IF(SUMIFS(tblDaily[Admissions],tblDaily[EntryDate],DATE(2026,12,30),tblDaily[WardCode],"FAE")=0,"",SUMIFS(tblDaily[Admissions],tblDaily[EntryDate],DATE(2026,12,30),tblDaily[WardCode],"FAE")),"")</f>
        <v/>
      </c>
      <c r="C465" s="5" t="str">
        <f>IFERROR(IF(SUMIFS(tblDaily[Discharges],tblDaily[EntryDate],DATE(2026,12,30),tblDaily[WardCode],"FAE")=0,"",SUMIFS(tblDaily[Discharges],tblDaily[EntryDate],DATE(2026,12,30),tblDaily[WardCode],"FAE")),"")</f>
        <v/>
      </c>
      <c r="D465" s="5" t="str">
        <f>IFERROR(IF(SUMIFS(tblDaily[Deaths],tblDaily[EntryDate],DATE(2026,12,30),tblDaily[WardCode],"FAE")=0,"",SUMIFS(tblDaily[Deaths],tblDaily[EntryDate],DATE(2026,12,30),tblDaily[WardCode],"FAE")),"")</f>
        <v/>
      </c>
      <c r="E465" s="5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5" t="str">
        <f>IFERROR(IF(SUMIFS(tblDaily[TransfersIn],tblDaily[EntryDate],DATE(2026,12,30),tblDaily[WardCode],"FAE")=0,"",SUMIFS(tblDaily[TransfersIn],tblDaily[EntryDate],DATE(2026,12,30),tblDaily[WardCode],"FAE")),"")</f>
        <v/>
      </c>
      <c r="G465" s="5" t="str">
        <f>IFERROR(IF(SUMIFS(tblDaily[TransfersOut],tblDaily[EntryDate],DATE(2026,12,30),tblDaily[WardCode],"FAE")=0,"",SUMIFS(tblDaily[TransfersOut],tblDaily[EntryDate],DATE(2026,12,30),tblDaily[WardCode],"FAE")),"")</f>
        <v/>
      </c>
      <c r="H465" s="5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IFERROR(IF(SUMIFS(tblDaily[Admissions],tblDaily[EntryDate],DATE(2026,12,31),tblDaily[WardCode],"FAE")=0,"",SUMIFS(tblDaily[Admissions],tblDaily[EntryDate],DATE(2026,12,31),tblDaily[WardCode],"FAE")),"")</f>
        <v/>
      </c>
      <c r="C466" s="5" t="str">
        <f>IFERROR(IF(SUMIFS(tblDaily[Discharges],tblDaily[EntryDate],DATE(2026,12,31),tblDaily[WardCode],"FAE")=0,"",SUMIFS(tblDaily[Discharges],tblDaily[EntryDate],DATE(2026,12,31),tblDaily[WardCode],"FAE")),"")</f>
        <v/>
      </c>
      <c r="D466" s="5" t="str">
        <f>IFERROR(IF(SUMIFS(tblDaily[Deaths],tblDaily[EntryDate],DATE(2026,12,31),tblDaily[WardCode],"FAE")=0,"",SUMIFS(tblDaily[Deaths],tblDaily[EntryDate],DATE(2026,12,31),tblDaily[WardCode],"FAE")),"")</f>
        <v/>
      </c>
      <c r="E466" s="5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5" t="str">
        <f>IFERROR(IF(SUMIFS(tblDaily[TransfersIn],tblDaily[EntryDate],DATE(2026,12,31),tblDaily[WardCode],"FAE")=0,"",SUMIFS(tblDaily[TransfersIn],tblDaily[EntryDate],DATE(2026,12,31),tblDaily[WardCode],"FAE")),"")</f>
        <v/>
      </c>
      <c r="G466" s="5" t="str">
        <f>IFERROR(IF(SUMIFS(tblDaily[TransfersOut],tblDaily[EntryDate],DATE(2026,12,31),tblDaily[WardCode],"FAE")=0,"",SUMIFS(tblDaily[TransfersOut],tblDaily[EntryDate],DATE(2026,12,31),tblDaily[WardCode],"FAE")),"")</f>
        <v/>
      </c>
      <c r="H466" s="5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95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H431"/>
    <mergeCell ref="A392:H392"/>
    <mergeCell ref="A353:H353"/>
    <mergeCell ref="A274:H274"/>
    <mergeCell ref="A314:H314"/>
    <mergeCell ref="A352:H352"/>
    <mergeCell ref="A275:H275"/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391:H391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16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ht="15.75" x14ac:dyDescent="0.25">
      <c r="A2" s="21" t="s">
        <v>104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3" spans="1:16" ht="38.25" x14ac:dyDescent="0.25">
      <c r="A3" s="8" t="s">
        <v>105</v>
      </c>
      <c r="B3" s="8" t="s">
        <v>106</v>
      </c>
      <c r="C3" s="8" t="s">
        <v>107</v>
      </c>
      <c r="D3" s="8" t="s">
        <v>57</v>
      </c>
      <c r="E3" s="8" t="s">
        <v>58</v>
      </c>
      <c r="F3" s="8" t="s">
        <v>59</v>
      </c>
      <c r="G3" s="8" t="s">
        <v>91</v>
      </c>
      <c r="H3" s="8" t="s">
        <v>108</v>
      </c>
      <c r="I3" s="8" t="s">
        <v>109</v>
      </c>
      <c r="J3" s="8" t="s">
        <v>110</v>
      </c>
      <c r="K3" s="8" t="s">
        <v>111</v>
      </c>
      <c r="L3" s="8" t="s">
        <v>112</v>
      </c>
      <c r="M3" s="8" t="s">
        <v>113</v>
      </c>
      <c r="N3" s="8" t="s">
        <v>114</v>
      </c>
      <c r="O3" s="8" t="s">
        <v>115</v>
      </c>
      <c r="P3" s="8" t="s">
        <v>116</v>
      </c>
    </row>
    <row r="4" spans="1:16" x14ac:dyDescent="0.25">
      <c r="A4" s="11" t="s">
        <v>22</v>
      </c>
      <c r="B4" s="5">
        <f>IFERROR(INDEX(tblWardConfig[PrevYearRemaining],MATCH("MW",tblWardConfig[WardCode],0)),0)</f>
        <v>0</v>
      </c>
      <c r="C4" s="5">
        <f>IFERROR(INDEX(tblWardConfig[BedComplement],MATCH("MW",tblWardConfig[WardCode],0)),0)</f>
        <v>32</v>
      </c>
      <c r="D4" s="5">
        <f>SUMIFS(tblDaily[Admissions],tblDaily[Month],1,tblDaily[WardCode],"MW")</f>
        <v>0</v>
      </c>
      <c r="E4" s="5">
        <f>SUMIFS(tblDaily[Discharges],tblDaily[Month],1,tblDaily[WardCode],"MW")</f>
        <v>0</v>
      </c>
      <c r="F4" s="5">
        <f>SUMIFS(tblDaily[Deaths],tblDaily[Month],1,tblDaily[WardCode],"MW")</f>
        <v>0</v>
      </c>
      <c r="G4" s="5">
        <f>SUMIFS(tblDaily[DeathsUnder24Hrs],tblDaily[Month],1,tblDaily[WardCode],"MW")</f>
        <v>0</v>
      </c>
      <c r="H4" s="5">
        <f>SUMIFS(tblDaily[Remaining],tblDaily[Month],1,tblDaily[WardCode],"MW")</f>
        <v>0</v>
      </c>
      <c r="I4" s="5">
        <f>SUMIFS(tblDaily[TransfersIn],tblDaily[Month],1,tblDaily[WardCode],"MW")</f>
        <v>0</v>
      </c>
      <c r="J4" s="5">
        <f>SUMIFS(tblDaily[TransfersOut],tblDaily[Month],1,tblDaily[WardCode],"MW")</f>
        <v>0</v>
      </c>
      <c r="K4" s="12">
        <f t="shared" ref="K4:K14" si="0">IFERROR(H4/31,0)</f>
        <v>0</v>
      </c>
      <c r="L4" s="12">
        <f t="shared" ref="L4:L14" si="1">IFERROR(H4/(E4+F4),0)</f>
        <v>0</v>
      </c>
      <c r="M4" s="12">
        <f t="shared" ref="M4:M14" si="2">IFERROR((C4*31-H4)/(E4+F4),0)</f>
        <v>0</v>
      </c>
      <c r="N4" s="12">
        <f t="shared" ref="N4:N14" si="3">IFERROR((E4+F4)/C4,0)</f>
        <v>0</v>
      </c>
      <c r="O4" s="12">
        <f t="shared" ref="O4:O14" si="4">IFERROR((H4/(C4*31))*100,0)</f>
        <v>0</v>
      </c>
      <c r="P4" s="12">
        <f t="shared" ref="P4:P14" si="5">IFERROR((F4/(D4+B4))*100,0)</f>
        <v>0</v>
      </c>
    </row>
    <row r="5" spans="1:16" x14ac:dyDescent="0.25">
      <c r="A5" s="11" t="s">
        <v>24</v>
      </c>
      <c r="B5" s="5">
        <f>IFERROR(INDEX(tblWardConfig[PrevYearRemaining],MATCH("FW",tblWardConfig[WardCode],0)),0)</f>
        <v>0</v>
      </c>
      <c r="C5" s="5">
        <f>IFERROR(INDEX(tblWardConfig[BedComplement],MATCH("FW",tblWardConfig[WardCode],0)),0)</f>
        <v>28</v>
      </c>
      <c r="D5" s="5">
        <f>SUMIFS(tblDaily[Admissions],tblDaily[Month],1,tblDaily[WardCode],"FW")</f>
        <v>0</v>
      </c>
      <c r="E5" s="5">
        <f>SUMIFS(tblDaily[Discharges],tblDaily[Month],1,tblDaily[WardCode],"FW")</f>
        <v>0</v>
      </c>
      <c r="F5" s="5">
        <f>SUMIFS(tblDaily[Deaths],tblDaily[Month],1,tblDaily[WardCode],"FW")</f>
        <v>0</v>
      </c>
      <c r="G5" s="5">
        <f>SUMIFS(tblDaily[DeathsUnder24Hrs],tblDaily[Month],1,tblDaily[WardCode],"FW")</f>
        <v>0</v>
      </c>
      <c r="H5" s="5">
        <f>SUMIFS(tblDaily[Remaining],tblDaily[Month],1,tblDaily[WardCode],"FW")</f>
        <v>0</v>
      </c>
      <c r="I5" s="5">
        <f>SUMIFS(tblDaily[TransfersIn],tblDaily[Month],1,tblDaily[WardCode],"FW")</f>
        <v>0</v>
      </c>
      <c r="J5" s="5">
        <f>SUMIFS(tblDaily[TransfersOut],tblDaily[Month],1,tblDaily[WardCode],"FW")</f>
        <v>0</v>
      </c>
      <c r="K5" s="12">
        <f t="shared" si="0"/>
        <v>0</v>
      </c>
      <c r="L5" s="12">
        <f t="shared" si="1"/>
        <v>0</v>
      </c>
      <c r="M5" s="12">
        <f t="shared" si="2"/>
        <v>0</v>
      </c>
      <c r="N5" s="12">
        <f t="shared" si="3"/>
        <v>0</v>
      </c>
      <c r="O5" s="12">
        <f t="shared" si="4"/>
        <v>0</v>
      </c>
      <c r="P5" s="12">
        <f t="shared" si="5"/>
        <v>0</v>
      </c>
    </row>
    <row r="6" spans="1:16" x14ac:dyDescent="0.25">
      <c r="A6" s="11" t="s">
        <v>26</v>
      </c>
      <c r="B6" s="5">
        <f>IFERROR(INDEX(tblWardConfig[PrevYearRemaining],MATCH("CW",tblWardConfig[WardCode],0)),0)</f>
        <v>0</v>
      </c>
      <c r="C6" s="5">
        <f>IFERROR(INDEX(tblWardConfig[BedComplement],MATCH("CW",tblWardConfig[WardCode],0)),0)</f>
        <v>27</v>
      </c>
      <c r="D6" s="5">
        <f>SUMIFS(tblDaily[Admissions],tblDaily[Month],1,tblDaily[WardCode],"CW")</f>
        <v>0</v>
      </c>
      <c r="E6" s="5">
        <f>SUMIFS(tblDaily[Discharges],tblDaily[Month],1,tblDaily[WardCode],"CW")</f>
        <v>0</v>
      </c>
      <c r="F6" s="5">
        <f>SUMIFS(tblDaily[Deaths],tblDaily[Month],1,tblDaily[WardCode],"CW")</f>
        <v>0</v>
      </c>
      <c r="G6" s="5">
        <f>SUMIFS(tblDaily[DeathsUnder24Hrs],tblDaily[Month],1,tblDaily[WardCode],"CW")</f>
        <v>0</v>
      </c>
      <c r="H6" s="5">
        <f>SUMIFS(tblDaily[Remaining],tblDaily[Month],1,tblDaily[WardCode],"CW")</f>
        <v>0</v>
      </c>
      <c r="I6" s="5">
        <f>SUMIFS(tblDaily[TransfersIn],tblDaily[Month],1,tblDaily[WardCode],"CW")</f>
        <v>0</v>
      </c>
      <c r="J6" s="5">
        <f>SUMIFS(tblDaily[TransfersOut],tblDaily[Month],1,tblDaily[WardCode],"CW")</f>
        <v>0</v>
      </c>
      <c r="K6" s="12">
        <f t="shared" si="0"/>
        <v>0</v>
      </c>
      <c r="L6" s="12">
        <f t="shared" si="1"/>
        <v>0</v>
      </c>
      <c r="M6" s="12">
        <f t="shared" si="2"/>
        <v>0</v>
      </c>
      <c r="N6" s="12">
        <f t="shared" si="3"/>
        <v>0</v>
      </c>
      <c r="O6" s="12">
        <f t="shared" si="4"/>
        <v>0</v>
      </c>
      <c r="P6" s="12">
        <f t="shared" si="5"/>
        <v>0</v>
      </c>
    </row>
    <row r="7" spans="1:16" x14ac:dyDescent="0.25">
      <c r="A7" s="11" t="s">
        <v>28</v>
      </c>
      <c r="B7" s="5">
        <f>IFERROR(INDEX(tblWardConfig[PrevYearRemaining],MATCH("BF",tblWardConfig[WardCode],0)),0)</f>
        <v>0</v>
      </c>
      <c r="C7" s="5">
        <f>IFERROR(INDEX(tblWardConfig[BedComplement],MATCH("BF",tblWardConfig[WardCode],0)),0)</f>
        <v>20</v>
      </c>
      <c r="D7" s="5">
        <f>SUMIFS(tblDaily[Admissions],tblDaily[Month],1,tblDaily[WardCode],"BF")</f>
        <v>0</v>
      </c>
      <c r="E7" s="5">
        <f>SUMIFS(tblDaily[Discharges],tblDaily[Month],1,tblDaily[WardCode],"BF")</f>
        <v>0</v>
      </c>
      <c r="F7" s="5">
        <f>SUMIFS(tblDaily[Deaths],tblDaily[Month],1,tblDaily[WardCode],"BF")</f>
        <v>0</v>
      </c>
      <c r="G7" s="5">
        <f>SUMIFS(tblDaily[DeathsUnder24Hrs],tblDaily[Month],1,tblDaily[WardCode],"BF")</f>
        <v>0</v>
      </c>
      <c r="H7" s="5">
        <f>SUMIFS(tblDaily[Remaining],tblDaily[Month],1,tblDaily[WardCode],"BF")</f>
        <v>0</v>
      </c>
      <c r="I7" s="5">
        <f>SUMIFS(tblDaily[TransfersIn],tblDaily[Month],1,tblDaily[WardCode],"BF")</f>
        <v>0</v>
      </c>
      <c r="J7" s="5">
        <f>SUMIFS(tblDaily[TransfersOut],tblDaily[Month],1,tblDaily[WardCode],"BF")</f>
        <v>0</v>
      </c>
      <c r="K7" s="12">
        <f t="shared" si="0"/>
        <v>0</v>
      </c>
      <c r="L7" s="12">
        <f t="shared" si="1"/>
        <v>0</v>
      </c>
      <c r="M7" s="12">
        <f t="shared" si="2"/>
        <v>0</v>
      </c>
      <c r="N7" s="12">
        <f t="shared" si="3"/>
        <v>0</v>
      </c>
      <c r="O7" s="12">
        <f t="shared" si="4"/>
        <v>0</v>
      </c>
      <c r="P7" s="12">
        <f t="shared" si="5"/>
        <v>0</v>
      </c>
    </row>
    <row r="8" spans="1:16" x14ac:dyDescent="0.25">
      <c r="A8" s="11" t="s">
        <v>30</v>
      </c>
      <c r="B8" s="5">
        <f>IFERROR(INDEX(tblWardConfig[PrevYearRemaining],MATCH("BG",tblWardConfig[WardCode],0)),0)</f>
        <v>0</v>
      </c>
      <c r="C8" s="5">
        <f>IFERROR(INDEX(tblWardConfig[BedComplement],MATCH("BG",tblWardConfig[WardCode],0)),0)</f>
        <v>14</v>
      </c>
      <c r="D8" s="5">
        <f>SUMIFS(tblDaily[Admissions],tblDaily[Month],1,tblDaily[WardCode],"BG")</f>
        <v>0</v>
      </c>
      <c r="E8" s="5">
        <f>SUMIFS(tblDaily[Discharges],tblDaily[Month],1,tblDaily[WardCode],"BG")</f>
        <v>0</v>
      </c>
      <c r="F8" s="5">
        <f>SUMIFS(tblDaily[Deaths],tblDaily[Month],1,tblDaily[WardCode],"BG")</f>
        <v>0</v>
      </c>
      <c r="G8" s="5">
        <f>SUMIFS(tblDaily[DeathsUnder24Hrs],tblDaily[Month],1,tblDaily[WardCode],"BG")</f>
        <v>0</v>
      </c>
      <c r="H8" s="5">
        <f>SUMIFS(tblDaily[Remaining],tblDaily[Month],1,tblDaily[WardCode],"BG")</f>
        <v>0</v>
      </c>
      <c r="I8" s="5">
        <f>SUMIFS(tblDaily[TransfersIn],tblDaily[Month],1,tblDaily[WardCode],"BG")</f>
        <v>0</v>
      </c>
      <c r="J8" s="5">
        <f>SUMIFS(tblDaily[TransfersOut],tblDaily[Month],1,tblDaily[WardCode],"BG")</f>
        <v>0</v>
      </c>
      <c r="K8" s="12">
        <f t="shared" si="0"/>
        <v>0</v>
      </c>
      <c r="L8" s="12">
        <f t="shared" si="1"/>
        <v>0</v>
      </c>
      <c r="M8" s="12">
        <f t="shared" si="2"/>
        <v>0</v>
      </c>
      <c r="N8" s="12">
        <f t="shared" si="3"/>
        <v>0</v>
      </c>
      <c r="O8" s="12">
        <f t="shared" si="4"/>
        <v>0</v>
      </c>
      <c r="P8" s="12">
        <f t="shared" si="5"/>
        <v>0</v>
      </c>
    </row>
    <row r="9" spans="1:16" x14ac:dyDescent="0.25">
      <c r="A9" s="11" t="s">
        <v>32</v>
      </c>
      <c r="B9" s="5">
        <f>IFERROR(INDEX(tblWardConfig[PrevYearRemaining],MATCH("BH",tblWardConfig[WardCode],0)),0)</f>
        <v>0</v>
      </c>
      <c r="C9" s="5">
        <f>IFERROR(INDEX(tblWardConfig[BedComplement],MATCH("BH",tblWardConfig[WardCode],0)),0)</f>
        <v>22</v>
      </c>
      <c r="D9" s="5">
        <f>SUMIFS(tblDaily[Admissions],tblDaily[Month],1,tblDaily[WardCode],"BH")</f>
        <v>0</v>
      </c>
      <c r="E9" s="5">
        <f>SUMIFS(tblDaily[Discharges],tblDaily[Month],1,tblDaily[WardCode],"BH")</f>
        <v>0</v>
      </c>
      <c r="F9" s="5">
        <f>SUMIFS(tblDaily[Deaths],tblDaily[Month],1,tblDaily[WardCode],"BH")</f>
        <v>0</v>
      </c>
      <c r="G9" s="5">
        <f>SUMIFS(tblDaily[DeathsUnder24Hrs],tblDaily[Month],1,tblDaily[WardCode],"BH")</f>
        <v>0</v>
      </c>
      <c r="H9" s="5">
        <f>SUMIFS(tblDaily[Remaining],tblDaily[Month],1,tblDaily[WardCode],"BH")</f>
        <v>0</v>
      </c>
      <c r="I9" s="5">
        <f>SUMIFS(tblDaily[TransfersIn],tblDaily[Month],1,tblDaily[WardCode],"BH")</f>
        <v>0</v>
      </c>
      <c r="J9" s="5">
        <f>SUMIFS(tblDaily[TransfersOut],tblDaily[Month],1,tblDaily[WardCode],"BH")</f>
        <v>0</v>
      </c>
      <c r="K9" s="12">
        <f t="shared" si="0"/>
        <v>0</v>
      </c>
      <c r="L9" s="12">
        <f t="shared" si="1"/>
        <v>0</v>
      </c>
      <c r="M9" s="12">
        <f t="shared" si="2"/>
        <v>0</v>
      </c>
      <c r="N9" s="12">
        <f t="shared" si="3"/>
        <v>0</v>
      </c>
      <c r="O9" s="12">
        <f t="shared" si="4"/>
        <v>0</v>
      </c>
      <c r="P9" s="12">
        <f t="shared" si="5"/>
        <v>0</v>
      </c>
    </row>
    <row r="10" spans="1:16" x14ac:dyDescent="0.25">
      <c r="A10" s="11" t="s">
        <v>34</v>
      </c>
      <c r="B10" s="5">
        <f>IFERROR(INDEX(tblWardConfig[PrevYearRemaining],MATCH("NICU",tblWardConfig[WardCode],0)),0)</f>
        <v>0</v>
      </c>
      <c r="C10" s="5">
        <f>IFERROR(INDEX(tblWardConfig[BedComplement],MATCH("NICU",tblWardConfig[WardCode],0)),0)</f>
        <v>15</v>
      </c>
      <c r="D10" s="5">
        <f>SUMIFS(tblDaily[Admissions],tblDaily[Month],1,tblDaily[WardCode],"NICU")</f>
        <v>0</v>
      </c>
      <c r="E10" s="5">
        <f>SUMIFS(tblDaily[Discharges],tblDaily[Month],1,tblDaily[WardCode],"NICU")</f>
        <v>0</v>
      </c>
      <c r="F10" s="5">
        <f>SUMIFS(tblDaily[Deaths],tblDaily[Month],1,tblDaily[WardCode],"NICU")</f>
        <v>0</v>
      </c>
      <c r="G10" s="5">
        <f>SUMIFS(tblDaily[DeathsUnder24Hrs],tblDaily[Month],1,tblDaily[WardCode],"NICU")</f>
        <v>0</v>
      </c>
      <c r="H10" s="5">
        <f>SUMIFS(tblDaily[Remaining],tblDaily[Month],1,tblDaily[WardCode],"NICU")</f>
        <v>0</v>
      </c>
      <c r="I10" s="5">
        <f>SUMIFS(tblDaily[TransfersIn],tblDaily[Month],1,tblDaily[WardCode],"NICU")</f>
        <v>0</v>
      </c>
      <c r="J10" s="5">
        <f>SUMIFS(tblDaily[TransfersOut],tblDaily[Month],1,tblDaily[WardCode],"NICU")</f>
        <v>0</v>
      </c>
      <c r="K10" s="12">
        <f t="shared" si="0"/>
        <v>0</v>
      </c>
      <c r="L10" s="12">
        <f t="shared" si="1"/>
        <v>0</v>
      </c>
      <c r="M10" s="12">
        <f t="shared" si="2"/>
        <v>0</v>
      </c>
      <c r="N10" s="12">
        <f t="shared" si="3"/>
        <v>0</v>
      </c>
      <c r="O10" s="12">
        <f t="shared" si="4"/>
        <v>0</v>
      </c>
      <c r="P10" s="12">
        <f t="shared" si="5"/>
        <v>0</v>
      </c>
    </row>
    <row r="11" spans="1:16" x14ac:dyDescent="0.25">
      <c r="A11" s="11" t="s">
        <v>36</v>
      </c>
      <c r="B11" s="5">
        <f>IFERROR(INDEX(tblWardConfig[PrevYearRemaining],MATCH("MAE",tblWardConfig[WardCode],0)),0)</f>
        <v>0</v>
      </c>
      <c r="C11" s="5">
        <f>IFERROR(INDEX(tblWardConfig[BedComplement],MATCH("MAE",tblWardConfig[WardCode],0)),0)</f>
        <v>10</v>
      </c>
      <c r="D11" s="5">
        <f>SUMIFS(tblDaily[Admissions],tblDaily[Month],1,tblDaily[WardCode],"MAE")</f>
        <v>0</v>
      </c>
      <c r="E11" s="5">
        <f>SUMIFS(tblDaily[Discharges],tblDaily[Month],1,tblDaily[WardCode],"MAE")</f>
        <v>0</v>
      </c>
      <c r="F11" s="5">
        <f>SUMIFS(tblDaily[Deaths],tblDaily[Month],1,tblDaily[WardCode],"MAE")</f>
        <v>0</v>
      </c>
      <c r="G11" s="5">
        <f>SUMIFS(tblDaily[DeathsUnder24Hrs],tblDaily[Month],1,tblDaily[WardCode],"MAE")</f>
        <v>0</v>
      </c>
      <c r="H11" s="5">
        <f>SUMIFS(tblDaily[Remaining],tblDaily[Month],1,tblDaily[WardCode],"MAE")</f>
        <v>0</v>
      </c>
      <c r="I11" s="5">
        <f>SUMIFS(tblDaily[TransfersIn],tblDaily[Month],1,tblDaily[WardCode],"MAE")</f>
        <v>0</v>
      </c>
      <c r="J11" s="5">
        <f>SUMIFS(tblDaily[TransfersOut],tblDaily[Month],1,tblDaily[WardCode],"MAE")</f>
        <v>0</v>
      </c>
      <c r="K11" s="12">
        <f t="shared" si="0"/>
        <v>0</v>
      </c>
      <c r="L11" s="12">
        <f t="shared" si="1"/>
        <v>0</v>
      </c>
      <c r="M11" s="12">
        <f t="shared" si="2"/>
        <v>0</v>
      </c>
      <c r="N11" s="12">
        <f t="shared" si="3"/>
        <v>0</v>
      </c>
      <c r="O11" s="12">
        <f t="shared" si="4"/>
        <v>0</v>
      </c>
      <c r="P11" s="12">
        <f t="shared" si="5"/>
        <v>0</v>
      </c>
    </row>
    <row r="12" spans="1:16" x14ac:dyDescent="0.25">
      <c r="A12" s="11" t="s">
        <v>38</v>
      </c>
      <c r="B12" s="5">
        <f>IFERROR(INDEX(tblWardConfig[PrevYearRemaining],MATCH("FAE",tblWardConfig[WardCode],0)),0)</f>
        <v>0</v>
      </c>
      <c r="C12" s="5">
        <f>IFERROR(INDEX(tblWardConfig[BedComplement],MATCH("FAE",tblWardConfig[WardCode],0)),0)</f>
        <v>10</v>
      </c>
      <c r="D12" s="5">
        <f>SUMIFS(tblDaily[Admissions],tblDaily[Month],1,tblDaily[WardCode],"FAE")</f>
        <v>0</v>
      </c>
      <c r="E12" s="5">
        <f>SUMIFS(tblDaily[Discharges],tblDaily[Month],1,tblDaily[WardCode],"FAE")</f>
        <v>0</v>
      </c>
      <c r="F12" s="5">
        <f>SUMIFS(tblDaily[Deaths],tblDaily[Month],1,tblDaily[WardCode],"FAE")</f>
        <v>0</v>
      </c>
      <c r="G12" s="5">
        <f>SUMIFS(tblDaily[DeathsUnder24Hrs],tblDaily[Month],1,tblDaily[WardCode],"FAE")</f>
        <v>0</v>
      </c>
      <c r="H12" s="5">
        <f>SUMIFS(tblDaily[Remaining],tblDaily[Month],1,tblDaily[WardCode],"FAE")</f>
        <v>0</v>
      </c>
      <c r="I12" s="5">
        <f>SUMIFS(tblDaily[TransfersIn],tblDaily[Month],1,tblDaily[WardCode],"FAE")</f>
        <v>0</v>
      </c>
      <c r="J12" s="5">
        <f>SUMIFS(tblDaily[TransfersOut],tblDaily[Month],1,tblDaily[WardCode],"FAE")</f>
        <v>0</v>
      </c>
      <c r="K12" s="12">
        <f t="shared" si="0"/>
        <v>0</v>
      </c>
      <c r="L12" s="12">
        <f t="shared" si="1"/>
        <v>0</v>
      </c>
      <c r="M12" s="12">
        <f t="shared" si="2"/>
        <v>0</v>
      </c>
      <c r="N12" s="12">
        <f t="shared" si="3"/>
        <v>0</v>
      </c>
      <c r="O12" s="12">
        <f t="shared" si="4"/>
        <v>0</v>
      </c>
      <c r="P12" s="12">
        <f t="shared" si="5"/>
        <v>0</v>
      </c>
    </row>
    <row r="13" spans="1:16" x14ac:dyDescent="0.25">
      <c r="A13" s="9" t="s">
        <v>95</v>
      </c>
      <c r="B13" s="9">
        <f t="shared" ref="B13:J13" si="6">SUM(B4:B12)</f>
        <v>0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3">
        <f t="shared" si="0"/>
        <v>0</v>
      </c>
      <c r="L13" s="13">
        <f t="shared" si="1"/>
        <v>0</v>
      </c>
      <c r="M13" s="13">
        <f t="shared" si="2"/>
        <v>0</v>
      </c>
      <c r="N13" s="13">
        <f t="shared" si="3"/>
        <v>0</v>
      </c>
      <c r="O13" s="13">
        <f t="shared" si="4"/>
        <v>0</v>
      </c>
      <c r="P13" s="13">
        <f t="shared" si="5"/>
        <v>0</v>
      </c>
    </row>
    <row r="14" spans="1:16" x14ac:dyDescent="0.25">
      <c r="A14" s="14" t="s">
        <v>117</v>
      </c>
      <c r="B14" s="14">
        <f t="shared" ref="B14:J14" si="7">B11+B12</f>
        <v>0</v>
      </c>
      <c r="C14" s="14">
        <f t="shared" si="7"/>
        <v>20</v>
      </c>
      <c r="D14" s="14">
        <f t="shared" si="7"/>
        <v>0</v>
      </c>
      <c r="E14" s="14">
        <f t="shared" si="7"/>
        <v>0</v>
      </c>
      <c r="F14" s="14">
        <f t="shared" si="7"/>
        <v>0</v>
      </c>
      <c r="G14" s="14">
        <f t="shared" si="7"/>
        <v>0</v>
      </c>
      <c r="H14" s="14">
        <f t="shared" si="7"/>
        <v>0</v>
      </c>
      <c r="I14" s="14">
        <f t="shared" si="7"/>
        <v>0</v>
      </c>
      <c r="J14" s="14">
        <f t="shared" si="7"/>
        <v>0</v>
      </c>
      <c r="K14" s="15">
        <f t="shared" si="0"/>
        <v>0</v>
      </c>
      <c r="L14" s="15">
        <f t="shared" si="1"/>
        <v>0</v>
      </c>
      <c r="M14" s="15">
        <f t="shared" si="2"/>
        <v>0</v>
      </c>
      <c r="N14" s="15">
        <f t="shared" si="3"/>
        <v>0</v>
      </c>
      <c r="O14" s="15">
        <f t="shared" si="4"/>
        <v>0</v>
      </c>
      <c r="P14" s="15">
        <f t="shared" si="5"/>
        <v>0</v>
      </c>
    </row>
    <row r="16" spans="1:16" ht="18.75" x14ac:dyDescent="0.25">
      <c r="A16" s="16" t="s">
        <v>0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</row>
    <row r="17" spans="1:16" ht="15.75" x14ac:dyDescent="0.25">
      <c r="A17" s="21" t="s">
        <v>118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</row>
    <row r="18" spans="1:16" ht="38.25" x14ac:dyDescent="0.25">
      <c r="A18" s="8" t="s">
        <v>105</v>
      </c>
      <c r="B18" s="8" t="s">
        <v>106</v>
      </c>
      <c r="C18" s="8" t="s">
        <v>107</v>
      </c>
      <c r="D18" s="8" t="s">
        <v>57</v>
      </c>
      <c r="E18" s="8" t="s">
        <v>58</v>
      </c>
      <c r="F18" s="8" t="s">
        <v>59</v>
      </c>
      <c r="G18" s="8" t="s">
        <v>91</v>
      </c>
      <c r="H18" s="8" t="s">
        <v>108</v>
      </c>
      <c r="I18" s="8" t="s">
        <v>109</v>
      </c>
      <c r="J18" s="8" t="s">
        <v>110</v>
      </c>
      <c r="K18" s="8" t="s">
        <v>111</v>
      </c>
      <c r="L18" s="8" t="s">
        <v>112</v>
      </c>
      <c r="M18" s="8" t="s">
        <v>113</v>
      </c>
      <c r="N18" s="8" t="s">
        <v>114</v>
      </c>
      <c r="O18" s="8" t="s">
        <v>115</v>
      </c>
      <c r="P18" s="8" t="s">
        <v>116</v>
      </c>
    </row>
    <row r="19" spans="1:16" x14ac:dyDescent="0.25">
      <c r="A19" s="11" t="s">
        <v>22</v>
      </c>
      <c r="B19" s="5">
        <f>IFERROR(SUMIFS(tblDaily[Remaining],tblDaily[EntryDate],DATE(2026,1,31),tblDaily[WardCode],"MW"),0)</f>
        <v>0</v>
      </c>
      <c r="C19" s="5">
        <f>IFERROR(INDEX(tblWardConfig[BedComplement],MATCH("MW",tblWardConfig[WardCode],0)),0)</f>
        <v>32</v>
      </c>
      <c r="D19" s="5">
        <f>SUMIFS(tblDaily[Admissions],tblDaily[Month],2,tblDaily[WardCode],"MW")</f>
        <v>0</v>
      </c>
      <c r="E19" s="5">
        <f>SUMIFS(tblDaily[Discharges],tblDaily[Month],2,tblDaily[WardCode],"MW")</f>
        <v>0</v>
      </c>
      <c r="F19" s="5">
        <f>SUMIFS(tblDaily[Deaths],tblDaily[Month],2,tblDaily[WardCode],"MW")</f>
        <v>0</v>
      </c>
      <c r="G19" s="5">
        <f>SUMIFS(tblDaily[DeathsUnder24Hrs],tblDaily[Month],2,tblDaily[WardCode],"MW")</f>
        <v>0</v>
      </c>
      <c r="H19" s="5">
        <f>SUMIFS(tblDaily[Remaining],tblDaily[Month],2,tblDaily[WardCode],"MW")</f>
        <v>0</v>
      </c>
      <c r="I19" s="5">
        <f>SUMIFS(tblDaily[TransfersIn],tblDaily[Month],2,tblDaily[WardCode],"MW")</f>
        <v>0</v>
      </c>
      <c r="J19" s="5">
        <f>SUMIFS(tblDaily[TransfersOut],tblDaily[Month],2,tblDaily[WardCode],"MW")</f>
        <v>0</v>
      </c>
      <c r="K19" s="12">
        <f t="shared" ref="K19:K29" si="8">IFERROR(H19/28,0)</f>
        <v>0</v>
      </c>
      <c r="L19" s="12">
        <f t="shared" ref="L19:L29" si="9">IFERROR(H19/(E19+F19),0)</f>
        <v>0</v>
      </c>
      <c r="M19" s="12">
        <f t="shared" ref="M19:M29" si="10">IFERROR((C19*28-H19)/(E19+F19),0)</f>
        <v>0</v>
      </c>
      <c r="N19" s="12">
        <f t="shared" ref="N19:N29" si="11">IFERROR((E19+F19)/C19,0)</f>
        <v>0</v>
      </c>
      <c r="O19" s="12">
        <f t="shared" ref="O19:O29" si="12">IFERROR((H19/(C19*28))*100,0)</f>
        <v>0</v>
      </c>
      <c r="P19" s="12">
        <f t="shared" ref="P19:P29" si="13">IFERROR((F19/(D19+B19))*100,0)</f>
        <v>0</v>
      </c>
    </row>
    <row r="20" spans="1:16" x14ac:dyDescent="0.25">
      <c r="A20" s="11" t="s">
        <v>24</v>
      </c>
      <c r="B20" s="5">
        <f>IFERROR(SUMIFS(tblDaily[Remaining],tblDaily[EntryDate],DATE(2026,1,31),tblDaily[WardCode],"FW"),0)</f>
        <v>0</v>
      </c>
      <c r="C20" s="5">
        <f>IFERROR(INDEX(tblWardConfig[BedComplement],MATCH("FW",tblWardConfig[WardCode],0)),0)</f>
        <v>28</v>
      </c>
      <c r="D20" s="5">
        <f>SUMIFS(tblDaily[Admissions],tblDaily[Month],2,tblDaily[WardCode],"FW")</f>
        <v>0</v>
      </c>
      <c r="E20" s="5">
        <f>SUMIFS(tblDaily[Discharges],tblDaily[Month],2,tblDaily[WardCode],"FW")</f>
        <v>0</v>
      </c>
      <c r="F20" s="5">
        <f>SUMIFS(tblDaily[Deaths],tblDaily[Month],2,tblDaily[WardCode],"FW")</f>
        <v>0</v>
      </c>
      <c r="G20" s="5">
        <f>SUMIFS(tblDaily[DeathsUnder24Hrs],tblDaily[Month],2,tblDaily[WardCode],"FW")</f>
        <v>0</v>
      </c>
      <c r="H20" s="5">
        <f>SUMIFS(tblDaily[Remaining],tblDaily[Month],2,tblDaily[WardCode],"FW")</f>
        <v>0</v>
      </c>
      <c r="I20" s="5">
        <f>SUMIFS(tblDaily[TransfersIn],tblDaily[Month],2,tblDaily[WardCode],"FW")</f>
        <v>0</v>
      </c>
      <c r="J20" s="5">
        <f>SUMIFS(tblDaily[TransfersOut],tblDaily[Month],2,tblDaily[WardCode],"FW")</f>
        <v>0</v>
      </c>
      <c r="K20" s="12">
        <f t="shared" si="8"/>
        <v>0</v>
      </c>
      <c r="L20" s="12">
        <f t="shared" si="9"/>
        <v>0</v>
      </c>
      <c r="M20" s="12">
        <f t="shared" si="10"/>
        <v>0</v>
      </c>
      <c r="N20" s="12">
        <f t="shared" si="11"/>
        <v>0</v>
      </c>
      <c r="O20" s="12">
        <f t="shared" si="12"/>
        <v>0</v>
      </c>
      <c r="P20" s="12">
        <f t="shared" si="13"/>
        <v>0</v>
      </c>
    </row>
    <row r="21" spans="1:16" x14ac:dyDescent="0.25">
      <c r="A21" s="11" t="s">
        <v>26</v>
      </c>
      <c r="B21" s="5">
        <f>IFERROR(SUMIFS(tblDaily[Remaining],tblDaily[EntryDate],DATE(2026,1,31),tblDaily[WardCode],"CW"),0)</f>
        <v>0</v>
      </c>
      <c r="C21" s="5">
        <f>IFERROR(INDEX(tblWardConfig[BedComplement],MATCH("CW",tblWardConfig[WardCode],0)),0)</f>
        <v>27</v>
      </c>
      <c r="D21" s="5">
        <f>SUMIFS(tblDaily[Admissions],tblDaily[Month],2,tblDaily[WardCode],"CW")</f>
        <v>0</v>
      </c>
      <c r="E21" s="5">
        <f>SUMIFS(tblDaily[Discharges],tblDaily[Month],2,tblDaily[WardCode],"CW")</f>
        <v>0</v>
      </c>
      <c r="F21" s="5">
        <f>SUMIFS(tblDaily[Deaths],tblDaily[Month],2,tblDaily[WardCode],"CW")</f>
        <v>0</v>
      </c>
      <c r="G21" s="5">
        <f>SUMIFS(tblDaily[DeathsUnder24Hrs],tblDaily[Month],2,tblDaily[WardCode],"CW")</f>
        <v>0</v>
      </c>
      <c r="H21" s="5">
        <f>SUMIFS(tblDaily[Remaining],tblDaily[Month],2,tblDaily[WardCode],"CW")</f>
        <v>0</v>
      </c>
      <c r="I21" s="5">
        <f>SUMIFS(tblDaily[TransfersIn],tblDaily[Month],2,tblDaily[WardCode],"CW")</f>
        <v>0</v>
      </c>
      <c r="J21" s="5">
        <f>SUMIFS(tblDaily[TransfersOut],tblDaily[Month],2,tblDaily[WardCode],"CW")</f>
        <v>0</v>
      </c>
      <c r="K21" s="12">
        <f t="shared" si="8"/>
        <v>0</v>
      </c>
      <c r="L21" s="12">
        <f t="shared" si="9"/>
        <v>0</v>
      </c>
      <c r="M21" s="12">
        <f t="shared" si="10"/>
        <v>0</v>
      </c>
      <c r="N21" s="12">
        <f t="shared" si="11"/>
        <v>0</v>
      </c>
      <c r="O21" s="12">
        <f t="shared" si="12"/>
        <v>0</v>
      </c>
      <c r="P21" s="12">
        <f t="shared" si="13"/>
        <v>0</v>
      </c>
    </row>
    <row r="22" spans="1:16" x14ac:dyDescent="0.25">
      <c r="A22" s="11" t="s">
        <v>28</v>
      </c>
      <c r="B22" s="5">
        <f>IFERROR(SUMIFS(tblDaily[Remaining],tblDaily[EntryDate],DATE(2026,1,31),tblDaily[WardCode],"BF"),0)</f>
        <v>0</v>
      </c>
      <c r="C22" s="5">
        <f>IFERROR(INDEX(tblWardConfig[BedComplement],MATCH("BF",tblWardConfig[WardCode],0)),0)</f>
        <v>20</v>
      </c>
      <c r="D22" s="5">
        <f>SUMIFS(tblDaily[Admissions],tblDaily[Month],2,tblDaily[WardCode],"BF")</f>
        <v>0</v>
      </c>
      <c r="E22" s="5">
        <f>SUMIFS(tblDaily[Discharges],tblDaily[Month],2,tblDaily[WardCode],"BF")</f>
        <v>0</v>
      </c>
      <c r="F22" s="5">
        <f>SUMIFS(tblDaily[Deaths],tblDaily[Month],2,tblDaily[WardCode],"BF")</f>
        <v>0</v>
      </c>
      <c r="G22" s="5">
        <f>SUMIFS(tblDaily[DeathsUnder24Hrs],tblDaily[Month],2,tblDaily[WardCode],"BF")</f>
        <v>0</v>
      </c>
      <c r="H22" s="5">
        <f>SUMIFS(tblDaily[Remaining],tblDaily[Month],2,tblDaily[WardCode],"BF")</f>
        <v>0</v>
      </c>
      <c r="I22" s="5">
        <f>SUMIFS(tblDaily[TransfersIn],tblDaily[Month],2,tblDaily[WardCode],"BF")</f>
        <v>0</v>
      </c>
      <c r="J22" s="5">
        <f>SUMIFS(tblDaily[TransfersOut],tblDaily[Month],2,tblDaily[WardCode],"BF")</f>
        <v>0</v>
      </c>
      <c r="K22" s="12">
        <f t="shared" si="8"/>
        <v>0</v>
      </c>
      <c r="L22" s="12">
        <f t="shared" si="9"/>
        <v>0</v>
      </c>
      <c r="M22" s="12">
        <f t="shared" si="10"/>
        <v>0</v>
      </c>
      <c r="N22" s="12">
        <f t="shared" si="11"/>
        <v>0</v>
      </c>
      <c r="O22" s="12">
        <f t="shared" si="12"/>
        <v>0</v>
      </c>
      <c r="P22" s="12">
        <f t="shared" si="13"/>
        <v>0</v>
      </c>
    </row>
    <row r="23" spans="1:16" x14ac:dyDescent="0.25">
      <c r="A23" s="11" t="s">
        <v>30</v>
      </c>
      <c r="B23" s="5">
        <f>IFERROR(SUMIFS(tblDaily[Remaining],tblDaily[EntryDate],DATE(2026,1,31),tblDaily[WardCode],"BG"),0)</f>
        <v>0</v>
      </c>
      <c r="C23" s="5">
        <f>IFERROR(INDEX(tblWardConfig[BedComplement],MATCH("BG",tblWardConfig[WardCode],0)),0)</f>
        <v>14</v>
      </c>
      <c r="D23" s="5">
        <f>SUMIFS(tblDaily[Admissions],tblDaily[Month],2,tblDaily[WardCode],"BG")</f>
        <v>0</v>
      </c>
      <c r="E23" s="5">
        <f>SUMIFS(tblDaily[Discharges],tblDaily[Month],2,tblDaily[WardCode],"BG")</f>
        <v>0</v>
      </c>
      <c r="F23" s="5">
        <f>SUMIFS(tblDaily[Deaths],tblDaily[Month],2,tblDaily[WardCode],"BG")</f>
        <v>0</v>
      </c>
      <c r="G23" s="5">
        <f>SUMIFS(tblDaily[DeathsUnder24Hrs],tblDaily[Month],2,tblDaily[WardCode],"BG")</f>
        <v>0</v>
      </c>
      <c r="H23" s="5">
        <f>SUMIFS(tblDaily[Remaining],tblDaily[Month],2,tblDaily[WardCode],"BG")</f>
        <v>0</v>
      </c>
      <c r="I23" s="5">
        <f>SUMIFS(tblDaily[TransfersIn],tblDaily[Month],2,tblDaily[WardCode],"BG")</f>
        <v>0</v>
      </c>
      <c r="J23" s="5">
        <f>SUMIFS(tblDaily[TransfersOut],tblDaily[Month],2,tblDaily[WardCode],"BG")</f>
        <v>0</v>
      </c>
      <c r="K23" s="12">
        <f t="shared" si="8"/>
        <v>0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0</v>
      </c>
      <c r="P23" s="12">
        <f t="shared" si="13"/>
        <v>0</v>
      </c>
    </row>
    <row r="24" spans="1:16" x14ac:dyDescent="0.25">
      <c r="A24" s="11" t="s">
        <v>32</v>
      </c>
      <c r="B24" s="5">
        <f>IFERROR(SUMIFS(tblDaily[Remaining],tblDaily[EntryDate],DATE(2026,1,31),tblDaily[WardCode],"BH"),0)</f>
        <v>0</v>
      </c>
      <c r="C24" s="5">
        <f>IFERROR(INDEX(tblWardConfig[BedComplement],MATCH("BH",tblWardConfig[WardCode],0)),0)</f>
        <v>22</v>
      </c>
      <c r="D24" s="5">
        <f>SUMIFS(tblDaily[Admissions],tblDaily[Month],2,tblDaily[WardCode],"BH")</f>
        <v>0</v>
      </c>
      <c r="E24" s="5">
        <f>SUMIFS(tblDaily[Discharges],tblDaily[Month],2,tblDaily[WardCode],"BH")</f>
        <v>0</v>
      </c>
      <c r="F24" s="5">
        <f>SUMIFS(tblDaily[Deaths],tblDaily[Month],2,tblDaily[WardCode],"BH")</f>
        <v>0</v>
      </c>
      <c r="G24" s="5">
        <f>SUMIFS(tblDaily[DeathsUnder24Hrs],tblDaily[Month],2,tblDaily[WardCode],"BH")</f>
        <v>0</v>
      </c>
      <c r="H24" s="5">
        <f>SUMIFS(tblDaily[Remaining],tblDaily[Month],2,tblDaily[WardCode],"BH")</f>
        <v>0</v>
      </c>
      <c r="I24" s="5">
        <f>SUMIFS(tblDaily[TransfersIn],tblDaily[Month],2,tblDaily[WardCode],"BH")</f>
        <v>0</v>
      </c>
      <c r="J24" s="5">
        <f>SUMIFS(tblDaily[TransfersOut],tblDaily[Month],2,tblDaily[WardCode],"BH")</f>
        <v>0</v>
      </c>
      <c r="K24" s="12">
        <f t="shared" si="8"/>
        <v>0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0</v>
      </c>
      <c r="P24" s="12">
        <f t="shared" si="13"/>
        <v>0</v>
      </c>
    </row>
    <row r="25" spans="1:16" x14ac:dyDescent="0.25">
      <c r="A25" s="11" t="s">
        <v>34</v>
      </c>
      <c r="B25" s="5">
        <f>IFERROR(SUMIFS(tblDaily[Remaining],tblDaily[EntryDate],DATE(2026,1,31),tblDaily[WardCode],"NICU"),0)</f>
        <v>0</v>
      </c>
      <c r="C25" s="5">
        <f>IFERROR(INDEX(tblWardConfig[BedComplement],MATCH("NICU",tblWardConfig[WardCode],0)),0)</f>
        <v>15</v>
      </c>
      <c r="D25" s="5">
        <f>SUMIFS(tblDaily[Admissions],tblDaily[Month],2,tblDaily[WardCode],"NICU")</f>
        <v>0</v>
      </c>
      <c r="E25" s="5">
        <f>SUMIFS(tblDaily[Discharges],tblDaily[Month],2,tblDaily[WardCode],"NICU")</f>
        <v>0</v>
      </c>
      <c r="F25" s="5">
        <f>SUMIFS(tblDaily[Deaths],tblDaily[Month],2,tblDaily[WardCode],"NICU")</f>
        <v>0</v>
      </c>
      <c r="G25" s="5">
        <f>SUMIFS(tblDaily[DeathsUnder24Hrs],tblDaily[Month],2,tblDaily[WardCode],"NICU")</f>
        <v>0</v>
      </c>
      <c r="H25" s="5">
        <f>SUMIFS(tblDaily[Remaining],tblDaily[Month],2,tblDaily[WardCode],"NICU")</f>
        <v>0</v>
      </c>
      <c r="I25" s="5">
        <f>SUMIFS(tblDaily[TransfersIn],tblDaily[Month],2,tblDaily[WardCode],"NICU")</f>
        <v>0</v>
      </c>
      <c r="J25" s="5">
        <f>SUMIFS(tblDaily[TransfersOut],tblDaily[Month],2,tblDaily[WardCode],"NICU")</f>
        <v>0</v>
      </c>
      <c r="K25" s="12">
        <f t="shared" si="8"/>
        <v>0</v>
      </c>
      <c r="L25" s="12">
        <f t="shared" si="9"/>
        <v>0</v>
      </c>
      <c r="M25" s="12">
        <f t="shared" si="10"/>
        <v>0</v>
      </c>
      <c r="N25" s="12">
        <f t="shared" si="11"/>
        <v>0</v>
      </c>
      <c r="O25" s="12">
        <f t="shared" si="12"/>
        <v>0</v>
      </c>
      <c r="P25" s="12">
        <f t="shared" si="13"/>
        <v>0</v>
      </c>
    </row>
    <row r="26" spans="1:16" x14ac:dyDescent="0.25">
      <c r="A26" s="11" t="s">
        <v>36</v>
      </c>
      <c r="B26" s="5">
        <f>IFERROR(SUMIFS(tblDaily[Remaining],tblDaily[EntryDate],DATE(2026,1,31),tblDaily[WardCode],"MAE"),0)</f>
        <v>0</v>
      </c>
      <c r="C26" s="5">
        <f>IFERROR(INDEX(tblWardConfig[BedComplement],MATCH("MAE",tblWardConfig[WardCode],0)),0)</f>
        <v>10</v>
      </c>
      <c r="D26" s="5">
        <f>SUMIFS(tblDaily[Admissions],tblDaily[Month],2,tblDaily[WardCode],"MAE")</f>
        <v>0</v>
      </c>
      <c r="E26" s="5">
        <f>SUMIFS(tblDaily[Discharges],tblDaily[Month],2,tblDaily[WardCode],"MAE")</f>
        <v>0</v>
      </c>
      <c r="F26" s="5">
        <f>SUMIFS(tblDaily[Deaths],tblDaily[Month],2,tblDaily[WardCode],"MAE")</f>
        <v>0</v>
      </c>
      <c r="G26" s="5">
        <f>SUMIFS(tblDaily[DeathsUnder24Hrs],tblDaily[Month],2,tblDaily[WardCode],"MAE")</f>
        <v>0</v>
      </c>
      <c r="H26" s="5">
        <f>SUMIFS(tblDaily[Remaining],tblDaily[Month],2,tblDaily[WardCode],"MAE")</f>
        <v>0</v>
      </c>
      <c r="I26" s="5">
        <f>SUMIFS(tblDaily[TransfersIn],tblDaily[Month],2,tblDaily[WardCode],"MAE")</f>
        <v>0</v>
      </c>
      <c r="J26" s="5">
        <f>SUMIFS(tblDaily[TransfersOut],tblDaily[Month],2,tblDaily[WardCode],"MAE")</f>
        <v>0</v>
      </c>
      <c r="K26" s="12">
        <f t="shared" si="8"/>
        <v>0</v>
      </c>
      <c r="L26" s="12">
        <f t="shared" si="9"/>
        <v>0</v>
      </c>
      <c r="M26" s="12">
        <f t="shared" si="10"/>
        <v>0</v>
      </c>
      <c r="N26" s="12">
        <f t="shared" si="11"/>
        <v>0</v>
      </c>
      <c r="O26" s="12">
        <f t="shared" si="12"/>
        <v>0</v>
      </c>
      <c r="P26" s="12">
        <f t="shared" si="13"/>
        <v>0</v>
      </c>
    </row>
    <row r="27" spans="1:16" x14ac:dyDescent="0.25">
      <c r="A27" s="11" t="s">
        <v>38</v>
      </c>
      <c r="B27" s="5">
        <f>IFERROR(SUMIFS(tblDaily[Remaining],tblDaily[EntryDate],DATE(2026,1,31),tblDaily[WardCode],"FAE"),0)</f>
        <v>0</v>
      </c>
      <c r="C27" s="5">
        <f>IFERROR(INDEX(tblWardConfig[BedComplement],MATCH("FAE",tblWardConfig[WardCode],0)),0)</f>
        <v>10</v>
      </c>
      <c r="D27" s="5">
        <f>SUMIFS(tblDaily[Admissions],tblDaily[Month],2,tblDaily[WardCode],"FAE")</f>
        <v>0</v>
      </c>
      <c r="E27" s="5">
        <f>SUMIFS(tblDaily[Discharges],tblDaily[Month],2,tblDaily[WardCode],"FAE")</f>
        <v>0</v>
      </c>
      <c r="F27" s="5">
        <f>SUMIFS(tblDaily[Deaths],tblDaily[Month],2,tblDaily[WardCode],"FAE")</f>
        <v>0</v>
      </c>
      <c r="G27" s="5">
        <f>SUMIFS(tblDaily[DeathsUnder24Hrs],tblDaily[Month],2,tblDaily[WardCode],"FAE")</f>
        <v>0</v>
      </c>
      <c r="H27" s="5">
        <f>SUMIFS(tblDaily[Remaining],tblDaily[Month],2,tblDaily[WardCode],"FAE")</f>
        <v>0</v>
      </c>
      <c r="I27" s="5">
        <f>SUMIFS(tblDaily[TransfersIn],tblDaily[Month],2,tblDaily[WardCode],"FAE")</f>
        <v>0</v>
      </c>
      <c r="J27" s="5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95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3">
        <f t="shared" si="8"/>
        <v>0</v>
      </c>
      <c r="L28" s="13">
        <f t="shared" si="9"/>
        <v>0</v>
      </c>
      <c r="M28" s="13">
        <f t="shared" si="10"/>
        <v>0</v>
      </c>
      <c r="N28" s="13">
        <f t="shared" si="11"/>
        <v>0</v>
      </c>
      <c r="O28" s="13">
        <f t="shared" si="12"/>
        <v>0</v>
      </c>
      <c r="P28" s="13">
        <f t="shared" si="13"/>
        <v>0</v>
      </c>
    </row>
    <row r="29" spans="1:16" x14ac:dyDescent="0.25">
      <c r="A29" s="14" t="s">
        <v>117</v>
      </c>
      <c r="B29" s="14">
        <f t="shared" ref="B29:J29" si="15">B26+B27</f>
        <v>0</v>
      </c>
      <c r="C29" s="14">
        <f t="shared" si="15"/>
        <v>20</v>
      </c>
      <c r="D29" s="14">
        <f t="shared" si="15"/>
        <v>0</v>
      </c>
      <c r="E29" s="14">
        <f t="shared" si="15"/>
        <v>0</v>
      </c>
      <c r="F29" s="14">
        <f t="shared" si="15"/>
        <v>0</v>
      </c>
      <c r="G29" s="14">
        <f t="shared" si="15"/>
        <v>0</v>
      </c>
      <c r="H29" s="14">
        <f t="shared" si="15"/>
        <v>0</v>
      </c>
      <c r="I29" s="14">
        <f t="shared" si="15"/>
        <v>0</v>
      </c>
      <c r="J29" s="14">
        <f t="shared" si="15"/>
        <v>0</v>
      </c>
      <c r="K29" s="15">
        <f t="shared" si="8"/>
        <v>0</v>
      </c>
      <c r="L29" s="15">
        <f t="shared" si="9"/>
        <v>0</v>
      </c>
      <c r="M29" s="15">
        <f t="shared" si="10"/>
        <v>0</v>
      </c>
      <c r="N29" s="15">
        <f t="shared" si="11"/>
        <v>0</v>
      </c>
      <c r="O29" s="15">
        <f t="shared" si="12"/>
        <v>0</v>
      </c>
      <c r="P29" s="15">
        <f t="shared" si="13"/>
        <v>0</v>
      </c>
    </row>
    <row r="31" spans="1:16" ht="18.75" x14ac:dyDescent="0.25">
      <c r="A31" s="16" t="s">
        <v>0</v>
      </c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1:16" ht="15.75" x14ac:dyDescent="0.25">
      <c r="A32" s="21" t="s">
        <v>119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</row>
    <row r="33" spans="1:16" ht="38.25" x14ac:dyDescent="0.25">
      <c r="A33" s="8" t="s">
        <v>105</v>
      </c>
      <c r="B33" s="8" t="s">
        <v>106</v>
      </c>
      <c r="C33" s="8" t="s">
        <v>107</v>
      </c>
      <c r="D33" s="8" t="s">
        <v>57</v>
      </c>
      <c r="E33" s="8" t="s">
        <v>58</v>
      </c>
      <c r="F33" s="8" t="s">
        <v>59</v>
      </c>
      <c r="G33" s="8" t="s">
        <v>91</v>
      </c>
      <c r="H33" s="8" t="s">
        <v>108</v>
      </c>
      <c r="I33" s="8" t="s">
        <v>109</v>
      </c>
      <c r="J33" s="8" t="s">
        <v>110</v>
      </c>
      <c r="K33" s="8" t="s">
        <v>111</v>
      </c>
      <c r="L33" s="8" t="s">
        <v>112</v>
      </c>
      <c r="M33" s="8" t="s">
        <v>113</v>
      </c>
      <c r="N33" s="8" t="s">
        <v>114</v>
      </c>
      <c r="O33" s="8" t="s">
        <v>115</v>
      </c>
      <c r="P33" s="8" t="s">
        <v>116</v>
      </c>
    </row>
    <row r="34" spans="1:16" x14ac:dyDescent="0.25">
      <c r="A34" s="11" t="s">
        <v>22</v>
      </c>
      <c r="B34" s="5">
        <f>IFERROR(SUMIFS(tblDaily[Remaining],tblDaily[EntryDate],DATE(2026,2,28),tblDaily[WardCode],"MW"),0)</f>
        <v>0</v>
      </c>
      <c r="C34" s="5">
        <f>IFERROR(INDEX(tblWardConfig[BedComplement],MATCH("MW",tblWardConfig[WardCode],0)),0)</f>
        <v>32</v>
      </c>
      <c r="D34" s="5">
        <f>SUMIFS(tblDaily[Admissions],tblDaily[Month],3,tblDaily[WardCode],"MW")</f>
        <v>0</v>
      </c>
      <c r="E34" s="5">
        <f>SUMIFS(tblDaily[Discharges],tblDaily[Month],3,tblDaily[WardCode],"MW")</f>
        <v>0</v>
      </c>
      <c r="F34" s="5">
        <f>SUMIFS(tblDaily[Deaths],tblDaily[Month],3,tblDaily[WardCode],"MW")</f>
        <v>0</v>
      </c>
      <c r="G34" s="5">
        <f>SUMIFS(tblDaily[DeathsUnder24Hrs],tblDaily[Month],3,tblDaily[WardCode],"MW")</f>
        <v>0</v>
      </c>
      <c r="H34" s="5">
        <f>SUMIFS(tblDaily[Remaining],tblDaily[Month],3,tblDaily[WardCode],"MW")</f>
        <v>0</v>
      </c>
      <c r="I34" s="5">
        <f>SUMIFS(tblDaily[TransfersIn],tblDaily[Month],3,tblDaily[WardCode],"MW")</f>
        <v>0</v>
      </c>
      <c r="J34" s="5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24</v>
      </c>
      <c r="B35" s="5">
        <f>IFERROR(SUMIFS(tblDaily[Remaining],tblDaily[EntryDate],DATE(2026,2,28),tblDaily[WardCode],"FW"),0)</f>
        <v>0</v>
      </c>
      <c r="C35" s="5">
        <f>IFERROR(INDEX(tblWardConfig[BedComplement],MATCH("FW",tblWardConfig[WardCode],0)),0)</f>
        <v>28</v>
      </c>
      <c r="D35" s="5">
        <f>SUMIFS(tblDaily[Admissions],tblDaily[Month],3,tblDaily[WardCode],"FW")</f>
        <v>0</v>
      </c>
      <c r="E35" s="5">
        <f>SUMIFS(tblDaily[Discharges],tblDaily[Month],3,tblDaily[WardCode],"FW")</f>
        <v>0</v>
      </c>
      <c r="F35" s="5">
        <f>SUMIFS(tblDaily[Deaths],tblDaily[Month],3,tblDaily[WardCode],"FW")</f>
        <v>0</v>
      </c>
      <c r="G35" s="5">
        <f>SUMIFS(tblDaily[DeathsUnder24Hrs],tblDaily[Month],3,tblDaily[WardCode],"FW")</f>
        <v>0</v>
      </c>
      <c r="H35" s="5">
        <f>SUMIFS(tblDaily[Remaining],tblDaily[Month],3,tblDaily[WardCode],"FW")</f>
        <v>0</v>
      </c>
      <c r="I35" s="5">
        <f>SUMIFS(tblDaily[TransfersIn],tblDaily[Month],3,tblDaily[WardCode],"FW")</f>
        <v>0</v>
      </c>
      <c r="J35" s="5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26</v>
      </c>
      <c r="B36" s="5">
        <f>IFERROR(SUMIFS(tblDaily[Remaining],tblDaily[EntryDate],DATE(2026,2,28),tblDaily[WardCode],"CW"),0)</f>
        <v>0</v>
      </c>
      <c r="C36" s="5">
        <f>IFERROR(INDEX(tblWardConfig[BedComplement],MATCH("CW",tblWardConfig[WardCode],0)),0)</f>
        <v>27</v>
      </c>
      <c r="D36" s="5">
        <f>SUMIFS(tblDaily[Admissions],tblDaily[Month],3,tblDaily[WardCode],"CW")</f>
        <v>0</v>
      </c>
      <c r="E36" s="5">
        <f>SUMIFS(tblDaily[Discharges],tblDaily[Month],3,tblDaily[WardCode],"CW")</f>
        <v>0</v>
      </c>
      <c r="F36" s="5">
        <f>SUMIFS(tblDaily[Deaths],tblDaily[Month],3,tblDaily[WardCode],"CW")</f>
        <v>0</v>
      </c>
      <c r="G36" s="5">
        <f>SUMIFS(tblDaily[DeathsUnder24Hrs],tblDaily[Month],3,tblDaily[WardCode],"CW")</f>
        <v>0</v>
      </c>
      <c r="H36" s="5">
        <f>SUMIFS(tblDaily[Remaining],tblDaily[Month],3,tblDaily[WardCode],"CW")</f>
        <v>0</v>
      </c>
      <c r="I36" s="5">
        <f>SUMIFS(tblDaily[TransfersIn],tblDaily[Month],3,tblDaily[WardCode],"CW")</f>
        <v>0</v>
      </c>
      <c r="J36" s="5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28</v>
      </c>
      <c r="B37" s="5">
        <f>IFERROR(SUMIFS(tblDaily[Remaining],tblDaily[EntryDate],DATE(2026,2,28),tblDaily[WardCode],"BF"),0)</f>
        <v>0</v>
      </c>
      <c r="C37" s="5">
        <f>IFERROR(INDEX(tblWardConfig[BedComplement],MATCH("BF",tblWardConfig[WardCode],0)),0)</f>
        <v>20</v>
      </c>
      <c r="D37" s="5">
        <f>SUMIFS(tblDaily[Admissions],tblDaily[Month],3,tblDaily[WardCode],"BF")</f>
        <v>0</v>
      </c>
      <c r="E37" s="5">
        <f>SUMIFS(tblDaily[Discharges],tblDaily[Month],3,tblDaily[WardCode],"BF")</f>
        <v>0</v>
      </c>
      <c r="F37" s="5">
        <f>SUMIFS(tblDaily[Deaths],tblDaily[Month],3,tblDaily[WardCode],"BF")</f>
        <v>0</v>
      </c>
      <c r="G37" s="5">
        <f>SUMIFS(tblDaily[DeathsUnder24Hrs],tblDaily[Month],3,tblDaily[WardCode],"BF")</f>
        <v>0</v>
      </c>
      <c r="H37" s="5">
        <f>SUMIFS(tblDaily[Remaining],tblDaily[Month],3,tblDaily[WardCode],"BF")</f>
        <v>0</v>
      </c>
      <c r="I37" s="5">
        <f>SUMIFS(tblDaily[TransfersIn],tblDaily[Month],3,tblDaily[WardCode],"BF")</f>
        <v>0</v>
      </c>
      <c r="J37" s="5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30</v>
      </c>
      <c r="B38" s="5">
        <f>IFERROR(SUMIFS(tblDaily[Remaining],tblDaily[EntryDate],DATE(2026,2,28),tblDaily[WardCode],"BG"),0)</f>
        <v>0</v>
      </c>
      <c r="C38" s="5">
        <f>IFERROR(INDEX(tblWardConfig[BedComplement],MATCH("BG",tblWardConfig[WardCode],0)),0)</f>
        <v>14</v>
      </c>
      <c r="D38" s="5">
        <f>SUMIFS(tblDaily[Admissions],tblDaily[Month],3,tblDaily[WardCode],"BG")</f>
        <v>0</v>
      </c>
      <c r="E38" s="5">
        <f>SUMIFS(tblDaily[Discharges],tblDaily[Month],3,tblDaily[WardCode],"BG")</f>
        <v>0</v>
      </c>
      <c r="F38" s="5">
        <f>SUMIFS(tblDaily[Deaths],tblDaily[Month],3,tblDaily[WardCode],"BG")</f>
        <v>0</v>
      </c>
      <c r="G38" s="5">
        <f>SUMIFS(tblDaily[DeathsUnder24Hrs],tblDaily[Month],3,tblDaily[WardCode],"BG")</f>
        <v>0</v>
      </c>
      <c r="H38" s="5">
        <f>SUMIFS(tblDaily[Remaining],tblDaily[Month],3,tblDaily[WardCode],"BG")</f>
        <v>0</v>
      </c>
      <c r="I38" s="5">
        <f>SUMIFS(tblDaily[TransfersIn],tblDaily[Month],3,tblDaily[WardCode],"BG")</f>
        <v>0</v>
      </c>
      <c r="J38" s="5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32</v>
      </c>
      <c r="B39" s="5">
        <f>IFERROR(SUMIFS(tblDaily[Remaining],tblDaily[EntryDate],DATE(2026,2,28),tblDaily[WardCode],"BH"),0)</f>
        <v>0</v>
      </c>
      <c r="C39" s="5">
        <f>IFERROR(INDEX(tblWardConfig[BedComplement],MATCH("BH",tblWardConfig[WardCode],0)),0)</f>
        <v>22</v>
      </c>
      <c r="D39" s="5">
        <f>SUMIFS(tblDaily[Admissions],tblDaily[Month],3,tblDaily[WardCode],"BH")</f>
        <v>0</v>
      </c>
      <c r="E39" s="5">
        <f>SUMIFS(tblDaily[Discharges],tblDaily[Month],3,tblDaily[WardCode],"BH")</f>
        <v>0</v>
      </c>
      <c r="F39" s="5">
        <f>SUMIFS(tblDaily[Deaths],tblDaily[Month],3,tblDaily[WardCode],"BH")</f>
        <v>0</v>
      </c>
      <c r="G39" s="5">
        <f>SUMIFS(tblDaily[DeathsUnder24Hrs],tblDaily[Month],3,tblDaily[WardCode],"BH")</f>
        <v>0</v>
      </c>
      <c r="H39" s="5">
        <f>SUMIFS(tblDaily[Remaining],tblDaily[Month],3,tblDaily[WardCode],"BH")</f>
        <v>0</v>
      </c>
      <c r="I39" s="5">
        <f>SUMIFS(tblDaily[TransfersIn],tblDaily[Month],3,tblDaily[WardCode],"BH")</f>
        <v>0</v>
      </c>
      <c r="J39" s="5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34</v>
      </c>
      <c r="B40" s="5">
        <f>IFERROR(SUMIFS(tblDaily[Remaining],tblDaily[EntryDate],DATE(2026,2,28),tblDaily[WardCode],"NICU"),0)</f>
        <v>0</v>
      </c>
      <c r="C40" s="5">
        <f>IFERROR(INDEX(tblWardConfig[BedComplement],MATCH("NICU",tblWardConfig[WardCode],0)),0)</f>
        <v>15</v>
      </c>
      <c r="D40" s="5">
        <f>SUMIFS(tblDaily[Admissions],tblDaily[Month],3,tblDaily[WardCode],"NICU")</f>
        <v>0</v>
      </c>
      <c r="E40" s="5">
        <f>SUMIFS(tblDaily[Discharges],tblDaily[Month],3,tblDaily[WardCode],"NICU")</f>
        <v>0</v>
      </c>
      <c r="F40" s="5">
        <f>SUMIFS(tblDaily[Deaths],tblDaily[Month],3,tblDaily[WardCode],"NICU")</f>
        <v>0</v>
      </c>
      <c r="G40" s="5">
        <f>SUMIFS(tblDaily[DeathsUnder24Hrs],tblDaily[Month],3,tblDaily[WardCode],"NICU")</f>
        <v>0</v>
      </c>
      <c r="H40" s="5">
        <f>SUMIFS(tblDaily[Remaining],tblDaily[Month],3,tblDaily[WardCode],"NICU")</f>
        <v>0</v>
      </c>
      <c r="I40" s="5">
        <f>SUMIFS(tblDaily[TransfersIn],tblDaily[Month],3,tblDaily[WardCode],"NICU")</f>
        <v>0</v>
      </c>
      <c r="J40" s="5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36</v>
      </c>
      <c r="B41" s="5">
        <f>IFERROR(SUMIFS(tblDaily[Remaining],tblDaily[EntryDate],DATE(2026,2,28),tblDaily[WardCode],"MAE"),0)</f>
        <v>0</v>
      </c>
      <c r="C41" s="5">
        <f>IFERROR(INDEX(tblWardConfig[BedComplement],MATCH("MAE",tblWardConfig[WardCode],0)),0)</f>
        <v>10</v>
      </c>
      <c r="D41" s="5">
        <f>SUMIFS(tblDaily[Admissions],tblDaily[Month],3,tblDaily[WardCode],"MAE")</f>
        <v>0</v>
      </c>
      <c r="E41" s="5">
        <f>SUMIFS(tblDaily[Discharges],tblDaily[Month],3,tblDaily[WardCode],"MAE")</f>
        <v>0</v>
      </c>
      <c r="F41" s="5">
        <f>SUMIFS(tblDaily[Deaths],tblDaily[Month],3,tblDaily[WardCode],"MAE")</f>
        <v>0</v>
      </c>
      <c r="G41" s="5">
        <f>SUMIFS(tblDaily[DeathsUnder24Hrs],tblDaily[Month],3,tblDaily[WardCode],"MAE")</f>
        <v>0</v>
      </c>
      <c r="H41" s="5">
        <f>SUMIFS(tblDaily[Remaining],tblDaily[Month],3,tblDaily[WardCode],"MAE")</f>
        <v>0</v>
      </c>
      <c r="I41" s="5">
        <f>SUMIFS(tblDaily[TransfersIn],tblDaily[Month],3,tblDaily[WardCode],"MAE")</f>
        <v>0</v>
      </c>
      <c r="J41" s="5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38</v>
      </c>
      <c r="B42" s="5">
        <f>IFERROR(SUMIFS(tblDaily[Remaining],tblDaily[EntryDate],DATE(2026,2,28),tblDaily[WardCode],"FAE"),0)</f>
        <v>0</v>
      </c>
      <c r="C42" s="5">
        <f>IFERROR(INDEX(tblWardConfig[BedComplement],MATCH("FAE",tblWardConfig[WardCode],0)),0)</f>
        <v>10</v>
      </c>
      <c r="D42" s="5">
        <f>SUMIFS(tblDaily[Admissions],tblDaily[Month],3,tblDaily[WardCode],"FAE")</f>
        <v>0</v>
      </c>
      <c r="E42" s="5">
        <f>SUMIFS(tblDaily[Discharges],tblDaily[Month],3,tblDaily[WardCode],"FAE")</f>
        <v>0</v>
      </c>
      <c r="F42" s="5">
        <f>SUMIFS(tblDaily[Deaths],tblDaily[Month],3,tblDaily[WardCode],"FAE")</f>
        <v>0</v>
      </c>
      <c r="G42" s="5">
        <f>SUMIFS(tblDaily[DeathsUnder24Hrs],tblDaily[Month],3,tblDaily[WardCode],"FAE")</f>
        <v>0</v>
      </c>
      <c r="H42" s="5">
        <f>SUMIFS(tblDaily[Remaining],tblDaily[Month],3,tblDaily[WardCode],"FAE")</f>
        <v>0</v>
      </c>
      <c r="I42" s="5">
        <f>SUMIFS(tblDaily[TransfersIn],tblDaily[Month],3,tblDaily[WardCode],"FAE")</f>
        <v>0</v>
      </c>
      <c r="J42" s="5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95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117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16" t="s">
        <v>0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</row>
    <row r="47" spans="1:16" ht="15.75" x14ac:dyDescent="0.25">
      <c r="A47" s="21" t="s">
        <v>120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</row>
    <row r="48" spans="1:16" ht="38.25" x14ac:dyDescent="0.25">
      <c r="A48" s="8" t="s">
        <v>105</v>
      </c>
      <c r="B48" s="8" t="s">
        <v>106</v>
      </c>
      <c r="C48" s="8" t="s">
        <v>107</v>
      </c>
      <c r="D48" s="8" t="s">
        <v>57</v>
      </c>
      <c r="E48" s="8" t="s">
        <v>58</v>
      </c>
      <c r="F48" s="8" t="s">
        <v>59</v>
      </c>
      <c r="G48" s="8" t="s">
        <v>91</v>
      </c>
      <c r="H48" s="8" t="s">
        <v>108</v>
      </c>
      <c r="I48" s="8" t="s">
        <v>109</v>
      </c>
      <c r="J48" s="8" t="s">
        <v>110</v>
      </c>
      <c r="K48" s="8" t="s">
        <v>111</v>
      </c>
      <c r="L48" s="8" t="s">
        <v>112</v>
      </c>
      <c r="M48" s="8" t="s">
        <v>113</v>
      </c>
      <c r="N48" s="8" t="s">
        <v>114</v>
      </c>
      <c r="O48" s="8" t="s">
        <v>115</v>
      </c>
      <c r="P48" s="8" t="s">
        <v>116</v>
      </c>
    </row>
    <row r="49" spans="1:16" x14ac:dyDescent="0.25">
      <c r="A49" s="11" t="s">
        <v>22</v>
      </c>
      <c r="B49" s="5">
        <f>IFERROR(SUMIFS(tblDaily[Remaining],tblDaily[EntryDate],DATE(2026,3,31),tblDaily[WardCode],"MW"),0)</f>
        <v>0</v>
      </c>
      <c r="C49" s="5">
        <f>IFERROR(INDEX(tblWardConfig[BedComplement],MATCH("MW",tblWardConfig[WardCode],0)),0)</f>
        <v>32</v>
      </c>
      <c r="D49" s="5">
        <f>SUMIFS(tblDaily[Admissions],tblDaily[Month],4,tblDaily[WardCode],"MW")</f>
        <v>0</v>
      </c>
      <c r="E49" s="5">
        <f>SUMIFS(tblDaily[Discharges],tblDaily[Month],4,tblDaily[WardCode],"MW")</f>
        <v>0</v>
      </c>
      <c r="F49" s="5">
        <f>SUMIFS(tblDaily[Deaths],tblDaily[Month],4,tblDaily[WardCode],"MW")</f>
        <v>0</v>
      </c>
      <c r="G49" s="5">
        <f>SUMIFS(tblDaily[DeathsUnder24Hrs],tblDaily[Month],4,tblDaily[WardCode],"MW")</f>
        <v>0</v>
      </c>
      <c r="H49" s="5">
        <f>SUMIFS(tblDaily[Remaining],tblDaily[Month],4,tblDaily[WardCode],"MW")</f>
        <v>0</v>
      </c>
      <c r="I49" s="5">
        <f>SUMIFS(tblDaily[TransfersIn],tblDaily[Month],4,tblDaily[WardCode],"MW")</f>
        <v>0</v>
      </c>
      <c r="J49" s="5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24</v>
      </c>
      <c r="B50" s="5">
        <f>IFERROR(SUMIFS(tblDaily[Remaining],tblDaily[EntryDate],DATE(2026,3,31),tblDaily[WardCode],"FW"),0)</f>
        <v>0</v>
      </c>
      <c r="C50" s="5">
        <f>IFERROR(INDEX(tblWardConfig[BedComplement],MATCH("FW",tblWardConfig[WardCode],0)),0)</f>
        <v>28</v>
      </c>
      <c r="D50" s="5">
        <f>SUMIFS(tblDaily[Admissions],tblDaily[Month],4,tblDaily[WardCode],"FW")</f>
        <v>0</v>
      </c>
      <c r="E50" s="5">
        <f>SUMIFS(tblDaily[Discharges],tblDaily[Month],4,tblDaily[WardCode],"FW")</f>
        <v>0</v>
      </c>
      <c r="F50" s="5">
        <f>SUMIFS(tblDaily[Deaths],tblDaily[Month],4,tblDaily[WardCode],"FW")</f>
        <v>0</v>
      </c>
      <c r="G50" s="5">
        <f>SUMIFS(tblDaily[DeathsUnder24Hrs],tblDaily[Month],4,tblDaily[WardCode],"FW")</f>
        <v>0</v>
      </c>
      <c r="H50" s="5">
        <f>SUMIFS(tblDaily[Remaining],tblDaily[Month],4,tblDaily[WardCode],"FW")</f>
        <v>0</v>
      </c>
      <c r="I50" s="5">
        <f>SUMIFS(tblDaily[TransfersIn],tblDaily[Month],4,tblDaily[WardCode],"FW")</f>
        <v>0</v>
      </c>
      <c r="J50" s="5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26</v>
      </c>
      <c r="B51" s="5">
        <f>IFERROR(SUMIFS(tblDaily[Remaining],tblDaily[EntryDate],DATE(2026,3,31),tblDaily[WardCode],"CW"),0)</f>
        <v>0</v>
      </c>
      <c r="C51" s="5">
        <f>IFERROR(INDEX(tblWardConfig[BedComplement],MATCH("CW",tblWardConfig[WardCode],0)),0)</f>
        <v>27</v>
      </c>
      <c r="D51" s="5">
        <f>SUMIFS(tblDaily[Admissions],tblDaily[Month],4,tblDaily[WardCode],"CW")</f>
        <v>0</v>
      </c>
      <c r="E51" s="5">
        <f>SUMIFS(tblDaily[Discharges],tblDaily[Month],4,tblDaily[WardCode],"CW")</f>
        <v>0</v>
      </c>
      <c r="F51" s="5">
        <f>SUMIFS(tblDaily[Deaths],tblDaily[Month],4,tblDaily[WardCode],"CW")</f>
        <v>0</v>
      </c>
      <c r="G51" s="5">
        <f>SUMIFS(tblDaily[DeathsUnder24Hrs],tblDaily[Month],4,tblDaily[WardCode],"CW")</f>
        <v>0</v>
      </c>
      <c r="H51" s="5">
        <f>SUMIFS(tblDaily[Remaining],tblDaily[Month],4,tblDaily[WardCode],"CW")</f>
        <v>0</v>
      </c>
      <c r="I51" s="5">
        <f>SUMIFS(tblDaily[TransfersIn],tblDaily[Month],4,tblDaily[WardCode],"CW")</f>
        <v>0</v>
      </c>
      <c r="J51" s="5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28</v>
      </c>
      <c r="B52" s="5">
        <f>IFERROR(SUMIFS(tblDaily[Remaining],tblDaily[EntryDate],DATE(2026,3,31),tblDaily[WardCode],"BF"),0)</f>
        <v>0</v>
      </c>
      <c r="C52" s="5">
        <f>IFERROR(INDEX(tblWardConfig[BedComplement],MATCH("BF",tblWardConfig[WardCode],0)),0)</f>
        <v>20</v>
      </c>
      <c r="D52" s="5">
        <f>SUMIFS(tblDaily[Admissions],tblDaily[Month],4,tblDaily[WardCode],"BF")</f>
        <v>0</v>
      </c>
      <c r="E52" s="5">
        <f>SUMIFS(tblDaily[Discharges],tblDaily[Month],4,tblDaily[WardCode],"BF")</f>
        <v>0</v>
      </c>
      <c r="F52" s="5">
        <f>SUMIFS(tblDaily[Deaths],tblDaily[Month],4,tblDaily[WardCode],"BF")</f>
        <v>0</v>
      </c>
      <c r="G52" s="5">
        <f>SUMIFS(tblDaily[DeathsUnder24Hrs],tblDaily[Month],4,tblDaily[WardCode],"BF")</f>
        <v>0</v>
      </c>
      <c r="H52" s="5">
        <f>SUMIFS(tblDaily[Remaining],tblDaily[Month],4,tblDaily[WardCode],"BF")</f>
        <v>0</v>
      </c>
      <c r="I52" s="5">
        <f>SUMIFS(tblDaily[TransfersIn],tblDaily[Month],4,tblDaily[WardCode],"BF")</f>
        <v>0</v>
      </c>
      <c r="J52" s="5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30</v>
      </c>
      <c r="B53" s="5">
        <f>IFERROR(SUMIFS(tblDaily[Remaining],tblDaily[EntryDate],DATE(2026,3,31),tblDaily[WardCode],"BG"),0)</f>
        <v>0</v>
      </c>
      <c r="C53" s="5">
        <f>IFERROR(INDEX(tblWardConfig[BedComplement],MATCH("BG",tblWardConfig[WardCode],0)),0)</f>
        <v>14</v>
      </c>
      <c r="D53" s="5">
        <f>SUMIFS(tblDaily[Admissions],tblDaily[Month],4,tblDaily[WardCode],"BG")</f>
        <v>0</v>
      </c>
      <c r="E53" s="5">
        <f>SUMIFS(tblDaily[Discharges],tblDaily[Month],4,tblDaily[WardCode],"BG")</f>
        <v>0</v>
      </c>
      <c r="F53" s="5">
        <f>SUMIFS(tblDaily[Deaths],tblDaily[Month],4,tblDaily[WardCode],"BG")</f>
        <v>0</v>
      </c>
      <c r="G53" s="5">
        <f>SUMIFS(tblDaily[DeathsUnder24Hrs],tblDaily[Month],4,tblDaily[WardCode],"BG")</f>
        <v>0</v>
      </c>
      <c r="H53" s="5">
        <f>SUMIFS(tblDaily[Remaining],tblDaily[Month],4,tblDaily[WardCode],"BG")</f>
        <v>0</v>
      </c>
      <c r="I53" s="5">
        <f>SUMIFS(tblDaily[TransfersIn],tblDaily[Month],4,tblDaily[WardCode],"BG")</f>
        <v>0</v>
      </c>
      <c r="J53" s="5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32</v>
      </c>
      <c r="B54" s="5">
        <f>IFERROR(SUMIFS(tblDaily[Remaining],tblDaily[EntryDate],DATE(2026,3,31),tblDaily[WardCode],"BH"),0)</f>
        <v>0</v>
      </c>
      <c r="C54" s="5">
        <f>IFERROR(INDEX(tblWardConfig[BedComplement],MATCH("BH",tblWardConfig[WardCode],0)),0)</f>
        <v>22</v>
      </c>
      <c r="D54" s="5">
        <f>SUMIFS(tblDaily[Admissions],tblDaily[Month],4,tblDaily[WardCode],"BH")</f>
        <v>0</v>
      </c>
      <c r="E54" s="5">
        <f>SUMIFS(tblDaily[Discharges],tblDaily[Month],4,tblDaily[WardCode],"BH")</f>
        <v>0</v>
      </c>
      <c r="F54" s="5">
        <f>SUMIFS(tblDaily[Deaths],tblDaily[Month],4,tblDaily[WardCode],"BH")</f>
        <v>0</v>
      </c>
      <c r="G54" s="5">
        <f>SUMIFS(tblDaily[DeathsUnder24Hrs],tblDaily[Month],4,tblDaily[WardCode],"BH")</f>
        <v>0</v>
      </c>
      <c r="H54" s="5">
        <f>SUMIFS(tblDaily[Remaining],tblDaily[Month],4,tblDaily[WardCode],"BH")</f>
        <v>0</v>
      </c>
      <c r="I54" s="5">
        <f>SUMIFS(tblDaily[TransfersIn],tblDaily[Month],4,tblDaily[WardCode],"BH")</f>
        <v>0</v>
      </c>
      <c r="J54" s="5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34</v>
      </c>
      <c r="B55" s="5">
        <f>IFERROR(SUMIFS(tblDaily[Remaining],tblDaily[EntryDate],DATE(2026,3,31),tblDaily[WardCode],"NICU"),0)</f>
        <v>0</v>
      </c>
      <c r="C55" s="5">
        <f>IFERROR(INDEX(tblWardConfig[BedComplement],MATCH("NICU",tblWardConfig[WardCode],0)),0)</f>
        <v>15</v>
      </c>
      <c r="D55" s="5">
        <f>SUMIFS(tblDaily[Admissions],tblDaily[Month],4,tblDaily[WardCode],"NICU")</f>
        <v>0</v>
      </c>
      <c r="E55" s="5">
        <f>SUMIFS(tblDaily[Discharges],tblDaily[Month],4,tblDaily[WardCode],"NICU")</f>
        <v>0</v>
      </c>
      <c r="F55" s="5">
        <f>SUMIFS(tblDaily[Deaths],tblDaily[Month],4,tblDaily[WardCode],"NICU")</f>
        <v>0</v>
      </c>
      <c r="G55" s="5">
        <f>SUMIFS(tblDaily[DeathsUnder24Hrs],tblDaily[Month],4,tblDaily[WardCode],"NICU")</f>
        <v>0</v>
      </c>
      <c r="H55" s="5">
        <f>SUMIFS(tblDaily[Remaining],tblDaily[Month],4,tblDaily[WardCode],"NICU")</f>
        <v>0</v>
      </c>
      <c r="I55" s="5">
        <f>SUMIFS(tblDaily[TransfersIn],tblDaily[Month],4,tblDaily[WardCode],"NICU")</f>
        <v>0</v>
      </c>
      <c r="J55" s="5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36</v>
      </c>
      <c r="B56" s="5">
        <f>IFERROR(SUMIFS(tblDaily[Remaining],tblDaily[EntryDate],DATE(2026,3,31),tblDaily[WardCode],"MAE"),0)</f>
        <v>0</v>
      </c>
      <c r="C56" s="5">
        <f>IFERROR(INDEX(tblWardConfig[BedComplement],MATCH("MAE",tblWardConfig[WardCode],0)),0)</f>
        <v>10</v>
      </c>
      <c r="D56" s="5">
        <f>SUMIFS(tblDaily[Admissions],tblDaily[Month],4,tblDaily[WardCode],"MAE")</f>
        <v>0</v>
      </c>
      <c r="E56" s="5">
        <f>SUMIFS(tblDaily[Discharges],tblDaily[Month],4,tblDaily[WardCode],"MAE")</f>
        <v>0</v>
      </c>
      <c r="F56" s="5">
        <f>SUMIFS(tblDaily[Deaths],tblDaily[Month],4,tblDaily[WardCode],"MAE")</f>
        <v>0</v>
      </c>
      <c r="G56" s="5">
        <f>SUMIFS(tblDaily[DeathsUnder24Hrs],tblDaily[Month],4,tblDaily[WardCode],"MAE")</f>
        <v>0</v>
      </c>
      <c r="H56" s="5">
        <f>SUMIFS(tblDaily[Remaining],tblDaily[Month],4,tblDaily[WardCode],"MAE")</f>
        <v>0</v>
      </c>
      <c r="I56" s="5">
        <f>SUMIFS(tblDaily[TransfersIn],tblDaily[Month],4,tblDaily[WardCode],"MAE")</f>
        <v>0</v>
      </c>
      <c r="J56" s="5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38</v>
      </c>
      <c r="B57" s="5">
        <f>IFERROR(SUMIFS(tblDaily[Remaining],tblDaily[EntryDate],DATE(2026,3,31),tblDaily[WardCode],"FAE"),0)</f>
        <v>0</v>
      </c>
      <c r="C57" s="5">
        <f>IFERROR(INDEX(tblWardConfig[BedComplement],MATCH("FAE",tblWardConfig[WardCode],0)),0)</f>
        <v>10</v>
      </c>
      <c r="D57" s="5">
        <f>SUMIFS(tblDaily[Admissions],tblDaily[Month],4,tblDaily[WardCode],"FAE")</f>
        <v>0</v>
      </c>
      <c r="E57" s="5">
        <f>SUMIFS(tblDaily[Discharges],tblDaily[Month],4,tblDaily[WardCode],"FAE")</f>
        <v>0</v>
      </c>
      <c r="F57" s="5">
        <f>SUMIFS(tblDaily[Deaths],tblDaily[Month],4,tblDaily[WardCode],"FAE")</f>
        <v>0</v>
      </c>
      <c r="G57" s="5">
        <f>SUMIFS(tblDaily[DeathsUnder24Hrs],tblDaily[Month],4,tblDaily[WardCode],"FAE")</f>
        <v>0</v>
      </c>
      <c r="H57" s="5">
        <f>SUMIFS(tblDaily[Remaining],tblDaily[Month],4,tblDaily[WardCode],"FAE")</f>
        <v>0</v>
      </c>
      <c r="I57" s="5">
        <f>SUMIFS(tblDaily[TransfersIn],tblDaily[Month],4,tblDaily[WardCode],"FAE")</f>
        <v>0</v>
      </c>
      <c r="J57" s="5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95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117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16" t="s">
        <v>0</v>
      </c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</row>
    <row r="62" spans="1:16" ht="15.75" x14ac:dyDescent="0.25">
      <c r="A62" s="21" t="s">
        <v>121</v>
      </c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</row>
    <row r="63" spans="1:16" ht="38.25" x14ac:dyDescent="0.25">
      <c r="A63" s="8" t="s">
        <v>105</v>
      </c>
      <c r="B63" s="8" t="s">
        <v>106</v>
      </c>
      <c r="C63" s="8" t="s">
        <v>107</v>
      </c>
      <c r="D63" s="8" t="s">
        <v>57</v>
      </c>
      <c r="E63" s="8" t="s">
        <v>58</v>
      </c>
      <c r="F63" s="8" t="s">
        <v>59</v>
      </c>
      <c r="G63" s="8" t="s">
        <v>91</v>
      </c>
      <c r="H63" s="8" t="s">
        <v>108</v>
      </c>
      <c r="I63" s="8" t="s">
        <v>109</v>
      </c>
      <c r="J63" s="8" t="s">
        <v>110</v>
      </c>
      <c r="K63" s="8" t="s">
        <v>111</v>
      </c>
      <c r="L63" s="8" t="s">
        <v>112</v>
      </c>
      <c r="M63" s="8" t="s">
        <v>113</v>
      </c>
      <c r="N63" s="8" t="s">
        <v>114</v>
      </c>
      <c r="O63" s="8" t="s">
        <v>115</v>
      </c>
      <c r="P63" s="8" t="s">
        <v>116</v>
      </c>
    </row>
    <row r="64" spans="1:16" x14ac:dyDescent="0.25">
      <c r="A64" s="11" t="s">
        <v>22</v>
      </c>
      <c r="B64" s="5">
        <f>IFERROR(SUMIFS(tblDaily[Remaining],tblDaily[EntryDate],DATE(2026,4,30),tblDaily[WardCode],"MW"),0)</f>
        <v>0</v>
      </c>
      <c r="C64" s="5">
        <f>IFERROR(INDEX(tblWardConfig[BedComplement],MATCH("MW",tblWardConfig[WardCode],0)),0)</f>
        <v>32</v>
      </c>
      <c r="D64" s="5">
        <f>SUMIFS(tblDaily[Admissions],tblDaily[Month],5,tblDaily[WardCode],"MW")</f>
        <v>0</v>
      </c>
      <c r="E64" s="5">
        <f>SUMIFS(tblDaily[Discharges],tblDaily[Month],5,tblDaily[WardCode],"MW")</f>
        <v>0</v>
      </c>
      <c r="F64" s="5">
        <f>SUMIFS(tblDaily[Deaths],tblDaily[Month],5,tblDaily[WardCode],"MW")</f>
        <v>0</v>
      </c>
      <c r="G64" s="5">
        <f>SUMIFS(tblDaily[DeathsUnder24Hrs],tblDaily[Month],5,tblDaily[WardCode],"MW")</f>
        <v>0</v>
      </c>
      <c r="H64" s="5">
        <f>SUMIFS(tblDaily[Remaining],tblDaily[Month],5,tblDaily[WardCode],"MW")</f>
        <v>0</v>
      </c>
      <c r="I64" s="5">
        <f>SUMIFS(tblDaily[TransfersIn],tblDaily[Month],5,tblDaily[WardCode],"MW")</f>
        <v>0</v>
      </c>
      <c r="J64" s="5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24</v>
      </c>
      <c r="B65" s="5">
        <f>IFERROR(SUMIFS(tblDaily[Remaining],tblDaily[EntryDate],DATE(2026,4,30),tblDaily[WardCode],"FW"),0)</f>
        <v>0</v>
      </c>
      <c r="C65" s="5">
        <f>IFERROR(INDEX(tblWardConfig[BedComplement],MATCH("FW",tblWardConfig[WardCode],0)),0)</f>
        <v>28</v>
      </c>
      <c r="D65" s="5">
        <f>SUMIFS(tblDaily[Admissions],tblDaily[Month],5,tblDaily[WardCode],"FW")</f>
        <v>0</v>
      </c>
      <c r="E65" s="5">
        <f>SUMIFS(tblDaily[Discharges],tblDaily[Month],5,tblDaily[WardCode],"FW")</f>
        <v>0</v>
      </c>
      <c r="F65" s="5">
        <f>SUMIFS(tblDaily[Deaths],tblDaily[Month],5,tblDaily[WardCode],"FW")</f>
        <v>0</v>
      </c>
      <c r="G65" s="5">
        <f>SUMIFS(tblDaily[DeathsUnder24Hrs],tblDaily[Month],5,tblDaily[WardCode],"FW")</f>
        <v>0</v>
      </c>
      <c r="H65" s="5">
        <f>SUMIFS(tblDaily[Remaining],tblDaily[Month],5,tblDaily[WardCode],"FW")</f>
        <v>0</v>
      </c>
      <c r="I65" s="5">
        <f>SUMIFS(tblDaily[TransfersIn],tblDaily[Month],5,tblDaily[WardCode],"FW")</f>
        <v>0</v>
      </c>
      <c r="J65" s="5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26</v>
      </c>
      <c r="B66" s="5">
        <f>IFERROR(SUMIFS(tblDaily[Remaining],tblDaily[EntryDate],DATE(2026,4,30),tblDaily[WardCode],"CW"),0)</f>
        <v>0</v>
      </c>
      <c r="C66" s="5">
        <f>IFERROR(INDEX(tblWardConfig[BedComplement],MATCH("CW",tblWardConfig[WardCode],0)),0)</f>
        <v>27</v>
      </c>
      <c r="D66" s="5">
        <f>SUMIFS(tblDaily[Admissions],tblDaily[Month],5,tblDaily[WardCode],"CW")</f>
        <v>0</v>
      </c>
      <c r="E66" s="5">
        <f>SUMIFS(tblDaily[Discharges],tblDaily[Month],5,tblDaily[WardCode],"CW")</f>
        <v>0</v>
      </c>
      <c r="F66" s="5">
        <f>SUMIFS(tblDaily[Deaths],tblDaily[Month],5,tblDaily[WardCode],"CW")</f>
        <v>0</v>
      </c>
      <c r="G66" s="5">
        <f>SUMIFS(tblDaily[DeathsUnder24Hrs],tblDaily[Month],5,tblDaily[WardCode],"CW")</f>
        <v>0</v>
      </c>
      <c r="H66" s="5">
        <f>SUMIFS(tblDaily[Remaining],tblDaily[Month],5,tblDaily[WardCode],"CW")</f>
        <v>0</v>
      </c>
      <c r="I66" s="5">
        <f>SUMIFS(tblDaily[TransfersIn],tblDaily[Month],5,tblDaily[WardCode],"CW")</f>
        <v>0</v>
      </c>
      <c r="J66" s="5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28</v>
      </c>
      <c r="B67" s="5">
        <f>IFERROR(SUMIFS(tblDaily[Remaining],tblDaily[EntryDate],DATE(2026,4,30),tblDaily[WardCode],"BF"),0)</f>
        <v>0</v>
      </c>
      <c r="C67" s="5">
        <f>IFERROR(INDEX(tblWardConfig[BedComplement],MATCH("BF",tblWardConfig[WardCode],0)),0)</f>
        <v>20</v>
      </c>
      <c r="D67" s="5">
        <f>SUMIFS(tblDaily[Admissions],tblDaily[Month],5,tblDaily[WardCode],"BF")</f>
        <v>0</v>
      </c>
      <c r="E67" s="5">
        <f>SUMIFS(tblDaily[Discharges],tblDaily[Month],5,tblDaily[WardCode],"BF")</f>
        <v>0</v>
      </c>
      <c r="F67" s="5">
        <f>SUMIFS(tblDaily[Deaths],tblDaily[Month],5,tblDaily[WardCode],"BF")</f>
        <v>0</v>
      </c>
      <c r="G67" s="5">
        <f>SUMIFS(tblDaily[DeathsUnder24Hrs],tblDaily[Month],5,tblDaily[WardCode],"BF")</f>
        <v>0</v>
      </c>
      <c r="H67" s="5">
        <f>SUMIFS(tblDaily[Remaining],tblDaily[Month],5,tblDaily[WardCode],"BF")</f>
        <v>0</v>
      </c>
      <c r="I67" s="5">
        <f>SUMIFS(tblDaily[TransfersIn],tblDaily[Month],5,tblDaily[WardCode],"BF")</f>
        <v>0</v>
      </c>
      <c r="J67" s="5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30</v>
      </c>
      <c r="B68" s="5">
        <f>IFERROR(SUMIFS(tblDaily[Remaining],tblDaily[EntryDate],DATE(2026,4,30),tblDaily[WardCode],"BG"),0)</f>
        <v>0</v>
      </c>
      <c r="C68" s="5">
        <f>IFERROR(INDEX(tblWardConfig[BedComplement],MATCH("BG",tblWardConfig[WardCode],0)),0)</f>
        <v>14</v>
      </c>
      <c r="D68" s="5">
        <f>SUMIFS(tblDaily[Admissions],tblDaily[Month],5,tblDaily[WardCode],"BG")</f>
        <v>0</v>
      </c>
      <c r="E68" s="5">
        <f>SUMIFS(tblDaily[Discharges],tblDaily[Month],5,tblDaily[WardCode],"BG")</f>
        <v>0</v>
      </c>
      <c r="F68" s="5">
        <f>SUMIFS(tblDaily[Deaths],tblDaily[Month],5,tblDaily[WardCode],"BG")</f>
        <v>0</v>
      </c>
      <c r="G68" s="5">
        <f>SUMIFS(tblDaily[DeathsUnder24Hrs],tblDaily[Month],5,tblDaily[WardCode],"BG")</f>
        <v>0</v>
      </c>
      <c r="H68" s="5">
        <f>SUMIFS(tblDaily[Remaining],tblDaily[Month],5,tblDaily[WardCode],"BG")</f>
        <v>0</v>
      </c>
      <c r="I68" s="5">
        <f>SUMIFS(tblDaily[TransfersIn],tblDaily[Month],5,tblDaily[WardCode],"BG")</f>
        <v>0</v>
      </c>
      <c r="J68" s="5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32</v>
      </c>
      <c r="B69" s="5">
        <f>IFERROR(SUMIFS(tblDaily[Remaining],tblDaily[EntryDate],DATE(2026,4,30),tblDaily[WardCode],"BH"),0)</f>
        <v>0</v>
      </c>
      <c r="C69" s="5">
        <f>IFERROR(INDEX(tblWardConfig[BedComplement],MATCH("BH",tblWardConfig[WardCode],0)),0)</f>
        <v>22</v>
      </c>
      <c r="D69" s="5">
        <f>SUMIFS(tblDaily[Admissions],tblDaily[Month],5,tblDaily[WardCode],"BH")</f>
        <v>0</v>
      </c>
      <c r="E69" s="5">
        <f>SUMIFS(tblDaily[Discharges],tblDaily[Month],5,tblDaily[WardCode],"BH")</f>
        <v>0</v>
      </c>
      <c r="F69" s="5">
        <f>SUMIFS(tblDaily[Deaths],tblDaily[Month],5,tblDaily[WardCode],"BH")</f>
        <v>0</v>
      </c>
      <c r="G69" s="5">
        <f>SUMIFS(tblDaily[DeathsUnder24Hrs],tblDaily[Month],5,tblDaily[WardCode],"BH")</f>
        <v>0</v>
      </c>
      <c r="H69" s="5">
        <f>SUMIFS(tblDaily[Remaining],tblDaily[Month],5,tblDaily[WardCode],"BH")</f>
        <v>0</v>
      </c>
      <c r="I69" s="5">
        <f>SUMIFS(tblDaily[TransfersIn],tblDaily[Month],5,tblDaily[WardCode],"BH")</f>
        <v>0</v>
      </c>
      <c r="J69" s="5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34</v>
      </c>
      <c r="B70" s="5">
        <f>IFERROR(SUMIFS(tblDaily[Remaining],tblDaily[EntryDate],DATE(2026,4,30),tblDaily[WardCode],"NICU"),0)</f>
        <v>0</v>
      </c>
      <c r="C70" s="5">
        <f>IFERROR(INDEX(tblWardConfig[BedComplement],MATCH("NICU",tblWardConfig[WardCode],0)),0)</f>
        <v>15</v>
      </c>
      <c r="D70" s="5">
        <f>SUMIFS(tblDaily[Admissions],tblDaily[Month],5,tblDaily[WardCode],"NICU")</f>
        <v>0</v>
      </c>
      <c r="E70" s="5">
        <f>SUMIFS(tblDaily[Discharges],tblDaily[Month],5,tblDaily[WardCode],"NICU")</f>
        <v>0</v>
      </c>
      <c r="F70" s="5">
        <f>SUMIFS(tblDaily[Deaths],tblDaily[Month],5,tblDaily[WardCode],"NICU")</f>
        <v>0</v>
      </c>
      <c r="G70" s="5">
        <f>SUMIFS(tblDaily[DeathsUnder24Hrs],tblDaily[Month],5,tblDaily[WardCode],"NICU")</f>
        <v>0</v>
      </c>
      <c r="H70" s="5">
        <f>SUMIFS(tblDaily[Remaining],tblDaily[Month],5,tblDaily[WardCode],"NICU")</f>
        <v>0</v>
      </c>
      <c r="I70" s="5">
        <f>SUMIFS(tblDaily[TransfersIn],tblDaily[Month],5,tblDaily[WardCode],"NICU")</f>
        <v>0</v>
      </c>
      <c r="J70" s="5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36</v>
      </c>
      <c r="B71" s="5">
        <f>IFERROR(SUMIFS(tblDaily[Remaining],tblDaily[EntryDate],DATE(2026,4,30),tblDaily[WardCode],"MAE"),0)</f>
        <v>0</v>
      </c>
      <c r="C71" s="5">
        <f>IFERROR(INDEX(tblWardConfig[BedComplement],MATCH("MAE",tblWardConfig[WardCode],0)),0)</f>
        <v>10</v>
      </c>
      <c r="D71" s="5">
        <f>SUMIFS(tblDaily[Admissions],tblDaily[Month],5,tblDaily[WardCode],"MAE")</f>
        <v>0</v>
      </c>
      <c r="E71" s="5">
        <f>SUMIFS(tblDaily[Discharges],tblDaily[Month],5,tblDaily[WardCode],"MAE")</f>
        <v>0</v>
      </c>
      <c r="F71" s="5">
        <f>SUMIFS(tblDaily[Deaths],tblDaily[Month],5,tblDaily[WardCode],"MAE")</f>
        <v>0</v>
      </c>
      <c r="G71" s="5">
        <f>SUMIFS(tblDaily[DeathsUnder24Hrs],tblDaily[Month],5,tblDaily[WardCode],"MAE")</f>
        <v>0</v>
      </c>
      <c r="H71" s="5">
        <f>SUMIFS(tblDaily[Remaining],tblDaily[Month],5,tblDaily[WardCode],"MAE")</f>
        <v>0</v>
      </c>
      <c r="I71" s="5">
        <f>SUMIFS(tblDaily[TransfersIn],tblDaily[Month],5,tblDaily[WardCode],"MAE")</f>
        <v>0</v>
      </c>
      <c r="J71" s="5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38</v>
      </c>
      <c r="B72" s="5">
        <f>IFERROR(SUMIFS(tblDaily[Remaining],tblDaily[EntryDate],DATE(2026,4,30),tblDaily[WardCode],"FAE"),0)</f>
        <v>0</v>
      </c>
      <c r="C72" s="5">
        <f>IFERROR(INDEX(tblWardConfig[BedComplement],MATCH("FAE",tblWardConfig[WardCode],0)),0)</f>
        <v>10</v>
      </c>
      <c r="D72" s="5">
        <f>SUMIFS(tblDaily[Admissions],tblDaily[Month],5,tblDaily[WardCode],"FAE")</f>
        <v>0</v>
      </c>
      <c r="E72" s="5">
        <f>SUMIFS(tblDaily[Discharges],tblDaily[Month],5,tblDaily[WardCode],"FAE")</f>
        <v>0</v>
      </c>
      <c r="F72" s="5">
        <f>SUMIFS(tblDaily[Deaths],tblDaily[Month],5,tblDaily[WardCode],"FAE")</f>
        <v>0</v>
      </c>
      <c r="G72" s="5">
        <f>SUMIFS(tblDaily[DeathsUnder24Hrs],tblDaily[Month],5,tblDaily[WardCode],"FAE")</f>
        <v>0</v>
      </c>
      <c r="H72" s="5">
        <f>SUMIFS(tblDaily[Remaining],tblDaily[Month],5,tblDaily[WardCode],"FAE")</f>
        <v>0</v>
      </c>
      <c r="I72" s="5">
        <f>SUMIFS(tblDaily[TransfersIn],tblDaily[Month],5,tblDaily[WardCode],"FAE")</f>
        <v>0</v>
      </c>
      <c r="J72" s="5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95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117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16" t="s">
        <v>0</v>
      </c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</row>
    <row r="77" spans="1:16" ht="15.75" x14ac:dyDescent="0.25">
      <c r="A77" s="21" t="s">
        <v>122</v>
      </c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</row>
    <row r="78" spans="1:16" ht="38.25" x14ac:dyDescent="0.25">
      <c r="A78" s="8" t="s">
        <v>105</v>
      </c>
      <c r="B78" s="8" t="s">
        <v>106</v>
      </c>
      <c r="C78" s="8" t="s">
        <v>107</v>
      </c>
      <c r="D78" s="8" t="s">
        <v>57</v>
      </c>
      <c r="E78" s="8" t="s">
        <v>58</v>
      </c>
      <c r="F78" s="8" t="s">
        <v>59</v>
      </c>
      <c r="G78" s="8" t="s">
        <v>91</v>
      </c>
      <c r="H78" s="8" t="s">
        <v>108</v>
      </c>
      <c r="I78" s="8" t="s">
        <v>109</v>
      </c>
      <c r="J78" s="8" t="s">
        <v>110</v>
      </c>
      <c r="K78" s="8" t="s">
        <v>111</v>
      </c>
      <c r="L78" s="8" t="s">
        <v>112</v>
      </c>
      <c r="M78" s="8" t="s">
        <v>113</v>
      </c>
      <c r="N78" s="8" t="s">
        <v>114</v>
      </c>
      <c r="O78" s="8" t="s">
        <v>115</v>
      </c>
      <c r="P78" s="8" t="s">
        <v>116</v>
      </c>
    </row>
    <row r="79" spans="1:16" x14ac:dyDescent="0.25">
      <c r="A79" s="11" t="s">
        <v>22</v>
      </c>
      <c r="B79" s="5">
        <f>IFERROR(SUMIFS(tblDaily[Remaining],tblDaily[EntryDate],DATE(2026,5,31),tblDaily[WardCode],"MW"),0)</f>
        <v>0</v>
      </c>
      <c r="C79" s="5">
        <f>IFERROR(INDEX(tblWardConfig[BedComplement],MATCH("MW",tblWardConfig[WardCode],0)),0)</f>
        <v>32</v>
      </c>
      <c r="D79" s="5">
        <f>SUMIFS(tblDaily[Admissions],tblDaily[Month],6,tblDaily[WardCode],"MW")</f>
        <v>0</v>
      </c>
      <c r="E79" s="5">
        <f>SUMIFS(tblDaily[Discharges],tblDaily[Month],6,tblDaily[WardCode],"MW")</f>
        <v>0</v>
      </c>
      <c r="F79" s="5">
        <f>SUMIFS(tblDaily[Deaths],tblDaily[Month],6,tblDaily[WardCode],"MW")</f>
        <v>0</v>
      </c>
      <c r="G79" s="5">
        <f>SUMIFS(tblDaily[DeathsUnder24Hrs],tblDaily[Month],6,tblDaily[WardCode],"MW")</f>
        <v>0</v>
      </c>
      <c r="H79" s="5">
        <f>SUMIFS(tblDaily[Remaining],tblDaily[Month],6,tblDaily[WardCode],"MW")</f>
        <v>0</v>
      </c>
      <c r="I79" s="5">
        <f>SUMIFS(tblDaily[TransfersIn],tblDaily[Month],6,tblDaily[WardCode],"MW")</f>
        <v>0</v>
      </c>
      <c r="J79" s="5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24</v>
      </c>
      <c r="B80" s="5">
        <f>IFERROR(SUMIFS(tblDaily[Remaining],tblDaily[EntryDate],DATE(2026,5,31),tblDaily[WardCode],"FW"),0)</f>
        <v>0</v>
      </c>
      <c r="C80" s="5">
        <f>IFERROR(INDEX(tblWardConfig[BedComplement],MATCH("FW",tblWardConfig[WardCode],0)),0)</f>
        <v>28</v>
      </c>
      <c r="D80" s="5">
        <f>SUMIFS(tblDaily[Admissions],tblDaily[Month],6,tblDaily[WardCode],"FW")</f>
        <v>0</v>
      </c>
      <c r="E80" s="5">
        <f>SUMIFS(tblDaily[Discharges],tblDaily[Month],6,tblDaily[WardCode],"FW")</f>
        <v>0</v>
      </c>
      <c r="F80" s="5">
        <f>SUMIFS(tblDaily[Deaths],tblDaily[Month],6,tblDaily[WardCode],"FW")</f>
        <v>0</v>
      </c>
      <c r="G80" s="5">
        <f>SUMIFS(tblDaily[DeathsUnder24Hrs],tblDaily[Month],6,tblDaily[WardCode],"FW")</f>
        <v>0</v>
      </c>
      <c r="H80" s="5">
        <f>SUMIFS(tblDaily[Remaining],tblDaily[Month],6,tblDaily[WardCode],"FW")</f>
        <v>0</v>
      </c>
      <c r="I80" s="5">
        <f>SUMIFS(tblDaily[TransfersIn],tblDaily[Month],6,tblDaily[WardCode],"FW")</f>
        <v>0</v>
      </c>
      <c r="J80" s="5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26</v>
      </c>
      <c r="B81" s="5">
        <f>IFERROR(SUMIFS(tblDaily[Remaining],tblDaily[EntryDate],DATE(2026,5,31),tblDaily[WardCode],"CW"),0)</f>
        <v>0</v>
      </c>
      <c r="C81" s="5">
        <f>IFERROR(INDEX(tblWardConfig[BedComplement],MATCH("CW",tblWardConfig[WardCode],0)),0)</f>
        <v>27</v>
      </c>
      <c r="D81" s="5">
        <f>SUMIFS(tblDaily[Admissions],tblDaily[Month],6,tblDaily[WardCode],"CW")</f>
        <v>0</v>
      </c>
      <c r="E81" s="5">
        <f>SUMIFS(tblDaily[Discharges],tblDaily[Month],6,tblDaily[WardCode],"CW")</f>
        <v>0</v>
      </c>
      <c r="F81" s="5">
        <f>SUMIFS(tblDaily[Deaths],tblDaily[Month],6,tblDaily[WardCode],"CW")</f>
        <v>0</v>
      </c>
      <c r="G81" s="5">
        <f>SUMIFS(tblDaily[DeathsUnder24Hrs],tblDaily[Month],6,tblDaily[WardCode],"CW")</f>
        <v>0</v>
      </c>
      <c r="H81" s="5">
        <f>SUMIFS(tblDaily[Remaining],tblDaily[Month],6,tblDaily[WardCode],"CW")</f>
        <v>0</v>
      </c>
      <c r="I81" s="5">
        <f>SUMIFS(tblDaily[TransfersIn],tblDaily[Month],6,tblDaily[WardCode],"CW")</f>
        <v>0</v>
      </c>
      <c r="J81" s="5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28</v>
      </c>
      <c r="B82" s="5">
        <f>IFERROR(SUMIFS(tblDaily[Remaining],tblDaily[EntryDate],DATE(2026,5,31),tblDaily[WardCode],"BF"),0)</f>
        <v>0</v>
      </c>
      <c r="C82" s="5">
        <f>IFERROR(INDEX(tblWardConfig[BedComplement],MATCH("BF",tblWardConfig[WardCode],0)),0)</f>
        <v>20</v>
      </c>
      <c r="D82" s="5">
        <f>SUMIFS(tblDaily[Admissions],tblDaily[Month],6,tblDaily[WardCode],"BF")</f>
        <v>0</v>
      </c>
      <c r="E82" s="5">
        <f>SUMIFS(tblDaily[Discharges],tblDaily[Month],6,tblDaily[WardCode],"BF")</f>
        <v>0</v>
      </c>
      <c r="F82" s="5">
        <f>SUMIFS(tblDaily[Deaths],tblDaily[Month],6,tblDaily[WardCode],"BF")</f>
        <v>0</v>
      </c>
      <c r="G82" s="5">
        <f>SUMIFS(tblDaily[DeathsUnder24Hrs],tblDaily[Month],6,tblDaily[WardCode],"BF")</f>
        <v>0</v>
      </c>
      <c r="H82" s="5">
        <f>SUMIFS(tblDaily[Remaining],tblDaily[Month],6,tblDaily[WardCode],"BF")</f>
        <v>0</v>
      </c>
      <c r="I82" s="5">
        <f>SUMIFS(tblDaily[TransfersIn],tblDaily[Month],6,tblDaily[WardCode],"BF")</f>
        <v>0</v>
      </c>
      <c r="J82" s="5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30</v>
      </c>
      <c r="B83" s="5">
        <f>IFERROR(SUMIFS(tblDaily[Remaining],tblDaily[EntryDate],DATE(2026,5,31),tblDaily[WardCode],"BG"),0)</f>
        <v>0</v>
      </c>
      <c r="C83" s="5">
        <f>IFERROR(INDEX(tblWardConfig[BedComplement],MATCH("BG",tblWardConfig[WardCode],0)),0)</f>
        <v>14</v>
      </c>
      <c r="D83" s="5">
        <f>SUMIFS(tblDaily[Admissions],tblDaily[Month],6,tblDaily[WardCode],"BG")</f>
        <v>0</v>
      </c>
      <c r="E83" s="5">
        <f>SUMIFS(tblDaily[Discharges],tblDaily[Month],6,tblDaily[WardCode],"BG")</f>
        <v>0</v>
      </c>
      <c r="F83" s="5">
        <f>SUMIFS(tblDaily[Deaths],tblDaily[Month],6,tblDaily[WardCode],"BG")</f>
        <v>0</v>
      </c>
      <c r="G83" s="5">
        <f>SUMIFS(tblDaily[DeathsUnder24Hrs],tblDaily[Month],6,tblDaily[WardCode],"BG")</f>
        <v>0</v>
      </c>
      <c r="H83" s="5">
        <f>SUMIFS(tblDaily[Remaining],tblDaily[Month],6,tblDaily[WardCode],"BG")</f>
        <v>0</v>
      </c>
      <c r="I83" s="5">
        <f>SUMIFS(tblDaily[TransfersIn],tblDaily[Month],6,tblDaily[WardCode],"BG")</f>
        <v>0</v>
      </c>
      <c r="J83" s="5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32</v>
      </c>
      <c r="B84" s="5">
        <f>IFERROR(SUMIFS(tblDaily[Remaining],tblDaily[EntryDate],DATE(2026,5,31),tblDaily[WardCode],"BH"),0)</f>
        <v>0</v>
      </c>
      <c r="C84" s="5">
        <f>IFERROR(INDEX(tblWardConfig[BedComplement],MATCH("BH",tblWardConfig[WardCode],0)),0)</f>
        <v>22</v>
      </c>
      <c r="D84" s="5">
        <f>SUMIFS(tblDaily[Admissions],tblDaily[Month],6,tblDaily[WardCode],"BH")</f>
        <v>0</v>
      </c>
      <c r="E84" s="5">
        <f>SUMIFS(tblDaily[Discharges],tblDaily[Month],6,tblDaily[WardCode],"BH")</f>
        <v>0</v>
      </c>
      <c r="F84" s="5">
        <f>SUMIFS(tblDaily[Deaths],tblDaily[Month],6,tblDaily[WardCode],"BH")</f>
        <v>0</v>
      </c>
      <c r="G84" s="5">
        <f>SUMIFS(tblDaily[DeathsUnder24Hrs],tblDaily[Month],6,tblDaily[WardCode],"BH")</f>
        <v>0</v>
      </c>
      <c r="H84" s="5">
        <f>SUMIFS(tblDaily[Remaining],tblDaily[Month],6,tblDaily[WardCode],"BH")</f>
        <v>0</v>
      </c>
      <c r="I84" s="5">
        <f>SUMIFS(tblDaily[TransfersIn],tblDaily[Month],6,tblDaily[WardCode],"BH")</f>
        <v>0</v>
      </c>
      <c r="J84" s="5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34</v>
      </c>
      <c r="B85" s="5">
        <f>IFERROR(SUMIFS(tblDaily[Remaining],tblDaily[EntryDate],DATE(2026,5,31),tblDaily[WardCode],"NICU"),0)</f>
        <v>0</v>
      </c>
      <c r="C85" s="5">
        <f>IFERROR(INDEX(tblWardConfig[BedComplement],MATCH("NICU",tblWardConfig[WardCode],0)),0)</f>
        <v>15</v>
      </c>
      <c r="D85" s="5">
        <f>SUMIFS(tblDaily[Admissions],tblDaily[Month],6,tblDaily[WardCode],"NICU")</f>
        <v>0</v>
      </c>
      <c r="E85" s="5">
        <f>SUMIFS(tblDaily[Discharges],tblDaily[Month],6,tblDaily[WardCode],"NICU")</f>
        <v>0</v>
      </c>
      <c r="F85" s="5">
        <f>SUMIFS(tblDaily[Deaths],tblDaily[Month],6,tblDaily[WardCode],"NICU")</f>
        <v>0</v>
      </c>
      <c r="G85" s="5">
        <f>SUMIFS(tblDaily[DeathsUnder24Hrs],tblDaily[Month],6,tblDaily[WardCode],"NICU")</f>
        <v>0</v>
      </c>
      <c r="H85" s="5">
        <f>SUMIFS(tblDaily[Remaining],tblDaily[Month],6,tblDaily[WardCode],"NICU")</f>
        <v>0</v>
      </c>
      <c r="I85" s="5">
        <f>SUMIFS(tblDaily[TransfersIn],tblDaily[Month],6,tblDaily[WardCode],"NICU")</f>
        <v>0</v>
      </c>
      <c r="J85" s="5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36</v>
      </c>
      <c r="B86" s="5">
        <f>IFERROR(SUMIFS(tblDaily[Remaining],tblDaily[EntryDate],DATE(2026,5,31),tblDaily[WardCode],"MAE"),0)</f>
        <v>0</v>
      </c>
      <c r="C86" s="5">
        <f>IFERROR(INDEX(tblWardConfig[BedComplement],MATCH("MAE",tblWardConfig[WardCode],0)),0)</f>
        <v>10</v>
      </c>
      <c r="D86" s="5">
        <f>SUMIFS(tblDaily[Admissions],tblDaily[Month],6,tblDaily[WardCode],"MAE")</f>
        <v>0</v>
      </c>
      <c r="E86" s="5">
        <f>SUMIFS(tblDaily[Discharges],tblDaily[Month],6,tblDaily[WardCode],"MAE")</f>
        <v>0</v>
      </c>
      <c r="F86" s="5">
        <f>SUMIFS(tblDaily[Deaths],tblDaily[Month],6,tblDaily[WardCode],"MAE")</f>
        <v>0</v>
      </c>
      <c r="G86" s="5">
        <f>SUMIFS(tblDaily[DeathsUnder24Hrs],tblDaily[Month],6,tblDaily[WardCode],"MAE")</f>
        <v>0</v>
      </c>
      <c r="H86" s="5">
        <f>SUMIFS(tblDaily[Remaining],tblDaily[Month],6,tblDaily[WardCode],"MAE")</f>
        <v>0</v>
      </c>
      <c r="I86" s="5">
        <f>SUMIFS(tblDaily[TransfersIn],tblDaily[Month],6,tblDaily[WardCode],"MAE")</f>
        <v>0</v>
      </c>
      <c r="J86" s="5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38</v>
      </c>
      <c r="B87" s="5">
        <f>IFERROR(SUMIFS(tblDaily[Remaining],tblDaily[EntryDate],DATE(2026,5,31),tblDaily[WardCode],"FAE"),0)</f>
        <v>0</v>
      </c>
      <c r="C87" s="5">
        <f>IFERROR(INDEX(tblWardConfig[BedComplement],MATCH("FAE",tblWardConfig[WardCode],0)),0)</f>
        <v>10</v>
      </c>
      <c r="D87" s="5">
        <f>SUMIFS(tblDaily[Admissions],tblDaily[Month],6,tblDaily[WardCode],"FAE")</f>
        <v>0</v>
      </c>
      <c r="E87" s="5">
        <f>SUMIFS(tblDaily[Discharges],tblDaily[Month],6,tblDaily[WardCode],"FAE")</f>
        <v>0</v>
      </c>
      <c r="F87" s="5">
        <f>SUMIFS(tblDaily[Deaths],tblDaily[Month],6,tblDaily[WardCode],"FAE")</f>
        <v>0</v>
      </c>
      <c r="G87" s="5">
        <f>SUMIFS(tblDaily[DeathsUnder24Hrs],tblDaily[Month],6,tblDaily[WardCode],"FAE")</f>
        <v>0</v>
      </c>
      <c r="H87" s="5">
        <f>SUMIFS(tblDaily[Remaining],tblDaily[Month],6,tblDaily[WardCode],"FAE")</f>
        <v>0</v>
      </c>
      <c r="I87" s="5">
        <f>SUMIFS(tblDaily[TransfersIn],tblDaily[Month],6,tblDaily[WardCode],"FAE")</f>
        <v>0</v>
      </c>
      <c r="J87" s="5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95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117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16" t="s">
        <v>0</v>
      </c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</row>
    <row r="92" spans="1:16" ht="15.75" x14ac:dyDescent="0.25">
      <c r="A92" s="21" t="s">
        <v>123</v>
      </c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</row>
    <row r="93" spans="1:16" ht="38.25" x14ac:dyDescent="0.25">
      <c r="A93" s="8" t="s">
        <v>105</v>
      </c>
      <c r="B93" s="8" t="s">
        <v>106</v>
      </c>
      <c r="C93" s="8" t="s">
        <v>107</v>
      </c>
      <c r="D93" s="8" t="s">
        <v>57</v>
      </c>
      <c r="E93" s="8" t="s">
        <v>58</v>
      </c>
      <c r="F93" s="8" t="s">
        <v>59</v>
      </c>
      <c r="G93" s="8" t="s">
        <v>91</v>
      </c>
      <c r="H93" s="8" t="s">
        <v>108</v>
      </c>
      <c r="I93" s="8" t="s">
        <v>109</v>
      </c>
      <c r="J93" s="8" t="s">
        <v>110</v>
      </c>
      <c r="K93" s="8" t="s">
        <v>111</v>
      </c>
      <c r="L93" s="8" t="s">
        <v>112</v>
      </c>
      <c r="M93" s="8" t="s">
        <v>113</v>
      </c>
      <c r="N93" s="8" t="s">
        <v>114</v>
      </c>
      <c r="O93" s="8" t="s">
        <v>115</v>
      </c>
      <c r="P93" s="8" t="s">
        <v>116</v>
      </c>
    </row>
    <row r="94" spans="1:16" x14ac:dyDescent="0.25">
      <c r="A94" s="11" t="s">
        <v>22</v>
      </c>
      <c r="B94" s="5">
        <f>IFERROR(SUMIFS(tblDaily[Remaining],tblDaily[EntryDate],DATE(2026,6,30),tblDaily[WardCode],"MW"),0)</f>
        <v>0</v>
      </c>
      <c r="C94" s="5">
        <f>IFERROR(INDEX(tblWardConfig[BedComplement],MATCH("MW",tblWardConfig[WardCode],0)),0)</f>
        <v>32</v>
      </c>
      <c r="D94" s="5">
        <f>SUMIFS(tblDaily[Admissions],tblDaily[Month],7,tblDaily[WardCode],"MW")</f>
        <v>0</v>
      </c>
      <c r="E94" s="5">
        <f>SUMIFS(tblDaily[Discharges],tblDaily[Month],7,tblDaily[WardCode],"MW")</f>
        <v>0</v>
      </c>
      <c r="F94" s="5">
        <f>SUMIFS(tblDaily[Deaths],tblDaily[Month],7,tblDaily[WardCode],"MW")</f>
        <v>0</v>
      </c>
      <c r="G94" s="5">
        <f>SUMIFS(tblDaily[DeathsUnder24Hrs],tblDaily[Month],7,tblDaily[WardCode],"MW")</f>
        <v>0</v>
      </c>
      <c r="H94" s="5">
        <f>SUMIFS(tblDaily[Remaining],tblDaily[Month],7,tblDaily[WardCode],"MW")</f>
        <v>0</v>
      </c>
      <c r="I94" s="5">
        <f>SUMIFS(tblDaily[TransfersIn],tblDaily[Month],7,tblDaily[WardCode],"MW")</f>
        <v>0</v>
      </c>
      <c r="J94" s="5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24</v>
      </c>
      <c r="B95" s="5">
        <f>IFERROR(SUMIFS(tblDaily[Remaining],tblDaily[EntryDate],DATE(2026,6,30),tblDaily[WardCode],"FW"),0)</f>
        <v>0</v>
      </c>
      <c r="C95" s="5">
        <f>IFERROR(INDEX(tblWardConfig[BedComplement],MATCH("FW",tblWardConfig[WardCode],0)),0)</f>
        <v>28</v>
      </c>
      <c r="D95" s="5">
        <f>SUMIFS(tblDaily[Admissions],tblDaily[Month],7,tblDaily[WardCode],"FW")</f>
        <v>0</v>
      </c>
      <c r="E95" s="5">
        <f>SUMIFS(tblDaily[Discharges],tblDaily[Month],7,tblDaily[WardCode],"FW")</f>
        <v>0</v>
      </c>
      <c r="F95" s="5">
        <f>SUMIFS(tblDaily[Deaths],tblDaily[Month],7,tblDaily[WardCode],"FW")</f>
        <v>0</v>
      </c>
      <c r="G95" s="5">
        <f>SUMIFS(tblDaily[DeathsUnder24Hrs],tblDaily[Month],7,tblDaily[WardCode],"FW")</f>
        <v>0</v>
      </c>
      <c r="H95" s="5">
        <f>SUMIFS(tblDaily[Remaining],tblDaily[Month],7,tblDaily[WardCode],"FW")</f>
        <v>0</v>
      </c>
      <c r="I95" s="5">
        <f>SUMIFS(tblDaily[TransfersIn],tblDaily[Month],7,tblDaily[WardCode],"FW")</f>
        <v>0</v>
      </c>
      <c r="J95" s="5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26</v>
      </c>
      <c r="B96" s="5">
        <f>IFERROR(SUMIFS(tblDaily[Remaining],tblDaily[EntryDate],DATE(2026,6,30),tblDaily[WardCode],"CW"),0)</f>
        <v>0</v>
      </c>
      <c r="C96" s="5">
        <f>IFERROR(INDEX(tblWardConfig[BedComplement],MATCH("CW",tblWardConfig[WardCode],0)),0)</f>
        <v>27</v>
      </c>
      <c r="D96" s="5">
        <f>SUMIFS(tblDaily[Admissions],tblDaily[Month],7,tblDaily[WardCode],"CW")</f>
        <v>0</v>
      </c>
      <c r="E96" s="5">
        <f>SUMIFS(tblDaily[Discharges],tblDaily[Month],7,tblDaily[WardCode],"CW")</f>
        <v>0</v>
      </c>
      <c r="F96" s="5">
        <f>SUMIFS(tblDaily[Deaths],tblDaily[Month],7,tblDaily[WardCode],"CW")</f>
        <v>0</v>
      </c>
      <c r="G96" s="5">
        <f>SUMIFS(tblDaily[DeathsUnder24Hrs],tblDaily[Month],7,tblDaily[WardCode],"CW")</f>
        <v>0</v>
      </c>
      <c r="H96" s="5">
        <f>SUMIFS(tblDaily[Remaining],tblDaily[Month],7,tblDaily[WardCode],"CW")</f>
        <v>0</v>
      </c>
      <c r="I96" s="5">
        <f>SUMIFS(tblDaily[TransfersIn],tblDaily[Month],7,tblDaily[WardCode],"CW")</f>
        <v>0</v>
      </c>
      <c r="J96" s="5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28</v>
      </c>
      <c r="B97" s="5">
        <f>IFERROR(SUMIFS(tblDaily[Remaining],tblDaily[EntryDate],DATE(2026,6,30),tblDaily[WardCode],"BF"),0)</f>
        <v>0</v>
      </c>
      <c r="C97" s="5">
        <f>IFERROR(INDEX(tblWardConfig[BedComplement],MATCH("BF",tblWardConfig[WardCode],0)),0)</f>
        <v>20</v>
      </c>
      <c r="D97" s="5">
        <f>SUMIFS(tblDaily[Admissions],tblDaily[Month],7,tblDaily[WardCode],"BF")</f>
        <v>0</v>
      </c>
      <c r="E97" s="5">
        <f>SUMIFS(tblDaily[Discharges],tblDaily[Month],7,tblDaily[WardCode],"BF")</f>
        <v>0</v>
      </c>
      <c r="F97" s="5">
        <f>SUMIFS(tblDaily[Deaths],tblDaily[Month],7,tblDaily[WardCode],"BF")</f>
        <v>0</v>
      </c>
      <c r="G97" s="5">
        <f>SUMIFS(tblDaily[DeathsUnder24Hrs],tblDaily[Month],7,tblDaily[WardCode],"BF")</f>
        <v>0</v>
      </c>
      <c r="H97" s="5">
        <f>SUMIFS(tblDaily[Remaining],tblDaily[Month],7,tblDaily[WardCode],"BF")</f>
        <v>0</v>
      </c>
      <c r="I97" s="5">
        <f>SUMIFS(tblDaily[TransfersIn],tblDaily[Month],7,tblDaily[WardCode],"BF")</f>
        <v>0</v>
      </c>
      <c r="J97" s="5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30</v>
      </c>
      <c r="B98" s="5">
        <f>IFERROR(SUMIFS(tblDaily[Remaining],tblDaily[EntryDate],DATE(2026,6,30),tblDaily[WardCode],"BG"),0)</f>
        <v>0</v>
      </c>
      <c r="C98" s="5">
        <f>IFERROR(INDEX(tblWardConfig[BedComplement],MATCH("BG",tblWardConfig[WardCode],0)),0)</f>
        <v>14</v>
      </c>
      <c r="D98" s="5">
        <f>SUMIFS(tblDaily[Admissions],tblDaily[Month],7,tblDaily[WardCode],"BG")</f>
        <v>0</v>
      </c>
      <c r="E98" s="5">
        <f>SUMIFS(tblDaily[Discharges],tblDaily[Month],7,tblDaily[WardCode],"BG")</f>
        <v>0</v>
      </c>
      <c r="F98" s="5">
        <f>SUMIFS(tblDaily[Deaths],tblDaily[Month],7,tblDaily[WardCode],"BG")</f>
        <v>0</v>
      </c>
      <c r="G98" s="5">
        <f>SUMIFS(tblDaily[DeathsUnder24Hrs],tblDaily[Month],7,tblDaily[WardCode],"BG")</f>
        <v>0</v>
      </c>
      <c r="H98" s="5">
        <f>SUMIFS(tblDaily[Remaining],tblDaily[Month],7,tblDaily[WardCode],"BG")</f>
        <v>0</v>
      </c>
      <c r="I98" s="5">
        <f>SUMIFS(tblDaily[TransfersIn],tblDaily[Month],7,tblDaily[WardCode],"BG")</f>
        <v>0</v>
      </c>
      <c r="J98" s="5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32</v>
      </c>
      <c r="B99" s="5">
        <f>IFERROR(SUMIFS(tblDaily[Remaining],tblDaily[EntryDate],DATE(2026,6,30),tblDaily[WardCode],"BH"),0)</f>
        <v>0</v>
      </c>
      <c r="C99" s="5">
        <f>IFERROR(INDEX(tblWardConfig[BedComplement],MATCH("BH",tblWardConfig[WardCode],0)),0)</f>
        <v>22</v>
      </c>
      <c r="D99" s="5">
        <f>SUMIFS(tblDaily[Admissions],tblDaily[Month],7,tblDaily[WardCode],"BH")</f>
        <v>0</v>
      </c>
      <c r="E99" s="5">
        <f>SUMIFS(tblDaily[Discharges],tblDaily[Month],7,tblDaily[WardCode],"BH")</f>
        <v>0</v>
      </c>
      <c r="F99" s="5">
        <f>SUMIFS(tblDaily[Deaths],tblDaily[Month],7,tblDaily[WardCode],"BH")</f>
        <v>0</v>
      </c>
      <c r="G99" s="5">
        <f>SUMIFS(tblDaily[DeathsUnder24Hrs],tblDaily[Month],7,tblDaily[WardCode],"BH")</f>
        <v>0</v>
      </c>
      <c r="H99" s="5">
        <f>SUMIFS(tblDaily[Remaining],tblDaily[Month],7,tblDaily[WardCode],"BH")</f>
        <v>0</v>
      </c>
      <c r="I99" s="5">
        <f>SUMIFS(tblDaily[TransfersIn],tblDaily[Month],7,tblDaily[WardCode],"BH")</f>
        <v>0</v>
      </c>
      <c r="J99" s="5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34</v>
      </c>
      <c r="B100" s="5">
        <f>IFERROR(SUMIFS(tblDaily[Remaining],tblDaily[EntryDate],DATE(2026,6,30),tblDaily[WardCode],"NICU"),0)</f>
        <v>0</v>
      </c>
      <c r="C100" s="5">
        <f>IFERROR(INDEX(tblWardConfig[BedComplement],MATCH("NICU",tblWardConfig[WardCode],0)),0)</f>
        <v>15</v>
      </c>
      <c r="D100" s="5">
        <f>SUMIFS(tblDaily[Admissions],tblDaily[Month],7,tblDaily[WardCode],"NICU")</f>
        <v>0</v>
      </c>
      <c r="E100" s="5">
        <f>SUMIFS(tblDaily[Discharges],tblDaily[Month],7,tblDaily[WardCode],"NICU")</f>
        <v>0</v>
      </c>
      <c r="F100" s="5">
        <f>SUMIFS(tblDaily[Deaths],tblDaily[Month],7,tblDaily[WardCode],"NICU")</f>
        <v>0</v>
      </c>
      <c r="G100" s="5">
        <f>SUMIFS(tblDaily[DeathsUnder24Hrs],tblDaily[Month],7,tblDaily[WardCode],"NICU")</f>
        <v>0</v>
      </c>
      <c r="H100" s="5">
        <f>SUMIFS(tblDaily[Remaining],tblDaily[Month],7,tblDaily[WardCode],"NICU")</f>
        <v>0</v>
      </c>
      <c r="I100" s="5">
        <f>SUMIFS(tblDaily[TransfersIn],tblDaily[Month],7,tblDaily[WardCode],"NICU")</f>
        <v>0</v>
      </c>
      <c r="J100" s="5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36</v>
      </c>
      <c r="B101" s="5">
        <f>IFERROR(SUMIFS(tblDaily[Remaining],tblDaily[EntryDate],DATE(2026,6,30),tblDaily[WardCode],"MAE"),0)</f>
        <v>0</v>
      </c>
      <c r="C101" s="5">
        <f>IFERROR(INDEX(tblWardConfig[BedComplement],MATCH("MAE",tblWardConfig[WardCode],0)),0)</f>
        <v>10</v>
      </c>
      <c r="D101" s="5">
        <f>SUMIFS(tblDaily[Admissions],tblDaily[Month],7,tblDaily[WardCode],"MAE")</f>
        <v>0</v>
      </c>
      <c r="E101" s="5">
        <f>SUMIFS(tblDaily[Discharges],tblDaily[Month],7,tblDaily[WardCode],"MAE")</f>
        <v>0</v>
      </c>
      <c r="F101" s="5">
        <f>SUMIFS(tblDaily[Deaths],tblDaily[Month],7,tblDaily[WardCode],"MAE")</f>
        <v>0</v>
      </c>
      <c r="G101" s="5">
        <f>SUMIFS(tblDaily[DeathsUnder24Hrs],tblDaily[Month],7,tblDaily[WardCode],"MAE")</f>
        <v>0</v>
      </c>
      <c r="H101" s="5">
        <f>SUMIFS(tblDaily[Remaining],tblDaily[Month],7,tblDaily[WardCode],"MAE")</f>
        <v>0</v>
      </c>
      <c r="I101" s="5">
        <f>SUMIFS(tblDaily[TransfersIn],tblDaily[Month],7,tblDaily[WardCode],"MAE")</f>
        <v>0</v>
      </c>
      <c r="J101" s="5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38</v>
      </c>
      <c r="B102" s="5">
        <f>IFERROR(SUMIFS(tblDaily[Remaining],tblDaily[EntryDate],DATE(2026,6,30),tblDaily[WardCode],"FAE"),0)</f>
        <v>0</v>
      </c>
      <c r="C102" s="5">
        <f>IFERROR(INDEX(tblWardConfig[BedComplement],MATCH("FAE",tblWardConfig[WardCode],0)),0)</f>
        <v>10</v>
      </c>
      <c r="D102" s="5">
        <f>SUMIFS(tblDaily[Admissions],tblDaily[Month],7,tblDaily[WardCode],"FAE")</f>
        <v>0</v>
      </c>
      <c r="E102" s="5">
        <f>SUMIFS(tblDaily[Discharges],tblDaily[Month],7,tblDaily[WardCode],"FAE")</f>
        <v>0</v>
      </c>
      <c r="F102" s="5">
        <f>SUMIFS(tblDaily[Deaths],tblDaily[Month],7,tblDaily[WardCode],"FAE")</f>
        <v>0</v>
      </c>
      <c r="G102" s="5">
        <f>SUMIFS(tblDaily[DeathsUnder24Hrs],tblDaily[Month],7,tblDaily[WardCode],"FAE")</f>
        <v>0</v>
      </c>
      <c r="H102" s="5">
        <f>SUMIFS(tblDaily[Remaining],tblDaily[Month],7,tblDaily[WardCode],"FAE")</f>
        <v>0</v>
      </c>
      <c r="I102" s="5">
        <f>SUMIFS(tblDaily[TransfersIn],tblDaily[Month],7,tblDaily[WardCode],"FAE")</f>
        <v>0</v>
      </c>
      <c r="J102" s="5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95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117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16" t="s">
        <v>0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</row>
    <row r="107" spans="1:16" ht="15.75" x14ac:dyDescent="0.25">
      <c r="A107" s="21" t="s">
        <v>124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</row>
    <row r="108" spans="1:16" ht="38.25" x14ac:dyDescent="0.25">
      <c r="A108" s="8" t="s">
        <v>105</v>
      </c>
      <c r="B108" s="8" t="s">
        <v>106</v>
      </c>
      <c r="C108" s="8" t="s">
        <v>107</v>
      </c>
      <c r="D108" s="8" t="s">
        <v>57</v>
      </c>
      <c r="E108" s="8" t="s">
        <v>58</v>
      </c>
      <c r="F108" s="8" t="s">
        <v>59</v>
      </c>
      <c r="G108" s="8" t="s">
        <v>91</v>
      </c>
      <c r="H108" s="8" t="s">
        <v>108</v>
      </c>
      <c r="I108" s="8" t="s">
        <v>109</v>
      </c>
      <c r="J108" s="8" t="s">
        <v>110</v>
      </c>
      <c r="K108" s="8" t="s">
        <v>111</v>
      </c>
      <c r="L108" s="8" t="s">
        <v>112</v>
      </c>
      <c r="M108" s="8" t="s">
        <v>113</v>
      </c>
      <c r="N108" s="8" t="s">
        <v>114</v>
      </c>
      <c r="O108" s="8" t="s">
        <v>115</v>
      </c>
      <c r="P108" s="8" t="s">
        <v>116</v>
      </c>
    </row>
    <row r="109" spans="1:16" x14ac:dyDescent="0.25">
      <c r="A109" s="11" t="s">
        <v>22</v>
      </c>
      <c r="B109" s="5">
        <f>IFERROR(SUMIFS(tblDaily[Remaining],tblDaily[EntryDate],DATE(2026,7,31),tblDaily[WardCode],"MW"),0)</f>
        <v>0</v>
      </c>
      <c r="C109" s="5">
        <f>IFERROR(INDEX(tblWardConfig[BedComplement],MATCH("MW",tblWardConfig[WardCode],0)),0)</f>
        <v>32</v>
      </c>
      <c r="D109" s="5">
        <f>SUMIFS(tblDaily[Admissions],tblDaily[Month],8,tblDaily[WardCode],"MW")</f>
        <v>0</v>
      </c>
      <c r="E109" s="5">
        <f>SUMIFS(tblDaily[Discharges],tblDaily[Month],8,tblDaily[WardCode],"MW")</f>
        <v>0</v>
      </c>
      <c r="F109" s="5">
        <f>SUMIFS(tblDaily[Deaths],tblDaily[Month],8,tblDaily[WardCode],"MW")</f>
        <v>0</v>
      </c>
      <c r="G109" s="5">
        <f>SUMIFS(tblDaily[DeathsUnder24Hrs],tblDaily[Month],8,tblDaily[WardCode],"MW")</f>
        <v>0</v>
      </c>
      <c r="H109" s="5">
        <f>SUMIFS(tblDaily[Remaining],tblDaily[Month],8,tblDaily[WardCode],"MW")</f>
        <v>0</v>
      </c>
      <c r="I109" s="5">
        <f>SUMIFS(tblDaily[TransfersIn],tblDaily[Month],8,tblDaily[WardCode],"MW")</f>
        <v>0</v>
      </c>
      <c r="J109" s="5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24</v>
      </c>
      <c r="B110" s="5">
        <f>IFERROR(SUMIFS(tblDaily[Remaining],tblDaily[EntryDate],DATE(2026,7,31),tblDaily[WardCode],"FW"),0)</f>
        <v>0</v>
      </c>
      <c r="C110" s="5">
        <f>IFERROR(INDEX(tblWardConfig[BedComplement],MATCH("FW",tblWardConfig[WardCode],0)),0)</f>
        <v>28</v>
      </c>
      <c r="D110" s="5">
        <f>SUMIFS(tblDaily[Admissions],tblDaily[Month],8,tblDaily[WardCode],"FW")</f>
        <v>0</v>
      </c>
      <c r="E110" s="5">
        <f>SUMIFS(tblDaily[Discharges],tblDaily[Month],8,tblDaily[WardCode],"FW")</f>
        <v>0</v>
      </c>
      <c r="F110" s="5">
        <f>SUMIFS(tblDaily[Deaths],tblDaily[Month],8,tblDaily[WardCode],"FW")</f>
        <v>0</v>
      </c>
      <c r="G110" s="5">
        <f>SUMIFS(tblDaily[DeathsUnder24Hrs],tblDaily[Month],8,tblDaily[WardCode],"FW")</f>
        <v>0</v>
      </c>
      <c r="H110" s="5">
        <f>SUMIFS(tblDaily[Remaining],tblDaily[Month],8,tblDaily[WardCode],"FW")</f>
        <v>0</v>
      </c>
      <c r="I110" s="5">
        <f>SUMIFS(tblDaily[TransfersIn],tblDaily[Month],8,tblDaily[WardCode],"FW")</f>
        <v>0</v>
      </c>
      <c r="J110" s="5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26</v>
      </c>
      <c r="B111" s="5">
        <f>IFERROR(SUMIFS(tblDaily[Remaining],tblDaily[EntryDate],DATE(2026,7,31),tblDaily[WardCode],"CW"),0)</f>
        <v>0</v>
      </c>
      <c r="C111" s="5">
        <f>IFERROR(INDEX(tblWardConfig[BedComplement],MATCH("CW",tblWardConfig[WardCode],0)),0)</f>
        <v>27</v>
      </c>
      <c r="D111" s="5">
        <f>SUMIFS(tblDaily[Admissions],tblDaily[Month],8,tblDaily[WardCode],"CW")</f>
        <v>0</v>
      </c>
      <c r="E111" s="5">
        <f>SUMIFS(tblDaily[Discharges],tblDaily[Month],8,tblDaily[WardCode],"CW")</f>
        <v>0</v>
      </c>
      <c r="F111" s="5">
        <f>SUMIFS(tblDaily[Deaths],tblDaily[Month],8,tblDaily[WardCode],"CW")</f>
        <v>0</v>
      </c>
      <c r="G111" s="5">
        <f>SUMIFS(tblDaily[DeathsUnder24Hrs],tblDaily[Month],8,tblDaily[WardCode],"CW")</f>
        <v>0</v>
      </c>
      <c r="H111" s="5">
        <f>SUMIFS(tblDaily[Remaining],tblDaily[Month],8,tblDaily[WardCode],"CW")</f>
        <v>0</v>
      </c>
      <c r="I111" s="5">
        <f>SUMIFS(tblDaily[TransfersIn],tblDaily[Month],8,tblDaily[WardCode],"CW")</f>
        <v>0</v>
      </c>
      <c r="J111" s="5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28</v>
      </c>
      <c r="B112" s="5">
        <f>IFERROR(SUMIFS(tblDaily[Remaining],tblDaily[EntryDate],DATE(2026,7,31),tblDaily[WardCode],"BF"),0)</f>
        <v>0</v>
      </c>
      <c r="C112" s="5">
        <f>IFERROR(INDEX(tblWardConfig[BedComplement],MATCH("BF",tblWardConfig[WardCode],0)),0)</f>
        <v>20</v>
      </c>
      <c r="D112" s="5">
        <f>SUMIFS(tblDaily[Admissions],tblDaily[Month],8,tblDaily[WardCode],"BF")</f>
        <v>0</v>
      </c>
      <c r="E112" s="5">
        <f>SUMIFS(tblDaily[Discharges],tblDaily[Month],8,tblDaily[WardCode],"BF")</f>
        <v>0</v>
      </c>
      <c r="F112" s="5">
        <f>SUMIFS(tblDaily[Deaths],tblDaily[Month],8,tblDaily[WardCode],"BF")</f>
        <v>0</v>
      </c>
      <c r="G112" s="5">
        <f>SUMIFS(tblDaily[DeathsUnder24Hrs],tblDaily[Month],8,tblDaily[WardCode],"BF")</f>
        <v>0</v>
      </c>
      <c r="H112" s="5">
        <f>SUMIFS(tblDaily[Remaining],tblDaily[Month],8,tblDaily[WardCode],"BF")</f>
        <v>0</v>
      </c>
      <c r="I112" s="5">
        <f>SUMIFS(tblDaily[TransfersIn],tblDaily[Month],8,tblDaily[WardCode],"BF")</f>
        <v>0</v>
      </c>
      <c r="J112" s="5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30</v>
      </c>
      <c r="B113" s="5">
        <f>IFERROR(SUMIFS(tblDaily[Remaining],tblDaily[EntryDate],DATE(2026,7,31),tblDaily[WardCode],"BG"),0)</f>
        <v>0</v>
      </c>
      <c r="C113" s="5">
        <f>IFERROR(INDEX(tblWardConfig[BedComplement],MATCH("BG",tblWardConfig[WardCode],0)),0)</f>
        <v>14</v>
      </c>
      <c r="D113" s="5">
        <f>SUMIFS(tblDaily[Admissions],tblDaily[Month],8,tblDaily[WardCode],"BG")</f>
        <v>0</v>
      </c>
      <c r="E113" s="5">
        <f>SUMIFS(tblDaily[Discharges],tblDaily[Month],8,tblDaily[WardCode],"BG")</f>
        <v>0</v>
      </c>
      <c r="F113" s="5">
        <f>SUMIFS(tblDaily[Deaths],tblDaily[Month],8,tblDaily[WardCode],"BG")</f>
        <v>0</v>
      </c>
      <c r="G113" s="5">
        <f>SUMIFS(tblDaily[DeathsUnder24Hrs],tblDaily[Month],8,tblDaily[WardCode],"BG")</f>
        <v>0</v>
      </c>
      <c r="H113" s="5">
        <f>SUMIFS(tblDaily[Remaining],tblDaily[Month],8,tblDaily[WardCode],"BG")</f>
        <v>0</v>
      </c>
      <c r="I113" s="5">
        <f>SUMIFS(tblDaily[TransfersIn],tblDaily[Month],8,tblDaily[WardCode],"BG")</f>
        <v>0</v>
      </c>
      <c r="J113" s="5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32</v>
      </c>
      <c r="B114" s="5">
        <f>IFERROR(SUMIFS(tblDaily[Remaining],tblDaily[EntryDate],DATE(2026,7,31),tblDaily[WardCode],"BH"),0)</f>
        <v>0</v>
      </c>
      <c r="C114" s="5">
        <f>IFERROR(INDEX(tblWardConfig[BedComplement],MATCH("BH",tblWardConfig[WardCode],0)),0)</f>
        <v>22</v>
      </c>
      <c r="D114" s="5">
        <f>SUMIFS(tblDaily[Admissions],tblDaily[Month],8,tblDaily[WardCode],"BH")</f>
        <v>0</v>
      </c>
      <c r="E114" s="5">
        <f>SUMIFS(tblDaily[Discharges],tblDaily[Month],8,tblDaily[WardCode],"BH")</f>
        <v>0</v>
      </c>
      <c r="F114" s="5">
        <f>SUMIFS(tblDaily[Deaths],tblDaily[Month],8,tblDaily[WardCode],"BH")</f>
        <v>0</v>
      </c>
      <c r="G114" s="5">
        <f>SUMIFS(tblDaily[DeathsUnder24Hrs],tblDaily[Month],8,tblDaily[WardCode],"BH")</f>
        <v>0</v>
      </c>
      <c r="H114" s="5">
        <f>SUMIFS(tblDaily[Remaining],tblDaily[Month],8,tblDaily[WardCode],"BH")</f>
        <v>0</v>
      </c>
      <c r="I114" s="5">
        <f>SUMIFS(tblDaily[TransfersIn],tblDaily[Month],8,tblDaily[WardCode],"BH")</f>
        <v>0</v>
      </c>
      <c r="J114" s="5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34</v>
      </c>
      <c r="B115" s="5">
        <f>IFERROR(SUMIFS(tblDaily[Remaining],tblDaily[EntryDate],DATE(2026,7,31),tblDaily[WardCode],"NICU"),0)</f>
        <v>0</v>
      </c>
      <c r="C115" s="5">
        <f>IFERROR(INDEX(tblWardConfig[BedComplement],MATCH("NICU",tblWardConfig[WardCode],0)),0)</f>
        <v>15</v>
      </c>
      <c r="D115" s="5">
        <f>SUMIFS(tblDaily[Admissions],tblDaily[Month],8,tblDaily[WardCode],"NICU")</f>
        <v>0</v>
      </c>
      <c r="E115" s="5">
        <f>SUMIFS(tblDaily[Discharges],tblDaily[Month],8,tblDaily[WardCode],"NICU")</f>
        <v>0</v>
      </c>
      <c r="F115" s="5">
        <f>SUMIFS(tblDaily[Deaths],tblDaily[Month],8,tblDaily[WardCode],"NICU")</f>
        <v>0</v>
      </c>
      <c r="G115" s="5">
        <f>SUMIFS(tblDaily[DeathsUnder24Hrs],tblDaily[Month],8,tblDaily[WardCode],"NICU")</f>
        <v>0</v>
      </c>
      <c r="H115" s="5">
        <f>SUMIFS(tblDaily[Remaining],tblDaily[Month],8,tblDaily[WardCode],"NICU")</f>
        <v>0</v>
      </c>
      <c r="I115" s="5">
        <f>SUMIFS(tblDaily[TransfersIn],tblDaily[Month],8,tblDaily[WardCode],"NICU")</f>
        <v>0</v>
      </c>
      <c r="J115" s="5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36</v>
      </c>
      <c r="B116" s="5">
        <f>IFERROR(SUMIFS(tblDaily[Remaining],tblDaily[EntryDate],DATE(2026,7,31),tblDaily[WardCode],"MAE"),0)</f>
        <v>0</v>
      </c>
      <c r="C116" s="5">
        <f>IFERROR(INDEX(tblWardConfig[BedComplement],MATCH("MAE",tblWardConfig[WardCode],0)),0)</f>
        <v>10</v>
      </c>
      <c r="D116" s="5">
        <f>SUMIFS(tblDaily[Admissions],tblDaily[Month],8,tblDaily[WardCode],"MAE")</f>
        <v>0</v>
      </c>
      <c r="E116" s="5">
        <f>SUMIFS(tblDaily[Discharges],tblDaily[Month],8,tblDaily[WardCode],"MAE")</f>
        <v>0</v>
      </c>
      <c r="F116" s="5">
        <f>SUMIFS(tblDaily[Deaths],tblDaily[Month],8,tblDaily[WardCode],"MAE")</f>
        <v>0</v>
      </c>
      <c r="G116" s="5">
        <f>SUMIFS(tblDaily[DeathsUnder24Hrs],tblDaily[Month],8,tblDaily[WardCode],"MAE")</f>
        <v>0</v>
      </c>
      <c r="H116" s="5">
        <f>SUMIFS(tblDaily[Remaining],tblDaily[Month],8,tblDaily[WardCode],"MAE")</f>
        <v>0</v>
      </c>
      <c r="I116" s="5">
        <f>SUMIFS(tblDaily[TransfersIn],tblDaily[Month],8,tblDaily[WardCode],"MAE")</f>
        <v>0</v>
      </c>
      <c r="J116" s="5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38</v>
      </c>
      <c r="B117" s="5">
        <f>IFERROR(SUMIFS(tblDaily[Remaining],tblDaily[EntryDate],DATE(2026,7,31),tblDaily[WardCode],"FAE"),0)</f>
        <v>0</v>
      </c>
      <c r="C117" s="5">
        <f>IFERROR(INDEX(tblWardConfig[BedComplement],MATCH("FAE",tblWardConfig[WardCode],0)),0)</f>
        <v>10</v>
      </c>
      <c r="D117" s="5">
        <f>SUMIFS(tblDaily[Admissions],tblDaily[Month],8,tblDaily[WardCode],"FAE")</f>
        <v>0</v>
      </c>
      <c r="E117" s="5">
        <f>SUMIFS(tblDaily[Discharges],tblDaily[Month],8,tblDaily[WardCode],"FAE")</f>
        <v>0</v>
      </c>
      <c r="F117" s="5">
        <f>SUMIFS(tblDaily[Deaths],tblDaily[Month],8,tblDaily[WardCode],"FAE")</f>
        <v>0</v>
      </c>
      <c r="G117" s="5">
        <f>SUMIFS(tblDaily[DeathsUnder24Hrs],tblDaily[Month],8,tblDaily[WardCode],"FAE")</f>
        <v>0</v>
      </c>
      <c r="H117" s="5">
        <f>SUMIFS(tblDaily[Remaining],tblDaily[Month],8,tblDaily[WardCode],"FAE")</f>
        <v>0</v>
      </c>
      <c r="I117" s="5">
        <f>SUMIFS(tblDaily[TransfersIn],tblDaily[Month],8,tblDaily[WardCode],"FAE")</f>
        <v>0</v>
      </c>
      <c r="J117" s="5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95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117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16" t="s">
        <v>0</v>
      </c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</row>
    <row r="122" spans="1:16" ht="15.75" x14ac:dyDescent="0.25">
      <c r="A122" s="21" t="s">
        <v>125</v>
      </c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</row>
    <row r="123" spans="1:16" ht="38.25" x14ac:dyDescent="0.25">
      <c r="A123" s="8" t="s">
        <v>105</v>
      </c>
      <c r="B123" s="8" t="s">
        <v>106</v>
      </c>
      <c r="C123" s="8" t="s">
        <v>107</v>
      </c>
      <c r="D123" s="8" t="s">
        <v>57</v>
      </c>
      <c r="E123" s="8" t="s">
        <v>58</v>
      </c>
      <c r="F123" s="8" t="s">
        <v>59</v>
      </c>
      <c r="G123" s="8" t="s">
        <v>91</v>
      </c>
      <c r="H123" s="8" t="s">
        <v>108</v>
      </c>
      <c r="I123" s="8" t="s">
        <v>109</v>
      </c>
      <c r="J123" s="8" t="s">
        <v>110</v>
      </c>
      <c r="K123" s="8" t="s">
        <v>111</v>
      </c>
      <c r="L123" s="8" t="s">
        <v>112</v>
      </c>
      <c r="M123" s="8" t="s">
        <v>113</v>
      </c>
      <c r="N123" s="8" t="s">
        <v>114</v>
      </c>
      <c r="O123" s="8" t="s">
        <v>115</v>
      </c>
      <c r="P123" s="8" t="s">
        <v>116</v>
      </c>
    </row>
    <row r="124" spans="1:16" x14ac:dyDescent="0.25">
      <c r="A124" s="11" t="s">
        <v>22</v>
      </c>
      <c r="B124" s="5">
        <f>IFERROR(SUMIFS(tblDaily[Remaining],tblDaily[EntryDate],DATE(2026,8,31),tblDaily[WardCode],"MW"),0)</f>
        <v>0</v>
      </c>
      <c r="C124" s="5">
        <f>IFERROR(INDEX(tblWardConfig[BedComplement],MATCH("MW",tblWardConfig[WardCode],0)),0)</f>
        <v>32</v>
      </c>
      <c r="D124" s="5">
        <f>SUMIFS(tblDaily[Admissions],tblDaily[Month],9,tblDaily[WardCode],"MW")</f>
        <v>0</v>
      </c>
      <c r="E124" s="5">
        <f>SUMIFS(tblDaily[Discharges],tblDaily[Month],9,tblDaily[WardCode],"MW")</f>
        <v>0</v>
      </c>
      <c r="F124" s="5">
        <f>SUMIFS(tblDaily[Deaths],tblDaily[Month],9,tblDaily[WardCode],"MW")</f>
        <v>0</v>
      </c>
      <c r="G124" s="5">
        <f>SUMIFS(tblDaily[DeathsUnder24Hrs],tblDaily[Month],9,tblDaily[WardCode],"MW")</f>
        <v>0</v>
      </c>
      <c r="H124" s="5">
        <f>SUMIFS(tblDaily[Remaining],tblDaily[Month],9,tblDaily[WardCode],"MW")</f>
        <v>0</v>
      </c>
      <c r="I124" s="5">
        <f>SUMIFS(tblDaily[TransfersIn],tblDaily[Month],9,tblDaily[WardCode],"MW")</f>
        <v>0</v>
      </c>
      <c r="J124" s="5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24</v>
      </c>
      <c r="B125" s="5">
        <f>IFERROR(SUMIFS(tblDaily[Remaining],tblDaily[EntryDate],DATE(2026,8,31),tblDaily[WardCode],"FW"),0)</f>
        <v>0</v>
      </c>
      <c r="C125" s="5">
        <f>IFERROR(INDEX(tblWardConfig[BedComplement],MATCH("FW",tblWardConfig[WardCode],0)),0)</f>
        <v>28</v>
      </c>
      <c r="D125" s="5">
        <f>SUMIFS(tblDaily[Admissions],tblDaily[Month],9,tblDaily[WardCode],"FW")</f>
        <v>0</v>
      </c>
      <c r="E125" s="5">
        <f>SUMIFS(tblDaily[Discharges],tblDaily[Month],9,tblDaily[WardCode],"FW")</f>
        <v>0</v>
      </c>
      <c r="F125" s="5">
        <f>SUMIFS(tblDaily[Deaths],tblDaily[Month],9,tblDaily[WardCode],"FW")</f>
        <v>0</v>
      </c>
      <c r="G125" s="5">
        <f>SUMIFS(tblDaily[DeathsUnder24Hrs],tblDaily[Month],9,tblDaily[WardCode],"FW")</f>
        <v>0</v>
      </c>
      <c r="H125" s="5">
        <f>SUMIFS(tblDaily[Remaining],tblDaily[Month],9,tblDaily[WardCode],"FW")</f>
        <v>0</v>
      </c>
      <c r="I125" s="5">
        <f>SUMIFS(tblDaily[TransfersIn],tblDaily[Month],9,tblDaily[WardCode],"FW")</f>
        <v>0</v>
      </c>
      <c r="J125" s="5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26</v>
      </c>
      <c r="B126" s="5">
        <f>IFERROR(SUMIFS(tblDaily[Remaining],tblDaily[EntryDate],DATE(2026,8,31),tblDaily[WardCode],"CW"),0)</f>
        <v>0</v>
      </c>
      <c r="C126" s="5">
        <f>IFERROR(INDEX(tblWardConfig[BedComplement],MATCH("CW",tblWardConfig[WardCode],0)),0)</f>
        <v>27</v>
      </c>
      <c r="D126" s="5">
        <f>SUMIFS(tblDaily[Admissions],tblDaily[Month],9,tblDaily[WardCode],"CW")</f>
        <v>0</v>
      </c>
      <c r="E126" s="5">
        <f>SUMIFS(tblDaily[Discharges],tblDaily[Month],9,tblDaily[WardCode],"CW")</f>
        <v>0</v>
      </c>
      <c r="F126" s="5">
        <f>SUMIFS(tblDaily[Deaths],tblDaily[Month],9,tblDaily[WardCode],"CW")</f>
        <v>0</v>
      </c>
      <c r="G126" s="5">
        <f>SUMIFS(tblDaily[DeathsUnder24Hrs],tblDaily[Month],9,tblDaily[WardCode],"CW")</f>
        <v>0</v>
      </c>
      <c r="H126" s="5">
        <f>SUMIFS(tblDaily[Remaining],tblDaily[Month],9,tblDaily[WardCode],"CW")</f>
        <v>0</v>
      </c>
      <c r="I126" s="5">
        <f>SUMIFS(tblDaily[TransfersIn],tblDaily[Month],9,tblDaily[WardCode],"CW")</f>
        <v>0</v>
      </c>
      <c r="J126" s="5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28</v>
      </c>
      <c r="B127" s="5">
        <f>IFERROR(SUMIFS(tblDaily[Remaining],tblDaily[EntryDate],DATE(2026,8,31),tblDaily[WardCode],"BF"),0)</f>
        <v>0</v>
      </c>
      <c r="C127" s="5">
        <f>IFERROR(INDEX(tblWardConfig[BedComplement],MATCH("BF",tblWardConfig[WardCode],0)),0)</f>
        <v>20</v>
      </c>
      <c r="D127" s="5">
        <f>SUMIFS(tblDaily[Admissions],tblDaily[Month],9,tblDaily[WardCode],"BF")</f>
        <v>0</v>
      </c>
      <c r="E127" s="5">
        <f>SUMIFS(tblDaily[Discharges],tblDaily[Month],9,tblDaily[WardCode],"BF")</f>
        <v>0</v>
      </c>
      <c r="F127" s="5">
        <f>SUMIFS(tblDaily[Deaths],tblDaily[Month],9,tblDaily[WardCode],"BF")</f>
        <v>0</v>
      </c>
      <c r="G127" s="5">
        <f>SUMIFS(tblDaily[DeathsUnder24Hrs],tblDaily[Month],9,tblDaily[WardCode],"BF")</f>
        <v>0</v>
      </c>
      <c r="H127" s="5">
        <f>SUMIFS(tblDaily[Remaining],tblDaily[Month],9,tblDaily[WardCode],"BF")</f>
        <v>0</v>
      </c>
      <c r="I127" s="5">
        <f>SUMIFS(tblDaily[TransfersIn],tblDaily[Month],9,tblDaily[WardCode],"BF")</f>
        <v>0</v>
      </c>
      <c r="J127" s="5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30</v>
      </c>
      <c r="B128" s="5">
        <f>IFERROR(SUMIFS(tblDaily[Remaining],tblDaily[EntryDate],DATE(2026,8,31),tblDaily[WardCode],"BG"),0)</f>
        <v>0</v>
      </c>
      <c r="C128" s="5">
        <f>IFERROR(INDEX(tblWardConfig[BedComplement],MATCH("BG",tblWardConfig[WardCode],0)),0)</f>
        <v>14</v>
      </c>
      <c r="D128" s="5">
        <f>SUMIFS(tblDaily[Admissions],tblDaily[Month],9,tblDaily[WardCode],"BG")</f>
        <v>0</v>
      </c>
      <c r="E128" s="5">
        <f>SUMIFS(tblDaily[Discharges],tblDaily[Month],9,tblDaily[WardCode],"BG")</f>
        <v>0</v>
      </c>
      <c r="F128" s="5">
        <f>SUMIFS(tblDaily[Deaths],tblDaily[Month],9,tblDaily[WardCode],"BG")</f>
        <v>0</v>
      </c>
      <c r="G128" s="5">
        <f>SUMIFS(tblDaily[DeathsUnder24Hrs],tblDaily[Month],9,tblDaily[WardCode],"BG")</f>
        <v>0</v>
      </c>
      <c r="H128" s="5">
        <f>SUMIFS(tblDaily[Remaining],tblDaily[Month],9,tblDaily[WardCode],"BG")</f>
        <v>0</v>
      </c>
      <c r="I128" s="5">
        <f>SUMIFS(tblDaily[TransfersIn],tblDaily[Month],9,tblDaily[WardCode],"BG")</f>
        <v>0</v>
      </c>
      <c r="J128" s="5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32</v>
      </c>
      <c r="B129" s="5">
        <f>IFERROR(SUMIFS(tblDaily[Remaining],tblDaily[EntryDate],DATE(2026,8,31),tblDaily[WardCode],"BH"),0)</f>
        <v>0</v>
      </c>
      <c r="C129" s="5">
        <f>IFERROR(INDEX(tblWardConfig[BedComplement],MATCH("BH",tblWardConfig[WardCode],0)),0)</f>
        <v>22</v>
      </c>
      <c r="D129" s="5">
        <f>SUMIFS(tblDaily[Admissions],tblDaily[Month],9,tblDaily[WardCode],"BH")</f>
        <v>0</v>
      </c>
      <c r="E129" s="5">
        <f>SUMIFS(tblDaily[Discharges],tblDaily[Month],9,tblDaily[WardCode],"BH")</f>
        <v>0</v>
      </c>
      <c r="F129" s="5">
        <f>SUMIFS(tblDaily[Deaths],tblDaily[Month],9,tblDaily[WardCode],"BH")</f>
        <v>0</v>
      </c>
      <c r="G129" s="5">
        <f>SUMIFS(tblDaily[DeathsUnder24Hrs],tblDaily[Month],9,tblDaily[WardCode],"BH")</f>
        <v>0</v>
      </c>
      <c r="H129" s="5">
        <f>SUMIFS(tblDaily[Remaining],tblDaily[Month],9,tblDaily[WardCode],"BH")</f>
        <v>0</v>
      </c>
      <c r="I129" s="5">
        <f>SUMIFS(tblDaily[TransfersIn],tblDaily[Month],9,tblDaily[WardCode],"BH")</f>
        <v>0</v>
      </c>
      <c r="J129" s="5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34</v>
      </c>
      <c r="B130" s="5">
        <f>IFERROR(SUMIFS(tblDaily[Remaining],tblDaily[EntryDate],DATE(2026,8,31),tblDaily[WardCode],"NICU"),0)</f>
        <v>0</v>
      </c>
      <c r="C130" s="5">
        <f>IFERROR(INDEX(tblWardConfig[BedComplement],MATCH("NICU",tblWardConfig[WardCode],0)),0)</f>
        <v>15</v>
      </c>
      <c r="D130" s="5">
        <f>SUMIFS(tblDaily[Admissions],tblDaily[Month],9,tblDaily[WardCode],"NICU")</f>
        <v>0</v>
      </c>
      <c r="E130" s="5">
        <f>SUMIFS(tblDaily[Discharges],tblDaily[Month],9,tblDaily[WardCode],"NICU")</f>
        <v>0</v>
      </c>
      <c r="F130" s="5">
        <f>SUMIFS(tblDaily[Deaths],tblDaily[Month],9,tblDaily[WardCode],"NICU")</f>
        <v>0</v>
      </c>
      <c r="G130" s="5">
        <f>SUMIFS(tblDaily[DeathsUnder24Hrs],tblDaily[Month],9,tblDaily[WardCode],"NICU")</f>
        <v>0</v>
      </c>
      <c r="H130" s="5">
        <f>SUMIFS(tblDaily[Remaining],tblDaily[Month],9,tblDaily[WardCode],"NICU")</f>
        <v>0</v>
      </c>
      <c r="I130" s="5">
        <f>SUMIFS(tblDaily[TransfersIn],tblDaily[Month],9,tblDaily[WardCode],"NICU")</f>
        <v>0</v>
      </c>
      <c r="J130" s="5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36</v>
      </c>
      <c r="B131" s="5">
        <f>IFERROR(SUMIFS(tblDaily[Remaining],tblDaily[EntryDate],DATE(2026,8,31),tblDaily[WardCode],"MAE"),0)</f>
        <v>0</v>
      </c>
      <c r="C131" s="5">
        <f>IFERROR(INDEX(tblWardConfig[BedComplement],MATCH("MAE",tblWardConfig[WardCode],0)),0)</f>
        <v>10</v>
      </c>
      <c r="D131" s="5">
        <f>SUMIFS(tblDaily[Admissions],tblDaily[Month],9,tblDaily[WardCode],"MAE")</f>
        <v>0</v>
      </c>
      <c r="E131" s="5">
        <f>SUMIFS(tblDaily[Discharges],tblDaily[Month],9,tblDaily[WardCode],"MAE")</f>
        <v>0</v>
      </c>
      <c r="F131" s="5">
        <f>SUMIFS(tblDaily[Deaths],tblDaily[Month],9,tblDaily[WardCode],"MAE")</f>
        <v>0</v>
      </c>
      <c r="G131" s="5">
        <f>SUMIFS(tblDaily[DeathsUnder24Hrs],tblDaily[Month],9,tblDaily[WardCode],"MAE")</f>
        <v>0</v>
      </c>
      <c r="H131" s="5">
        <f>SUMIFS(tblDaily[Remaining],tblDaily[Month],9,tblDaily[WardCode],"MAE")</f>
        <v>0</v>
      </c>
      <c r="I131" s="5">
        <f>SUMIFS(tblDaily[TransfersIn],tblDaily[Month],9,tblDaily[WardCode],"MAE")</f>
        <v>0</v>
      </c>
      <c r="J131" s="5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38</v>
      </c>
      <c r="B132" s="5">
        <f>IFERROR(SUMIFS(tblDaily[Remaining],tblDaily[EntryDate],DATE(2026,8,31),tblDaily[WardCode],"FAE"),0)</f>
        <v>0</v>
      </c>
      <c r="C132" s="5">
        <f>IFERROR(INDEX(tblWardConfig[BedComplement],MATCH("FAE",tblWardConfig[WardCode],0)),0)</f>
        <v>10</v>
      </c>
      <c r="D132" s="5">
        <f>SUMIFS(tblDaily[Admissions],tblDaily[Month],9,tblDaily[WardCode],"FAE")</f>
        <v>0</v>
      </c>
      <c r="E132" s="5">
        <f>SUMIFS(tblDaily[Discharges],tblDaily[Month],9,tblDaily[WardCode],"FAE")</f>
        <v>0</v>
      </c>
      <c r="F132" s="5">
        <f>SUMIFS(tblDaily[Deaths],tblDaily[Month],9,tblDaily[WardCode],"FAE")</f>
        <v>0</v>
      </c>
      <c r="G132" s="5">
        <f>SUMIFS(tblDaily[DeathsUnder24Hrs],tblDaily[Month],9,tblDaily[WardCode],"FAE")</f>
        <v>0</v>
      </c>
      <c r="H132" s="5">
        <f>SUMIFS(tblDaily[Remaining],tblDaily[Month],9,tblDaily[WardCode],"FAE")</f>
        <v>0</v>
      </c>
      <c r="I132" s="5">
        <f>SUMIFS(tblDaily[TransfersIn],tblDaily[Month],9,tblDaily[WardCode],"FAE")</f>
        <v>0</v>
      </c>
      <c r="J132" s="5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95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117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16" t="s">
        <v>0</v>
      </c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</row>
    <row r="137" spans="1:16" ht="15.75" x14ac:dyDescent="0.25">
      <c r="A137" s="21" t="s">
        <v>126</v>
      </c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</row>
    <row r="138" spans="1:16" ht="38.25" x14ac:dyDescent="0.25">
      <c r="A138" s="8" t="s">
        <v>105</v>
      </c>
      <c r="B138" s="8" t="s">
        <v>106</v>
      </c>
      <c r="C138" s="8" t="s">
        <v>107</v>
      </c>
      <c r="D138" s="8" t="s">
        <v>57</v>
      </c>
      <c r="E138" s="8" t="s">
        <v>58</v>
      </c>
      <c r="F138" s="8" t="s">
        <v>59</v>
      </c>
      <c r="G138" s="8" t="s">
        <v>91</v>
      </c>
      <c r="H138" s="8" t="s">
        <v>108</v>
      </c>
      <c r="I138" s="8" t="s">
        <v>109</v>
      </c>
      <c r="J138" s="8" t="s">
        <v>110</v>
      </c>
      <c r="K138" s="8" t="s">
        <v>111</v>
      </c>
      <c r="L138" s="8" t="s">
        <v>112</v>
      </c>
      <c r="M138" s="8" t="s">
        <v>113</v>
      </c>
      <c r="N138" s="8" t="s">
        <v>114</v>
      </c>
      <c r="O138" s="8" t="s">
        <v>115</v>
      </c>
      <c r="P138" s="8" t="s">
        <v>116</v>
      </c>
    </row>
    <row r="139" spans="1:16" x14ac:dyDescent="0.25">
      <c r="A139" s="11" t="s">
        <v>22</v>
      </c>
      <c r="B139" s="5">
        <f>IFERROR(SUMIFS(tblDaily[Remaining],tblDaily[EntryDate],DATE(2026,9,30),tblDaily[WardCode],"MW"),0)</f>
        <v>0</v>
      </c>
      <c r="C139" s="5">
        <f>IFERROR(INDEX(tblWardConfig[BedComplement],MATCH("MW",tblWardConfig[WardCode],0)),0)</f>
        <v>32</v>
      </c>
      <c r="D139" s="5">
        <f>SUMIFS(tblDaily[Admissions],tblDaily[Month],10,tblDaily[WardCode],"MW")</f>
        <v>0</v>
      </c>
      <c r="E139" s="5">
        <f>SUMIFS(tblDaily[Discharges],tblDaily[Month],10,tblDaily[WardCode],"MW")</f>
        <v>0</v>
      </c>
      <c r="F139" s="5">
        <f>SUMIFS(tblDaily[Deaths],tblDaily[Month],10,tblDaily[WardCode],"MW")</f>
        <v>0</v>
      </c>
      <c r="G139" s="5">
        <f>SUMIFS(tblDaily[DeathsUnder24Hrs],tblDaily[Month],10,tblDaily[WardCode],"MW")</f>
        <v>0</v>
      </c>
      <c r="H139" s="5">
        <f>SUMIFS(tblDaily[Remaining],tblDaily[Month],10,tblDaily[WardCode],"MW")</f>
        <v>0</v>
      </c>
      <c r="I139" s="5">
        <f>SUMIFS(tblDaily[TransfersIn],tblDaily[Month],10,tblDaily[WardCode],"MW")</f>
        <v>0</v>
      </c>
      <c r="J139" s="5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24</v>
      </c>
      <c r="B140" s="5">
        <f>IFERROR(SUMIFS(tblDaily[Remaining],tblDaily[EntryDate],DATE(2026,9,30),tblDaily[WardCode],"FW"),0)</f>
        <v>0</v>
      </c>
      <c r="C140" s="5">
        <f>IFERROR(INDEX(tblWardConfig[BedComplement],MATCH("FW",tblWardConfig[WardCode],0)),0)</f>
        <v>28</v>
      </c>
      <c r="D140" s="5">
        <f>SUMIFS(tblDaily[Admissions],tblDaily[Month],10,tblDaily[WardCode],"FW")</f>
        <v>0</v>
      </c>
      <c r="E140" s="5">
        <f>SUMIFS(tblDaily[Discharges],tblDaily[Month],10,tblDaily[WardCode],"FW")</f>
        <v>0</v>
      </c>
      <c r="F140" s="5">
        <f>SUMIFS(tblDaily[Deaths],tblDaily[Month],10,tblDaily[WardCode],"FW")</f>
        <v>0</v>
      </c>
      <c r="G140" s="5">
        <f>SUMIFS(tblDaily[DeathsUnder24Hrs],tblDaily[Month],10,tblDaily[WardCode],"FW")</f>
        <v>0</v>
      </c>
      <c r="H140" s="5">
        <f>SUMIFS(tblDaily[Remaining],tblDaily[Month],10,tblDaily[WardCode],"FW")</f>
        <v>0</v>
      </c>
      <c r="I140" s="5">
        <f>SUMIFS(tblDaily[TransfersIn],tblDaily[Month],10,tblDaily[WardCode],"FW")</f>
        <v>0</v>
      </c>
      <c r="J140" s="5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26</v>
      </c>
      <c r="B141" s="5">
        <f>IFERROR(SUMIFS(tblDaily[Remaining],tblDaily[EntryDate],DATE(2026,9,30),tblDaily[WardCode],"CW"),0)</f>
        <v>0</v>
      </c>
      <c r="C141" s="5">
        <f>IFERROR(INDEX(tblWardConfig[BedComplement],MATCH("CW",tblWardConfig[WardCode],0)),0)</f>
        <v>27</v>
      </c>
      <c r="D141" s="5">
        <f>SUMIFS(tblDaily[Admissions],tblDaily[Month],10,tblDaily[WardCode],"CW")</f>
        <v>0</v>
      </c>
      <c r="E141" s="5">
        <f>SUMIFS(tblDaily[Discharges],tblDaily[Month],10,tblDaily[WardCode],"CW")</f>
        <v>0</v>
      </c>
      <c r="F141" s="5">
        <f>SUMIFS(tblDaily[Deaths],tblDaily[Month],10,tblDaily[WardCode],"CW")</f>
        <v>0</v>
      </c>
      <c r="G141" s="5">
        <f>SUMIFS(tblDaily[DeathsUnder24Hrs],tblDaily[Month],10,tblDaily[WardCode],"CW")</f>
        <v>0</v>
      </c>
      <c r="H141" s="5">
        <f>SUMIFS(tblDaily[Remaining],tblDaily[Month],10,tblDaily[WardCode],"CW")</f>
        <v>0</v>
      </c>
      <c r="I141" s="5">
        <f>SUMIFS(tblDaily[TransfersIn],tblDaily[Month],10,tblDaily[WardCode],"CW")</f>
        <v>0</v>
      </c>
      <c r="J141" s="5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28</v>
      </c>
      <c r="B142" s="5">
        <f>IFERROR(SUMIFS(tblDaily[Remaining],tblDaily[EntryDate],DATE(2026,9,30),tblDaily[WardCode],"BF"),0)</f>
        <v>0</v>
      </c>
      <c r="C142" s="5">
        <f>IFERROR(INDEX(tblWardConfig[BedComplement],MATCH("BF",tblWardConfig[WardCode],0)),0)</f>
        <v>20</v>
      </c>
      <c r="D142" s="5">
        <f>SUMIFS(tblDaily[Admissions],tblDaily[Month],10,tblDaily[WardCode],"BF")</f>
        <v>0</v>
      </c>
      <c r="E142" s="5">
        <f>SUMIFS(tblDaily[Discharges],tblDaily[Month],10,tblDaily[WardCode],"BF")</f>
        <v>0</v>
      </c>
      <c r="F142" s="5">
        <f>SUMIFS(tblDaily[Deaths],tblDaily[Month],10,tblDaily[WardCode],"BF")</f>
        <v>0</v>
      </c>
      <c r="G142" s="5">
        <f>SUMIFS(tblDaily[DeathsUnder24Hrs],tblDaily[Month],10,tblDaily[WardCode],"BF")</f>
        <v>0</v>
      </c>
      <c r="H142" s="5">
        <f>SUMIFS(tblDaily[Remaining],tblDaily[Month],10,tblDaily[WardCode],"BF")</f>
        <v>0</v>
      </c>
      <c r="I142" s="5">
        <f>SUMIFS(tblDaily[TransfersIn],tblDaily[Month],10,tblDaily[WardCode],"BF")</f>
        <v>0</v>
      </c>
      <c r="J142" s="5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30</v>
      </c>
      <c r="B143" s="5">
        <f>IFERROR(SUMIFS(tblDaily[Remaining],tblDaily[EntryDate],DATE(2026,9,30),tblDaily[WardCode],"BG"),0)</f>
        <v>0</v>
      </c>
      <c r="C143" s="5">
        <f>IFERROR(INDEX(tblWardConfig[BedComplement],MATCH("BG",tblWardConfig[WardCode],0)),0)</f>
        <v>14</v>
      </c>
      <c r="D143" s="5">
        <f>SUMIFS(tblDaily[Admissions],tblDaily[Month],10,tblDaily[WardCode],"BG")</f>
        <v>0</v>
      </c>
      <c r="E143" s="5">
        <f>SUMIFS(tblDaily[Discharges],tblDaily[Month],10,tblDaily[WardCode],"BG")</f>
        <v>0</v>
      </c>
      <c r="F143" s="5">
        <f>SUMIFS(tblDaily[Deaths],tblDaily[Month],10,tblDaily[WardCode],"BG")</f>
        <v>0</v>
      </c>
      <c r="G143" s="5">
        <f>SUMIFS(tblDaily[DeathsUnder24Hrs],tblDaily[Month],10,tblDaily[WardCode],"BG")</f>
        <v>0</v>
      </c>
      <c r="H143" s="5">
        <f>SUMIFS(tblDaily[Remaining],tblDaily[Month],10,tblDaily[WardCode],"BG")</f>
        <v>0</v>
      </c>
      <c r="I143" s="5">
        <f>SUMIFS(tblDaily[TransfersIn],tblDaily[Month],10,tblDaily[WardCode],"BG")</f>
        <v>0</v>
      </c>
      <c r="J143" s="5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32</v>
      </c>
      <c r="B144" s="5">
        <f>IFERROR(SUMIFS(tblDaily[Remaining],tblDaily[EntryDate],DATE(2026,9,30),tblDaily[WardCode],"BH"),0)</f>
        <v>0</v>
      </c>
      <c r="C144" s="5">
        <f>IFERROR(INDEX(tblWardConfig[BedComplement],MATCH("BH",tblWardConfig[WardCode],0)),0)</f>
        <v>22</v>
      </c>
      <c r="D144" s="5">
        <f>SUMIFS(tblDaily[Admissions],tblDaily[Month],10,tblDaily[WardCode],"BH")</f>
        <v>0</v>
      </c>
      <c r="E144" s="5">
        <f>SUMIFS(tblDaily[Discharges],tblDaily[Month],10,tblDaily[WardCode],"BH")</f>
        <v>0</v>
      </c>
      <c r="F144" s="5">
        <f>SUMIFS(tblDaily[Deaths],tblDaily[Month],10,tblDaily[WardCode],"BH")</f>
        <v>0</v>
      </c>
      <c r="G144" s="5">
        <f>SUMIFS(tblDaily[DeathsUnder24Hrs],tblDaily[Month],10,tblDaily[WardCode],"BH")</f>
        <v>0</v>
      </c>
      <c r="H144" s="5">
        <f>SUMIFS(tblDaily[Remaining],tblDaily[Month],10,tblDaily[WardCode],"BH")</f>
        <v>0</v>
      </c>
      <c r="I144" s="5">
        <f>SUMIFS(tblDaily[TransfersIn],tblDaily[Month],10,tblDaily[WardCode],"BH")</f>
        <v>0</v>
      </c>
      <c r="J144" s="5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34</v>
      </c>
      <c r="B145" s="5">
        <f>IFERROR(SUMIFS(tblDaily[Remaining],tblDaily[EntryDate],DATE(2026,9,30),tblDaily[WardCode],"NICU"),0)</f>
        <v>0</v>
      </c>
      <c r="C145" s="5">
        <f>IFERROR(INDEX(tblWardConfig[BedComplement],MATCH("NICU",tblWardConfig[WardCode],0)),0)</f>
        <v>15</v>
      </c>
      <c r="D145" s="5">
        <f>SUMIFS(tblDaily[Admissions],tblDaily[Month],10,tblDaily[WardCode],"NICU")</f>
        <v>0</v>
      </c>
      <c r="E145" s="5">
        <f>SUMIFS(tblDaily[Discharges],tblDaily[Month],10,tblDaily[WardCode],"NICU")</f>
        <v>0</v>
      </c>
      <c r="F145" s="5">
        <f>SUMIFS(tblDaily[Deaths],tblDaily[Month],10,tblDaily[WardCode],"NICU")</f>
        <v>0</v>
      </c>
      <c r="G145" s="5">
        <f>SUMIFS(tblDaily[DeathsUnder24Hrs],tblDaily[Month],10,tblDaily[WardCode],"NICU")</f>
        <v>0</v>
      </c>
      <c r="H145" s="5">
        <f>SUMIFS(tblDaily[Remaining],tblDaily[Month],10,tblDaily[WardCode],"NICU")</f>
        <v>0</v>
      </c>
      <c r="I145" s="5">
        <f>SUMIFS(tblDaily[TransfersIn],tblDaily[Month],10,tblDaily[WardCode],"NICU")</f>
        <v>0</v>
      </c>
      <c r="J145" s="5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36</v>
      </c>
      <c r="B146" s="5">
        <f>IFERROR(SUMIFS(tblDaily[Remaining],tblDaily[EntryDate],DATE(2026,9,30),tblDaily[WardCode],"MAE"),0)</f>
        <v>0</v>
      </c>
      <c r="C146" s="5">
        <f>IFERROR(INDEX(tblWardConfig[BedComplement],MATCH("MAE",tblWardConfig[WardCode],0)),0)</f>
        <v>10</v>
      </c>
      <c r="D146" s="5">
        <f>SUMIFS(tblDaily[Admissions],tblDaily[Month],10,tblDaily[WardCode],"MAE")</f>
        <v>0</v>
      </c>
      <c r="E146" s="5">
        <f>SUMIFS(tblDaily[Discharges],tblDaily[Month],10,tblDaily[WardCode],"MAE")</f>
        <v>0</v>
      </c>
      <c r="F146" s="5">
        <f>SUMIFS(tblDaily[Deaths],tblDaily[Month],10,tblDaily[WardCode],"MAE")</f>
        <v>0</v>
      </c>
      <c r="G146" s="5">
        <f>SUMIFS(tblDaily[DeathsUnder24Hrs],tblDaily[Month],10,tblDaily[WardCode],"MAE")</f>
        <v>0</v>
      </c>
      <c r="H146" s="5">
        <f>SUMIFS(tblDaily[Remaining],tblDaily[Month],10,tblDaily[WardCode],"MAE")</f>
        <v>0</v>
      </c>
      <c r="I146" s="5">
        <f>SUMIFS(tblDaily[TransfersIn],tblDaily[Month],10,tblDaily[WardCode],"MAE")</f>
        <v>0</v>
      </c>
      <c r="J146" s="5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38</v>
      </c>
      <c r="B147" s="5">
        <f>IFERROR(SUMIFS(tblDaily[Remaining],tblDaily[EntryDate],DATE(2026,9,30),tblDaily[WardCode],"FAE"),0)</f>
        <v>0</v>
      </c>
      <c r="C147" s="5">
        <f>IFERROR(INDEX(tblWardConfig[BedComplement],MATCH("FAE",tblWardConfig[WardCode],0)),0)</f>
        <v>10</v>
      </c>
      <c r="D147" s="5">
        <f>SUMIFS(tblDaily[Admissions],tblDaily[Month],10,tblDaily[WardCode],"FAE")</f>
        <v>0</v>
      </c>
      <c r="E147" s="5">
        <f>SUMIFS(tblDaily[Discharges],tblDaily[Month],10,tblDaily[WardCode],"FAE")</f>
        <v>0</v>
      </c>
      <c r="F147" s="5">
        <f>SUMIFS(tblDaily[Deaths],tblDaily[Month],10,tblDaily[WardCode],"FAE")</f>
        <v>0</v>
      </c>
      <c r="G147" s="5">
        <f>SUMIFS(tblDaily[DeathsUnder24Hrs],tblDaily[Month],10,tblDaily[WardCode],"FAE")</f>
        <v>0</v>
      </c>
      <c r="H147" s="5">
        <f>SUMIFS(tblDaily[Remaining],tblDaily[Month],10,tblDaily[WardCode],"FAE")</f>
        <v>0</v>
      </c>
      <c r="I147" s="5">
        <f>SUMIFS(tblDaily[TransfersIn],tblDaily[Month],10,tblDaily[WardCode],"FAE")</f>
        <v>0</v>
      </c>
      <c r="J147" s="5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95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117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16" t="s">
        <v>0</v>
      </c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</row>
    <row r="152" spans="1:16" ht="15.75" x14ac:dyDescent="0.25">
      <c r="A152" s="21" t="s">
        <v>127</v>
      </c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</row>
    <row r="153" spans="1:16" ht="38.25" x14ac:dyDescent="0.25">
      <c r="A153" s="8" t="s">
        <v>105</v>
      </c>
      <c r="B153" s="8" t="s">
        <v>106</v>
      </c>
      <c r="C153" s="8" t="s">
        <v>107</v>
      </c>
      <c r="D153" s="8" t="s">
        <v>57</v>
      </c>
      <c r="E153" s="8" t="s">
        <v>58</v>
      </c>
      <c r="F153" s="8" t="s">
        <v>59</v>
      </c>
      <c r="G153" s="8" t="s">
        <v>91</v>
      </c>
      <c r="H153" s="8" t="s">
        <v>108</v>
      </c>
      <c r="I153" s="8" t="s">
        <v>109</v>
      </c>
      <c r="J153" s="8" t="s">
        <v>110</v>
      </c>
      <c r="K153" s="8" t="s">
        <v>111</v>
      </c>
      <c r="L153" s="8" t="s">
        <v>112</v>
      </c>
      <c r="M153" s="8" t="s">
        <v>113</v>
      </c>
      <c r="N153" s="8" t="s">
        <v>114</v>
      </c>
      <c r="O153" s="8" t="s">
        <v>115</v>
      </c>
      <c r="P153" s="8" t="s">
        <v>116</v>
      </c>
    </row>
    <row r="154" spans="1:16" x14ac:dyDescent="0.25">
      <c r="A154" s="11" t="s">
        <v>22</v>
      </c>
      <c r="B154" s="5">
        <f>IFERROR(SUMIFS(tblDaily[Remaining],tblDaily[EntryDate],DATE(2026,10,31),tblDaily[WardCode],"MW"),0)</f>
        <v>0</v>
      </c>
      <c r="C154" s="5">
        <f>IFERROR(INDEX(tblWardConfig[BedComplement],MATCH("MW",tblWardConfig[WardCode],0)),0)</f>
        <v>32</v>
      </c>
      <c r="D154" s="5">
        <f>SUMIFS(tblDaily[Admissions],tblDaily[Month],11,tblDaily[WardCode],"MW")</f>
        <v>0</v>
      </c>
      <c r="E154" s="5">
        <f>SUMIFS(tblDaily[Discharges],tblDaily[Month],11,tblDaily[WardCode],"MW")</f>
        <v>0</v>
      </c>
      <c r="F154" s="5">
        <f>SUMIFS(tblDaily[Deaths],tblDaily[Month],11,tblDaily[WardCode],"MW")</f>
        <v>0</v>
      </c>
      <c r="G154" s="5">
        <f>SUMIFS(tblDaily[DeathsUnder24Hrs],tblDaily[Month],11,tblDaily[WardCode],"MW")</f>
        <v>0</v>
      </c>
      <c r="H154" s="5">
        <f>SUMIFS(tblDaily[Remaining],tblDaily[Month],11,tblDaily[WardCode],"MW")</f>
        <v>0</v>
      </c>
      <c r="I154" s="5">
        <f>SUMIFS(tblDaily[TransfersIn],tblDaily[Month],11,tblDaily[WardCode],"MW")</f>
        <v>0</v>
      </c>
      <c r="J154" s="5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24</v>
      </c>
      <c r="B155" s="5">
        <f>IFERROR(SUMIFS(tblDaily[Remaining],tblDaily[EntryDate],DATE(2026,10,31),tblDaily[WardCode],"FW"),0)</f>
        <v>0</v>
      </c>
      <c r="C155" s="5">
        <f>IFERROR(INDEX(tblWardConfig[BedComplement],MATCH("FW",tblWardConfig[WardCode],0)),0)</f>
        <v>28</v>
      </c>
      <c r="D155" s="5">
        <f>SUMIFS(tblDaily[Admissions],tblDaily[Month],11,tblDaily[WardCode],"FW")</f>
        <v>0</v>
      </c>
      <c r="E155" s="5">
        <f>SUMIFS(tblDaily[Discharges],tblDaily[Month],11,tblDaily[WardCode],"FW")</f>
        <v>0</v>
      </c>
      <c r="F155" s="5">
        <f>SUMIFS(tblDaily[Deaths],tblDaily[Month],11,tblDaily[WardCode],"FW")</f>
        <v>0</v>
      </c>
      <c r="G155" s="5">
        <f>SUMIFS(tblDaily[DeathsUnder24Hrs],tblDaily[Month],11,tblDaily[WardCode],"FW")</f>
        <v>0</v>
      </c>
      <c r="H155" s="5">
        <f>SUMIFS(tblDaily[Remaining],tblDaily[Month],11,tblDaily[WardCode],"FW")</f>
        <v>0</v>
      </c>
      <c r="I155" s="5">
        <f>SUMIFS(tblDaily[TransfersIn],tblDaily[Month],11,tblDaily[WardCode],"FW")</f>
        <v>0</v>
      </c>
      <c r="J155" s="5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26</v>
      </c>
      <c r="B156" s="5">
        <f>IFERROR(SUMIFS(tblDaily[Remaining],tblDaily[EntryDate],DATE(2026,10,31),tblDaily[WardCode],"CW"),0)</f>
        <v>0</v>
      </c>
      <c r="C156" s="5">
        <f>IFERROR(INDEX(tblWardConfig[BedComplement],MATCH("CW",tblWardConfig[WardCode],0)),0)</f>
        <v>27</v>
      </c>
      <c r="D156" s="5">
        <f>SUMIFS(tblDaily[Admissions],tblDaily[Month],11,tblDaily[WardCode],"CW")</f>
        <v>0</v>
      </c>
      <c r="E156" s="5">
        <f>SUMIFS(tblDaily[Discharges],tblDaily[Month],11,tblDaily[WardCode],"CW")</f>
        <v>0</v>
      </c>
      <c r="F156" s="5">
        <f>SUMIFS(tblDaily[Deaths],tblDaily[Month],11,tblDaily[WardCode],"CW")</f>
        <v>0</v>
      </c>
      <c r="G156" s="5">
        <f>SUMIFS(tblDaily[DeathsUnder24Hrs],tblDaily[Month],11,tblDaily[WardCode],"CW")</f>
        <v>0</v>
      </c>
      <c r="H156" s="5">
        <f>SUMIFS(tblDaily[Remaining],tblDaily[Month],11,tblDaily[WardCode],"CW")</f>
        <v>0</v>
      </c>
      <c r="I156" s="5">
        <f>SUMIFS(tblDaily[TransfersIn],tblDaily[Month],11,tblDaily[WardCode],"CW")</f>
        <v>0</v>
      </c>
      <c r="J156" s="5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28</v>
      </c>
      <c r="B157" s="5">
        <f>IFERROR(SUMIFS(tblDaily[Remaining],tblDaily[EntryDate],DATE(2026,10,31),tblDaily[WardCode],"BF"),0)</f>
        <v>0</v>
      </c>
      <c r="C157" s="5">
        <f>IFERROR(INDEX(tblWardConfig[BedComplement],MATCH("BF",tblWardConfig[WardCode],0)),0)</f>
        <v>20</v>
      </c>
      <c r="D157" s="5">
        <f>SUMIFS(tblDaily[Admissions],tblDaily[Month],11,tblDaily[WardCode],"BF")</f>
        <v>0</v>
      </c>
      <c r="E157" s="5">
        <f>SUMIFS(tblDaily[Discharges],tblDaily[Month],11,tblDaily[WardCode],"BF")</f>
        <v>0</v>
      </c>
      <c r="F157" s="5">
        <f>SUMIFS(tblDaily[Deaths],tblDaily[Month],11,tblDaily[WardCode],"BF")</f>
        <v>0</v>
      </c>
      <c r="G157" s="5">
        <f>SUMIFS(tblDaily[DeathsUnder24Hrs],tblDaily[Month],11,tblDaily[WardCode],"BF")</f>
        <v>0</v>
      </c>
      <c r="H157" s="5">
        <f>SUMIFS(tblDaily[Remaining],tblDaily[Month],11,tblDaily[WardCode],"BF")</f>
        <v>0</v>
      </c>
      <c r="I157" s="5">
        <f>SUMIFS(tblDaily[TransfersIn],tblDaily[Month],11,tblDaily[WardCode],"BF")</f>
        <v>0</v>
      </c>
      <c r="J157" s="5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30</v>
      </c>
      <c r="B158" s="5">
        <f>IFERROR(SUMIFS(tblDaily[Remaining],tblDaily[EntryDate],DATE(2026,10,31),tblDaily[WardCode],"BG"),0)</f>
        <v>0</v>
      </c>
      <c r="C158" s="5">
        <f>IFERROR(INDEX(tblWardConfig[BedComplement],MATCH("BG",tblWardConfig[WardCode],0)),0)</f>
        <v>14</v>
      </c>
      <c r="D158" s="5">
        <f>SUMIFS(tblDaily[Admissions],tblDaily[Month],11,tblDaily[WardCode],"BG")</f>
        <v>0</v>
      </c>
      <c r="E158" s="5">
        <f>SUMIFS(tblDaily[Discharges],tblDaily[Month],11,tblDaily[WardCode],"BG")</f>
        <v>0</v>
      </c>
      <c r="F158" s="5">
        <f>SUMIFS(tblDaily[Deaths],tblDaily[Month],11,tblDaily[WardCode],"BG")</f>
        <v>0</v>
      </c>
      <c r="G158" s="5">
        <f>SUMIFS(tblDaily[DeathsUnder24Hrs],tblDaily[Month],11,tblDaily[WardCode],"BG")</f>
        <v>0</v>
      </c>
      <c r="H158" s="5">
        <f>SUMIFS(tblDaily[Remaining],tblDaily[Month],11,tblDaily[WardCode],"BG")</f>
        <v>0</v>
      </c>
      <c r="I158" s="5">
        <f>SUMIFS(tblDaily[TransfersIn],tblDaily[Month],11,tblDaily[WardCode],"BG")</f>
        <v>0</v>
      </c>
      <c r="J158" s="5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32</v>
      </c>
      <c r="B159" s="5">
        <f>IFERROR(SUMIFS(tblDaily[Remaining],tblDaily[EntryDate],DATE(2026,10,31),tblDaily[WardCode],"BH"),0)</f>
        <v>0</v>
      </c>
      <c r="C159" s="5">
        <f>IFERROR(INDEX(tblWardConfig[BedComplement],MATCH("BH",tblWardConfig[WardCode],0)),0)</f>
        <v>22</v>
      </c>
      <c r="D159" s="5">
        <f>SUMIFS(tblDaily[Admissions],tblDaily[Month],11,tblDaily[WardCode],"BH")</f>
        <v>0</v>
      </c>
      <c r="E159" s="5">
        <f>SUMIFS(tblDaily[Discharges],tblDaily[Month],11,tblDaily[WardCode],"BH")</f>
        <v>0</v>
      </c>
      <c r="F159" s="5">
        <f>SUMIFS(tblDaily[Deaths],tblDaily[Month],11,tblDaily[WardCode],"BH")</f>
        <v>0</v>
      </c>
      <c r="G159" s="5">
        <f>SUMIFS(tblDaily[DeathsUnder24Hrs],tblDaily[Month],11,tblDaily[WardCode],"BH")</f>
        <v>0</v>
      </c>
      <c r="H159" s="5">
        <f>SUMIFS(tblDaily[Remaining],tblDaily[Month],11,tblDaily[WardCode],"BH")</f>
        <v>0</v>
      </c>
      <c r="I159" s="5">
        <f>SUMIFS(tblDaily[TransfersIn],tblDaily[Month],11,tblDaily[WardCode],"BH")</f>
        <v>0</v>
      </c>
      <c r="J159" s="5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34</v>
      </c>
      <c r="B160" s="5">
        <f>IFERROR(SUMIFS(tblDaily[Remaining],tblDaily[EntryDate],DATE(2026,10,31),tblDaily[WardCode],"NICU"),0)</f>
        <v>0</v>
      </c>
      <c r="C160" s="5">
        <f>IFERROR(INDEX(tblWardConfig[BedComplement],MATCH("NICU",tblWardConfig[WardCode],0)),0)</f>
        <v>15</v>
      </c>
      <c r="D160" s="5">
        <f>SUMIFS(tblDaily[Admissions],tblDaily[Month],11,tblDaily[WardCode],"NICU")</f>
        <v>0</v>
      </c>
      <c r="E160" s="5">
        <f>SUMIFS(tblDaily[Discharges],tblDaily[Month],11,tblDaily[WardCode],"NICU")</f>
        <v>0</v>
      </c>
      <c r="F160" s="5">
        <f>SUMIFS(tblDaily[Deaths],tblDaily[Month],11,tblDaily[WardCode],"NICU")</f>
        <v>0</v>
      </c>
      <c r="G160" s="5">
        <f>SUMIFS(tblDaily[DeathsUnder24Hrs],tblDaily[Month],11,tblDaily[WardCode],"NICU")</f>
        <v>0</v>
      </c>
      <c r="H160" s="5">
        <f>SUMIFS(tblDaily[Remaining],tblDaily[Month],11,tblDaily[WardCode],"NICU")</f>
        <v>0</v>
      </c>
      <c r="I160" s="5">
        <f>SUMIFS(tblDaily[TransfersIn],tblDaily[Month],11,tblDaily[WardCode],"NICU")</f>
        <v>0</v>
      </c>
      <c r="J160" s="5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36</v>
      </c>
      <c r="B161" s="5">
        <f>IFERROR(SUMIFS(tblDaily[Remaining],tblDaily[EntryDate],DATE(2026,10,31),tblDaily[WardCode],"MAE"),0)</f>
        <v>0</v>
      </c>
      <c r="C161" s="5">
        <f>IFERROR(INDEX(tblWardConfig[BedComplement],MATCH("MAE",tblWardConfig[WardCode],0)),0)</f>
        <v>10</v>
      </c>
      <c r="D161" s="5">
        <f>SUMIFS(tblDaily[Admissions],tblDaily[Month],11,tblDaily[WardCode],"MAE")</f>
        <v>0</v>
      </c>
      <c r="E161" s="5">
        <f>SUMIFS(tblDaily[Discharges],tblDaily[Month],11,tblDaily[WardCode],"MAE")</f>
        <v>0</v>
      </c>
      <c r="F161" s="5">
        <f>SUMIFS(tblDaily[Deaths],tblDaily[Month],11,tblDaily[WardCode],"MAE")</f>
        <v>0</v>
      </c>
      <c r="G161" s="5">
        <f>SUMIFS(tblDaily[DeathsUnder24Hrs],tblDaily[Month],11,tblDaily[WardCode],"MAE")</f>
        <v>0</v>
      </c>
      <c r="H161" s="5">
        <f>SUMIFS(tblDaily[Remaining],tblDaily[Month],11,tblDaily[WardCode],"MAE")</f>
        <v>0</v>
      </c>
      <c r="I161" s="5">
        <f>SUMIFS(tblDaily[TransfersIn],tblDaily[Month],11,tblDaily[WardCode],"MAE")</f>
        <v>0</v>
      </c>
      <c r="J161" s="5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38</v>
      </c>
      <c r="B162" s="5">
        <f>IFERROR(SUMIFS(tblDaily[Remaining],tblDaily[EntryDate],DATE(2026,10,31),tblDaily[WardCode],"FAE"),0)</f>
        <v>0</v>
      </c>
      <c r="C162" s="5">
        <f>IFERROR(INDEX(tblWardConfig[BedComplement],MATCH("FAE",tblWardConfig[WardCode],0)),0)</f>
        <v>10</v>
      </c>
      <c r="D162" s="5">
        <f>SUMIFS(tblDaily[Admissions],tblDaily[Month],11,tblDaily[WardCode],"FAE")</f>
        <v>0</v>
      </c>
      <c r="E162" s="5">
        <f>SUMIFS(tblDaily[Discharges],tblDaily[Month],11,tblDaily[WardCode],"FAE")</f>
        <v>0</v>
      </c>
      <c r="F162" s="5">
        <f>SUMIFS(tblDaily[Deaths],tblDaily[Month],11,tblDaily[WardCode],"FAE")</f>
        <v>0</v>
      </c>
      <c r="G162" s="5">
        <f>SUMIFS(tblDaily[DeathsUnder24Hrs],tblDaily[Month],11,tblDaily[WardCode],"FAE")</f>
        <v>0</v>
      </c>
      <c r="H162" s="5">
        <f>SUMIFS(tblDaily[Remaining],tblDaily[Month],11,tblDaily[WardCode],"FAE")</f>
        <v>0</v>
      </c>
      <c r="I162" s="5">
        <f>SUMIFS(tblDaily[TransfersIn],tblDaily[Month],11,tblDaily[WardCode],"FAE")</f>
        <v>0</v>
      </c>
      <c r="J162" s="5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95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117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16" t="s">
        <v>0</v>
      </c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</row>
    <row r="167" spans="1:16" ht="15.75" x14ac:dyDescent="0.25">
      <c r="A167" s="21" t="s">
        <v>128</v>
      </c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</row>
    <row r="168" spans="1:16" ht="38.25" x14ac:dyDescent="0.25">
      <c r="A168" s="8" t="s">
        <v>105</v>
      </c>
      <c r="B168" s="8" t="s">
        <v>106</v>
      </c>
      <c r="C168" s="8" t="s">
        <v>107</v>
      </c>
      <c r="D168" s="8" t="s">
        <v>57</v>
      </c>
      <c r="E168" s="8" t="s">
        <v>58</v>
      </c>
      <c r="F168" s="8" t="s">
        <v>59</v>
      </c>
      <c r="G168" s="8" t="s">
        <v>91</v>
      </c>
      <c r="H168" s="8" t="s">
        <v>108</v>
      </c>
      <c r="I168" s="8" t="s">
        <v>109</v>
      </c>
      <c r="J168" s="8" t="s">
        <v>110</v>
      </c>
      <c r="K168" s="8" t="s">
        <v>111</v>
      </c>
      <c r="L168" s="8" t="s">
        <v>112</v>
      </c>
      <c r="M168" s="8" t="s">
        <v>113</v>
      </c>
      <c r="N168" s="8" t="s">
        <v>114</v>
      </c>
      <c r="O168" s="8" t="s">
        <v>115</v>
      </c>
      <c r="P168" s="8" t="s">
        <v>116</v>
      </c>
    </row>
    <row r="169" spans="1:16" x14ac:dyDescent="0.25">
      <c r="A169" s="11" t="s">
        <v>22</v>
      </c>
      <c r="B169" s="5">
        <f>IFERROR(SUMIFS(tblDaily[Remaining],tblDaily[EntryDate],DATE(2026,11,30),tblDaily[WardCode],"MW"),0)</f>
        <v>0</v>
      </c>
      <c r="C169" s="5">
        <f>IFERROR(INDEX(tblWardConfig[BedComplement],MATCH("MW",tblWardConfig[WardCode],0)),0)</f>
        <v>32</v>
      </c>
      <c r="D169" s="5">
        <f>SUMIFS(tblDaily[Admissions],tblDaily[Month],12,tblDaily[WardCode],"MW")</f>
        <v>0</v>
      </c>
      <c r="E169" s="5">
        <f>SUMIFS(tblDaily[Discharges],tblDaily[Month],12,tblDaily[WardCode],"MW")</f>
        <v>0</v>
      </c>
      <c r="F169" s="5">
        <f>SUMIFS(tblDaily[Deaths],tblDaily[Month],12,tblDaily[WardCode],"MW")</f>
        <v>0</v>
      </c>
      <c r="G169" s="5">
        <f>SUMIFS(tblDaily[DeathsUnder24Hrs],tblDaily[Month],12,tblDaily[WardCode],"MW")</f>
        <v>0</v>
      </c>
      <c r="H169" s="5">
        <f>SUMIFS(tblDaily[Remaining],tblDaily[Month],12,tblDaily[WardCode],"MW")</f>
        <v>0</v>
      </c>
      <c r="I169" s="5">
        <f>SUMIFS(tblDaily[TransfersIn],tblDaily[Month],12,tblDaily[WardCode],"MW")</f>
        <v>0</v>
      </c>
      <c r="J169" s="5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24</v>
      </c>
      <c r="B170" s="5">
        <f>IFERROR(SUMIFS(tblDaily[Remaining],tblDaily[EntryDate],DATE(2026,11,30),tblDaily[WardCode],"FW"),0)</f>
        <v>0</v>
      </c>
      <c r="C170" s="5">
        <f>IFERROR(INDEX(tblWardConfig[BedComplement],MATCH("FW",tblWardConfig[WardCode],0)),0)</f>
        <v>28</v>
      </c>
      <c r="D170" s="5">
        <f>SUMIFS(tblDaily[Admissions],tblDaily[Month],12,tblDaily[WardCode],"FW")</f>
        <v>0</v>
      </c>
      <c r="E170" s="5">
        <f>SUMIFS(tblDaily[Discharges],tblDaily[Month],12,tblDaily[WardCode],"FW")</f>
        <v>0</v>
      </c>
      <c r="F170" s="5">
        <f>SUMIFS(tblDaily[Deaths],tblDaily[Month],12,tblDaily[WardCode],"FW")</f>
        <v>0</v>
      </c>
      <c r="G170" s="5">
        <f>SUMIFS(tblDaily[DeathsUnder24Hrs],tblDaily[Month],12,tblDaily[WardCode],"FW")</f>
        <v>0</v>
      </c>
      <c r="H170" s="5">
        <f>SUMIFS(tblDaily[Remaining],tblDaily[Month],12,tblDaily[WardCode],"FW")</f>
        <v>0</v>
      </c>
      <c r="I170" s="5">
        <f>SUMIFS(tblDaily[TransfersIn],tblDaily[Month],12,tblDaily[WardCode],"FW")</f>
        <v>0</v>
      </c>
      <c r="J170" s="5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26</v>
      </c>
      <c r="B171" s="5">
        <f>IFERROR(SUMIFS(tblDaily[Remaining],tblDaily[EntryDate],DATE(2026,11,30),tblDaily[WardCode],"CW"),0)</f>
        <v>0</v>
      </c>
      <c r="C171" s="5">
        <f>IFERROR(INDEX(tblWardConfig[BedComplement],MATCH("CW",tblWardConfig[WardCode],0)),0)</f>
        <v>27</v>
      </c>
      <c r="D171" s="5">
        <f>SUMIFS(tblDaily[Admissions],tblDaily[Month],12,tblDaily[WardCode],"CW")</f>
        <v>0</v>
      </c>
      <c r="E171" s="5">
        <f>SUMIFS(tblDaily[Discharges],tblDaily[Month],12,tblDaily[WardCode],"CW")</f>
        <v>0</v>
      </c>
      <c r="F171" s="5">
        <f>SUMIFS(tblDaily[Deaths],tblDaily[Month],12,tblDaily[WardCode],"CW")</f>
        <v>0</v>
      </c>
      <c r="G171" s="5">
        <f>SUMIFS(tblDaily[DeathsUnder24Hrs],tblDaily[Month],12,tblDaily[WardCode],"CW")</f>
        <v>0</v>
      </c>
      <c r="H171" s="5">
        <f>SUMIFS(tblDaily[Remaining],tblDaily[Month],12,tblDaily[WardCode],"CW")</f>
        <v>0</v>
      </c>
      <c r="I171" s="5">
        <f>SUMIFS(tblDaily[TransfersIn],tblDaily[Month],12,tblDaily[WardCode],"CW")</f>
        <v>0</v>
      </c>
      <c r="J171" s="5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28</v>
      </c>
      <c r="B172" s="5">
        <f>IFERROR(SUMIFS(tblDaily[Remaining],tblDaily[EntryDate],DATE(2026,11,30),tblDaily[WardCode],"BF"),0)</f>
        <v>0</v>
      </c>
      <c r="C172" s="5">
        <f>IFERROR(INDEX(tblWardConfig[BedComplement],MATCH("BF",tblWardConfig[WardCode],0)),0)</f>
        <v>20</v>
      </c>
      <c r="D172" s="5">
        <f>SUMIFS(tblDaily[Admissions],tblDaily[Month],12,tblDaily[WardCode],"BF")</f>
        <v>0</v>
      </c>
      <c r="E172" s="5">
        <f>SUMIFS(tblDaily[Discharges],tblDaily[Month],12,tblDaily[WardCode],"BF")</f>
        <v>0</v>
      </c>
      <c r="F172" s="5">
        <f>SUMIFS(tblDaily[Deaths],tblDaily[Month],12,tblDaily[WardCode],"BF")</f>
        <v>0</v>
      </c>
      <c r="G172" s="5">
        <f>SUMIFS(tblDaily[DeathsUnder24Hrs],tblDaily[Month],12,tblDaily[WardCode],"BF")</f>
        <v>0</v>
      </c>
      <c r="H172" s="5">
        <f>SUMIFS(tblDaily[Remaining],tblDaily[Month],12,tblDaily[WardCode],"BF")</f>
        <v>0</v>
      </c>
      <c r="I172" s="5">
        <f>SUMIFS(tblDaily[TransfersIn],tblDaily[Month],12,tblDaily[WardCode],"BF")</f>
        <v>0</v>
      </c>
      <c r="J172" s="5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30</v>
      </c>
      <c r="B173" s="5">
        <f>IFERROR(SUMIFS(tblDaily[Remaining],tblDaily[EntryDate],DATE(2026,11,30),tblDaily[WardCode],"BG"),0)</f>
        <v>0</v>
      </c>
      <c r="C173" s="5">
        <f>IFERROR(INDEX(tblWardConfig[BedComplement],MATCH("BG",tblWardConfig[WardCode],0)),0)</f>
        <v>14</v>
      </c>
      <c r="D173" s="5">
        <f>SUMIFS(tblDaily[Admissions],tblDaily[Month],12,tblDaily[WardCode],"BG")</f>
        <v>0</v>
      </c>
      <c r="E173" s="5">
        <f>SUMIFS(tblDaily[Discharges],tblDaily[Month],12,tblDaily[WardCode],"BG")</f>
        <v>0</v>
      </c>
      <c r="F173" s="5">
        <f>SUMIFS(tblDaily[Deaths],tblDaily[Month],12,tblDaily[WardCode],"BG")</f>
        <v>0</v>
      </c>
      <c r="G173" s="5">
        <f>SUMIFS(tblDaily[DeathsUnder24Hrs],tblDaily[Month],12,tblDaily[WardCode],"BG")</f>
        <v>0</v>
      </c>
      <c r="H173" s="5">
        <f>SUMIFS(tblDaily[Remaining],tblDaily[Month],12,tblDaily[WardCode],"BG")</f>
        <v>0</v>
      </c>
      <c r="I173" s="5">
        <f>SUMIFS(tblDaily[TransfersIn],tblDaily[Month],12,tblDaily[WardCode],"BG")</f>
        <v>0</v>
      </c>
      <c r="J173" s="5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32</v>
      </c>
      <c r="B174" s="5">
        <f>IFERROR(SUMIFS(tblDaily[Remaining],tblDaily[EntryDate],DATE(2026,11,30),tblDaily[WardCode],"BH"),0)</f>
        <v>0</v>
      </c>
      <c r="C174" s="5">
        <f>IFERROR(INDEX(tblWardConfig[BedComplement],MATCH("BH",tblWardConfig[WardCode],0)),0)</f>
        <v>22</v>
      </c>
      <c r="D174" s="5">
        <f>SUMIFS(tblDaily[Admissions],tblDaily[Month],12,tblDaily[WardCode],"BH")</f>
        <v>0</v>
      </c>
      <c r="E174" s="5">
        <f>SUMIFS(tblDaily[Discharges],tblDaily[Month],12,tblDaily[WardCode],"BH")</f>
        <v>0</v>
      </c>
      <c r="F174" s="5">
        <f>SUMIFS(tblDaily[Deaths],tblDaily[Month],12,tblDaily[WardCode],"BH")</f>
        <v>0</v>
      </c>
      <c r="G174" s="5">
        <f>SUMIFS(tblDaily[DeathsUnder24Hrs],tblDaily[Month],12,tblDaily[WardCode],"BH")</f>
        <v>0</v>
      </c>
      <c r="H174" s="5">
        <f>SUMIFS(tblDaily[Remaining],tblDaily[Month],12,tblDaily[WardCode],"BH")</f>
        <v>0</v>
      </c>
      <c r="I174" s="5">
        <f>SUMIFS(tblDaily[TransfersIn],tblDaily[Month],12,tblDaily[WardCode],"BH")</f>
        <v>0</v>
      </c>
      <c r="J174" s="5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34</v>
      </c>
      <c r="B175" s="5">
        <f>IFERROR(SUMIFS(tblDaily[Remaining],tblDaily[EntryDate],DATE(2026,11,30),tblDaily[WardCode],"NICU"),0)</f>
        <v>0</v>
      </c>
      <c r="C175" s="5">
        <f>IFERROR(INDEX(tblWardConfig[BedComplement],MATCH("NICU",tblWardConfig[WardCode],0)),0)</f>
        <v>15</v>
      </c>
      <c r="D175" s="5">
        <f>SUMIFS(tblDaily[Admissions],tblDaily[Month],12,tblDaily[WardCode],"NICU")</f>
        <v>0</v>
      </c>
      <c r="E175" s="5">
        <f>SUMIFS(tblDaily[Discharges],tblDaily[Month],12,tblDaily[WardCode],"NICU")</f>
        <v>0</v>
      </c>
      <c r="F175" s="5">
        <f>SUMIFS(tblDaily[Deaths],tblDaily[Month],12,tblDaily[WardCode],"NICU")</f>
        <v>0</v>
      </c>
      <c r="G175" s="5">
        <f>SUMIFS(tblDaily[DeathsUnder24Hrs],tblDaily[Month],12,tblDaily[WardCode],"NICU")</f>
        <v>0</v>
      </c>
      <c r="H175" s="5">
        <f>SUMIFS(tblDaily[Remaining],tblDaily[Month],12,tblDaily[WardCode],"NICU")</f>
        <v>0</v>
      </c>
      <c r="I175" s="5">
        <f>SUMIFS(tblDaily[TransfersIn],tblDaily[Month],12,tblDaily[WardCode],"NICU")</f>
        <v>0</v>
      </c>
      <c r="J175" s="5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36</v>
      </c>
      <c r="B176" s="5">
        <f>IFERROR(SUMIFS(tblDaily[Remaining],tblDaily[EntryDate],DATE(2026,11,30),tblDaily[WardCode],"MAE"),0)</f>
        <v>0</v>
      </c>
      <c r="C176" s="5">
        <f>IFERROR(INDEX(tblWardConfig[BedComplement],MATCH("MAE",tblWardConfig[WardCode],0)),0)</f>
        <v>10</v>
      </c>
      <c r="D176" s="5">
        <f>SUMIFS(tblDaily[Admissions],tblDaily[Month],12,tblDaily[WardCode],"MAE")</f>
        <v>0</v>
      </c>
      <c r="E176" s="5">
        <f>SUMIFS(tblDaily[Discharges],tblDaily[Month],12,tblDaily[WardCode],"MAE")</f>
        <v>0</v>
      </c>
      <c r="F176" s="5">
        <f>SUMIFS(tblDaily[Deaths],tblDaily[Month],12,tblDaily[WardCode],"MAE")</f>
        <v>0</v>
      </c>
      <c r="G176" s="5">
        <f>SUMIFS(tblDaily[DeathsUnder24Hrs],tblDaily[Month],12,tblDaily[WardCode],"MAE")</f>
        <v>0</v>
      </c>
      <c r="H176" s="5">
        <f>SUMIFS(tblDaily[Remaining],tblDaily[Month],12,tblDaily[WardCode],"MAE")</f>
        <v>0</v>
      </c>
      <c r="I176" s="5">
        <f>SUMIFS(tblDaily[TransfersIn],tblDaily[Month],12,tblDaily[WardCode],"MAE")</f>
        <v>0</v>
      </c>
      <c r="J176" s="5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38</v>
      </c>
      <c r="B177" s="5">
        <f>IFERROR(SUMIFS(tblDaily[Remaining],tblDaily[EntryDate],DATE(2026,11,30),tblDaily[WardCode],"FAE"),0)</f>
        <v>0</v>
      </c>
      <c r="C177" s="5">
        <f>IFERROR(INDEX(tblWardConfig[BedComplement],MATCH("FAE",tblWardConfig[WardCode],0)),0)</f>
        <v>10</v>
      </c>
      <c r="D177" s="5">
        <f>SUMIFS(tblDaily[Admissions],tblDaily[Month],12,tblDaily[WardCode],"FAE")</f>
        <v>0</v>
      </c>
      <c r="E177" s="5">
        <f>SUMIFS(tblDaily[Discharges],tblDaily[Month],12,tblDaily[WardCode],"FAE")</f>
        <v>0</v>
      </c>
      <c r="F177" s="5">
        <f>SUMIFS(tblDaily[Deaths],tblDaily[Month],12,tblDaily[WardCode],"FAE")</f>
        <v>0</v>
      </c>
      <c r="G177" s="5">
        <f>SUMIFS(tblDaily[DeathsUnder24Hrs],tblDaily[Month],12,tblDaily[WardCode],"FAE")</f>
        <v>0</v>
      </c>
      <c r="H177" s="5">
        <f>SUMIFS(tblDaily[Remaining],tblDaily[Month],12,tblDaily[WardCode],"FAE")</f>
        <v>0</v>
      </c>
      <c r="I177" s="5">
        <f>SUMIFS(tblDaily[TransfersIn],tblDaily[Month],12,tblDaily[WardCode],"FAE")</f>
        <v>0</v>
      </c>
      <c r="J177" s="5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95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117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mergeCells count="24">
    <mergeCell ref="A17:P17"/>
    <mergeCell ref="A106:P106"/>
    <mergeCell ref="A31:P31"/>
    <mergeCell ref="A121:P121"/>
    <mergeCell ref="A77:P77"/>
    <mergeCell ref="A47:P47"/>
    <mergeCell ref="A32:P32"/>
    <mergeCell ref="A76:P76"/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24" t="s">
        <v>43</v>
      </c>
      <c r="B1" s="17"/>
      <c r="C1" s="17"/>
      <c r="D1" s="17"/>
      <c r="E1" s="17"/>
      <c r="F1" s="17"/>
      <c r="G1" s="17"/>
      <c r="H1" s="24" t="s">
        <v>44</v>
      </c>
      <c r="I1" s="17"/>
      <c r="J1" s="17"/>
      <c r="K1" s="17"/>
      <c r="L1" s="17"/>
      <c r="M1" s="17"/>
      <c r="N1" s="17"/>
      <c r="O1" s="24" t="s">
        <v>45</v>
      </c>
      <c r="P1" s="17"/>
      <c r="Q1" s="17"/>
      <c r="R1" s="17"/>
      <c r="S1" s="17"/>
      <c r="T1" s="17"/>
      <c r="U1" s="17"/>
      <c r="V1" s="24" t="s">
        <v>46</v>
      </c>
      <c r="W1" s="17"/>
      <c r="X1" s="17"/>
      <c r="Y1" s="17"/>
      <c r="Z1" s="17"/>
      <c r="AA1" s="17"/>
      <c r="AB1" s="17"/>
      <c r="AC1" s="24" t="s">
        <v>47</v>
      </c>
      <c r="AD1" s="17"/>
      <c r="AE1" s="17"/>
      <c r="AF1" s="17"/>
      <c r="AG1" s="17"/>
      <c r="AH1" s="17"/>
      <c r="AI1" s="17"/>
      <c r="AJ1" s="24" t="s">
        <v>48</v>
      </c>
      <c r="AK1" s="17"/>
      <c r="AL1" s="17"/>
      <c r="AM1" s="17"/>
      <c r="AN1" s="17"/>
      <c r="AO1" s="17"/>
      <c r="AP1" s="17"/>
      <c r="AQ1" s="24" t="s">
        <v>49</v>
      </c>
      <c r="AR1" s="17"/>
      <c r="AS1" s="17"/>
      <c r="AT1" s="17"/>
      <c r="AU1" s="17"/>
      <c r="AV1" s="17"/>
      <c r="AW1" s="17"/>
      <c r="AX1" s="24" t="s">
        <v>50</v>
      </c>
      <c r="AY1" s="17"/>
      <c r="AZ1" s="17"/>
      <c r="BA1" s="17"/>
      <c r="BB1" s="17"/>
      <c r="BC1" s="17"/>
      <c r="BD1" s="17"/>
      <c r="BE1" s="24" t="s">
        <v>51</v>
      </c>
      <c r="BF1" s="17"/>
      <c r="BG1" s="17"/>
      <c r="BH1" s="17"/>
      <c r="BI1" s="17"/>
      <c r="BJ1" s="17"/>
      <c r="BK1" s="17"/>
      <c r="BL1" s="24" t="s">
        <v>52</v>
      </c>
      <c r="BM1" s="17"/>
      <c r="BN1" s="17"/>
      <c r="BO1" s="17"/>
      <c r="BP1" s="17"/>
      <c r="BQ1" s="17"/>
      <c r="BR1" s="17"/>
      <c r="BS1" s="24" t="s">
        <v>53</v>
      </c>
      <c r="BT1" s="17"/>
      <c r="BU1" s="17"/>
      <c r="BV1" s="17"/>
      <c r="BW1" s="17"/>
      <c r="BX1" s="17"/>
      <c r="BY1" s="17"/>
      <c r="BZ1" s="24" t="s">
        <v>54</v>
      </c>
      <c r="CA1" s="17"/>
      <c r="CB1" s="17"/>
      <c r="CC1" s="17"/>
      <c r="CD1" s="17"/>
      <c r="CE1" s="17"/>
      <c r="CF1" s="17"/>
    </row>
    <row r="2" spans="1:84" x14ac:dyDescent="0.25">
      <c r="B2" s="23" t="s">
        <v>129</v>
      </c>
      <c r="C2" s="17"/>
      <c r="D2" s="25" t="s">
        <v>130</v>
      </c>
      <c r="E2" s="17"/>
      <c r="F2" s="22" t="s">
        <v>131</v>
      </c>
      <c r="G2" s="17"/>
      <c r="I2" s="23" t="s">
        <v>129</v>
      </c>
      <c r="J2" s="17"/>
      <c r="K2" s="25" t="s">
        <v>130</v>
      </c>
      <c r="L2" s="17"/>
      <c r="M2" s="22" t="s">
        <v>131</v>
      </c>
      <c r="N2" s="17"/>
      <c r="P2" s="23" t="s">
        <v>129</v>
      </c>
      <c r="Q2" s="17"/>
      <c r="R2" s="25" t="s">
        <v>130</v>
      </c>
      <c r="S2" s="17"/>
      <c r="T2" s="22" t="s">
        <v>131</v>
      </c>
      <c r="U2" s="17"/>
      <c r="W2" s="23" t="s">
        <v>129</v>
      </c>
      <c r="X2" s="17"/>
      <c r="Y2" s="25" t="s">
        <v>130</v>
      </c>
      <c r="Z2" s="17"/>
      <c r="AA2" s="22" t="s">
        <v>131</v>
      </c>
      <c r="AB2" s="17"/>
      <c r="AD2" s="23" t="s">
        <v>129</v>
      </c>
      <c r="AE2" s="17"/>
      <c r="AF2" s="25" t="s">
        <v>130</v>
      </c>
      <c r="AG2" s="17"/>
      <c r="AH2" s="22" t="s">
        <v>131</v>
      </c>
      <c r="AI2" s="17"/>
      <c r="AK2" s="23" t="s">
        <v>129</v>
      </c>
      <c r="AL2" s="17"/>
      <c r="AM2" s="25" t="s">
        <v>130</v>
      </c>
      <c r="AN2" s="17"/>
      <c r="AO2" s="22" t="s">
        <v>131</v>
      </c>
      <c r="AP2" s="17"/>
      <c r="AR2" s="23" t="s">
        <v>129</v>
      </c>
      <c r="AS2" s="17"/>
      <c r="AT2" s="25" t="s">
        <v>130</v>
      </c>
      <c r="AU2" s="17"/>
      <c r="AV2" s="22" t="s">
        <v>131</v>
      </c>
      <c r="AW2" s="17"/>
      <c r="AY2" s="23" t="s">
        <v>129</v>
      </c>
      <c r="AZ2" s="17"/>
      <c r="BA2" s="25" t="s">
        <v>130</v>
      </c>
      <c r="BB2" s="17"/>
      <c r="BC2" s="22" t="s">
        <v>131</v>
      </c>
      <c r="BD2" s="17"/>
      <c r="BF2" s="23" t="s">
        <v>129</v>
      </c>
      <c r="BG2" s="17"/>
      <c r="BH2" s="25" t="s">
        <v>130</v>
      </c>
      <c r="BI2" s="17"/>
      <c r="BJ2" s="22" t="s">
        <v>131</v>
      </c>
      <c r="BK2" s="17"/>
      <c r="BM2" s="23" t="s">
        <v>129</v>
      </c>
      <c r="BN2" s="17"/>
      <c r="BO2" s="25" t="s">
        <v>130</v>
      </c>
      <c r="BP2" s="17"/>
      <c r="BQ2" s="22" t="s">
        <v>131</v>
      </c>
      <c r="BR2" s="17"/>
      <c r="BT2" s="23" t="s">
        <v>129</v>
      </c>
      <c r="BU2" s="17"/>
      <c r="BV2" s="25" t="s">
        <v>130</v>
      </c>
      <c r="BW2" s="17"/>
      <c r="BX2" s="22" t="s">
        <v>131</v>
      </c>
      <c r="BY2" s="17"/>
      <c r="CA2" s="23" t="s">
        <v>129</v>
      </c>
      <c r="CB2" s="17"/>
      <c r="CC2" s="25" t="s">
        <v>130</v>
      </c>
      <c r="CD2" s="17"/>
      <c r="CE2" s="22" t="s">
        <v>131</v>
      </c>
      <c r="CF2" s="17"/>
    </row>
    <row r="3" spans="1:84" x14ac:dyDescent="0.25">
      <c r="A3" s="11" t="s">
        <v>132</v>
      </c>
      <c r="B3" s="11" t="s">
        <v>133</v>
      </c>
      <c r="C3" s="11" t="s">
        <v>134</v>
      </c>
      <c r="D3" s="11" t="s">
        <v>135</v>
      </c>
      <c r="E3" s="11" t="s">
        <v>136</v>
      </c>
      <c r="F3" s="11" t="s">
        <v>135</v>
      </c>
      <c r="G3" s="11" t="s">
        <v>136</v>
      </c>
      <c r="H3" s="11" t="s">
        <v>132</v>
      </c>
      <c r="I3" s="11" t="s">
        <v>133</v>
      </c>
      <c r="J3" s="11" t="s">
        <v>134</v>
      </c>
      <c r="K3" s="11" t="s">
        <v>135</v>
      </c>
      <c r="L3" s="11" t="s">
        <v>136</v>
      </c>
      <c r="M3" s="11" t="s">
        <v>135</v>
      </c>
      <c r="N3" s="11" t="s">
        <v>136</v>
      </c>
      <c r="O3" s="11" t="s">
        <v>132</v>
      </c>
      <c r="P3" s="11" t="s">
        <v>133</v>
      </c>
      <c r="Q3" s="11" t="s">
        <v>134</v>
      </c>
      <c r="R3" s="11" t="s">
        <v>135</v>
      </c>
      <c r="S3" s="11" t="s">
        <v>136</v>
      </c>
      <c r="T3" s="11" t="s">
        <v>135</v>
      </c>
      <c r="U3" s="11" t="s">
        <v>136</v>
      </c>
      <c r="V3" s="11" t="s">
        <v>132</v>
      </c>
      <c r="W3" s="11" t="s">
        <v>133</v>
      </c>
      <c r="X3" s="11" t="s">
        <v>134</v>
      </c>
      <c r="Y3" s="11" t="s">
        <v>135</v>
      </c>
      <c r="Z3" s="11" t="s">
        <v>136</v>
      </c>
      <c r="AA3" s="11" t="s">
        <v>135</v>
      </c>
      <c r="AB3" s="11" t="s">
        <v>136</v>
      </c>
      <c r="AC3" s="11" t="s">
        <v>132</v>
      </c>
      <c r="AD3" s="11" t="s">
        <v>133</v>
      </c>
      <c r="AE3" s="11" t="s">
        <v>134</v>
      </c>
      <c r="AF3" s="11" t="s">
        <v>135</v>
      </c>
      <c r="AG3" s="11" t="s">
        <v>136</v>
      </c>
      <c r="AH3" s="11" t="s">
        <v>135</v>
      </c>
      <c r="AI3" s="11" t="s">
        <v>136</v>
      </c>
      <c r="AJ3" s="11" t="s">
        <v>132</v>
      </c>
      <c r="AK3" s="11" t="s">
        <v>133</v>
      </c>
      <c r="AL3" s="11" t="s">
        <v>134</v>
      </c>
      <c r="AM3" s="11" t="s">
        <v>135</v>
      </c>
      <c r="AN3" s="11" t="s">
        <v>136</v>
      </c>
      <c r="AO3" s="11" t="s">
        <v>135</v>
      </c>
      <c r="AP3" s="11" t="s">
        <v>136</v>
      </c>
      <c r="AQ3" s="11" t="s">
        <v>132</v>
      </c>
      <c r="AR3" s="11" t="s">
        <v>133</v>
      </c>
      <c r="AS3" s="11" t="s">
        <v>134</v>
      </c>
      <c r="AT3" s="11" t="s">
        <v>135</v>
      </c>
      <c r="AU3" s="11" t="s">
        <v>136</v>
      </c>
      <c r="AV3" s="11" t="s">
        <v>135</v>
      </c>
      <c r="AW3" s="11" t="s">
        <v>136</v>
      </c>
      <c r="AX3" s="11" t="s">
        <v>132</v>
      </c>
      <c r="AY3" s="11" t="s">
        <v>133</v>
      </c>
      <c r="AZ3" s="11" t="s">
        <v>134</v>
      </c>
      <c r="BA3" s="11" t="s">
        <v>135</v>
      </c>
      <c r="BB3" s="11" t="s">
        <v>136</v>
      </c>
      <c r="BC3" s="11" t="s">
        <v>135</v>
      </c>
      <c r="BD3" s="11" t="s">
        <v>136</v>
      </c>
      <c r="BE3" s="11" t="s">
        <v>132</v>
      </c>
      <c r="BF3" s="11" t="s">
        <v>133</v>
      </c>
      <c r="BG3" s="11" t="s">
        <v>134</v>
      </c>
      <c r="BH3" s="11" t="s">
        <v>135</v>
      </c>
      <c r="BI3" s="11" t="s">
        <v>136</v>
      </c>
      <c r="BJ3" s="11" t="s">
        <v>135</v>
      </c>
      <c r="BK3" s="11" t="s">
        <v>136</v>
      </c>
      <c r="BL3" s="11" t="s">
        <v>132</v>
      </c>
      <c r="BM3" s="11" t="s">
        <v>133</v>
      </c>
      <c r="BN3" s="11" t="s">
        <v>134</v>
      </c>
      <c r="BO3" s="11" t="s">
        <v>135</v>
      </c>
      <c r="BP3" s="11" t="s">
        <v>136</v>
      </c>
      <c r="BQ3" s="11" t="s">
        <v>135</v>
      </c>
      <c r="BR3" s="11" t="s">
        <v>136</v>
      </c>
      <c r="BS3" s="11" t="s">
        <v>132</v>
      </c>
      <c r="BT3" s="11" t="s">
        <v>133</v>
      </c>
      <c r="BU3" s="11" t="s">
        <v>134</v>
      </c>
      <c r="BV3" s="11" t="s">
        <v>135</v>
      </c>
      <c r="BW3" s="11" t="s">
        <v>136</v>
      </c>
      <c r="BX3" s="11" t="s">
        <v>135</v>
      </c>
      <c r="BY3" s="11" t="s">
        <v>136</v>
      </c>
      <c r="BZ3" s="11" t="s">
        <v>132</v>
      </c>
      <c r="CA3" s="11" t="s">
        <v>133</v>
      </c>
      <c r="CB3" s="11" t="s">
        <v>134</v>
      </c>
      <c r="CC3" s="11" t="s">
        <v>135</v>
      </c>
      <c r="CD3" s="11" t="s">
        <v>136</v>
      </c>
      <c r="CE3" s="11" t="s">
        <v>135</v>
      </c>
      <c r="CF3" s="11" t="s">
        <v>136</v>
      </c>
    </row>
    <row r="4" spans="1:84" x14ac:dyDescent="0.25">
      <c r="A4" s="5" t="s">
        <v>137</v>
      </c>
      <c r="B4" s="5">
        <f>COUNTIFS(tblAdmissions[Month],1,tblAdmissions[AgeUnit],"Days",tblAdmissions[Age],"&gt;="&amp;0,tblAdmissions[Age],"&lt;="&amp;28,tblAdmissions[Sex],"M")</f>
        <v>0</v>
      </c>
      <c r="C4" s="5">
        <f>COUNTIFS(tblAdmissions[Month],1,tblAdmissions[AgeUnit],"Days",tblAdmissions[Age],"&gt;="&amp;0,tblAdmissions[Age],"&lt;="&amp;28,tblAdmissions[Sex],"F")</f>
        <v>0</v>
      </c>
      <c r="D4" s="5">
        <f>COUNTIFS(tblAdmissions[Month],1,tblAdmissions[AgeUnit],"Days",tblAdmissions[Age],"&gt;="&amp;0,tblAdmissions[Age],"&lt;="&amp;28,tblAdmissions[Sex],"M",tblAdmissions[NHIS],"Non-Insured")</f>
        <v>0</v>
      </c>
      <c r="E4" s="5">
        <f>COUNTIFS(tblAdmissions[Month],1,tblAdmissions[AgeUnit],"Days",tblAdmissions[Age],"&gt;="&amp;0,tblAdmissions[Age],"&lt;="&amp;28,tblAdmissions[Sex],"F",tblAdmissions[NHIS],"Non-Insured")</f>
        <v>0</v>
      </c>
      <c r="F4" s="5">
        <f>COUNTIFS(tblAdmissions[Month],1,tblAdmissions[AgeUnit],"Days",tblAdmissions[Age],"&gt;="&amp;0,tblAdmissions[Age],"&lt;="&amp;28,tblAdmissions[Sex],"M",tblAdmissions[NHIS],"Insured")</f>
        <v>0</v>
      </c>
      <c r="G4" s="5">
        <f>COUNTIFS(tblAdmissions[Month],1,tblAdmissions[AgeUnit],"Days",tblAdmissions[Age],"&gt;="&amp;0,tblAdmissions[Age],"&lt;="&amp;28,tblAdmissions[Sex],"F",tblAdmissions[NHIS],"Insured")</f>
        <v>0</v>
      </c>
      <c r="H4" s="5" t="s">
        <v>137</v>
      </c>
      <c r="I4" s="5">
        <f>COUNTIFS(tblAdmissions[Month],2,tblAdmissions[AgeUnit],"Days",tblAdmissions[Age],"&gt;="&amp;0,tblAdmissions[Age],"&lt;="&amp;28,tblAdmissions[Sex],"M")</f>
        <v>0</v>
      </c>
      <c r="J4" s="5">
        <f>COUNTIFS(tblAdmissions[Month],2,tblAdmissions[AgeUnit],"Days",tblAdmissions[Age],"&gt;="&amp;0,tblAdmissions[Age],"&lt;="&amp;28,tblAdmissions[Sex],"F")</f>
        <v>0</v>
      </c>
      <c r="K4" s="5">
        <f>COUNTIFS(tblAdmissions[Month],2,tblAdmissions[AgeUnit],"Days",tblAdmissions[Age],"&gt;="&amp;0,tblAdmissions[Age],"&lt;="&amp;28,tblAdmissions[Sex],"M",tblAdmissions[NHIS],"Non-Insured")</f>
        <v>0</v>
      </c>
      <c r="L4" s="5">
        <f>COUNTIFS(tblAdmissions[Month],2,tblAdmissions[AgeUnit],"Days",tblAdmissions[Age],"&gt;="&amp;0,tblAdmissions[Age],"&lt;="&amp;28,tblAdmissions[Sex],"F",tblAdmissions[NHIS],"Non-Insured")</f>
        <v>0</v>
      </c>
      <c r="M4" s="5">
        <f>COUNTIFS(tblAdmissions[Month],2,tblAdmissions[AgeUnit],"Days",tblAdmissions[Age],"&gt;="&amp;0,tblAdmissions[Age],"&lt;="&amp;28,tblAdmissions[Sex],"M",tblAdmissions[NHIS],"Insured")</f>
        <v>0</v>
      </c>
      <c r="N4" s="5">
        <f>COUNTIFS(tblAdmissions[Month],2,tblAdmissions[AgeUnit],"Days",tblAdmissions[Age],"&gt;="&amp;0,tblAdmissions[Age],"&lt;="&amp;28,tblAdmissions[Sex],"F",tblAdmissions[NHIS],"Insured")</f>
        <v>0</v>
      </c>
      <c r="O4" s="5" t="s">
        <v>137</v>
      </c>
      <c r="P4" s="5">
        <f>COUNTIFS(tblAdmissions[Month],3,tblAdmissions[AgeUnit],"Days",tblAdmissions[Age],"&gt;="&amp;0,tblAdmissions[Age],"&lt;="&amp;28,tblAdmissions[Sex],"M")</f>
        <v>0</v>
      </c>
      <c r="Q4" s="5">
        <f>COUNTIFS(tblAdmissions[Month],3,tblAdmissions[AgeUnit],"Days",tblAdmissions[Age],"&gt;="&amp;0,tblAdmissions[Age],"&lt;="&amp;28,tblAdmissions[Sex],"F")</f>
        <v>0</v>
      </c>
      <c r="R4" s="5">
        <f>COUNTIFS(tblAdmissions[Month],3,tblAdmissions[AgeUnit],"Days",tblAdmissions[Age],"&gt;="&amp;0,tblAdmissions[Age],"&lt;="&amp;28,tblAdmissions[Sex],"M",tblAdmissions[NHIS],"Non-Insured")</f>
        <v>0</v>
      </c>
      <c r="S4" s="5">
        <f>COUNTIFS(tblAdmissions[Month],3,tblAdmissions[AgeUnit],"Days",tblAdmissions[Age],"&gt;="&amp;0,tblAdmissions[Age],"&lt;="&amp;28,tblAdmissions[Sex],"F",tblAdmissions[NHIS],"Non-Insured")</f>
        <v>0</v>
      </c>
      <c r="T4" s="5">
        <f>COUNTIFS(tblAdmissions[Month],3,tblAdmissions[AgeUnit],"Days",tblAdmissions[Age],"&gt;="&amp;0,tblAdmissions[Age],"&lt;="&amp;28,tblAdmissions[Sex],"M",tblAdmissions[NHIS],"Insured")</f>
        <v>0</v>
      </c>
      <c r="U4" s="5">
        <f>COUNTIFS(tblAdmissions[Month],3,tblAdmissions[AgeUnit],"Days",tblAdmissions[Age],"&gt;="&amp;0,tblAdmissions[Age],"&lt;="&amp;28,tblAdmissions[Sex],"F",tblAdmissions[NHIS],"Insured")</f>
        <v>0</v>
      </c>
      <c r="V4" s="5" t="s">
        <v>137</v>
      </c>
      <c r="W4" s="5">
        <f>COUNTIFS(tblAdmissions[Month],4,tblAdmissions[AgeUnit],"Days",tblAdmissions[Age],"&gt;="&amp;0,tblAdmissions[Age],"&lt;="&amp;28,tblAdmissions[Sex],"M")</f>
        <v>0</v>
      </c>
      <c r="X4" s="5">
        <f>COUNTIFS(tblAdmissions[Month],4,tblAdmissions[AgeUnit],"Days",tblAdmissions[Age],"&gt;="&amp;0,tblAdmissions[Age],"&lt;="&amp;28,tblAdmissions[Sex],"F")</f>
        <v>0</v>
      </c>
      <c r="Y4" s="5">
        <f>COUNTIFS(tblAdmissions[Month],4,tblAdmissions[AgeUnit],"Days",tblAdmissions[Age],"&gt;="&amp;0,tblAdmissions[Age],"&lt;="&amp;28,tblAdmissions[Sex],"M",tblAdmissions[NHIS],"Non-Insured")</f>
        <v>0</v>
      </c>
      <c r="Z4" s="5">
        <f>COUNTIFS(tblAdmissions[Month],4,tblAdmissions[AgeUnit],"Days",tblAdmissions[Age],"&gt;="&amp;0,tblAdmissions[Age],"&lt;="&amp;28,tblAdmissions[Sex],"F",tblAdmissions[NHIS],"Non-Insured")</f>
        <v>0</v>
      </c>
      <c r="AA4" s="5">
        <f>COUNTIFS(tblAdmissions[Month],4,tblAdmissions[AgeUnit],"Days",tblAdmissions[Age],"&gt;="&amp;0,tblAdmissions[Age],"&lt;="&amp;28,tblAdmissions[Sex],"M",tblAdmissions[NHIS],"Insured")</f>
        <v>0</v>
      </c>
      <c r="AB4" s="5">
        <f>COUNTIFS(tblAdmissions[Month],4,tblAdmissions[AgeUnit],"Days",tblAdmissions[Age],"&gt;="&amp;0,tblAdmissions[Age],"&lt;="&amp;28,tblAdmissions[Sex],"F",tblAdmissions[NHIS],"Insured")</f>
        <v>0</v>
      </c>
      <c r="AC4" s="5" t="s">
        <v>137</v>
      </c>
      <c r="AD4" s="5">
        <f>COUNTIFS(tblAdmissions[Month],5,tblAdmissions[AgeUnit],"Days",tblAdmissions[Age],"&gt;="&amp;0,tblAdmissions[Age],"&lt;="&amp;28,tblAdmissions[Sex],"M")</f>
        <v>0</v>
      </c>
      <c r="AE4" s="5">
        <f>COUNTIFS(tblAdmissions[Month],5,tblAdmissions[AgeUnit],"Days",tblAdmissions[Age],"&gt;="&amp;0,tblAdmissions[Age],"&lt;="&amp;28,tblAdmissions[Sex],"F")</f>
        <v>0</v>
      </c>
      <c r="AF4" s="5">
        <f>COUNTIFS(tblAdmissions[Month],5,tblAdmissions[AgeUnit],"Days",tblAdmissions[Age],"&gt;="&amp;0,tblAdmissions[Age],"&lt;="&amp;28,tblAdmissions[Sex],"M",tblAdmissions[NHIS],"Non-Insured")</f>
        <v>0</v>
      </c>
      <c r="AG4" s="5">
        <f>COUNTIFS(tblAdmissions[Month],5,tblAdmissions[AgeUnit],"Days",tblAdmissions[Age],"&gt;="&amp;0,tblAdmissions[Age],"&lt;="&amp;28,tblAdmissions[Sex],"F",tblAdmissions[NHIS],"Non-Insured")</f>
        <v>0</v>
      </c>
      <c r="AH4" s="5">
        <f>COUNTIFS(tblAdmissions[Month],5,tblAdmissions[AgeUnit],"Days",tblAdmissions[Age],"&gt;="&amp;0,tblAdmissions[Age],"&lt;="&amp;28,tblAdmissions[Sex],"M",tblAdmissions[NHIS],"Insured")</f>
        <v>0</v>
      </c>
      <c r="AI4" s="5">
        <f>COUNTIFS(tblAdmissions[Month],5,tblAdmissions[AgeUnit],"Days",tblAdmissions[Age],"&gt;="&amp;0,tblAdmissions[Age],"&lt;="&amp;28,tblAdmissions[Sex],"F",tblAdmissions[NHIS],"Insured")</f>
        <v>0</v>
      </c>
      <c r="AJ4" s="5" t="s">
        <v>137</v>
      </c>
      <c r="AK4" s="5">
        <f>COUNTIFS(tblAdmissions[Month],6,tblAdmissions[AgeUnit],"Days",tblAdmissions[Age],"&gt;="&amp;0,tblAdmissions[Age],"&lt;="&amp;28,tblAdmissions[Sex],"M")</f>
        <v>0</v>
      </c>
      <c r="AL4" s="5">
        <f>COUNTIFS(tblAdmissions[Month],6,tblAdmissions[AgeUnit],"Days",tblAdmissions[Age],"&gt;="&amp;0,tblAdmissions[Age],"&lt;="&amp;28,tblAdmissions[Sex],"F")</f>
        <v>0</v>
      </c>
      <c r="AM4" s="5">
        <f>COUNTIFS(tblAdmissions[Month],6,tblAdmissions[AgeUnit],"Days",tblAdmissions[Age],"&gt;="&amp;0,tblAdmissions[Age],"&lt;="&amp;28,tblAdmissions[Sex],"M",tblAdmissions[NHIS],"Non-Insured")</f>
        <v>0</v>
      </c>
      <c r="AN4" s="5">
        <f>COUNTIFS(tblAdmissions[Month],6,tblAdmissions[AgeUnit],"Days",tblAdmissions[Age],"&gt;="&amp;0,tblAdmissions[Age],"&lt;="&amp;28,tblAdmissions[Sex],"F",tblAdmissions[NHIS],"Non-Insured")</f>
        <v>0</v>
      </c>
      <c r="AO4" s="5">
        <f>COUNTIFS(tblAdmissions[Month],6,tblAdmissions[AgeUnit],"Days",tblAdmissions[Age],"&gt;="&amp;0,tblAdmissions[Age],"&lt;="&amp;28,tblAdmissions[Sex],"M",tblAdmissions[NHIS],"Insured")</f>
        <v>0</v>
      </c>
      <c r="AP4" s="5">
        <f>COUNTIFS(tblAdmissions[Month],6,tblAdmissions[AgeUnit],"Days",tblAdmissions[Age],"&gt;="&amp;0,tblAdmissions[Age],"&lt;="&amp;28,tblAdmissions[Sex],"F",tblAdmissions[NHIS],"Insured")</f>
        <v>0</v>
      </c>
      <c r="AQ4" s="5" t="s">
        <v>137</v>
      </c>
      <c r="AR4" s="5">
        <f>COUNTIFS(tblAdmissions[Month],7,tblAdmissions[AgeUnit],"Days",tblAdmissions[Age],"&gt;="&amp;0,tblAdmissions[Age],"&lt;="&amp;28,tblAdmissions[Sex],"M")</f>
        <v>0</v>
      </c>
      <c r="AS4" s="5">
        <f>COUNTIFS(tblAdmissions[Month],7,tblAdmissions[AgeUnit],"Days",tblAdmissions[Age],"&gt;="&amp;0,tblAdmissions[Age],"&lt;="&amp;28,tblAdmissions[Sex],"F")</f>
        <v>0</v>
      </c>
      <c r="AT4" s="5">
        <f>COUNTIFS(tblAdmissions[Month],7,tblAdmissions[AgeUnit],"Days",tblAdmissions[Age],"&gt;="&amp;0,tblAdmissions[Age],"&lt;="&amp;28,tblAdmissions[Sex],"M",tblAdmissions[NHIS],"Non-Insured")</f>
        <v>0</v>
      </c>
      <c r="AU4" s="5">
        <f>COUNTIFS(tblAdmissions[Month],7,tblAdmissions[AgeUnit],"Days",tblAdmissions[Age],"&gt;="&amp;0,tblAdmissions[Age],"&lt;="&amp;28,tblAdmissions[Sex],"F",tblAdmissions[NHIS],"Non-Insured")</f>
        <v>0</v>
      </c>
      <c r="AV4" s="5">
        <f>COUNTIFS(tblAdmissions[Month],7,tblAdmissions[AgeUnit],"Days",tblAdmissions[Age],"&gt;="&amp;0,tblAdmissions[Age],"&lt;="&amp;28,tblAdmissions[Sex],"M",tblAdmissions[NHIS],"Insured")</f>
        <v>0</v>
      </c>
      <c r="AW4" s="5">
        <f>COUNTIFS(tblAdmissions[Month],7,tblAdmissions[AgeUnit],"Days",tblAdmissions[Age],"&gt;="&amp;0,tblAdmissions[Age],"&lt;="&amp;28,tblAdmissions[Sex],"F",tblAdmissions[NHIS],"Insured")</f>
        <v>0</v>
      </c>
      <c r="AX4" s="5" t="s">
        <v>137</v>
      </c>
      <c r="AY4" s="5">
        <f>COUNTIFS(tblAdmissions[Month],8,tblAdmissions[AgeUnit],"Days",tblAdmissions[Age],"&gt;="&amp;0,tblAdmissions[Age],"&lt;="&amp;28,tblAdmissions[Sex],"M")</f>
        <v>0</v>
      </c>
      <c r="AZ4" s="5">
        <f>COUNTIFS(tblAdmissions[Month],8,tblAdmissions[AgeUnit],"Days",tblAdmissions[Age],"&gt;="&amp;0,tblAdmissions[Age],"&lt;="&amp;28,tblAdmissions[Sex],"F")</f>
        <v>0</v>
      </c>
      <c r="BA4" s="5">
        <f>COUNTIFS(tblAdmissions[Month],8,tblAdmissions[AgeUnit],"Days",tblAdmissions[Age],"&gt;="&amp;0,tblAdmissions[Age],"&lt;="&amp;28,tblAdmissions[Sex],"M",tblAdmissions[NHIS],"Non-Insured")</f>
        <v>0</v>
      </c>
      <c r="BB4" s="5">
        <f>COUNTIFS(tblAdmissions[Month],8,tblAdmissions[AgeUnit],"Days",tblAdmissions[Age],"&gt;="&amp;0,tblAdmissions[Age],"&lt;="&amp;28,tblAdmissions[Sex],"F",tblAdmissions[NHIS],"Non-Insured")</f>
        <v>0</v>
      </c>
      <c r="BC4" s="5">
        <f>COUNTIFS(tblAdmissions[Month],8,tblAdmissions[AgeUnit],"Days",tblAdmissions[Age],"&gt;="&amp;0,tblAdmissions[Age],"&lt;="&amp;28,tblAdmissions[Sex],"M",tblAdmissions[NHIS],"Insured")</f>
        <v>0</v>
      </c>
      <c r="BD4" s="5">
        <f>COUNTIFS(tblAdmissions[Month],8,tblAdmissions[AgeUnit],"Days",tblAdmissions[Age],"&gt;="&amp;0,tblAdmissions[Age],"&lt;="&amp;28,tblAdmissions[Sex],"F",tblAdmissions[NHIS],"Insured")</f>
        <v>0</v>
      </c>
      <c r="BE4" s="5" t="s">
        <v>137</v>
      </c>
      <c r="BF4" s="5">
        <f>COUNTIFS(tblAdmissions[Month],9,tblAdmissions[AgeUnit],"Days",tblAdmissions[Age],"&gt;="&amp;0,tblAdmissions[Age],"&lt;="&amp;28,tblAdmissions[Sex],"M")</f>
        <v>0</v>
      </c>
      <c r="BG4" s="5">
        <f>COUNTIFS(tblAdmissions[Month],9,tblAdmissions[AgeUnit],"Days",tblAdmissions[Age],"&gt;="&amp;0,tblAdmissions[Age],"&lt;="&amp;28,tblAdmissions[Sex],"F")</f>
        <v>0</v>
      </c>
      <c r="BH4" s="5">
        <f>COUNTIFS(tblAdmissions[Month],9,tblAdmissions[AgeUnit],"Days",tblAdmissions[Age],"&gt;="&amp;0,tblAdmissions[Age],"&lt;="&amp;28,tblAdmissions[Sex],"M",tblAdmissions[NHIS],"Non-Insured")</f>
        <v>0</v>
      </c>
      <c r="BI4" s="5">
        <f>COUNTIFS(tblAdmissions[Month],9,tblAdmissions[AgeUnit],"Days",tblAdmissions[Age],"&gt;="&amp;0,tblAdmissions[Age],"&lt;="&amp;28,tblAdmissions[Sex],"F",tblAdmissions[NHIS],"Non-Insured")</f>
        <v>0</v>
      </c>
      <c r="BJ4" s="5">
        <f>COUNTIFS(tblAdmissions[Month],9,tblAdmissions[AgeUnit],"Days",tblAdmissions[Age],"&gt;="&amp;0,tblAdmissions[Age],"&lt;="&amp;28,tblAdmissions[Sex],"M",tblAdmissions[NHIS],"Insured")</f>
        <v>0</v>
      </c>
      <c r="BK4" s="5">
        <f>COUNTIFS(tblAdmissions[Month],9,tblAdmissions[AgeUnit],"Days",tblAdmissions[Age],"&gt;="&amp;0,tblAdmissions[Age],"&lt;="&amp;28,tblAdmissions[Sex],"F",tblAdmissions[NHIS],"Insured")</f>
        <v>0</v>
      </c>
      <c r="BL4" s="5" t="s">
        <v>137</v>
      </c>
      <c r="BM4" s="5">
        <f>COUNTIFS(tblAdmissions[Month],10,tblAdmissions[AgeUnit],"Days",tblAdmissions[Age],"&gt;="&amp;0,tblAdmissions[Age],"&lt;="&amp;28,tblAdmissions[Sex],"M")</f>
        <v>0</v>
      </c>
      <c r="BN4" s="5">
        <f>COUNTIFS(tblAdmissions[Month],10,tblAdmissions[AgeUnit],"Days",tblAdmissions[Age],"&gt;="&amp;0,tblAdmissions[Age],"&lt;="&amp;28,tblAdmissions[Sex],"F")</f>
        <v>0</v>
      </c>
      <c r="BO4" s="5">
        <f>COUNTIFS(tblAdmissions[Month],10,tblAdmissions[AgeUnit],"Days",tblAdmissions[Age],"&gt;="&amp;0,tblAdmissions[Age],"&lt;="&amp;28,tblAdmissions[Sex],"M",tblAdmissions[NHIS],"Non-Insured")</f>
        <v>0</v>
      </c>
      <c r="BP4" s="5">
        <f>COUNTIFS(tblAdmissions[Month],10,tblAdmissions[AgeUnit],"Days",tblAdmissions[Age],"&gt;="&amp;0,tblAdmissions[Age],"&lt;="&amp;28,tblAdmissions[Sex],"F",tblAdmissions[NHIS],"Non-Insured")</f>
        <v>0</v>
      </c>
      <c r="BQ4" s="5">
        <f>COUNTIFS(tblAdmissions[Month],10,tblAdmissions[AgeUnit],"Days",tblAdmissions[Age],"&gt;="&amp;0,tblAdmissions[Age],"&lt;="&amp;28,tblAdmissions[Sex],"M",tblAdmissions[NHIS],"Insured")</f>
        <v>0</v>
      </c>
      <c r="BR4" s="5">
        <f>COUNTIFS(tblAdmissions[Month],10,tblAdmissions[AgeUnit],"Days",tblAdmissions[Age],"&gt;="&amp;0,tblAdmissions[Age],"&lt;="&amp;28,tblAdmissions[Sex],"F",tblAdmissions[NHIS],"Insured")</f>
        <v>0</v>
      </c>
      <c r="BS4" s="5" t="s">
        <v>137</v>
      </c>
      <c r="BT4" s="5">
        <f>COUNTIFS(tblAdmissions[Month],11,tblAdmissions[AgeUnit],"Days",tblAdmissions[Age],"&gt;="&amp;0,tblAdmissions[Age],"&lt;="&amp;28,tblAdmissions[Sex],"M")</f>
        <v>0</v>
      </c>
      <c r="BU4" s="5">
        <f>COUNTIFS(tblAdmissions[Month],11,tblAdmissions[AgeUnit],"Days",tblAdmissions[Age],"&gt;="&amp;0,tblAdmissions[Age],"&lt;="&amp;28,tblAdmissions[Sex],"F")</f>
        <v>0</v>
      </c>
      <c r="BV4" s="5">
        <f>COUNTIFS(tblAdmissions[Month],11,tblAdmissions[AgeUnit],"Days",tblAdmissions[Age],"&gt;="&amp;0,tblAdmissions[Age],"&lt;="&amp;28,tblAdmissions[Sex],"M",tblAdmissions[NHIS],"Non-Insured")</f>
        <v>0</v>
      </c>
      <c r="BW4" s="5">
        <f>COUNTIFS(tblAdmissions[Month],11,tblAdmissions[AgeUnit],"Days",tblAdmissions[Age],"&gt;="&amp;0,tblAdmissions[Age],"&lt;="&amp;28,tblAdmissions[Sex],"F",tblAdmissions[NHIS],"Non-Insured")</f>
        <v>0</v>
      </c>
      <c r="BX4" s="5">
        <f>COUNTIFS(tblAdmissions[Month],11,tblAdmissions[AgeUnit],"Days",tblAdmissions[Age],"&gt;="&amp;0,tblAdmissions[Age],"&lt;="&amp;28,tblAdmissions[Sex],"M",tblAdmissions[NHIS],"Insured")</f>
        <v>0</v>
      </c>
      <c r="BY4" s="5">
        <f>COUNTIFS(tblAdmissions[Month],11,tblAdmissions[AgeUnit],"Days",tblAdmissions[Age],"&gt;="&amp;0,tblAdmissions[Age],"&lt;="&amp;28,tblAdmissions[Sex],"F",tblAdmissions[NHIS],"Insured")</f>
        <v>0</v>
      </c>
      <c r="BZ4" s="5" t="s">
        <v>137</v>
      </c>
      <c r="CA4" s="5">
        <f>COUNTIFS(tblAdmissions[Month],12,tblAdmissions[AgeUnit],"Days",tblAdmissions[Age],"&gt;="&amp;0,tblAdmissions[Age],"&lt;="&amp;28,tblAdmissions[Sex],"M")</f>
        <v>0</v>
      </c>
      <c r="CB4" s="5">
        <f>COUNTIFS(tblAdmissions[Month],12,tblAdmissions[AgeUnit],"Days",tblAdmissions[Age],"&gt;="&amp;0,tblAdmissions[Age],"&lt;="&amp;28,tblAdmissions[Sex],"F")</f>
        <v>0</v>
      </c>
      <c r="CC4" s="5">
        <f>COUNTIFS(tblAdmissions[Month],12,tblAdmissions[AgeUnit],"Days",tblAdmissions[Age],"&gt;="&amp;0,tblAdmissions[Age],"&lt;="&amp;28,tblAdmissions[Sex],"M",tblAdmissions[NHIS],"Non-Insured")</f>
        <v>0</v>
      </c>
      <c r="CD4" s="5">
        <f>COUNTIFS(tblAdmissions[Month],12,tblAdmissions[AgeUnit],"Days",tblAdmissions[Age],"&gt;="&amp;0,tblAdmissions[Age],"&lt;="&amp;28,tblAdmissions[Sex],"F",tblAdmissions[NHIS],"Non-Insured")</f>
        <v>0</v>
      </c>
      <c r="CE4" s="5">
        <f>COUNTIFS(tblAdmissions[Month],12,tblAdmissions[AgeUnit],"Days",tblAdmissions[Age],"&gt;="&amp;0,tblAdmissions[Age],"&lt;="&amp;28,tblAdmissions[Sex],"M",tblAdmissions[NHIS],"Insured")</f>
        <v>0</v>
      </c>
      <c r="CF4" s="5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5" t="s">
        <v>138</v>
      </c>
      <c r="B5" s="5">
        <f>COUNTIFS(tblAdmissions[Month],1,tblAdmissions[AgeUnit],"Months",tblAdmissions[Age],"&gt;="&amp;1,tblAdmissions[Age],"&lt;="&amp;11,tblAdmissions[Sex],"M")</f>
        <v>0</v>
      </c>
      <c r="C5" s="5">
        <f>COUNTIFS(tblAdmissions[Month],1,tblAdmissions[AgeUnit],"Months",tblAdmissions[Age],"&gt;="&amp;1,tblAdmissions[Age],"&lt;="&amp;11,tblAdmissions[Sex],"F")</f>
        <v>0</v>
      </c>
      <c r="D5" s="5">
        <f>COUNTIFS(tblAdmissions[Month],1,tblAdmissions[AgeUnit],"Months",tblAdmissions[Age],"&gt;="&amp;1,tblAdmissions[Age],"&lt;="&amp;11,tblAdmissions[Sex],"M",tblAdmissions[NHIS],"Non-Insured")</f>
        <v>0</v>
      </c>
      <c r="E5" s="5">
        <f>COUNTIFS(tblAdmissions[Month],1,tblAdmissions[AgeUnit],"Months",tblAdmissions[Age],"&gt;="&amp;1,tblAdmissions[Age],"&lt;="&amp;11,tblAdmissions[Sex],"F",tblAdmissions[NHIS],"Non-Insured")</f>
        <v>0</v>
      </c>
      <c r="F5" s="5">
        <f>COUNTIFS(tblAdmissions[Month],1,tblAdmissions[AgeUnit],"Months",tblAdmissions[Age],"&gt;="&amp;1,tblAdmissions[Age],"&lt;="&amp;11,tblAdmissions[Sex],"M",tblAdmissions[NHIS],"Insured")</f>
        <v>0</v>
      </c>
      <c r="G5" s="5">
        <f>COUNTIFS(tblAdmissions[Month],1,tblAdmissions[AgeUnit],"Months",tblAdmissions[Age],"&gt;="&amp;1,tblAdmissions[Age],"&lt;="&amp;11,tblAdmissions[Sex],"F",tblAdmissions[NHIS],"Insured")</f>
        <v>0</v>
      </c>
      <c r="H5" s="5" t="s">
        <v>138</v>
      </c>
      <c r="I5" s="5">
        <f>COUNTIFS(tblAdmissions[Month],2,tblAdmissions[AgeUnit],"Months",tblAdmissions[Age],"&gt;="&amp;1,tblAdmissions[Age],"&lt;="&amp;11,tblAdmissions[Sex],"M")</f>
        <v>0</v>
      </c>
      <c r="J5" s="5">
        <f>COUNTIFS(tblAdmissions[Month],2,tblAdmissions[AgeUnit],"Months",tblAdmissions[Age],"&gt;="&amp;1,tblAdmissions[Age],"&lt;="&amp;11,tblAdmissions[Sex],"F")</f>
        <v>0</v>
      </c>
      <c r="K5" s="5">
        <f>COUNTIFS(tblAdmissions[Month],2,tblAdmissions[AgeUnit],"Months",tblAdmissions[Age],"&gt;="&amp;1,tblAdmissions[Age],"&lt;="&amp;11,tblAdmissions[Sex],"M",tblAdmissions[NHIS],"Non-Insured")</f>
        <v>0</v>
      </c>
      <c r="L5" s="5">
        <f>COUNTIFS(tblAdmissions[Month],2,tblAdmissions[AgeUnit],"Months",tblAdmissions[Age],"&gt;="&amp;1,tblAdmissions[Age],"&lt;="&amp;11,tblAdmissions[Sex],"F",tblAdmissions[NHIS],"Non-Insured")</f>
        <v>0</v>
      </c>
      <c r="M5" s="5">
        <f>COUNTIFS(tblAdmissions[Month],2,tblAdmissions[AgeUnit],"Months",tblAdmissions[Age],"&gt;="&amp;1,tblAdmissions[Age],"&lt;="&amp;11,tblAdmissions[Sex],"M",tblAdmissions[NHIS],"Insured")</f>
        <v>0</v>
      </c>
      <c r="N5" s="5">
        <f>COUNTIFS(tblAdmissions[Month],2,tblAdmissions[AgeUnit],"Months",tblAdmissions[Age],"&gt;="&amp;1,tblAdmissions[Age],"&lt;="&amp;11,tblAdmissions[Sex],"F",tblAdmissions[NHIS],"Insured")</f>
        <v>0</v>
      </c>
      <c r="O5" s="5" t="s">
        <v>138</v>
      </c>
      <c r="P5" s="5">
        <f>COUNTIFS(tblAdmissions[Month],3,tblAdmissions[AgeUnit],"Months",tblAdmissions[Age],"&gt;="&amp;1,tblAdmissions[Age],"&lt;="&amp;11,tblAdmissions[Sex],"M")</f>
        <v>0</v>
      </c>
      <c r="Q5" s="5">
        <f>COUNTIFS(tblAdmissions[Month],3,tblAdmissions[AgeUnit],"Months",tblAdmissions[Age],"&gt;="&amp;1,tblAdmissions[Age],"&lt;="&amp;11,tblAdmissions[Sex],"F")</f>
        <v>0</v>
      </c>
      <c r="R5" s="5">
        <f>COUNTIFS(tblAdmissions[Month],3,tblAdmissions[AgeUnit],"Months",tblAdmissions[Age],"&gt;="&amp;1,tblAdmissions[Age],"&lt;="&amp;11,tblAdmissions[Sex],"M",tblAdmissions[NHIS],"Non-Insured")</f>
        <v>0</v>
      </c>
      <c r="S5" s="5">
        <f>COUNTIFS(tblAdmissions[Month],3,tblAdmissions[AgeUnit],"Months",tblAdmissions[Age],"&gt;="&amp;1,tblAdmissions[Age],"&lt;="&amp;11,tblAdmissions[Sex],"F",tblAdmissions[NHIS],"Non-Insured")</f>
        <v>0</v>
      </c>
      <c r="T5" s="5">
        <f>COUNTIFS(tblAdmissions[Month],3,tblAdmissions[AgeUnit],"Months",tblAdmissions[Age],"&gt;="&amp;1,tblAdmissions[Age],"&lt;="&amp;11,tblAdmissions[Sex],"M",tblAdmissions[NHIS],"Insured")</f>
        <v>0</v>
      </c>
      <c r="U5" s="5">
        <f>COUNTIFS(tblAdmissions[Month],3,tblAdmissions[AgeUnit],"Months",tblAdmissions[Age],"&gt;="&amp;1,tblAdmissions[Age],"&lt;="&amp;11,tblAdmissions[Sex],"F",tblAdmissions[NHIS],"Insured")</f>
        <v>0</v>
      </c>
      <c r="V5" s="5" t="s">
        <v>138</v>
      </c>
      <c r="W5" s="5">
        <f>COUNTIFS(tblAdmissions[Month],4,tblAdmissions[AgeUnit],"Months",tblAdmissions[Age],"&gt;="&amp;1,tblAdmissions[Age],"&lt;="&amp;11,tblAdmissions[Sex],"M")</f>
        <v>0</v>
      </c>
      <c r="X5" s="5">
        <f>COUNTIFS(tblAdmissions[Month],4,tblAdmissions[AgeUnit],"Months",tblAdmissions[Age],"&gt;="&amp;1,tblAdmissions[Age],"&lt;="&amp;11,tblAdmissions[Sex],"F")</f>
        <v>0</v>
      </c>
      <c r="Y5" s="5">
        <f>COUNTIFS(tblAdmissions[Month],4,tblAdmissions[AgeUnit],"Months",tblAdmissions[Age],"&gt;="&amp;1,tblAdmissions[Age],"&lt;="&amp;11,tblAdmissions[Sex],"M",tblAdmissions[NHIS],"Non-Insured")</f>
        <v>0</v>
      </c>
      <c r="Z5" s="5">
        <f>COUNTIFS(tblAdmissions[Month],4,tblAdmissions[AgeUnit],"Months",tblAdmissions[Age],"&gt;="&amp;1,tblAdmissions[Age],"&lt;="&amp;11,tblAdmissions[Sex],"F",tblAdmissions[NHIS],"Non-Insured")</f>
        <v>0</v>
      </c>
      <c r="AA5" s="5">
        <f>COUNTIFS(tblAdmissions[Month],4,tblAdmissions[AgeUnit],"Months",tblAdmissions[Age],"&gt;="&amp;1,tblAdmissions[Age],"&lt;="&amp;11,tblAdmissions[Sex],"M",tblAdmissions[NHIS],"Insured")</f>
        <v>0</v>
      </c>
      <c r="AB5" s="5">
        <f>COUNTIFS(tblAdmissions[Month],4,tblAdmissions[AgeUnit],"Months",tblAdmissions[Age],"&gt;="&amp;1,tblAdmissions[Age],"&lt;="&amp;11,tblAdmissions[Sex],"F",tblAdmissions[NHIS],"Insured")</f>
        <v>0</v>
      </c>
      <c r="AC5" s="5" t="s">
        <v>138</v>
      </c>
      <c r="AD5" s="5">
        <f>COUNTIFS(tblAdmissions[Month],5,tblAdmissions[AgeUnit],"Months",tblAdmissions[Age],"&gt;="&amp;1,tblAdmissions[Age],"&lt;="&amp;11,tblAdmissions[Sex],"M")</f>
        <v>0</v>
      </c>
      <c r="AE5" s="5">
        <f>COUNTIFS(tblAdmissions[Month],5,tblAdmissions[AgeUnit],"Months",tblAdmissions[Age],"&gt;="&amp;1,tblAdmissions[Age],"&lt;="&amp;11,tblAdmissions[Sex],"F")</f>
        <v>0</v>
      </c>
      <c r="AF5" s="5">
        <f>COUNTIFS(tblAdmissions[Month],5,tblAdmissions[AgeUnit],"Months",tblAdmissions[Age],"&gt;="&amp;1,tblAdmissions[Age],"&lt;="&amp;11,tblAdmissions[Sex],"M",tblAdmissions[NHIS],"Non-Insured")</f>
        <v>0</v>
      </c>
      <c r="AG5" s="5">
        <f>COUNTIFS(tblAdmissions[Month],5,tblAdmissions[AgeUnit],"Months",tblAdmissions[Age],"&gt;="&amp;1,tblAdmissions[Age],"&lt;="&amp;11,tblAdmissions[Sex],"F",tblAdmissions[NHIS],"Non-Insured")</f>
        <v>0</v>
      </c>
      <c r="AH5" s="5">
        <f>COUNTIFS(tblAdmissions[Month],5,tblAdmissions[AgeUnit],"Months",tblAdmissions[Age],"&gt;="&amp;1,tblAdmissions[Age],"&lt;="&amp;11,tblAdmissions[Sex],"M",tblAdmissions[NHIS],"Insured")</f>
        <v>0</v>
      </c>
      <c r="AI5" s="5">
        <f>COUNTIFS(tblAdmissions[Month],5,tblAdmissions[AgeUnit],"Months",tblAdmissions[Age],"&gt;="&amp;1,tblAdmissions[Age],"&lt;="&amp;11,tblAdmissions[Sex],"F",tblAdmissions[NHIS],"Insured")</f>
        <v>0</v>
      </c>
      <c r="AJ5" s="5" t="s">
        <v>138</v>
      </c>
      <c r="AK5" s="5">
        <f>COUNTIFS(tblAdmissions[Month],6,tblAdmissions[AgeUnit],"Months",tblAdmissions[Age],"&gt;="&amp;1,tblAdmissions[Age],"&lt;="&amp;11,tblAdmissions[Sex],"M")</f>
        <v>0</v>
      </c>
      <c r="AL5" s="5">
        <f>COUNTIFS(tblAdmissions[Month],6,tblAdmissions[AgeUnit],"Months",tblAdmissions[Age],"&gt;="&amp;1,tblAdmissions[Age],"&lt;="&amp;11,tblAdmissions[Sex],"F")</f>
        <v>0</v>
      </c>
      <c r="AM5" s="5">
        <f>COUNTIFS(tblAdmissions[Month],6,tblAdmissions[AgeUnit],"Months",tblAdmissions[Age],"&gt;="&amp;1,tblAdmissions[Age],"&lt;="&amp;11,tblAdmissions[Sex],"M",tblAdmissions[NHIS],"Non-Insured")</f>
        <v>0</v>
      </c>
      <c r="AN5" s="5">
        <f>COUNTIFS(tblAdmissions[Month],6,tblAdmissions[AgeUnit],"Months",tblAdmissions[Age],"&gt;="&amp;1,tblAdmissions[Age],"&lt;="&amp;11,tblAdmissions[Sex],"F",tblAdmissions[NHIS],"Non-Insured")</f>
        <v>0</v>
      </c>
      <c r="AO5" s="5">
        <f>COUNTIFS(tblAdmissions[Month],6,tblAdmissions[AgeUnit],"Months",tblAdmissions[Age],"&gt;="&amp;1,tblAdmissions[Age],"&lt;="&amp;11,tblAdmissions[Sex],"M",tblAdmissions[NHIS],"Insured")</f>
        <v>0</v>
      </c>
      <c r="AP5" s="5">
        <f>COUNTIFS(tblAdmissions[Month],6,tblAdmissions[AgeUnit],"Months",tblAdmissions[Age],"&gt;="&amp;1,tblAdmissions[Age],"&lt;="&amp;11,tblAdmissions[Sex],"F",tblAdmissions[NHIS],"Insured")</f>
        <v>0</v>
      </c>
      <c r="AQ5" s="5" t="s">
        <v>138</v>
      </c>
      <c r="AR5" s="5">
        <f>COUNTIFS(tblAdmissions[Month],7,tblAdmissions[AgeUnit],"Months",tblAdmissions[Age],"&gt;="&amp;1,tblAdmissions[Age],"&lt;="&amp;11,tblAdmissions[Sex],"M")</f>
        <v>0</v>
      </c>
      <c r="AS5" s="5">
        <f>COUNTIFS(tblAdmissions[Month],7,tblAdmissions[AgeUnit],"Months",tblAdmissions[Age],"&gt;="&amp;1,tblAdmissions[Age],"&lt;="&amp;11,tblAdmissions[Sex],"F")</f>
        <v>0</v>
      </c>
      <c r="AT5" s="5">
        <f>COUNTIFS(tblAdmissions[Month],7,tblAdmissions[AgeUnit],"Months",tblAdmissions[Age],"&gt;="&amp;1,tblAdmissions[Age],"&lt;="&amp;11,tblAdmissions[Sex],"M",tblAdmissions[NHIS],"Non-Insured")</f>
        <v>0</v>
      </c>
      <c r="AU5" s="5">
        <f>COUNTIFS(tblAdmissions[Month],7,tblAdmissions[AgeUnit],"Months",tblAdmissions[Age],"&gt;="&amp;1,tblAdmissions[Age],"&lt;="&amp;11,tblAdmissions[Sex],"F",tblAdmissions[NHIS],"Non-Insured")</f>
        <v>0</v>
      </c>
      <c r="AV5" s="5">
        <f>COUNTIFS(tblAdmissions[Month],7,tblAdmissions[AgeUnit],"Months",tblAdmissions[Age],"&gt;="&amp;1,tblAdmissions[Age],"&lt;="&amp;11,tblAdmissions[Sex],"M",tblAdmissions[NHIS],"Insured")</f>
        <v>0</v>
      </c>
      <c r="AW5" s="5">
        <f>COUNTIFS(tblAdmissions[Month],7,tblAdmissions[AgeUnit],"Months",tblAdmissions[Age],"&gt;="&amp;1,tblAdmissions[Age],"&lt;="&amp;11,tblAdmissions[Sex],"F",tblAdmissions[NHIS],"Insured")</f>
        <v>0</v>
      </c>
      <c r="AX5" s="5" t="s">
        <v>138</v>
      </c>
      <c r="AY5" s="5">
        <f>COUNTIFS(tblAdmissions[Month],8,tblAdmissions[AgeUnit],"Months",tblAdmissions[Age],"&gt;="&amp;1,tblAdmissions[Age],"&lt;="&amp;11,tblAdmissions[Sex],"M")</f>
        <v>0</v>
      </c>
      <c r="AZ5" s="5">
        <f>COUNTIFS(tblAdmissions[Month],8,tblAdmissions[AgeUnit],"Months",tblAdmissions[Age],"&gt;="&amp;1,tblAdmissions[Age],"&lt;="&amp;11,tblAdmissions[Sex],"F")</f>
        <v>0</v>
      </c>
      <c r="BA5" s="5">
        <f>COUNTIFS(tblAdmissions[Month],8,tblAdmissions[AgeUnit],"Months",tblAdmissions[Age],"&gt;="&amp;1,tblAdmissions[Age],"&lt;="&amp;11,tblAdmissions[Sex],"M",tblAdmissions[NHIS],"Non-Insured")</f>
        <v>0</v>
      </c>
      <c r="BB5" s="5">
        <f>COUNTIFS(tblAdmissions[Month],8,tblAdmissions[AgeUnit],"Months",tblAdmissions[Age],"&gt;="&amp;1,tblAdmissions[Age],"&lt;="&amp;11,tblAdmissions[Sex],"F",tblAdmissions[NHIS],"Non-Insured")</f>
        <v>0</v>
      </c>
      <c r="BC5" s="5">
        <f>COUNTIFS(tblAdmissions[Month],8,tblAdmissions[AgeUnit],"Months",tblAdmissions[Age],"&gt;="&amp;1,tblAdmissions[Age],"&lt;="&amp;11,tblAdmissions[Sex],"M",tblAdmissions[NHIS],"Insured")</f>
        <v>0</v>
      </c>
      <c r="BD5" s="5">
        <f>COUNTIFS(tblAdmissions[Month],8,tblAdmissions[AgeUnit],"Months",tblAdmissions[Age],"&gt;="&amp;1,tblAdmissions[Age],"&lt;="&amp;11,tblAdmissions[Sex],"F",tblAdmissions[NHIS],"Insured")</f>
        <v>0</v>
      </c>
      <c r="BE5" s="5" t="s">
        <v>138</v>
      </c>
      <c r="BF5" s="5">
        <f>COUNTIFS(tblAdmissions[Month],9,tblAdmissions[AgeUnit],"Months",tblAdmissions[Age],"&gt;="&amp;1,tblAdmissions[Age],"&lt;="&amp;11,tblAdmissions[Sex],"M")</f>
        <v>0</v>
      </c>
      <c r="BG5" s="5">
        <f>COUNTIFS(tblAdmissions[Month],9,tblAdmissions[AgeUnit],"Months",tblAdmissions[Age],"&gt;="&amp;1,tblAdmissions[Age],"&lt;="&amp;11,tblAdmissions[Sex],"F")</f>
        <v>0</v>
      </c>
      <c r="BH5" s="5">
        <f>COUNTIFS(tblAdmissions[Month],9,tblAdmissions[AgeUnit],"Months",tblAdmissions[Age],"&gt;="&amp;1,tblAdmissions[Age],"&lt;="&amp;11,tblAdmissions[Sex],"M",tblAdmissions[NHIS],"Non-Insured")</f>
        <v>0</v>
      </c>
      <c r="BI5" s="5">
        <f>COUNTIFS(tblAdmissions[Month],9,tblAdmissions[AgeUnit],"Months",tblAdmissions[Age],"&gt;="&amp;1,tblAdmissions[Age],"&lt;="&amp;11,tblAdmissions[Sex],"F",tblAdmissions[NHIS],"Non-Insured")</f>
        <v>0</v>
      </c>
      <c r="BJ5" s="5">
        <f>COUNTIFS(tblAdmissions[Month],9,tblAdmissions[AgeUnit],"Months",tblAdmissions[Age],"&gt;="&amp;1,tblAdmissions[Age],"&lt;="&amp;11,tblAdmissions[Sex],"M",tblAdmissions[NHIS],"Insured")</f>
        <v>0</v>
      </c>
      <c r="BK5" s="5">
        <f>COUNTIFS(tblAdmissions[Month],9,tblAdmissions[AgeUnit],"Months",tblAdmissions[Age],"&gt;="&amp;1,tblAdmissions[Age],"&lt;="&amp;11,tblAdmissions[Sex],"F",tblAdmissions[NHIS],"Insured")</f>
        <v>0</v>
      </c>
      <c r="BL5" s="5" t="s">
        <v>138</v>
      </c>
      <c r="BM5" s="5">
        <f>COUNTIFS(tblAdmissions[Month],10,tblAdmissions[AgeUnit],"Months",tblAdmissions[Age],"&gt;="&amp;1,tblAdmissions[Age],"&lt;="&amp;11,tblAdmissions[Sex],"M")</f>
        <v>0</v>
      </c>
      <c r="BN5" s="5">
        <f>COUNTIFS(tblAdmissions[Month],10,tblAdmissions[AgeUnit],"Months",tblAdmissions[Age],"&gt;="&amp;1,tblAdmissions[Age],"&lt;="&amp;11,tblAdmissions[Sex],"F")</f>
        <v>0</v>
      </c>
      <c r="BO5" s="5">
        <f>COUNTIFS(tblAdmissions[Month],10,tblAdmissions[AgeUnit],"Months",tblAdmissions[Age],"&gt;="&amp;1,tblAdmissions[Age],"&lt;="&amp;11,tblAdmissions[Sex],"M",tblAdmissions[NHIS],"Non-Insured")</f>
        <v>0</v>
      </c>
      <c r="BP5" s="5">
        <f>COUNTIFS(tblAdmissions[Month],10,tblAdmissions[AgeUnit],"Months",tblAdmissions[Age],"&gt;="&amp;1,tblAdmissions[Age],"&lt;="&amp;11,tblAdmissions[Sex],"F",tblAdmissions[NHIS],"Non-Insured")</f>
        <v>0</v>
      </c>
      <c r="BQ5" s="5">
        <f>COUNTIFS(tblAdmissions[Month],10,tblAdmissions[AgeUnit],"Months",tblAdmissions[Age],"&gt;="&amp;1,tblAdmissions[Age],"&lt;="&amp;11,tblAdmissions[Sex],"M",tblAdmissions[NHIS],"Insured")</f>
        <v>0</v>
      </c>
      <c r="BR5" s="5">
        <f>COUNTIFS(tblAdmissions[Month],10,tblAdmissions[AgeUnit],"Months",tblAdmissions[Age],"&gt;="&amp;1,tblAdmissions[Age],"&lt;="&amp;11,tblAdmissions[Sex],"F",tblAdmissions[NHIS],"Insured")</f>
        <v>0</v>
      </c>
      <c r="BS5" s="5" t="s">
        <v>138</v>
      </c>
      <c r="BT5" s="5">
        <f>COUNTIFS(tblAdmissions[Month],11,tblAdmissions[AgeUnit],"Months",tblAdmissions[Age],"&gt;="&amp;1,tblAdmissions[Age],"&lt;="&amp;11,tblAdmissions[Sex],"M")</f>
        <v>0</v>
      </c>
      <c r="BU5" s="5">
        <f>COUNTIFS(tblAdmissions[Month],11,tblAdmissions[AgeUnit],"Months",tblAdmissions[Age],"&gt;="&amp;1,tblAdmissions[Age],"&lt;="&amp;11,tblAdmissions[Sex],"F")</f>
        <v>0</v>
      </c>
      <c r="BV5" s="5">
        <f>COUNTIFS(tblAdmissions[Month],11,tblAdmissions[AgeUnit],"Months",tblAdmissions[Age],"&gt;="&amp;1,tblAdmissions[Age],"&lt;="&amp;11,tblAdmissions[Sex],"M",tblAdmissions[NHIS],"Non-Insured")</f>
        <v>0</v>
      </c>
      <c r="BW5" s="5">
        <f>COUNTIFS(tblAdmissions[Month],11,tblAdmissions[AgeUnit],"Months",tblAdmissions[Age],"&gt;="&amp;1,tblAdmissions[Age],"&lt;="&amp;11,tblAdmissions[Sex],"F",tblAdmissions[NHIS],"Non-Insured")</f>
        <v>0</v>
      </c>
      <c r="BX5" s="5">
        <f>COUNTIFS(tblAdmissions[Month],11,tblAdmissions[AgeUnit],"Months",tblAdmissions[Age],"&gt;="&amp;1,tblAdmissions[Age],"&lt;="&amp;11,tblAdmissions[Sex],"M",tblAdmissions[NHIS],"Insured")</f>
        <v>0</v>
      </c>
      <c r="BY5" s="5">
        <f>COUNTIFS(tblAdmissions[Month],11,tblAdmissions[AgeUnit],"Months",tblAdmissions[Age],"&gt;="&amp;1,tblAdmissions[Age],"&lt;="&amp;11,tblAdmissions[Sex],"F",tblAdmissions[NHIS],"Insured")</f>
        <v>0</v>
      </c>
      <c r="BZ5" s="5" t="s">
        <v>138</v>
      </c>
      <c r="CA5" s="5">
        <f>COUNTIFS(tblAdmissions[Month],12,tblAdmissions[AgeUnit],"Months",tblAdmissions[Age],"&gt;="&amp;1,tblAdmissions[Age],"&lt;="&amp;11,tblAdmissions[Sex],"M")</f>
        <v>0</v>
      </c>
      <c r="CB5" s="5">
        <f>COUNTIFS(tblAdmissions[Month],12,tblAdmissions[AgeUnit],"Months",tblAdmissions[Age],"&gt;="&amp;1,tblAdmissions[Age],"&lt;="&amp;11,tblAdmissions[Sex],"F")</f>
        <v>0</v>
      </c>
      <c r="CC5" s="5">
        <f>COUNTIFS(tblAdmissions[Month],12,tblAdmissions[AgeUnit],"Months",tblAdmissions[Age],"&gt;="&amp;1,tblAdmissions[Age],"&lt;="&amp;11,tblAdmissions[Sex],"M",tblAdmissions[NHIS],"Non-Insured")</f>
        <v>0</v>
      </c>
      <c r="CD5" s="5">
        <f>COUNTIFS(tblAdmissions[Month],12,tblAdmissions[AgeUnit],"Months",tblAdmissions[Age],"&gt;="&amp;1,tblAdmissions[Age],"&lt;="&amp;11,tblAdmissions[Sex],"F",tblAdmissions[NHIS],"Non-Insured")</f>
        <v>0</v>
      </c>
      <c r="CE5" s="5">
        <f>COUNTIFS(tblAdmissions[Month],12,tblAdmissions[AgeUnit],"Months",tblAdmissions[Age],"&gt;="&amp;1,tblAdmissions[Age],"&lt;="&amp;11,tblAdmissions[Sex],"M",tblAdmissions[NHIS],"Insured")</f>
        <v>0</v>
      </c>
      <c r="CF5" s="5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5" t="s">
        <v>139</v>
      </c>
      <c r="B6" s="5">
        <f>COUNTIFS(tblAdmissions[Month],1,tblAdmissions[AgeUnit],"Years",tblAdmissions[Age],"&gt;="&amp;1,tblAdmissions[Age],"&lt;="&amp;4,tblAdmissions[Sex],"M")</f>
        <v>0</v>
      </c>
      <c r="C6" s="5">
        <f>COUNTIFS(tblAdmissions[Month],1,tblAdmissions[AgeUnit],"Years",tblAdmissions[Age],"&gt;="&amp;1,tblAdmissions[Age],"&lt;="&amp;4,tblAdmissions[Sex],"F")</f>
        <v>0</v>
      </c>
      <c r="D6" s="5">
        <f>COUNTIFS(tblAdmissions[Month],1,tblAdmissions[AgeUnit],"Years",tblAdmissions[Age],"&gt;="&amp;1,tblAdmissions[Age],"&lt;="&amp;4,tblAdmissions[Sex],"M",tblAdmissions[NHIS],"Non-Insured")</f>
        <v>0</v>
      </c>
      <c r="E6" s="5">
        <f>COUNTIFS(tblAdmissions[Month],1,tblAdmissions[AgeUnit],"Years",tblAdmissions[Age],"&gt;="&amp;1,tblAdmissions[Age],"&lt;="&amp;4,tblAdmissions[Sex],"F",tblAdmissions[NHIS],"Non-Insured")</f>
        <v>0</v>
      </c>
      <c r="F6" s="5">
        <f>COUNTIFS(tblAdmissions[Month],1,tblAdmissions[AgeUnit],"Years",tblAdmissions[Age],"&gt;="&amp;1,tblAdmissions[Age],"&lt;="&amp;4,tblAdmissions[Sex],"M",tblAdmissions[NHIS],"Insured")</f>
        <v>0</v>
      </c>
      <c r="G6" s="5">
        <f>COUNTIFS(tblAdmissions[Month],1,tblAdmissions[AgeUnit],"Years",tblAdmissions[Age],"&gt;="&amp;1,tblAdmissions[Age],"&lt;="&amp;4,tblAdmissions[Sex],"F",tblAdmissions[NHIS],"Insured")</f>
        <v>0</v>
      </c>
      <c r="H6" s="5" t="s">
        <v>139</v>
      </c>
      <c r="I6" s="5">
        <f>COUNTIFS(tblAdmissions[Month],2,tblAdmissions[AgeUnit],"Years",tblAdmissions[Age],"&gt;="&amp;1,tblAdmissions[Age],"&lt;="&amp;4,tblAdmissions[Sex],"M")</f>
        <v>0</v>
      </c>
      <c r="J6" s="5">
        <f>COUNTIFS(tblAdmissions[Month],2,tblAdmissions[AgeUnit],"Years",tblAdmissions[Age],"&gt;="&amp;1,tblAdmissions[Age],"&lt;="&amp;4,tblAdmissions[Sex],"F")</f>
        <v>0</v>
      </c>
      <c r="K6" s="5">
        <f>COUNTIFS(tblAdmissions[Month],2,tblAdmissions[AgeUnit],"Years",tblAdmissions[Age],"&gt;="&amp;1,tblAdmissions[Age],"&lt;="&amp;4,tblAdmissions[Sex],"M",tblAdmissions[NHIS],"Non-Insured")</f>
        <v>0</v>
      </c>
      <c r="L6" s="5">
        <f>COUNTIFS(tblAdmissions[Month],2,tblAdmissions[AgeUnit],"Years",tblAdmissions[Age],"&gt;="&amp;1,tblAdmissions[Age],"&lt;="&amp;4,tblAdmissions[Sex],"F",tblAdmissions[NHIS],"Non-Insured")</f>
        <v>0</v>
      </c>
      <c r="M6" s="5">
        <f>COUNTIFS(tblAdmissions[Month],2,tblAdmissions[AgeUnit],"Years",tblAdmissions[Age],"&gt;="&amp;1,tblAdmissions[Age],"&lt;="&amp;4,tblAdmissions[Sex],"M",tblAdmissions[NHIS],"Insured")</f>
        <v>0</v>
      </c>
      <c r="N6" s="5">
        <f>COUNTIFS(tblAdmissions[Month],2,tblAdmissions[AgeUnit],"Years",tblAdmissions[Age],"&gt;="&amp;1,tblAdmissions[Age],"&lt;="&amp;4,tblAdmissions[Sex],"F",tblAdmissions[NHIS],"Insured")</f>
        <v>0</v>
      </c>
      <c r="O6" s="5" t="s">
        <v>139</v>
      </c>
      <c r="P6" s="5">
        <f>COUNTIFS(tblAdmissions[Month],3,tblAdmissions[AgeUnit],"Years",tblAdmissions[Age],"&gt;="&amp;1,tblAdmissions[Age],"&lt;="&amp;4,tblAdmissions[Sex],"M")</f>
        <v>0</v>
      </c>
      <c r="Q6" s="5">
        <f>COUNTIFS(tblAdmissions[Month],3,tblAdmissions[AgeUnit],"Years",tblAdmissions[Age],"&gt;="&amp;1,tblAdmissions[Age],"&lt;="&amp;4,tblAdmissions[Sex],"F")</f>
        <v>0</v>
      </c>
      <c r="R6" s="5">
        <f>COUNTIFS(tblAdmissions[Month],3,tblAdmissions[AgeUnit],"Years",tblAdmissions[Age],"&gt;="&amp;1,tblAdmissions[Age],"&lt;="&amp;4,tblAdmissions[Sex],"M",tblAdmissions[NHIS],"Non-Insured")</f>
        <v>0</v>
      </c>
      <c r="S6" s="5">
        <f>COUNTIFS(tblAdmissions[Month],3,tblAdmissions[AgeUnit],"Years",tblAdmissions[Age],"&gt;="&amp;1,tblAdmissions[Age],"&lt;="&amp;4,tblAdmissions[Sex],"F",tblAdmissions[NHIS],"Non-Insured")</f>
        <v>0</v>
      </c>
      <c r="T6" s="5">
        <f>COUNTIFS(tblAdmissions[Month],3,tblAdmissions[AgeUnit],"Years",tblAdmissions[Age],"&gt;="&amp;1,tblAdmissions[Age],"&lt;="&amp;4,tblAdmissions[Sex],"M",tblAdmissions[NHIS],"Insured")</f>
        <v>0</v>
      </c>
      <c r="U6" s="5">
        <f>COUNTIFS(tblAdmissions[Month],3,tblAdmissions[AgeUnit],"Years",tblAdmissions[Age],"&gt;="&amp;1,tblAdmissions[Age],"&lt;="&amp;4,tblAdmissions[Sex],"F",tblAdmissions[NHIS],"Insured")</f>
        <v>0</v>
      </c>
      <c r="V6" s="5" t="s">
        <v>139</v>
      </c>
      <c r="W6" s="5">
        <f>COUNTIFS(tblAdmissions[Month],4,tblAdmissions[AgeUnit],"Years",tblAdmissions[Age],"&gt;="&amp;1,tblAdmissions[Age],"&lt;="&amp;4,tblAdmissions[Sex],"M")</f>
        <v>0</v>
      </c>
      <c r="X6" s="5">
        <f>COUNTIFS(tblAdmissions[Month],4,tblAdmissions[AgeUnit],"Years",tblAdmissions[Age],"&gt;="&amp;1,tblAdmissions[Age],"&lt;="&amp;4,tblAdmissions[Sex],"F")</f>
        <v>0</v>
      </c>
      <c r="Y6" s="5">
        <f>COUNTIFS(tblAdmissions[Month],4,tblAdmissions[AgeUnit],"Years",tblAdmissions[Age],"&gt;="&amp;1,tblAdmissions[Age],"&lt;="&amp;4,tblAdmissions[Sex],"M",tblAdmissions[NHIS],"Non-Insured")</f>
        <v>0</v>
      </c>
      <c r="Z6" s="5">
        <f>COUNTIFS(tblAdmissions[Month],4,tblAdmissions[AgeUnit],"Years",tblAdmissions[Age],"&gt;="&amp;1,tblAdmissions[Age],"&lt;="&amp;4,tblAdmissions[Sex],"F",tblAdmissions[NHIS],"Non-Insured")</f>
        <v>0</v>
      </c>
      <c r="AA6" s="5">
        <f>COUNTIFS(tblAdmissions[Month],4,tblAdmissions[AgeUnit],"Years",tblAdmissions[Age],"&gt;="&amp;1,tblAdmissions[Age],"&lt;="&amp;4,tblAdmissions[Sex],"M",tblAdmissions[NHIS],"Insured")</f>
        <v>0</v>
      </c>
      <c r="AB6" s="5">
        <f>COUNTIFS(tblAdmissions[Month],4,tblAdmissions[AgeUnit],"Years",tblAdmissions[Age],"&gt;="&amp;1,tblAdmissions[Age],"&lt;="&amp;4,tblAdmissions[Sex],"F",tblAdmissions[NHIS],"Insured")</f>
        <v>0</v>
      </c>
      <c r="AC6" s="5" t="s">
        <v>139</v>
      </c>
      <c r="AD6" s="5">
        <f>COUNTIFS(tblAdmissions[Month],5,tblAdmissions[AgeUnit],"Years",tblAdmissions[Age],"&gt;="&amp;1,tblAdmissions[Age],"&lt;="&amp;4,tblAdmissions[Sex],"M")</f>
        <v>0</v>
      </c>
      <c r="AE6" s="5">
        <f>COUNTIFS(tblAdmissions[Month],5,tblAdmissions[AgeUnit],"Years",tblAdmissions[Age],"&gt;="&amp;1,tblAdmissions[Age],"&lt;="&amp;4,tblAdmissions[Sex],"F")</f>
        <v>0</v>
      </c>
      <c r="AF6" s="5">
        <f>COUNTIFS(tblAdmissions[Month],5,tblAdmissions[AgeUnit],"Years",tblAdmissions[Age],"&gt;="&amp;1,tblAdmissions[Age],"&lt;="&amp;4,tblAdmissions[Sex],"M",tblAdmissions[NHIS],"Non-Insured")</f>
        <v>0</v>
      </c>
      <c r="AG6" s="5">
        <f>COUNTIFS(tblAdmissions[Month],5,tblAdmissions[AgeUnit],"Years",tblAdmissions[Age],"&gt;="&amp;1,tblAdmissions[Age],"&lt;="&amp;4,tblAdmissions[Sex],"F",tblAdmissions[NHIS],"Non-Insured")</f>
        <v>0</v>
      </c>
      <c r="AH6" s="5">
        <f>COUNTIFS(tblAdmissions[Month],5,tblAdmissions[AgeUnit],"Years",tblAdmissions[Age],"&gt;="&amp;1,tblAdmissions[Age],"&lt;="&amp;4,tblAdmissions[Sex],"M",tblAdmissions[NHIS],"Insured")</f>
        <v>0</v>
      </c>
      <c r="AI6" s="5">
        <f>COUNTIFS(tblAdmissions[Month],5,tblAdmissions[AgeUnit],"Years",tblAdmissions[Age],"&gt;="&amp;1,tblAdmissions[Age],"&lt;="&amp;4,tblAdmissions[Sex],"F",tblAdmissions[NHIS],"Insured")</f>
        <v>0</v>
      </c>
      <c r="AJ6" s="5" t="s">
        <v>139</v>
      </c>
      <c r="AK6" s="5">
        <f>COUNTIFS(tblAdmissions[Month],6,tblAdmissions[AgeUnit],"Years",tblAdmissions[Age],"&gt;="&amp;1,tblAdmissions[Age],"&lt;="&amp;4,tblAdmissions[Sex],"M")</f>
        <v>0</v>
      </c>
      <c r="AL6" s="5">
        <f>COUNTIFS(tblAdmissions[Month],6,tblAdmissions[AgeUnit],"Years",tblAdmissions[Age],"&gt;="&amp;1,tblAdmissions[Age],"&lt;="&amp;4,tblAdmissions[Sex],"F")</f>
        <v>0</v>
      </c>
      <c r="AM6" s="5">
        <f>COUNTIFS(tblAdmissions[Month],6,tblAdmissions[AgeUnit],"Years",tblAdmissions[Age],"&gt;="&amp;1,tblAdmissions[Age],"&lt;="&amp;4,tblAdmissions[Sex],"M",tblAdmissions[NHIS],"Non-Insured")</f>
        <v>0</v>
      </c>
      <c r="AN6" s="5">
        <f>COUNTIFS(tblAdmissions[Month],6,tblAdmissions[AgeUnit],"Years",tblAdmissions[Age],"&gt;="&amp;1,tblAdmissions[Age],"&lt;="&amp;4,tblAdmissions[Sex],"F",tblAdmissions[NHIS],"Non-Insured")</f>
        <v>0</v>
      </c>
      <c r="AO6" s="5">
        <f>COUNTIFS(tblAdmissions[Month],6,tblAdmissions[AgeUnit],"Years",tblAdmissions[Age],"&gt;="&amp;1,tblAdmissions[Age],"&lt;="&amp;4,tblAdmissions[Sex],"M",tblAdmissions[NHIS],"Insured")</f>
        <v>0</v>
      </c>
      <c r="AP6" s="5">
        <f>COUNTIFS(tblAdmissions[Month],6,tblAdmissions[AgeUnit],"Years",tblAdmissions[Age],"&gt;="&amp;1,tblAdmissions[Age],"&lt;="&amp;4,tblAdmissions[Sex],"F",tblAdmissions[NHIS],"Insured")</f>
        <v>0</v>
      </c>
      <c r="AQ6" s="5" t="s">
        <v>139</v>
      </c>
      <c r="AR6" s="5">
        <f>COUNTIFS(tblAdmissions[Month],7,tblAdmissions[AgeUnit],"Years",tblAdmissions[Age],"&gt;="&amp;1,tblAdmissions[Age],"&lt;="&amp;4,tblAdmissions[Sex],"M")</f>
        <v>0</v>
      </c>
      <c r="AS6" s="5">
        <f>COUNTIFS(tblAdmissions[Month],7,tblAdmissions[AgeUnit],"Years",tblAdmissions[Age],"&gt;="&amp;1,tblAdmissions[Age],"&lt;="&amp;4,tblAdmissions[Sex],"F")</f>
        <v>0</v>
      </c>
      <c r="AT6" s="5">
        <f>COUNTIFS(tblAdmissions[Month],7,tblAdmissions[AgeUnit],"Years",tblAdmissions[Age],"&gt;="&amp;1,tblAdmissions[Age],"&lt;="&amp;4,tblAdmissions[Sex],"M",tblAdmissions[NHIS],"Non-Insured")</f>
        <v>0</v>
      </c>
      <c r="AU6" s="5">
        <f>COUNTIFS(tblAdmissions[Month],7,tblAdmissions[AgeUnit],"Years",tblAdmissions[Age],"&gt;="&amp;1,tblAdmissions[Age],"&lt;="&amp;4,tblAdmissions[Sex],"F",tblAdmissions[NHIS],"Non-Insured")</f>
        <v>0</v>
      </c>
      <c r="AV6" s="5">
        <f>COUNTIFS(tblAdmissions[Month],7,tblAdmissions[AgeUnit],"Years",tblAdmissions[Age],"&gt;="&amp;1,tblAdmissions[Age],"&lt;="&amp;4,tblAdmissions[Sex],"M",tblAdmissions[NHIS],"Insured")</f>
        <v>0</v>
      </c>
      <c r="AW6" s="5">
        <f>COUNTIFS(tblAdmissions[Month],7,tblAdmissions[AgeUnit],"Years",tblAdmissions[Age],"&gt;="&amp;1,tblAdmissions[Age],"&lt;="&amp;4,tblAdmissions[Sex],"F",tblAdmissions[NHIS],"Insured")</f>
        <v>0</v>
      </c>
      <c r="AX6" s="5" t="s">
        <v>139</v>
      </c>
      <c r="AY6" s="5">
        <f>COUNTIFS(tblAdmissions[Month],8,tblAdmissions[AgeUnit],"Years",tblAdmissions[Age],"&gt;="&amp;1,tblAdmissions[Age],"&lt;="&amp;4,tblAdmissions[Sex],"M")</f>
        <v>0</v>
      </c>
      <c r="AZ6" s="5">
        <f>COUNTIFS(tblAdmissions[Month],8,tblAdmissions[AgeUnit],"Years",tblAdmissions[Age],"&gt;="&amp;1,tblAdmissions[Age],"&lt;="&amp;4,tblAdmissions[Sex],"F")</f>
        <v>0</v>
      </c>
      <c r="BA6" s="5">
        <f>COUNTIFS(tblAdmissions[Month],8,tblAdmissions[AgeUnit],"Years",tblAdmissions[Age],"&gt;="&amp;1,tblAdmissions[Age],"&lt;="&amp;4,tblAdmissions[Sex],"M",tblAdmissions[NHIS],"Non-Insured")</f>
        <v>0</v>
      </c>
      <c r="BB6" s="5">
        <f>COUNTIFS(tblAdmissions[Month],8,tblAdmissions[AgeUnit],"Years",tblAdmissions[Age],"&gt;="&amp;1,tblAdmissions[Age],"&lt;="&amp;4,tblAdmissions[Sex],"F",tblAdmissions[NHIS],"Non-Insured")</f>
        <v>0</v>
      </c>
      <c r="BC6" s="5">
        <f>COUNTIFS(tblAdmissions[Month],8,tblAdmissions[AgeUnit],"Years",tblAdmissions[Age],"&gt;="&amp;1,tblAdmissions[Age],"&lt;="&amp;4,tblAdmissions[Sex],"M",tblAdmissions[NHIS],"Insured")</f>
        <v>0</v>
      </c>
      <c r="BD6" s="5">
        <f>COUNTIFS(tblAdmissions[Month],8,tblAdmissions[AgeUnit],"Years",tblAdmissions[Age],"&gt;="&amp;1,tblAdmissions[Age],"&lt;="&amp;4,tblAdmissions[Sex],"F",tblAdmissions[NHIS],"Insured")</f>
        <v>0</v>
      </c>
      <c r="BE6" s="5" t="s">
        <v>139</v>
      </c>
      <c r="BF6" s="5">
        <f>COUNTIFS(tblAdmissions[Month],9,tblAdmissions[AgeUnit],"Years",tblAdmissions[Age],"&gt;="&amp;1,tblAdmissions[Age],"&lt;="&amp;4,tblAdmissions[Sex],"M")</f>
        <v>0</v>
      </c>
      <c r="BG6" s="5">
        <f>COUNTIFS(tblAdmissions[Month],9,tblAdmissions[AgeUnit],"Years",tblAdmissions[Age],"&gt;="&amp;1,tblAdmissions[Age],"&lt;="&amp;4,tblAdmissions[Sex],"F")</f>
        <v>0</v>
      </c>
      <c r="BH6" s="5">
        <f>COUNTIFS(tblAdmissions[Month],9,tblAdmissions[AgeUnit],"Years",tblAdmissions[Age],"&gt;="&amp;1,tblAdmissions[Age],"&lt;="&amp;4,tblAdmissions[Sex],"M",tblAdmissions[NHIS],"Non-Insured")</f>
        <v>0</v>
      </c>
      <c r="BI6" s="5">
        <f>COUNTIFS(tblAdmissions[Month],9,tblAdmissions[AgeUnit],"Years",tblAdmissions[Age],"&gt;="&amp;1,tblAdmissions[Age],"&lt;="&amp;4,tblAdmissions[Sex],"F",tblAdmissions[NHIS],"Non-Insured")</f>
        <v>0</v>
      </c>
      <c r="BJ6" s="5">
        <f>COUNTIFS(tblAdmissions[Month],9,tblAdmissions[AgeUnit],"Years",tblAdmissions[Age],"&gt;="&amp;1,tblAdmissions[Age],"&lt;="&amp;4,tblAdmissions[Sex],"M",tblAdmissions[NHIS],"Insured")</f>
        <v>0</v>
      </c>
      <c r="BK6" s="5">
        <f>COUNTIFS(tblAdmissions[Month],9,tblAdmissions[AgeUnit],"Years",tblAdmissions[Age],"&gt;="&amp;1,tblAdmissions[Age],"&lt;="&amp;4,tblAdmissions[Sex],"F",tblAdmissions[NHIS],"Insured")</f>
        <v>0</v>
      </c>
      <c r="BL6" s="5" t="s">
        <v>139</v>
      </c>
      <c r="BM6" s="5">
        <f>COUNTIFS(tblAdmissions[Month],10,tblAdmissions[AgeUnit],"Years",tblAdmissions[Age],"&gt;="&amp;1,tblAdmissions[Age],"&lt;="&amp;4,tblAdmissions[Sex],"M")</f>
        <v>0</v>
      </c>
      <c r="BN6" s="5">
        <f>COUNTIFS(tblAdmissions[Month],10,tblAdmissions[AgeUnit],"Years",tblAdmissions[Age],"&gt;="&amp;1,tblAdmissions[Age],"&lt;="&amp;4,tblAdmissions[Sex],"F")</f>
        <v>0</v>
      </c>
      <c r="BO6" s="5">
        <f>COUNTIFS(tblAdmissions[Month],10,tblAdmissions[AgeUnit],"Years",tblAdmissions[Age],"&gt;="&amp;1,tblAdmissions[Age],"&lt;="&amp;4,tblAdmissions[Sex],"M",tblAdmissions[NHIS],"Non-Insured")</f>
        <v>0</v>
      </c>
      <c r="BP6" s="5">
        <f>COUNTIFS(tblAdmissions[Month],10,tblAdmissions[AgeUnit],"Years",tblAdmissions[Age],"&gt;="&amp;1,tblAdmissions[Age],"&lt;="&amp;4,tblAdmissions[Sex],"F",tblAdmissions[NHIS],"Non-Insured")</f>
        <v>0</v>
      </c>
      <c r="BQ6" s="5">
        <f>COUNTIFS(tblAdmissions[Month],10,tblAdmissions[AgeUnit],"Years",tblAdmissions[Age],"&gt;="&amp;1,tblAdmissions[Age],"&lt;="&amp;4,tblAdmissions[Sex],"M",tblAdmissions[NHIS],"Insured")</f>
        <v>0</v>
      </c>
      <c r="BR6" s="5">
        <f>COUNTIFS(tblAdmissions[Month],10,tblAdmissions[AgeUnit],"Years",tblAdmissions[Age],"&gt;="&amp;1,tblAdmissions[Age],"&lt;="&amp;4,tblAdmissions[Sex],"F",tblAdmissions[NHIS],"Insured")</f>
        <v>0</v>
      </c>
      <c r="BS6" s="5" t="s">
        <v>139</v>
      </c>
      <c r="BT6" s="5">
        <f>COUNTIFS(tblAdmissions[Month],11,tblAdmissions[AgeUnit],"Years",tblAdmissions[Age],"&gt;="&amp;1,tblAdmissions[Age],"&lt;="&amp;4,tblAdmissions[Sex],"M")</f>
        <v>0</v>
      </c>
      <c r="BU6" s="5">
        <f>COUNTIFS(tblAdmissions[Month],11,tblAdmissions[AgeUnit],"Years",tblAdmissions[Age],"&gt;="&amp;1,tblAdmissions[Age],"&lt;="&amp;4,tblAdmissions[Sex],"F")</f>
        <v>0</v>
      </c>
      <c r="BV6" s="5">
        <f>COUNTIFS(tblAdmissions[Month],11,tblAdmissions[AgeUnit],"Years",tblAdmissions[Age],"&gt;="&amp;1,tblAdmissions[Age],"&lt;="&amp;4,tblAdmissions[Sex],"M",tblAdmissions[NHIS],"Non-Insured")</f>
        <v>0</v>
      </c>
      <c r="BW6" s="5">
        <f>COUNTIFS(tblAdmissions[Month],11,tblAdmissions[AgeUnit],"Years",tblAdmissions[Age],"&gt;="&amp;1,tblAdmissions[Age],"&lt;="&amp;4,tblAdmissions[Sex],"F",tblAdmissions[NHIS],"Non-Insured")</f>
        <v>0</v>
      </c>
      <c r="BX6" s="5">
        <f>COUNTIFS(tblAdmissions[Month],11,tblAdmissions[AgeUnit],"Years",tblAdmissions[Age],"&gt;="&amp;1,tblAdmissions[Age],"&lt;="&amp;4,tblAdmissions[Sex],"M",tblAdmissions[NHIS],"Insured")</f>
        <v>0</v>
      </c>
      <c r="BY6" s="5">
        <f>COUNTIFS(tblAdmissions[Month],11,tblAdmissions[AgeUnit],"Years",tblAdmissions[Age],"&gt;="&amp;1,tblAdmissions[Age],"&lt;="&amp;4,tblAdmissions[Sex],"F",tblAdmissions[NHIS],"Insured")</f>
        <v>0</v>
      </c>
      <c r="BZ6" s="5" t="s">
        <v>139</v>
      </c>
      <c r="CA6" s="5">
        <f>COUNTIFS(tblAdmissions[Month],12,tblAdmissions[AgeUnit],"Years",tblAdmissions[Age],"&gt;="&amp;1,tblAdmissions[Age],"&lt;="&amp;4,tblAdmissions[Sex],"M")</f>
        <v>0</v>
      </c>
      <c r="CB6" s="5">
        <f>COUNTIFS(tblAdmissions[Month],12,tblAdmissions[AgeUnit],"Years",tblAdmissions[Age],"&gt;="&amp;1,tblAdmissions[Age],"&lt;="&amp;4,tblAdmissions[Sex],"F")</f>
        <v>0</v>
      </c>
      <c r="CC6" s="5">
        <f>COUNTIFS(tblAdmissions[Month],12,tblAdmissions[AgeUnit],"Years",tblAdmissions[Age],"&gt;="&amp;1,tblAdmissions[Age],"&lt;="&amp;4,tblAdmissions[Sex],"M",tblAdmissions[NHIS],"Non-Insured")</f>
        <v>0</v>
      </c>
      <c r="CD6" s="5">
        <f>COUNTIFS(tblAdmissions[Month],12,tblAdmissions[AgeUnit],"Years",tblAdmissions[Age],"&gt;="&amp;1,tblAdmissions[Age],"&lt;="&amp;4,tblAdmissions[Sex],"F",tblAdmissions[NHIS],"Non-Insured")</f>
        <v>0</v>
      </c>
      <c r="CE6" s="5">
        <f>COUNTIFS(tblAdmissions[Month],12,tblAdmissions[AgeUnit],"Years",tblAdmissions[Age],"&gt;="&amp;1,tblAdmissions[Age],"&lt;="&amp;4,tblAdmissions[Sex],"M",tblAdmissions[NHIS],"Insured")</f>
        <v>0</v>
      </c>
      <c r="CF6" s="5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5" t="s">
        <v>140</v>
      </c>
      <c r="B7" s="5">
        <f>COUNTIFS(tblAdmissions[Month],1,tblAdmissions[AgeUnit],"Years",tblAdmissions[Age],"&gt;="&amp;5,tblAdmissions[Age],"&lt;="&amp;9,tblAdmissions[Sex],"M")</f>
        <v>0</v>
      </c>
      <c r="C7" s="5">
        <f>COUNTIFS(tblAdmissions[Month],1,tblAdmissions[AgeUnit],"Years",tblAdmissions[Age],"&gt;="&amp;5,tblAdmissions[Age],"&lt;="&amp;9,tblAdmissions[Sex],"F")</f>
        <v>0</v>
      </c>
      <c r="D7" s="5">
        <f>COUNTIFS(tblAdmissions[Month],1,tblAdmissions[AgeUnit],"Years",tblAdmissions[Age],"&gt;="&amp;5,tblAdmissions[Age],"&lt;="&amp;9,tblAdmissions[Sex],"M",tblAdmissions[NHIS],"Non-Insured")</f>
        <v>0</v>
      </c>
      <c r="E7" s="5">
        <f>COUNTIFS(tblAdmissions[Month],1,tblAdmissions[AgeUnit],"Years",tblAdmissions[Age],"&gt;="&amp;5,tblAdmissions[Age],"&lt;="&amp;9,tblAdmissions[Sex],"F",tblAdmissions[NHIS],"Non-Insured")</f>
        <v>0</v>
      </c>
      <c r="F7" s="5">
        <f>COUNTIFS(tblAdmissions[Month],1,tblAdmissions[AgeUnit],"Years",tblAdmissions[Age],"&gt;="&amp;5,tblAdmissions[Age],"&lt;="&amp;9,tblAdmissions[Sex],"M",tblAdmissions[NHIS],"Insured")</f>
        <v>0</v>
      </c>
      <c r="G7" s="5">
        <f>COUNTIFS(tblAdmissions[Month],1,tblAdmissions[AgeUnit],"Years",tblAdmissions[Age],"&gt;="&amp;5,tblAdmissions[Age],"&lt;="&amp;9,tblAdmissions[Sex],"F",tblAdmissions[NHIS],"Insured")</f>
        <v>0</v>
      </c>
      <c r="H7" s="5" t="s">
        <v>140</v>
      </c>
      <c r="I7" s="5">
        <f>COUNTIFS(tblAdmissions[Month],2,tblAdmissions[AgeUnit],"Years",tblAdmissions[Age],"&gt;="&amp;5,tblAdmissions[Age],"&lt;="&amp;9,tblAdmissions[Sex],"M")</f>
        <v>0</v>
      </c>
      <c r="J7" s="5">
        <f>COUNTIFS(tblAdmissions[Month],2,tblAdmissions[AgeUnit],"Years",tblAdmissions[Age],"&gt;="&amp;5,tblAdmissions[Age],"&lt;="&amp;9,tblAdmissions[Sex],"F")</f>
        <v>0</v>
      </c>
      <c r="K7" s="5">
        <f>COUNTIFS(tblAdmissions[Month],2,tblAdmissions[AgeUnit],"Years",tblAdmissions[Age],"&gt;="&amp;5,tblAdmissions[Age],"&lt;="&amp;9,tblAdmissions[Sex],"M",tblAdmissions[NHIS],"Non-Insured")</f>
        <v>0</v>
      </c>
      <c r="L7" s="5">
        <f>COUNTIFS(tblAdmissions[Month],2,tblAdmissions[AgeUnit],"Years",tblAdmissions[Age],"&gt;="&amp;5,tblAdmissions[Age],"&lt;="&amp;9,tblAdmissions[Sex],"F",tblAdmissions[NHIS],"Non-Insured")</f>
        <v>0</v>
      </c>
      <c r="M7" s="5">
        <f>COUNTIFS(tblAdmissions[Month],2,tblAdmissions[AgeUnit],"Years",tblAdmissions[Age],"&gt;="&amp;5,tblAdmissions[Age],"&lt;="&amp;9,tblAdmissions[Sex],"M",tblAdmissions[NHIS],"Insured")</f>
        <v>0</v>
      </c>
      <c r="N7" s="5">
        <f>COUNTIFS(tblAdmissions[Month],2,tblAdmissions[AgeUnit],"Years",tblAdmissions[Age],"&gt;="&amp;5,tblAdmissions[Age],"&lt;="&amp;9,tblAdmissions[Sex],"F",tblAdmissions[NHIS],"Insured")</f>
        <v>0</v>
      </c>
      <c r="O7" s="5" t="s">
        <v>140</v>
      </c>
      <c r="P7" s="5">
        <f>COUNTIFS(tblAdmissions[Month],3,tblAdmissions[AgeUnit],"Years",tblAdmissions[Age],"&gt;="&amp;5,tblAdmissions[Age],"&lt;="&amp;9,tblAdmissions[Sex],"M")</f>
        <v>0</v>
      </c>
      <c r="Q7" s="5">
        <f>COUNTIFS(tblAdmissions[Month],3,tblAdmissions[AgeUnit],"Years",tblAdmissions[Age],"&gt;="&amp;5,tblAdmissions[Age],"&lt;="&amp;9,tblAdmissions[Sex],"F")</f>
        <v>0</v>
      </c>
      <c r="R7" s="5">
        <f>COUNTIFS(tblAdmissions[Month],3,tblAdmissions[AgeUnit],"Years",tblAdmissions[Age],"&gt;="&amp;5,tblAdmissions[Age],"&lt;="&amp;9,tblAdmissions[Sex],"M",tblAdmissions[NHIS],"Non-Insured")</f>
        <v>0</v>
      </c>
      <c r="S7" s="5">
        <f>COUNTIFS(tblAdmissions[Month],3,tblAdmissions[AgeUnit],"Years",tblAdmissions[Age],"&gt;="&amp;5,tblAdmissions[Age],"&lt;="&amp;9,tblAdmissions[Sex],"F",tblAdmissions[NHIS],"Non-Insured")</f>
        <v>0</v>
      </c>
      <c r="T7" s="5">
        <f>COUNTIFS(tblAdmissions[Month],3,tblAdmissions[AgeUnit],"Years",tblAdmissions[Age],"&gt;="&amp;5,tblAdmissions[Age],"&lt;="&amp;9,tblAdmissions[Sex],"M",tblAdmissions[NHIS],"Insured")</f>
        <v>0</v>
      </c>
      <c r="U7" s="5">
        <f>COUNTIFS(tblAdmissions[Month],3,tblAdmissions[AgeUnit],"Years",tblAdmissions[Age],"&gt;="&amp;5,tblAdmissions[Age],"&lt;="&amp;9,tblAdmissions[Sex],"F",tblAdmissions[NHIS],"Insured")</f>
        <v>0</v>
      </c>
      <c r="V7" s="5" t="s">
        <v>140</v>
      </c>
      <c r="W7" s="5">
        <f>COUNTIFS(tblAdmissions[Month],4,tblAdmissions[AgeUnit],"Years",tblAdmissions[Age],"&gt;="&amp;5,tblAdmissions[Age],"&lt;="&amp;9,tblAdmissions[Sex],"M")</f>
        <v>0</v>
      </c>
      <c r="X7" s="5">
        <f>COUNTIFS(tblAdmissions[Month],4,tblAdmissions[AgeUnit],"Years",tblAdmissions[Age],"&gt;="&amp;5,tblAdmissions[Age],"&lt;="&amp;9,tblAdmissions[Sex],"F")</f>
        <v>0</v>
      </c>
      <c r="Y7" s="5">
        <f>COUNTIFS(tblAdmissions[Month],4,tblAdmissions[AgeUnit],"Years",tblAdmissions[Age],"&gt;="&amp;5,tblAdmissions[Age],"&lt;="&amp;9,tblAdmissions[Sex],"M",tblAdmissions[NHIS],"Non-Insured")</f>
        <v>0</v>
      </c>
      <c r="Z7" s="5">
        <f>COUNTIFS(tblAdmissions[Month],4,tblAdmissions[AgeUnit],"Years",tblAdmissions[Age],"&gt;="&amp;5,tblAdmissions[Age],"&lt;="&amp;9,tblAdmissions[Sex],"F",tblAdmissions[NHIS],"Non-Insured")</f>
        <v>0</v>
      </c>
      <c r="AA7" s="5">
        <f>COUNTIFS(tblAdmissions[Month],4,tblAdmissions[AgeUnit],"Years",tblAdmissions[Age],"&gt;="&amp;5,tblAdmissions[Age],"&lt;="&amp;9,tblAdmissions[Sex],"M",tblAdmissions[NHIS],"Insured")</f>
        <v>0</v>
      </c>
      <c r="AB7" s="5">
        <f>COUNTIFS(tblAdmissions[Month],4,tblAdmissions[AgeUnit],"Years",tblAdmissions[Age],"&gt;="&amp;5,tblAdmissions[Age],"&lt;="&amp;9,tblAdmissions[Sex],"F",tblAdmissions[NHIS],"Insured")</f>
        <v>0</v>
      </c>
      <c r="AC7" s="5" t="s">
        <v>140</v>
      </c>
      <c r="AD7" s="5">
        <f>COUNTIFS(tblAdmissions[Month],5,tblAdmissions[AgeUnit],"Years",tblAdmissions[Age],"&gt;="&amp;5,tblAdmissions[Age],"&lt;="&amp;9,tblAdmissions[Sex],"M")</f>
        <v>0</v>
      </c>
      <c r="AE7" s="5">
        <f>COUNTIFS(tblAdmissions[Month],5,tblAdmissions[AgeUnit],"Years",tblAdmissions[Age],"&gt;="&amp;5,tblAdmissions[Age],"&lt;="&amp;9,tblAdmissions[Sex],"F")</f>
        <v>0</v>
      </c>
      <c r="AF7" s="5">
        <f>COUNTIFS(tblAdmissions[Month],5,tblAdmissions[AgeUnit],"Years",tblAdmissions[Age],"&gt;="&amp;5,tblAdmissions[Age],"&lt;="&amp;9,tblAdmissions[Sex],"M",tblAdmissions[NHIS],"Non-Insured")</f>
        <v>0</v>
      </c>
      <c r="AG7" s="5">
        <f>COUNTIFS(tblAdmissions[Month],5,tblAdmissions[AgeUnit],"Years",tblAdmissions[Age],"&gt;="&amp;5,tblAdmissions[Age],"&lt;="&amp;9,tblAdmissions[Sex],"F",tblAdmissions[NHIS],"Non-Insured")</f>
        <v>0</v>
      </c>
      <c r="AH7" s="5">
        <f>COUNTIFS(tblAdmissions[Month],5,tblAdmissions[AgeUnit],"Years",tblAdmissions[Age],"&gt;="&amp;5,tblAdmissions[Age],"&lt;="&amp;9,tblAdmissions[Sex],"M",tblAdmissions[NHIS],"Insured")</f>
        <v>0</v>
      </c>
      <c r="AI7" s="5">
        <f>COUNTIFS(tblAdmissions[Month],5,tblAdmissions[AgeUnit],"Years",tblAdmissions[Age],"&gt;="&amp;5,tblAdmissions[Age],"&lt;="&amp;9,tblAdmissions[Sex],"F",tblAdmissions[NHIS],"Insured")</f>
        <v>0</v>
      </c>
      <c r="AJ7" s="5" t="s">
        <v>140</v>
      </c>
      <c r="AK7" s="5">
        <f>COUNTIFS(tblAdmissions[Month],6,tblAdmissions[AgeUnit],"Years",tblAdmissions[Age],"&gt;="&amp;5,tblAdmissions[Age],"&lt;="&amp;9,tblAdmissions[Sex],"M")</f>
        <v>0</v>
      </c>
      <c r="AL7" s="5">
        <f>COUNTIFS(tblAdmissions[Month],6,tblAdmissions[AgeUnit],"Years",tblAdmissions[Age],"&gt;="&amp;5,tblAdmissions[Age],"&lt;="&amp;9,tblAdmissions[Sex],"F")</f>
        <v>0</v>
      </c>
      <c r="AM7" s="5">
        <f>COUNTIFS(tblAdmissions[Month],6,tblAdmissions[AgeUnit],"Years",tblAdmissions[Age],"&gt;="&amp;5,tblAdmissions[Age],"&lt;="&amp;9,tblAdmissions[Sex],"M",tblAdmissions[NHIS],"Non-Insured")</f>
        <v>0</v>
      </c>
      <c r="AN7" s="5">
        <f>COUNTIFS(tblAdmissions[Month],6,tblAdmissions[AgeUnit],"Years",tblAdmissions[Age],"&gt;="&amp;5,tblAdmissions[Age],"&lt;="&amp;9,tblAdmissions[Sex],"F",tblAdmissions[NHIS],"Non-Insured")</f>
        <v>0</v>
      </c>
      <c r="AO7" s="5">
        <f>COUNTIFS(tblAdmissions[Month],6,tblAdmissions[AgeUnit],"Years",tblAdmissions[Age],"&gt;="&amp;5,tblAdmissions[Age],"&lt;="&amp;9,tblAdmissions[Sex],"M",tblAdmissions[NHIS],"Insured")</f>
        <v>0</v>
      </c>
      <c r="AP7" s="5">
        <f>COUNTIFS(tblAdmissions[Month],6,tblAdmissions[AgeUnit],"Years",tblAdmissions[Age],"&gt;="&amp;5,tblAdmissions[Age],"&lt;="&amp;9,tblAdmissions[Sex],"F",tblAdmissions[NHIS],"Insured")</f>
        <v>0</v>
      </c>
      <c r="AQ7" s="5" t="s">
        <v>140</v>
      </c>
      <c r="AR7" s="5">
        <f>COUNTIFS(tblAdmissions[Month],7,tblAdmissions[AgeUnit],"Years",tblAdmissions[Age],"&gt;="&amp;5,tblAdmissions[Age],"&lt;="&amp;9,tblAdmissions[Sex],"M")</f>
        <v>0</v>
      </c>
      <c r="AS7" s="5">
        <f>COUNTIFS(tblAdmissions[Month],7,tblAdmissions[AgeUnit],"Years",tblAdmissions[Age],"&gt;="&amp;5,tblAdmissions[Age],"&lt;="&amp;9,tblAdmissions[Sex],"F")</f>
        <v>0</v>
      </c>
      <c r="AT7" s="5">
        <f>COUNTIFS(tblAdmissions[Month],7,tblAdmissions[AgeUnit],"Years",tblAdmissions[Age],"&gt;="&amp;5,tblAdmissions[Age],"&lt;="&amp;9,tblAdmissions[Sex],"M",tblAdmissions[NHIS],"Non-Insured")</f>
        <v>0</v>
      </c>
      <c r="AU7" s="5">
        <f>COUNTIFS(tblAdmissions[Month],7,tblAdmissions[AgeUnit],"Years",tblAdmissions[Age],"&gt;="&amp;5,tblAdmissions[Age],"&lt;="&amp;9,tblAdmissions[Sex],"F",tblAdmissions[NHIS],"Non-Insured")</f>
        <v>0</v>
      </c>
      <c r="AV7" s="5">
        <f>COUNTIFS(tblAdmissions[Month],7,tblAdmissions[AgeUnit],"Years",tblAdmissions[Age],"&gt;="&amp;5,tblAdmissions[Age],"&lt;="&amp;9,tblAdmissions[Sex],"M",tblAdmissions[NHIS],"Insured")</f>
        <v>0</v>
      </c>
      <c r="AW7" s="5">
        <f>COUNTIFS(tblAdmissions[Month],7,tblAdmissions[AgeUnit],"Years",tblAdmissions[Age],"&gt;="&amp;5,tblAdmissions[Age],"&lt;="&amp;9,tblAdmissions[Sex],"F",tblAdmissions[NHIS],"Insured")</f>
        <v>0</v>
      </c>
      <c r="AX7" s="5" t="s">
        <v>140</v>
      </c>
      <c r="AY7" s="5">
        <f>COUNTIFS(tblAdmissions[Month],8,tblAdmissions[AgeUnit],"Years",tblAdmissions[Age],"&gt;="&amp;5,tblAdmissions[Age],"&lt;="&amp;9,tblAdmissions[Sex],"M")</f>
        <v>0</v>
      </c>
      <c r="AZ7" s="5">
        <f>COUNTIFS(tblAdmissions[Month],8,tblAdmissions[AgeUnit],"Years",tblAdmissions[Age],"&gt;="&amp;5,tblAdmissions[Age],"&lt;="&amp;9,tblAdmissions[Sex],"F")</f>
        <v>0</v>
      </c>
      <c r="BA7" s="5">
        <f>COUNTIFS(tblAdmissions[Month],8,tblAdmissions[AgeUnit],"Years",tblAdmissions[Age],"&gt;="&amp;5,tblAdmissions[Age],"&lt;="&amp;9,tblAdmissions[Sex],"M",tblAdmissions[NHIS],"Non-Insured")</f>
        <v>0</v>
      </c>
      <c r="BB7" s="5">
        <f>COUNTIFS(tblAdmissions[Month],8,tblAdmissions[AgeUnit],"Years",tblAdmissions[Age],"&gt;="&amp;5,tblAdmissions[Age],"&lt;="&amp;9,tblAdmissions[Sex],"F",tblAdmissions[NHIS],"Non-Insured")</f>
        <v>0</v>
      </c>
      <c r="BC7" s="5">
        <f>COUNTIFS(tblAdmissions[Month],8,tblAdmissions[AgeUnit],"Years",tblAdmissions[Age],"&gt;="&amp;5,tblAdmissions[Age],"&lt;="&amp;9,tblAdmissions[Sex],"M",tblAdmissions[NHIS],"Insured")</f>
        <v>0</v>
      </c>
      <c r="BD7" s="5">
        <f>COUNTIFS(tblAdmissions[Month],8,tblAdmissions[AgeUnit],"Years",tblAdmissions[Age],"&gt;="&amp;5,tblAdmissions[Age],"&lt;="&amp;9,tblAdmissions[Sex],"F",tblAdmissions[NHIS],"Insured")</f>
        <v>0</v>
      </c>
      <c r="BE7" s="5" t="s">
        <v>140</v>
      </c>
      <c r="BF7" s="5">
        <f>COUNTIFS(tblAdmissions[Month],9,tblAdmissions[AgeUnit],"Years",tblAdmissions[Age],"&gt;="&amp;5,tblAdmissions[Age],"&lt;="&amp;9,tblAdmissions[Sex],"M")</f>
        <v>0</v>
      </c>
      <c r="BG7" s="5">
        <f>COUNTIFS(tblAdmissions[Month],9,tblAdmissions[AgeUnit],"Years",tblAdmissions[Age],"&gt;="&amp;5,tblAdmissions[Age],"&lt;="&amp;9,tblAdmissions[Sex],"F")</f>
        <v>0</v>
      </c>
      <c r="BH7" s="5">
        <f>COUNTIFS(tblAdmissions[Month],9,tblAdmissions[AgeUnit],"Years",tblAdmissions[Age],"&gt;="&amp;5,tblAdmissions[Age],"&lt;="&amp;9,tblAdmissions[Sex],"M",tblAdmissions[NHIS],"Non-Insured")</f>
        <v>0</v>
      </c>
      <c r="BI7" s="5">
        <f>COUNTIFS(tblAdmissions[Month],9,tblAdmissions[AgeUnit],"Years",tblAdmissions[Age],"&gt;="&amp;5,tblAdmissions[Age],"&lt;="&amp;9,tblAdmissions[Sex],"F",tblAdmissions[NHIS],"Non-Insured")</f>
        <v>0</v>
      </c>
      <c r="BJ7" s="5">
        <f>COUNTIFS(tblAdmissions[Month],9,tblAdmissions[AgeUnit],"Years",tblAdmissions[Age],"&gt;="&amp;5,tblAdmissions[Age],"&lt;="&amp;9,tblAdmissions[Sex],"M",tblAdmissions[NHIS],"Insured")</f>
        <v>0</v>
      </c>
      <c r="BK7" s="5">
        <f>COUNTIFS(tblAdmissions[Month],9,tblAdmissions[AgeUnit],"Years",tblAdmissions[Age],"&gt;="&amp;5,tblAdmissions[Age],"&lt;="&amp;9,tblAdmissions[Sex],"F",tblAdmissions[NHIS],"Insured")</f>
        <v>0</v>
      </c>
      <c r="BL7" s="5" t="s">
        <v>140</v>
      </c>
      <c r="BM7" s="5">
        <f>COUNTIFS(tblAdmissions[Month],10,tblAdmissions[AgeUnit],"Years",tblAdmissions[Age],"&gt;="&amp;5,tblAdmissions[Age],"&lt;="&amp;9,tblAdmissions[Sex],"M")</f>
        <v>0</v>
      </c>
      <c r="BN7" s="5">
        <f>COUNTIFS(tblAdmissions[Month],10,tblAdmissions[AgeUnit],"Years",tblAdmissions[Age],"&gt;="&amp;5,tblAdmissions[Age],"&lt;="&amp;9,tblAdmissions[Sex],"F")</f>
        <v>0</v>
      </c>
      <c r="BO7" s="5">
        <f>COUNTIFS(tblAdmissions[Month],10,tblAdmissions[AgeUnit],"Years",tblAdmissions[Age],"&gt;="&amp;5,tblAdmissions[Age],"&lt;="&amp;9,tblAdmissions[Sex],"M",tblAdmissions[NHIS],"Non-Insured")</f>
        <v>0</v>
      </c>
      <c r="BP7" s="5">
        <f>COUNTIFS(tblAdmissions[Month],10,tblAdmissions[AgeUnit],"Years",tblAdmissions[Age],"&gt;="&amp;5,tblAdmissions[Age],"&lt;="&amp;9,tblAdmissions[Sex],"F",tblAdmissions[NHIS],"Non-Insured")</f>
        <v>0</v>
      </c>
      <c r="BQ7" s="5">
        <f>COUNTIFS(tblAdmissions[Month],10,tblAdmissions[AgeUnit],"Years",tblAdmissions[Age],"&gt;="&amp;5,tblAdmissions[Age],"&lt;="&amp;9,tblAdmissions[Sex],"M",tblAdmissions[NHIS],"Insured")</f>
        <v>0</v>
      </c>
      <c r="BR7" s="5">
        <f>COUNTIFS(tblAdmissions[Month],10,tblAdmissions[AgeUnit],"Years",tblAdmissions[Age],"&gt;="&amp;5,tblAdmissions[Age],"&lt;="&amp;9,tblAdmissions[Sex],"F",tblAdmissions[NHIS],"Insured")</f>
        <v>0</v>
      </c>
      <c r="BS7" s="5" t="s">
        <v>140</v>
      </c>
      <c r="BT7" s="5">
        <f>COUNTIFS(tblAdmissions[Month],11,tblAdmissions[AgeUnit],"Years",tblAdmissions[Age],"&gt;="&amp;5,tblAdmissions[Age],"&lt;="&amp;9,tblAdmissions[Sex],"M")</f>
        <v>0</v>
      </c>
      <c r="BU7" s="5">
        <f>COUNTIFS(tblAdmissions[Month],11,tblAdmissions[AgeUnit],"Years",tblAdmissions[Age],"&gt;="&amp;5,tblAdmissions[Age],"&lt;="&amp;9,tblAdmissions[Sex],"F")</f>
        <v>0</v>
      </c>
      <c r="BV7" s="5">
        <f>COUNTIFS(tblAdmissions[Month],11,tblAdmissions[AgeUnit],"Years",tblAdmissions[Age],"&gt;="&amp;5,tblAdmissions[Age],"&lt;="&amp;9,tblAdmissions[Sex],"M",tblAdmissions[NHIS],"Non-Insured")</f>
        <v>0</v>
      </c>
      <c r="BW7" s="5">
        <f>COUNTIFS(tblAdmissions[Month],11,tblAdmissions[AgeUnit],"Years",tblAdmissions[Age],"&gt;="&amp;5,tblAdmissions[Age],"&lt;="&amp;9,tblAdmissions[Sex],"F",tblAdmissions[NHIS],"Non-Insured")</f>
        <v>0</v>
      </c>
      <c r="BX7" s="5">
        <f>COUNTIFS(tblAdmissions[Month],11,tblAdmissions[AgeUnit],"Years",tblAdmissions[Age],"&gt;="&amp;5,tblAdmissions[Age],"&lt;="&amp;9,tblAdmissions[Sex],"M",tblAdmissions[NHIS],"Insured")</f>
        <v>0</v>
      </c>
      <c r="BY7" s="5">
        <f>COUNTIFS(tblAdmissions[Month],11,tblAdmissions[AgeUnit],"Years",tblAdmissions[Age],"&gt;="&amp;5,tblAdmissions[Age],"&lt;="&amp;9,tblAdmissions[Sex],"F",tblAdmissions[NHIS],"Insured")</f>
        <v>0</v>
      </c>
      <c r="BZ7" s="5" t="s">
        <v>140</v>
      </c>
      <c r="CA7" s="5">
        <f>COUNTIFS(tblAdmissions[Month],12,tblAdmissions[AgeUnit],"Years",tblAdmissions[Age],"&gt;="&amp;5,tblAdmissions[Age],"&lt;="&amp;9,tblAdmissions[Sex],"M")</f>
        <v>0</v>
      </c>
      <c r="CB7" s="5">
        <f>COUNTIFS(tblAdmissions[Month],12,tblAdmissions[AgeUnit],"Years",tblAdmissions[Age],"&gt;="&amp;5,tblAdmissions[Age],"&lt;="&amp;9,tblAdmissions[Sex],"F")</f>
        <v>0</v>
      </c>
      <c r="CC7" s="5">
        <f>COUNTIFS(tblAdmissions[Month],12,tblAdmissions[AgeUnit],"Years",tblAdmissions[Age],"&gt;="&amp;5,tblAdmissions[Age],"&lt;="&amp;9,tblAdmissions[Sex],"M",tblAdmissions[NHIS],"Non-Insured")</f>
        <v>0</v>
      </c>
      <c r="CD7" s="5">
        <f>COUNTIFS(tblAdmissions[Month],12,tblAdmissions[AgeUnit],"Years",tblAdmissions[Age],"&gt;="&amp;5,tblAdmissions[Age],"&lt;="&amp;9,tblAdmissions[Sex],"F",tblAdmissions[NHIS],"Non-Insured")</f>
        <v>0</v>
      </c>
      <c r="CE7" s="5">
        <f>COUNTIFS(tblAdmissions[Month],12,tblAdmissions[AgeUnit],"Years",tblAdmissions[Age],"&gt;="&amp;5,tblAdmissions[Age],"&lt;="&amp;9,tblAdmissions[Sex],"M",tblAdmissions[NHIS],"Insured")</f>
        <v>0</v>
      </c>
      <c r="CF7" s="5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5" t="s">
        <v>141</v>
      </c>
      <c r="B8" s="5">
        <f>COUNTIFS(tblAdmissions[Month],1,tblAdmissions[AgeUnit],"Years",tblAdmissions[Age],"&gt;="&amp;10,tblAdmissions[Age],"&lt;="&amp;14,tblAdmissions[Sex],"M")</f>
        <v>0</v>
      </c>
      <c r="C8" s="5">
        <f>COUNTIFS(tblAdmissions[Month],1,tblAdmissions[AgeUnit],"Years",tblAdmissions[Age],"&gt;="&amp;10,tblAdmissions[Age],"&lt;="&amp;14,tblAdmissions[Sex],"F")</f>
        <v>0</v>
      </c>
      <c r="D8" s="5">
        <f>COUNTIFS(tblAdmissions[Month],1,tblAdmissions[AgeUnit],"Years",tblAdmissions[Age],"&gt;="&amp;10,tblAdmissions[Age],"&lt;="&amp;14,tblAdmissions[Sex],"M",tblAdmissions[NHIS],"Non-Insured")</f>
        <v>0</v>
      </c>
      <c r="E8" s="5">
        <f>COUNTIFS(tblAdmissions[Month],1,tblAdmissions[AgeUnit],"Years",tblAdmissions[Age],"&gt;="&amp;10,tblAdmissions[Age],"&lt;="&amp;14,tblAdmissions[Sex],"F",tblAdmissions[NHIS],"Non-Insured")</f>
        <v>0</v>
      </c>
      <c r="F8" s="5">
        <f>COUNTIFS(tblAdmissions[Month],1,tblAdmissions[AgeUnit],"Years",tblAdmissions[Age],"&gt;="&amp;10,tblAdmissions[Age],"&lt;="&amp;14,tblAdmissions[Sex],"M",tblAdmissions[NHIS],"Insured")</f>
        <v>0</v>
      </c>
      <c r="G8" s="5">
        <f>COUNTIFS(tblAdmissions[Month],1,tblAdmissions[AgeUnit],"Years",tblAdmissions[Age],"&gt;="&amp;10,tblAdmissions[Age],"&lt;="&amp;14,tblAdmissions[Sex],"F",tblAdmissions[NHIS],"Insured")</f>
        <v>0</v>
      </c>
      <c r="H8" s="5" t="s">
        <v>141</v>
      </c>
      <c r="I8" s="5">
        <f>COUNTIFS(tblAdmissions[Month],2,tblAdmissions[AgeUnit],"Years",tblAdmissions[Age],"&gt;="&amp;10,tblAdmissions[Age],"&lt;="&amp;14,tblAdmissions[Sex],"M")</f>
        <v>0</v>
      </c>
      <c r="J8" s="5">
        <f>COUNTIFS(tblAdmissions[Month],2,tblAdmissions[AgeUnit],"Years",tblAdmissions[Age],"&gt;="&amp;10,tblAdmissions[Age],"&lt;="&amp;14,tblAdmissions[Sex],"F")</f>
        <v>0</v>
      </c>
      <c r="K8" s="5">
        <f>COUNTIFS(tblAdmissions[Month],2,tblAdmissions[AgeUnit],"Years",tblAdmissions[Age],"&gt;="&amp;10,tblAdmissions[Age],"&lt;="&amp;14,tblAdmissions[Sex],"M",tblAdmissions[NHIS],"Non-Insured")</f>
        <v>0</v>
      </c>
      <c r="L8" s="5">
        <f>COUNTIFS(tblAdmissions[Month],2,tblAdmissions[AgeUnit],"Years",tblAdmissions[Age],"&gt;="&amp;10,tblAdmissions[Age],"&lt;="&amp;14,tblAdmissions[Sex],"F",tblAdmissions[NHIS],"Non-Insured")</f>
        <v>0</v>
      </c>
      <c r="M8" s="5">
        <f>COUNTIFS(tblAdmissions[Month],2,tblAdmissions[AgeUnit],"Years",tblAdmissions[Age],"&gt;="&amp;10,tblAdmissions[Age],"&lt;="&amp;14,tblAdmissions[Sex],"M",tblAdmissions[NHIS],"Insured")</f>
        <v>0</v>
      </c>
      <c r="N8" s="5">
        <f>COUNTIFS(tblAdmissions[Month],2,tblAdmissions[AgeUnit],"Years",tblAdmissions[Age],"&gt;="&amp;10,tblAdmissions[Age],"&lt;="&amp;14,tblAdmissions[Sex],"F",tblAdmissions[NHIS],"Insured")</f>
        <v>0</v>
      </c>
      <c r="O8" s="5" t="s">
        <v>141</v>
      </c>
      <c r="P8" s="5">
        <f>COUNTIFS(tblAdmissions[Month],3,tblAdmissions[AgeUnit],"Years",tblAdmissions[Age],"&gt;="&amp;10,tblAdmissions[Age],"&lt;="&amp;14,tblAdmissions[Sex],"M")</f>
        <v>0</v>
      </c>
      <c r="Q8" s="5">
        <f>COUNTIFS(tblAdmissions[Month],3,tblAdmissions[AgeUnit],"Years",tblAdmissions[Age],"&gt;="&amp;10,tblAdmissions[Age],"&lt;="&amp;14,tblAdmissions[Sex],"F")</f>
        <v>0</v>
      </c>
      <c r="R8" s="5">
        <f>COUNTIFS(tblAdmissions[Month],3,tblAdmissions[AgeUnit],"Years",tblAdmissions[Age],"&gt;="&amp;10,tblAdmissions[Age],"&lt;="&amp;14,tblAdmissions[Sex],"M",tblAdmissions[NHIS],"Non-Insured")</f>
        <v>0</v>
      </c>
      <c r="S8" s="5">
        <f>COUNTIFS(tblAdmissions[Month],3,tblAdmissions[AgeUnit],"Years",tblAdmissions[Age],"&gt;="&amp;10,tblAdmissions[Age],"&lt;="&amp;14,tblAdmissions[Sex],"F",tblAdmissions[NHIS],"Non-Insured")</f>
        <v>0</v>
      </c>
      <c r="T8" s="5">
        <f>COUNTIFS(tblAdmissions[Month],3,tblAdmissions[AgeUnit],"Years",tblAdmissions[Age],"&gt;="&amp;10,tblAdmissions[Age],"&lt;="&amp;14,tblAdmissions[Sex],"M",tblAdmissions[NHIS],"Insured")</f>
        <v>0</v>
      </c>
      <c r="U8" s="5">
        <f>COUNTIFS(tblAdmissions[Month],3,tblAdmissions[AgeUnit],"Years",tblAdmissions[Age],"&gt;="&amp;10,tblAdmissions[Age],"&lt;="&amp;14,tblAdmissions[Sex],"F",tblAdmissions[NHIS],"Insured")</f>
        <v>0</v>
      </c>
      <c r="V8" s="5" t="s">
        <v>141</v>
      </c>
      <c r="W8" s="5">
        <f>COUNTIFS(tblAdmissions[Month],4,tblAdmissions[AgeUnit],"Years",tblAdmissions[Age],"&gt;="&amp;10,tblAdmissions[Age],"&lt;="&amp;14,tblAdmissions[Sex],"M")</f>
        <v>0</v>
      </c>
      <c r="X8" s="5">
        <f>COUNTIFS(tblAdmissions[Month],4,tblAdmissions[AgeUnit],"Years",tblAdmissions[Age],"&gt;="&amp;10,tblAdmissions[Age],"&lt;="&amp;14,tblAdmissions[Sex],"F")</f>
        <v>0</v>
      </c>
      <c r="Y8" s="5">
        <f>COUNTIFS(tblAdmissions[Month],4,tblAdmissions[AgeUnit],"Years",tblAdmissions[Age],"&gt;="&amp;10,tblAdmissions[Age],"&lt;="&amp;14,tblAdmissions[Sex],"M",tblAdmissions[NHIS],"Non-Insured")</f>
        <v>0</v>
      </c>
      <c r="Z8" s="5">
        <f>COUNTIFS(tblAdmissions[Month],4,tblAdmissions[AgeUnit],"Years",tblAdmissions[Age],"&gt;="&amp;10,tblAdmissions[Age],"&lt;="&amp;14,tblAdmissions[Sex],"F",tblAdmissions[NHIS],"Non-Insured")</f>
        <v>0</v>
      </c>
      <c r="AA8" s="5">
        <f>COUNTIFS(tblAdmissions[Month],4,tblAdmissions[AgeUnit],"Years",tblAdmissions[Age],"&gt;="&amp;10,tblAdmissions[Age],"&lt;="&amp;14,tblAdmissions[Sex],"M",tblAdmissions[NHIS],"Insured")</f>
        <v>0</v>
      </c>
      <c r="AB8" s="5">
        <f>COUNTIFS(tblAdmissions[Month],4,tblAdmissions[AgeUnit],"Years",tblAdmissions[Age],"&gt;="&amp;10,tblAdmissions[Age],"&lt;="&amp;14,tblAdmissions[Sex],"F",tblAdmissions[NHIS],"Insured")</f>
        <v>0</v>
      </c>
      <c r="AC8" s="5" t="s">
        <v>141</v>
      </c>
      <c r="AD8" s="5">
        <f>COUNTIFS(tblAdmissions[Month],5,tblAdmissions[AgeUnit],"Years",tblAdmissions[Age],"&gt;="&amp;10,tblAdmissions[Age],"&lt;="&amp;14,tblAdmissions[Sex],"M")</f>
        <v>0</v>
      </c>
      <c r="AE8" s="5">
        <f>COUNTIFS(tblAdmissions[Month],5,tblAdmissions[AgeUnit],"Years",tblAdmissions[Age],"&gt;="&amp;10,tblAdmissions[Age],"&lt;="&amp;14,tblAdmissions[Sex],"F")</f>
        <v>0</v>
      </c>
      <c r="AF8" s="5">
        <f>COUNTIFS(tblAdmissions[Month],5,tblAdmissions[AgeUnit],"Years",tblAdmissions[Age],"&gt;="&amp;10,tblAdmissions[Age],"&lt;="&amp;14,tblAdmissions[Sex],"M",tblAdmissions[NHIS],"Non-Insured")</f>
        <v>0</v>
      </c>
      <c r="AG8" s="5">
        <f>COUNTIFS(tblAdmissions[Month],5,tblAdmissions[AgeUnit],"Years",tblAdmissions[Age],"&gt;="&amp;10,tblAdmissions[Age],"&lt;="&amp;14,tblAdmissions[Sex],"F",tblAdmissions[NHIS],"Non-Insured")</f>
        <v>0</v>
      </c>
      <c r="AH8" s="5">
        <f>COUNTIFS(tblAdmissions[Month],5,tblAdmissions[AgeUnit],"Years",tblAdmissions[Age],"&gt;="&amp;10,tblAdmissions[Age],"&lt;="&amp;14,tblAdmissions[Sex],"M",tblAdmissions[NHIS],"Insured")</f>
        <v>0</v>
      </c>
      <c r="AI8" s="5">
        <f>COUNTIFS(tblAdmissions[Month],5,tblAdmissions[AgeUnit],"Years",tblAdmissions[Age],"&gt;="&amp;10,tblAdmissions[Age],"&lt;="&amp;14,tblAdmissions[Sex],"F",tblAdmissions[NHIS],"Insured")</f>
        <v>0</v>
      </c>
      <c r="AJ8" s="5" t="s">
        <v>141</v>
      </c>
      <c r="AK8" s="5">
        <f>COUNTIFS(tblAdmissions[Month],6,tblAdmissions[AgeUnit],"Years",tblAdmissions[Age],"&gt;="&amp;10,tblAdmissions[Age],"&lt;="&amp;14,tblAdmissions[Sex],"M")</f>
        <v>0</v>
      </c>
      <c r="AL8" s="5">
        <f>COUNTIFS(tblAdmissions[Month],6,tblAdmissions[AgeUnit],"Years",tblAdmissions[Age],"&gt;="&amp;10,tblAdmissions[Age],"&lt;="&amp;14,tblAdmissions[Sex],"F")</f>
        <v>0</v>
      </c>
      <c r="AM8" s="5">
        <f>COUNTIFS(tblAdmissions[Month],6,tblAdmissions[AgeUnit],"Years",tblAdmissions[Age],"&gt;="&amp;10,tblAdmissions[Age],"&lt;="&amp;14,tblAdmissions[Sex],"M",tblAdmissions[NHIS],"Non-Insured")</f>
        <v>0</v>
      </c>
      <c r="AN8" s="5">
        <f>COUNTIFS(tblAdmissions[Month],6,tblAdmissions[AgeUnit],"Years",tblAdmissions[Age],"&gt;="&amp;10,tblAdmissions[Age],"&lt;="&amp;14,tblAdmissions[Sex],"F",tblAdmissions[NHIS],"Non-Insured")</f>
        <v>0</v>
      </c>
      <c r="AO8" s="5">
        <f>COUNTIFS(tblAdmissions[Month],6,tblAdmissions[AgeUnit],"Years",tblAdmissions[Age],"&gt;="&amp;10,tblAdmissions[Age],"&lt;="&amp;14,tblAdmissions[Sex],"M",tblAdmissions[NHIS],"Insured")</f>
        <v>0</v>
      </c>
      <c r="AP8" s="5">
        <f>COUNTIFS(tblAdmissions[Month],6,tblAdmissions[AgeUnit],"Years",tblAdmissions[Age],"&gt;="&amp;10,tblAdmissions[Age],"&lt;="&amp;14,tblAdmissions[Sex],"F",tblAdmissions[NHIS],"Insured")</f>
        <v>0</v>
      </c>
      <c r="AQ8" s="5" t="s">
        <v>141</v>
      </c>
      <c r="AR8" s="5">
        <f>COUNTIFS(tblAdmissions[Month],7,tblAdmissions[AgeUnit],"Years",tblAdmissions[Age],"&gt;="&amp;10,tblAdmissions[Age],"&lt;="&amp;14,tblAdmissions[Sex],"M")</f>
        <v>0</v>
      </c>
      <c r="AS8" s="5">
        <f>COUNTIFS(tblAdmissions[Month],7,tblAdmissions[AgeUnit],"Years",tblAdmissions[Age],"&gt;="&amp;10,tblAdmissions[Age],"&lt;="&amp;14,tblAdmissions[Sex],"F")</f>
        <v>0</v>
      </c>
      <c r="AT8" s="5">
        <f>COUNTIFS(tblAdmissions[Month],7,tblAdmissions[AgeUnit],"Years",tblAdmissions[Age],"&gt;="&amp;10,tblAdmissions[Age],"&lt;="&amp;14,tblAdmissions[Sex],"M",tblAdmissions[NHIS],"Non-Insured")</f>
        <v>0</v>
      </c>
      <c r="AU8" s="5">
        <f>COUNTIFS(tblAdmissions[Month],7,tblAdmissions[AgeUnit],"Years",tblAdmissions[Age],"&gt;="&amp;10,tblAdmissions[Age],"&lt;="&amp;14,tblAdmissions[Sex],"F",tblAdmissions[NHIS],"Non-Insured")</f>
        <v>0</v>
      </c>
      <c r="AV8" s="5">
        <f>COUNTIFS(tblAdmissions[Month],7,tblAdmissions[AgeUnit],"Years",tblAdmissions[Age],"&gt;="&amp;10,tblAdmissions[Age],"&lt;="&amp;14,tblAdmissions[Sex],"M",tblAdmissions[NHIS],"Insured")</f>
        <v>0</v>
      </c>
      <c r="AW8" s="5">
        <f>COUNTIFS(tblAdmissions[Month],7,tblAdmissions[AgeUnit],"Years",tblAdmissions[Age],"&gt;="&amp;10,tblAdmissions[Age],"&lt;="&amp;14,tblAdmissions[Sex],"F",tblAdmissions[NHIS],"Insured")</f>
        <v>0</v>
      </c>
      <c r="AX8" s="5" t="s">
        <v>141</v>
      </c>
      <c r="AY8" s="5">
        <f>COUNTIFS(tblAdmissions[Month],8,tblAdmissions[AgeUnit],"Years",tblAdmissions[Age],"&gt;="&amp;10,tblAdmissions[Age],"&lt;="&amp;14,tblAdmissions[Sex],"M")</f>
        <v>0</v>
      </c>
      <c r="AZ8" s="5">
        <f>COUNTIFS(tblAdmissions[Month],8,tblAdmissions[AgeUnit],"Years",tblAdmissions[Age],"&gt;="&amp;10,tblAdmissions[Age],"&lt;="&amp;14,tblAdmissions[Sex],"F")</f>
        <v>0</v>
      </c>
      <c r="BA8" s="5">
        <f>COUNTIFS(tblAdmissions[Month],8,tblAdmissions[AgeUnit],"Years",tblAdmissions[Age],"&gt;="&amp;10,tblAdmissions[Age],"&lt;="&amp;14,tblAdmissions[Sex],"M",tblAdmissions[NHIS],"Non-Insured")</f>
        <v>0</v>
      </c>
      <c r="BB8" s="5">
        <f>COUNTIFS(tblAdmissions[Month],8,tblAdmissions[AgeUnit],"Years",tblAdmissions[Age],"&gt;="&amp;10,tblAdmissions[Age],"&lt;="&amp;14,tblAdmissions[Sex],"F",tblAdmissions[NHIS],"Non-Insured")</f>
        <v>0</v>
      </c>
      <c r="BC8" s="5">
        <f>COUNTIFS(tblAdmissions[Month],8,tblAdmissions[AgeUnit],"Years",tblAdmissions[Age],"&gt;="&amp;10,tblAdmissions[Age],"&lt;="&amp;14,tblAdmissions[Sex],"M",tblAdmissions[NHIS],"Insured")</f>
        <v>0</v>
      </c>
      <c r="BD8" s="5">
        <f>COUNTIFS(tblAdmissions[Month],8,tblAdmissions[AgeUnit],"Years",tblAdmissions[Age],"&gt;="&amp;10,tblAdmissions[Age],"&lt;="&amp;14,tblAdmissions[Sex],"F",tblAdmissions[NHIS],"Insured")</f>
        <v>0</v>
      </c>
      <c r="BE8" s="5" t="s">
        <v>141</v>
      </c>
      <c r="BF8" s="5">
        <f>COUNTIFS(tblAdmissions[Month],9,tblAdmissions[AgeUnit],"Years",tblAdmissions[Age],"&gt;="&amp;10,tblAdmissions[Age],"&lt;="&amp;14,tblAdmissions[Sex],"M")</f>
        <v>0</v>
      </c>
      <c r="BG8" s="5">
        <f>COUNTIFS(tblAdmissions[Month],9,tblAdmissions[AgeUnit],"Years",tblAdmissions[Age],"&gt;="&amp;10,tblAdmissions[Age],"&lt;="&amp;14,tblAdmissions[Sex],"F")</f>
        <v>0</v>
      </c>
      <c r="BH8" s="5">
        <f>COUNTIFS(tblAdmissions[Month],9,tblAdmissions[AgeUnit],"Years",tblAdmissions[Age],"&gt;="&amp;10,tblAdmissions[Age],"&lt;="&amp;14,tblAdmissions[Sex],"M",tblAdmissions[NHIS],"Non-Insured")</f>
        <v>0</v>
      </c>
      <c r="BI8" s="5">
        <f>COUNTIFS(tblAdmissions[Month],9,tblAdmissions[AgeUnit],"Years",tblAdmissions[Age],"&gt;="&amp;10,tblAdmissions[Age],"&lt;="&amp;14,tblAdmissions[Sex],"F",tblAdmissions[NHIS],"Non-Insured")</f>
        <v>0</v>
      </c>
      <c r="BJ8" s="5">
        <f>COUNTIFS(tblAdmissions[Month],9,tblAdmissions[AgeUnit],"Years",tblAdmissions[Age],"&gt;="&amp;10,tblAdmissions[Age],"&lt;="&amp;14,tblAdmissions[Sex],"M",tblAdmissions[NHIS],"Insured")</f>
        <v>0</v>
      </c>
      <c r="BK8" s="5">
        <f>COUNTIFS(tblAdmissions[Month],9,tblAdmissions[AgeUnit],"Years",tblAdmissions[Age],"&gt;="&amp;10,tblAdmissions[Age],"&lt;="&amp;14,tblAdmissions[Sex],"F",tblAdmissions[NHIS],"Insured")</f>
        <v>0</v>
      </c>
      <c r="BL8" s="5" t="s">
        <v>141</v>
      </c>
      <c r="BM8" s="5">
        <f>COUNTIFS(tblAdmissions[Month],10,tblAdmissions[AgeUnit],"Years",tblAdmissions[Age],"&gt;="&amp;10,tblAdmissions[Age],"&lt;="&amp;14,tblAdmissions[Sex],"M")</f>
        <v>0</v>
      </c>
      <c r="BN8" s="5">
        <f>COUNTIFS(tblAdmissions[Month],10,tblAdmissions[AgeUnit],"Years",tblAdmissions[Age],"&gt;="&amp;10,tblAdmissions[Age],"&lt;="&amp;14,tblAdmissions[Sex],"F")</f>
        <v>0</v>
      </c>
      <c r="BO8" s="5">
        <f>COUNTIFS(tblAdmissions[Month],10,tblAdmissions[AgeUnit],"Years",tblAdmissions[Age],"&gt;="&amp;10,tblAdmissions[Age],"&lt;="&amp;14,tblAdmissions[Sex],"M",tblAdmissions[NHIS],"Non-Insured")</f>
        <v>0</v>
      </c>
      <c r="BP8" s="5">
        <f>COUNTIFS(tblAdmissions[Month],10,tblAdmissions[AgeUnit],"Years",tblAdmissions[Age],"&gt;="&amp;10,tblAdmissions[Age],"&lt;="&amp;14,tblAdmissions[Sex],"F",tblAdmissions[NHIS],"Non-Insured")</f>
        <v>0</v>
      </c>
      <c r="BQ8" s="5">
        <f>COUNTIFS(tblAdmissions[Month],10,tblAdmissions[AgeUnit],"Years",tblAdmissions[Age],"&gt;="&amp;10,tblAdmissions[Age],"&lt;="&amp;14,tblAdmissions[Sex],"M",tblAdmissions[NHIS],"Insured")</f>
        <v>0</v>
      </c>
      <c r="BR8" s="5">
        <f>COUNTIFS(tblAdmissions[Month],10,tblAdmissions[AgeUnit],"Years",tblAdmissions[Age],"&gt;="&amp;10,tblAdmissions[Age],"&lt;="&amp;14,tblAdmissions[Sex],"F",tblAdmissions[NHIS],"Insured")</f>
        <v>0</v>
      </c>
      <c r="BS8" s="5" t="s">
        <v>141</v>
      </c>
      <c r="BT8" s="5">
        <f>COUNTIFS(tblAdmissions[Month],11,tblAdmissions[AgeUnit],"Years",tblAdmissions[Age],"&gt;="&amp;10,tblAdmissions[Age],"&lt;="&amp;14,tblAdmissions[Sex],"M")</f>
        <v>0</v>
      </c>
      <c r="BU8" s="5">
        <f>COUNTIFS(tblAdmissions[Month],11,tblAdmissions[AgeUnit],"Years",tblAdmissions[Age],"&gt;="&amp;10,tblAdmissions[Age],"&lt;="&amp;14,tblAdmissions[Sex],"F")</f>
        <v>0</v>
      </c>
      <c r="BV8" s="5">
        <f>COUNTIFS(tblAdmissions[Month],11,tblAdmissions[AgeUnit],"Years",tblAdmissions[Age],"&gt;="&amp;10,tblAdmissions[Age],"&lt;="&amp;14,tblAdmissions[Sex],"M",tblAdmissions[NHIS],"Non-Insured")</f>
        <v>0</v>
      </c>
      <c r="BW8" s="5">
        <f>COUNTIFS(tblAdmissions[Month],11,tblAdmissions[AgeUnit],"Years",tblAdmissions[Age],"&gt;="&amp;10,tblAdmissions[Age],"&lt;="&amp;14,tblAdmissions[Sex],"F",tblAdmissions[NHIS],"Non-Insured")</f>
        <v>0</v>
      </c>
      <c r="BX8" s="5">
        <f>COUNTIFS(tblAdmissions[Month],11,tblAdmissions[AgeUnit],"Years",tblAdmissions[Age],"&gt;="&amp;10,tblAdmissions[Age],"&lt;="&amp;14,tblAdmissions[Sex],"M",tblAdmissions[NHIS],"Insured")</f>
        <v>0</v>
      </c>
      <c r="BY8" s="5">
        <f>COUNTIFS(tblAdmissions[Month],11,tblAdmissions[AgeUnit],"Years",tblAdmissions[Age],"&gt;="&amp;10,tblAdmissions[Age],"&lt;="&amp;14,tblAdmissions[Sex],"F",tblAdmissions[NHIS],"Insured")</f>
        <v>0</v>
      </c>
      <c r="BZ8" s="5" t="s">
        <v>141</v>
      </c>
      <c r="CA8" s="5">
        <f>COUNTIFS(tblAdmissions[Month],12,tblAdmissions[AgeUnit],"Years",tblAdmissions[Age],"&gt;="&amp;10,tblAdmissions[Age],"&lt;="&amp;14,tblAdmissions[Sex],"M")</f>
        <v>0</v>
      </c>
      <c r="CB8" s="5">
        <f>COUNTIFS(tblAdmissions[Month],12,tblAdmissions[AgeUnit],"Years",tblAdmissions[Age],"&gt;="&amp;10,tblAdmissions[Age],"&lt;="&amp;14,tblAdmissions[Sex],"F")</f>
        <v>0</v>
      </c>
      <c r="CC8" s="5">
        <f>COUNTIFS(tblAdmissions[Month],12,tblAdmissions[AgeUnit],"Years",tblAdmissions[Age],"&gt;="&amp;10,tblAdmissions[Age],"&lt;="&amp;14,tblAdmissions[Sex],"M",tblAdmissions[NHIS],"Non-Insured")</f>
        <v>0</v>
      </c>
      <c r="CD8" s="5">
        <f>COUNTIFS(tblAdmissions[Month],12,tblAdmissions[AgeUnit],"Years",tblAdmissions[Age],"&gt;="&amp;10,tblAdmissions[Age],"&lt;="&amp;14,tblAdmissions[Sex],"F",tblAdmissions[NHIS],"Non-Insured")</f>
        <v>0</v>
      </c>
      <c r="CE8" s="5">
        <f>COUNTIFS(tblAdmissions[Month],12,tblAdmissions[AgeUnit],"Years",tblAdmissions[Age],"&gt;="&amp;10,tblAdmissions[Age],"&lt;="&amp;14,tblAdmissions[Sex],"M",tblAdmissions[NHIS],"Insured")</f>
        <v>0</v>
      </c>
      <c r="CF8" s="5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5" t="s">
        <v>142</v>
      </c>
      <c r="B9" s="5">
        <f>COUNTIFS(tblAdmissions[Month],1,tblAdmissions[AgeUnit],"Years",tblAdmissions[Age],"&gt;="&amp;15,tblAdmissions[Age],"&lt;="&amp;17,tblAdmissions[Sex],"M")</f>
        <v>0</v>
      </c>
      <c r="C9" s="5">
        <f>COUNTIFS(tblAdmissions[Month],1,tblAdmissions[AgeUnit],"Years",tblAdmissions[Age],"&gt;="&amp;15,tblAdmissions[Age],"&lt;="&amp;17,tblAdmissions[Sex],"F")</f>
        <v>0</v>
      </c>
      <c r="D9" s="5">
        <f>COUNTIFS(tblAdmissions[Month],1,tblAdmissions[AgeUnit],"Years",tblAdmissions[Age],"&gt;="&amp;15,tblAdmissions[Age],"&lt;="&amp;17,tblAdmissions[Sex],"M",tblAdmissions[NHIS],"Non-Insured")</f>
        <v>0</v>
      </c>
      <c r="E9" s="5">
        <f>COUNTIFS(tblAdmissions[Month],1,tblAdmissions[AgeUnit],"Years",tblAdmissions[Age],"&gt;="&amp;15,tblAdmissions[Age],"&lt;="&amp;17,tblAdmissions[Sex],"F",tblAdmissions[NHIS],"Non-Insured")</f>
        <v>0</v>
      </c>
      <c r="F9" s="5">
        <f>COUNTIFS(tblAdmissions[Month],1,tblAdmissions[AgeUnit],"Years",tblAdmissions[Age],"&gt;="&amp;15,tblAdmissions[Age],"&lt;="&amp;17,tblAdmissions[Sex],"M",tblAdmissions[NHIS],"Insured")</f>
        <v>0</v>
      </c>
      <c r="G9" s="5">
        <f>COUNTIFS(tblAdmissions[Month],1,tblAdmissions[AgeUnit],"Years",tblAdmissions[Age],"&gt;="&amp;15,tblAdmissions[Age],"&lt;="&amp;17,tblAdmissions[Sex],"F",tblAdmissions[NHIS],"Insured")</f>
        <v>0</v>
      </c>
      <c r="H9" s="5" t="s">
        <v>142</v>
      </c>
      <c r="I9" s="5">
        <f>COUNTIFS(tblAdmissions[Month],2,tblAdmissions[AgeUnit],"Years",tblAdmissions[Age],"&gt;="&amp;15,tblAdmissions[Age],"&lt;="&amp;17,tblAdmissions[Sex],"M")</f>
        <v>0</v>
      </c>
      <c r="J9" s="5">
        <f>COUNTIFS(tblAdmissions[Month],2,tblAdmissions[AgeUnit],"Years",tblAdmissions[Age],"&gt;="&amp;15,tblAdmissions[Age],"&lt;="&amp;17,tblAdmissions[Sex],"F")</f>
        <v>0</v>
      </c>
      <c r="K9" s="5">
        <f>COUNTIFS(tblAdmissions[Month],2,tblAdmissions[AgeUnit],"Years",tblAdmissions[Age],"&gt;="&amp;15,tblAdmissions[Age],"&lt;="&amp;17,tblAdmissions[Sex],"M",tblAdmissions[NHIS],"Non-Insured")</f>
        <v>0</v>
      </c>
      <c r="L9" s="5">
        <f>COUNTIFS(tblAdmissions[Month],2,tblAdmissions[AgeUnit],"Years",tblAdmissions[Age],"&gt;="&amp;15,tblAdmissions[Age],"&lt;="&amp;17,tblAdmissions[Sex],"F",tblAdmissions[NHIS],"Non-Insured")</f>
        <v>0</v>
      </c>
      <c r="M9" s="5">
        <f>COUNTIFS(tblAdmissions[Month],2,tblAdmissions[AgeUnit],"Years",tblAdmissions[Age],"&gt;="&amp;15,tblAdmissions[Age],"&lt;="&amp;17,tblAdmissions[Sex],"M",tblAdmissions[NHIS],"Insured")</f>
        <v>0</v>
      </c>
      <c r="N9" s="5">
        <f>COUNTIFS(tblAdmissions[Month],2,tblAdmissions[AgeUnit],"Years",tblAdmissions[Age],"&gt;="&amp;15,tblAdmissions[Age],"&lt;="&amp;17,tblAdmissions[Sex],"F",tblAdmissions[NHIS],"Insured")</f>
        <v>0</v>
      </c>
      <c r="O9" s="5" t="s">
        <v>142</v>
      </c>
      <c r="P9" s="5">
        <f>COUNTIFS(tblAdmissions[Month],3,tblAdmissions[AgeUnit],"Years",tblAdmissions[Age],"&gt;="&amp;15,tblAdmissions[Age],"&lt;="&amp;17,tblAdmissions[Sex],"M")</f>
        <v>0</v>
      </c>
      <c r="Q9" s="5">
        <f>COUNTIFS(tblAdmissions[Month],3,tblAdmissions[AgeUnit],"Years",tblAdmissions[Age],"&gt;="&amp;15,tblAdmissions[Age],"&lt;="&amp;17,tblAdmissions[Sex],"F")</f>
        <v>0</v>
      </c>
      <c r="R9" s="5">
        <f>COUNTIFS(tblAdmissions[Month],3,tblAdmissions[AgeUnit],"Years",tblAdmissions[Age],"&gt;="&amp;15,tblAdmissions[Age],"&lt;="&amp;17,tblAdmissions[Sex],"M",tblAdmissions[NHIS],"Non-Insured")</f>
        <v>0</v>
      </c>
      <c r="S9" s="5">
        <f>COUNTIFS(tblAdmissions[Month],3,tblAdmissions[AgeUnit],"Years",tblAdmissions[Age],"&gt;="&amp;15,tblAdmissions[Age],"&lt;="&amp;17,tblAdmissions[Sex],"F",tblAdmissions[NHIS],"Non-Insured")</f>
        <v>0</v>
      </c>
      <c r="T9" s="5">
        <f>COUNTIFS(tblAdmissions[Month],3,tblAdmissions[AgeUnit],"Years",tblAdmissions[Age],"&gt;="&amp;15,tblAdmissions[Age],"&lt;="&amp;17,tblAdmissions[Sex],"M",tblAdmissions[NHIS],"Insured")</f>
        <v>0</v>
      </c>
      <c r="U9" s="5">
        <f>COUNTIFS(tblAdmissions[Month],3,tblAdmissions[AgeUnit],"Years",tblAdmissions[Age],"&gt;="&amp;15,tblAdmissions[Age],"&lt;="&amp;17,tblAdmissions[Sex],"F",tblAdmissions[NHIS],"Insured")</f>
        <v>0</v>
      </c>
      <c r="V9" s="5" t="s">
        <v>142</v>
      </c>
      <c r="W9" s="5">
        <f>COUNTIFS(tblAdmissions[Month],4,tblAdmissions[AgeUnit],"Years",tblAdmissions[Age],"&gt;="&amp;15,tblAdmissions[Age],"&lt;="&amp;17,tblAdmissions[Sex],"M")</f>
        <v>0</v>
      </c>
      <c r="X9" s="5">
        <f>COUNTIFS(tblAdmissions[Month],4,tblAdmissions[AgeUnit],"Years",tblAdmissions[Age],"&gt;="&amp;15,tblAdmissions[Age],"&lt;="&amp;17,tblAdmissions[Sex],"F")</f>
        <v>0</v>
      </c>
      <c r="Y9" s="5">
        <f>COUNTIFS(tblAdmissions[Month],4,tblAdmissions[AgeUnit],"Years",tblAdmissions[Age],"&gt;="&amp;15,tblAdmissions[Age],"&lt;="&amp;17,tblAdmissions[Sex],"M",tblAdmissions[NHIS],"Non-Insured")</f>
        <v>0</v>
      </c>
      <c r="Z9" s="5">
        <f>COUNTIFS(tblAdmissions[Month],4,tblAdmissions[AgeUnit],"Years",tblAdmissions[Age],"&gt;="&amp;15,tblAdmissions[Age],"&lt;="&amp;17,tblAdmissions[Sex],"F",tblAdmissions[NHIS],"Non-Insured")</f>
        <v>0</v>
      </c>
      <c r="AA9" s="5">
        <f>COUNTIFS(tblAdmissions[Month],4,tblAdmissions[AgeUnit],"Years",tblAdmissions[Age],"&gt;="&amp;15,tblAdmissions[Age],"&lt;="&amp;17,tblAdmissions[Sex],"M",tblAdmissions[NHIS],"Insured")</f>
        <v>0</v>
      </c>
      <c r="AB9" s="5">
        <f>COUNTIFS(tblAdmissions[Month],4,tblAdmissions[AgeUnit],"Years",tblAdmissions[Age],"&gt;="&amp;15,tblAdmissions[Age],"&lt;="&amp;17,tblAdmissions[Sex],"F",tblAdmissions[NHIS],"Insured")</f>
        <v>0</v>
      </c>
      <c r="AC9" s="5" t="s">
        <v>142</v>
      </c>
      <c r="AD9" s="5">
        <f>COUNTIFS(tblAdmissions[Month],5,tblAdmissions[AgeUnit],"Years",tblAdmissions[Age],"&gt;="&amp;15,tblAdmissions[Age],"&lt;="&amp;17,tblAdmissions[Sex],"M")</f>
        <v>0</v>
      </c>
      <c r="AE9" s="5">
        <f>COUNTIFS(tblAdmissions[Month],5,tblAdmissions[AgeUnit],"Years",tblAdmissions[Age],"&gt;="&amp;15,tblAdmissions[Age],"&lt;="&amp;17,tblAdmissions[Sex],"F")</f>
        <v>0</v>
      </c>
      <c r="AF9" s="5">
        <f>COUNTIFS(tblAdmissions[Month],5,tblAdmissions[AgeUnit],"Years",tblAdmissions[Age],"&gt;="&amp;15,tblAdmissions[Age],"&lt;="&amp;17,tblAdmissions[Sex],"M",tblAdmissions[NHIS],"Non-Insured")</f>
        <v>0</v>
      </c>
      <c r="AG9" s="5">
        <f>COUNTIFS(tblAdmissions[Month],5,tblAdmissions[AgeUnit],"Years",tblAdmissions[Age],"&gt;="&amp;15,tblAdmissions[Age],"&lt;="&amp;17,tblAdmissions[Sex],"F",tblAdmissions[NHIS],"Non-Insured")</f>
        <v>0</v>
      </c>
      <c r="AH9" s="5">
        <f>COUNTIFS(tblAdmissions[Month],5,tblAdmissions[AgeUnit],"Years",tblAdmissions[Age],"&gt;="&amp;15,tblAdmissions[Age],"&lt;="&amp;17,tblAdmissions[Sex],"M",tblAdmissions[NHIS],"Insured")</f>
        <v>0</v>
      </c>
      <c r="AI9" s="5">
        <f>COUNTIFS(tblAdmissions[Month],5,tblAdmissions[AgeUnit],"Years",tblAdmissions[Age],"&gt;="&amp;15,tblAdmissions[Age],"&lt;="&amp;17,tblAdmissions[Sex],"F",tblAdmissions[NHIS],"Insured")</f>
        <v>0</v>
      </c>
      <c r="AJ9" s="5" t="s">
        <v>142</v>
      </c>
      <c r="AK9" s="5">
        <f>COUNTIFS(tblAdmissions[Month],6,tblAdmissions[AgeUnit],"Years",tblAdmissions[Age],"&gt;="&amp;15,tblAdmissions[Age],"&lt;="&amp;17,tblAdmissions[Sex],"M")</f>
        <v>0</v>
      </c>
      <c r="AL9" s="5">
        <f>COUNTIFS(tblAdmissions[Month],6,tblAdmissions[AgeUnit],"Years",tblAdmissions[Age],"&gt;="&amp;15,tblAdmissions[Age],"&lt;="&amp;17,tblAdmissions[Sex],"F")</f>
        <v>0</v>
      </c>
      <c r="AM9" s="5">
        <f>COUNTIFS(tblAdmissions[Month],6,tblAdmissions[AgeUnit],"Years",tblAdmissions[Age],"&gt;="&amp;15,tblAdmissions[Age],"&lt;="&amp;17,tblAdmissions[Sex],"M",tblAdmissions[NHIS],"Non-Insured")</f>
        <v>0</v>
      </c>
      <c r="AN9" s="5">
        <f>COUNTIFS(tblAdmissions[Month],6,tblAdmissions[AgeUnit],"Years",tblAdmissions[Age],"&gt;="&amp;15,tblAdmissions[Age],"&lt;="&amp;17,tblAdmissions[Sex],"F",tblAdmissions[NHIS],"Non-Insured")</f>
        <v>0</v>
      </c>
      <c r="AO9" s="5">
        <f>COUNTIFS(tblAdmissions[Month],6,tblAdmissions[AgeUnit],"Years",tblAdmissions[Age],"&gt;="&amp;15,tblAdmissions[Age],"&lt;="&amp;17,tblAdmissions[Sex],"M",tblAdmissions[NHIS],"Insured")</f>
        <v>0</v>
      </c>
      <c r="AP9" s="5">
        <f>COUNTIFS(tblAdmissions[Month],6,tblAdmissions[AgeUnit],"Years",tblAdmissions[Age],"&gt;="&amp;15,tblAdmissions[Age],"&lt;="&amp;17,tblAdmissions[Sex],"F",tblAdmissions[NHIS],"Insured")</f>
        <v>0</v>
      </c>
      <c r="AQ9" s="5" t="s">
        <v>142</v>
      </c>
      <c r="AR9" s="5">
        <f>COUNTIFS(tblAdmissions[Month],7,tblAdmissions[AgeUnit],"Years",tblAdmissions[Age],"&gt;="&amp;15,tblAdmissions[Age],"&lt;="&amp;17,tblAdmissions[Sex],"M")</f>
        <v>0</v>
      </c>
      <c r="AS9" s="5">
        <f>COUNTIFS(tblAdmissions[Month],7,tblAdmissions[AgeUnit],"Years",tblAdmissions[Age],"&gt;="&amp;15,tblAdmissions[Age],"&lt;="&amp;17,tblAdmissions[Sex],"F")</f>
        <v>0</v>
      </c>
      <c r="AT9" s="5">
        <f>COUNTIFS(tblAdmissions[Month],7,tblAdmissions[AgeUnit],"Years",tblAdmissions[Age],"&gt;="&amp;15,tblAdmissions[Age],"&lt;="&amp;17,tblAdmissions[Sex],"M",tblAdmissions[NHIS],"Non-Insured")</f>
        <v>0</v>
      </c>
      <c r="AU9" s="5">
        <f>COUNTIFS(tblAdmissions[Month],7,tblAdmissions[AgeUnit],"Years",tblAdmissions[Age],"&gt;="&amp;15,tblAdmissions[Age],"&lt;="&amp;17,tblAdmissions[Sex],"F",tblAdmissions[NHIS],"Non-Insured")</f>
        <v>0</v>
      </c>
      <c r="AV9" s="5">
        <f>COUNTIFS(tblAdmissions[Month],7,tblAdmissions[AgeUnit],"Years",tblAdmissions[Age],"&gt;="&amp;15,tblAdmissions[Age],"&lt;="&amp;17,tblAdmissions[Sex],"M",tblAdmissions[NHIS],"Insured")</f>
        <v>0</v>
      </c>
      <c r="AW9" s="5">
        <f>COUNTIFS(tblAdmissions[Month],7,tblAdmissions[AgeUnit],"Years",tblAdmissions[Age],"&gt;="&amp;15,tblAdmissions[Age],"&lt;="&amp;17,tblAdmissions[Sex],"F",tblAdmissions[NHIS],"Insured")</f>
        <v>0</v>
      </c>
      <c r="AX9" s="5" t="s">
        <v>142</v>
      </c>
      <c r="AY9" s="5">
        <f>COUNTIFS(tblAdmissions[Month],8,tblAdmissions[AgeUnit],"Years",tblAdmissions[Age],"&gt;="&amp;15,tblAdmissions[Age],"&lt;="&amp;17,tblAdmissions[Sex],"M")</f>
        <v>0</v>
      </c>
      <c r="AZ9" s="5">
        <f>COUNTIFS(tblAdmissions[Month],8,tblAdmissions[AgeUnit],"Years",tblAdmissions[Age],"&gt;="&amp;15,tblAdmissions[Age],"&lt;="&amp;17,tblAdmissions[Sex],"F")</f>
        <v>0</v>
      </c>
      <c r="BA9" s="5">
        <f>COUNTIFS(tblAdmissions[Month],8,tblAdmissions[AgeUnit],"Years",tblAdmissions[Age],"&gt;="&amp;15,tblAdmissions[Age],"&lt;="&amp;17,tblAdmissions[Sex],"M",tblAdmissions[NHIS],"Non-Insured")</f>
        <v>0</v>
      </c>
      <c r="BB9" s="5">
        <f>COUNTIFS(tblAdmissions[Month],8,tblAdmissions[AgeUnit],"Years",tblAdmissions[Age],"&gt;="&amp;15,tblAdmissions[Age],"&lt;="&amp;17,tblAdmissions[Sex],"F",tblAdmissions[NHIS],"Non-Insured")</f>
        <v>0</v>
      </c>
      <c r="BC9" s="5">
        <f>COUNTIFS(tblAdmissions[Month],8,tblAdmissions[AgeUnit],"Years",tblAdmissions[Age],"&gt;="&amp;15,tblAdmissions[Age],"&lt;="&amp;17,tblAdmissions[Sex],"M",tblAdmissions[NHIS],"Insured")</f>
        <v>0</v>
      </c>
      <c r="BD9" s="5">
        <f>COUNTIFS(tblAdmissions[Month],8,tblAdmissions[AgeUnit],"Years",tblAdmissions[Age],"&gt;="&amp;15,tblAdmissions[Age],"&lt;="&amp;17,tblAdmissions[Sex],"F",tblAdmissions[NHIS],"Insured")</f>
        <v>0</v>
      </c>
      <c r="BE9" s="5" t="s">
        <v>142</v>
      </c>
      <c r="BF9" s="5">
        <f>COUNTIFS(tblAdmissions[Month],9,tblAdmissions[AgeUnit],"Years",tblAdmissions[Age],"&gt;="&amp;15,tblAdmissions[Age],"&lt;="&amp;17,tblAdmissions[Sex],"M")</f>
        <v>0</v>
      </c>
      <c r="BG9" s="5">
        <f>COUNTIFS(tblAdmissions[Month],9,tblAdmissions[AgeUnit],"Years",tblAdmissions[Age],"&gt;="&amp;15,tblAdmissions[Age],"&lt;="&amp;17,tblAdmissions[Sex],"F")</f>
        <v>0</v>
      </c>
      <c r="BH9" s="5">
        <f>COUNTIFS(tblAdmissions[Month],9,tblAdmissions[AgeUnit],"Years",tblAdmissions[Age],"&gt;="&amp;15,tblAdmissions[Age],"&lt;="&amp;17,tblAdmissions[Sex],"M",tblAdmissions[NHIS],"Non-Insured")</f>
        <v>0</v>
      </c>
      <c r="BI9" s="5">
        <f>COUNTIFS(tblAdmissions[Month],9,tblAdmissions[AgeUnit],"Years",tblAdmissions[Age],"&gt;="&amp;15,tblAdmissions[Age],"&lt;="&amp;17,tblAdmissions[Sex],"F",tblAdmissions[NHIS],"Non-Insured")</f>
        <v>0</v>
      </c>
      <c r="BJ9" s="5">
        <f>COUNTIFS(tblAdmissions[Month],9,tblAdmissions[AgeUnit],"Years",tblAdmissions[Age],"&gt;="&amp;15,tblAdmissions[Age],"&lt;="&amp;17,tblAdmissions[Sex],"M",tblAdmissions[NHIS],"Insured")</f>
        <v>0</v>
      </c>
      <c r="BK9" s="5">
        <f>COUNTIFS(tblAdmissions[Month],9,tblAdmissions[AgeUnit],"Years",tblAdmissions[Age],"&gt;="&amp;15,tblAdmissions[Age],"&lt;="&amp;17,tblAdmissions[Sex],"F",tblAdmissions[NHIS],"Insured")</f>
        <v>0</v>
      </c>
      <c r="BL9" s="5" t="s">
        <v>142</v>
      </c>
      <c r="BM9" s="5">
        <f>COUNTIFS(tblAdmissions[Month],10,tblAdmissions[AgeUnit],"Years",tblAdmissions[Age],"&gt;="&amp;15,tblAdmissions[Age],"&lt;="&amp;17,tblAdmissions[Sex],"M")</f>
        <v>0</v>
      </c>
      <c r="BN9" s="5">
        <f>COUNTIFS(tblAdmissions[Month],10,tblAdmissions[AgeUnit],"Years",tblAdmissions[Age],"&gt;="&amp;15,tblAdmissions[Age],"&lt;="&amp;17,tblAdmissions[Sex],"F")</f>
        <v>0</v>
      </c>
      <c r="BO9" s="5">
        <f>COUNTIFS(tblAdmissions[Month],10,tblAdmissions[AgeUnit],"Years",tblAdmissions[Age],"&gt;="&amp;15,tblAdmissions[Age],"&lt;="&amp;17,tblAdmissions[Sex],"M",tblAdmissions[NHIS],"Non-Insured")</f>
        <v>0</v>
      </c>
      <c r="BP9" s="5">
        <f>COUNTIFS(tblAdmissions[Month],10,tblAdmissions[AgeUnit],"Years",tblAdmissions[Age],"&gt;="&amp;15,tblAdmissions[Age],"&lt;="&amp;17,tblAdmissions[Sex],"F",tblAdmissions[NHIS],"Non-Insured")</f>
        <v>0</v>
      </c>
      <c r="BQ9" s="5">
        <f>COUNTIFS(tblAdmissions[Month],10,tblAdmissions[AgeUnit],"Years",tblAdmissions[Age],"&gt;="&amp;15,tblAdmissions[Age],"&lt;="&amp;17,tblAdmissions[Sex],"M",tblAdmissions[NHIS],"Insured")</f>
        <v>0</v>
      </c>
      <c r="BR9" s="5">
        <f>COUNTIFS(tblAdmissions[Month],10,tblAdmissions[AgeUnit],"Years",tblAdmissions[Age],"&gt;="&amp;15,tblAdmissions[Age],"&lt;="&amp;17,tblAdmissions[Sex],"F",tblAdmissions[NHIS],"Insured")</f>
        <v>0</v>
      </c>
      <c r="BS9" s="5" t="s">
        <v>142</v>
      </c>
      <c r="BT9" s="5">
        <f>COUNTIFS(tblAdmissions[Month],11,tblAdmissions[AgeUnit],"Years",tblAdmissions[Age],"&gt;="&amp;15,tblAdmissions[Age],"&lt;="&amp;17,tblAdmissions[Sex],"M")</f>
        <v>0</v>
      </c>
      <c r="BU9" s="5">
        <f>COUNTIFS(tblAdmissions[Month],11,tblAdmissions[AgeUnit],"Years",tblAdmissions[Age],"&gt;="&amp;15,tblAdmissions[Age],"&lt;="&amp;17,tblAdmissions[Sex],"F")</f>
        <v>0</v>
      </c>
      <c r="BV9" s="5">
        <f>COUNTIFS(tblAdmissions[Month],11,tblAdmissions[AgeUnit],"Years",tblAdmissions[Age],"&gt;="&amp;15,tblAdmissions[Age],"&lt;="&amp;17,tblAdmissions[Sex],"M",tblAdmissions[NHIS],"Non-Insured")</f>
        <v>0</v>
      </c>
      <c r="BW9" s="5">
        <f>COUNTIFS(tblAdmissions[Month],11,tblAdmissions[AgeUnit],"Years",tblAdmissions[Age],"&gt;="&amp;15,tblAdmissions[Age],"&lt;="&amp;17,tblAdmissions[Sex],"F",tblAdmissions[NHIS],"Non-Insured")</f>
        <v>0</v>
      </c>
      <c r="BX9" s="5">
        <f>COUNTIFS(tblAdmissions[Month],11,tblAdmissions[AgeUnit],"Years",tblAdmissions[Age],"&gt;="&amp;15,tblAdmissions[Age],"&lt;="&amp;17,tblAdmissions[Sex],"M",tblAdmissions[NHIS],"Insured")</f>
        <v>0</v>
      </c>
      <c r="BY9" s="5">
        <f>COUNTIFS(tblAdmissions[Month],11,tblAdmissions[AgeUnit],"Years",tblAdmissions[Age],"&gt;="&amp;15,tblAdmissions[Age],"&lt;="&amp;17,tblAdmissions[Sex],"F",tblAdmissions[NHIS],"Insured")</f>
        <v>0</v>
      </c>
      <c r="BZ9" s="5" t="s">
        <v>142</v>
      </c>
      <c r="CA9" s="5">
        <f>COUNTIFS(tblAdmissions[Month],12,tblAdmissions[AgeUnit],"Years",tblAdmissions[Age],"&gt;="&amp;15,tblAdmissions[Age],"&lt;="&amp;17,tblAdmissions[Sex],"M")</f>
        <v>0</v>
      </c>
      <c r="CB9" s="5">
        <f>COUNTIFS(tblAdmissions[Month],12,tblAdmissions[AgeUnit],"Years",tblAdmissions[Age],"&gt;="&amp;15,tblAdmissions[Age],"&lt;="&amp;17,tblAdmissions[Sex],"F")</f>
        <v>0</v>
      </c>
      <c r="CC9" s="5">
        <f>COUNTIFS(tblAdmissions[Month],12,tblAdmissions[AgeUnit],"Years",tblAdmissions[Age],"&gt;="&amp;15,tblAdmissions[Age],"&lt;="&amp;17,tblAdmissions[Sex],"M",tblAdmissions[NHIS],"Non-Insured")</f>
        <v>0</v>
      </c>
      <c r="CD9" s="5">
        <f>COUNTIFS(tblAdmissions[Month],12,tblAdmissions[AgeUnit],"Years",tblAdmissions[Age],"&gt;="&amp;15,tblAdmissions[Age],"&lt;="&amp;17,tblAdmissions[Sex],"F",tblAdmissions[NHIS],"Non-Insured")</f>
        <v>0</v>
      </c>
      <c r="CE9" s="5">
        <f>COUNTIFS(tblAdmissions[Month],12,tblAdmissions[AgeUnit],"Years",tblAdmissions[Age],"&gt;="&amp;15,tblAdmissions[Age],"&lt;="&amp;17,tblAdmissions[Sex],"M",tblAdmissions[NHIS],"Insured")</f>
        <v>0</v>
      </c>
      <c r="CF9" s="5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5" t="s">
        <v>143</v>
      </c>
      <c r="B10" s="5">
        <f>COUNTIFS(tblAdmissions[Month],1,tblAdmissions[AgeUnit],"Years",tblAdmissions[Age],"&gt;="&amp;18,tblAdmissions[Age],"&lt;="&amp;19,tblAdmissions[Sex],"M")</f>
        <v>0</v>
      </c>
      <c r="C10" s="5">
        <f>COUNTIFS(tblAdmissions[Month],1,tblAdmissions[AgeUnit],"Years",tblAdmissions[Age],"&gt;="&amp;18,tblAdmissions[Age],"&lt;="&amp;19,tblAdmissions[Sex],"F")</f>
        <v>0</v>
      </c>
      <c r="D10" s="5">
        <f>COUNTIFS(tblAdmissions[Month],1,tblAdmissions[AgeUnit],"Years",tblAdmissions[Age],"&gt;="&amp;18,tblAdmissions[Age],"&lt;="&amp;19,tblAdmissions[Sex],"M",tblAdmissions[NHIS],"Non-Insured")</f>
        <v>0</v>
      </c>
      <c r="E10" s="5">
        <f>COUNTIFS(tblAdmissions[Month],1,tblAdmissions[AgeUnit],"Years",tblAdmissions[Age],"&gt;="&amp;18,tblAdmissions[Age],"&lt;="&amp;19,tblAdmissions[Sex],"F",tblAdmissions[NHIS],"Non-Insured")</f>
        <v>0</v>
      </c>
      <c r="F10" s="5">
        <f>COUNTIFS(tblAdmissions[Month],1,tblAdmissions[AgeUnit],"Years",tblAdmissions[Age],"&gt;="&amp;18,tblAdmissions[Age],"&lt;="&amp;19,tblAdmissions[Sex],"M",tblAdmissions[NHIS],"Insured")</f>
        <v>0</v>
      </c>
      <c r="G10" s="5">
        <f>COUNTIFS(tblAdmissions[Month],1,tblAdmissions[AgeUnit],"Years",tblAdmissions[Age],"&gt;="&amp;18,tblAdmissions[Age],"&lt;="&amp;19,tblAdmissions[Sex],"F",tblAdmissions[NHIS],"Insured")</f>
        <v>0</v>
      </c>
      <c r="H10" s="5" t="s">
        <v>143</v>
      </c>
      <c r="I10" s="5">
        <f>COUNTIFS(tblAdmissions[Month],2,tblAdmissions[AgeUnit],"Years",tblAdmissions[Age],"&gt;="&amp;18,tblAdmissions[Age],"&lt;="&amp;19,tblAdmissions[Sex],"M")</f>
        <v>0</v>
      </c>
      <c r="J10" s="5">
        <f>COUNTIFS(tblAdmissions[Month],2,tblAdmissions[AgeUnit],"Years",tblAdmissions[Age],"&gt;="&amp;18,tblAdmissions[Age],"&lt;="&amp;19,tblAdmissions[Sex],"F")</f>
        <v>0</v>
      </c>
      <c r="K10" s="5">
        <f>COUNTIFS(tblAdmissions[Month],2,tblAdmissions[AgeUnit],"Years",tblAdmissions[Age],"&gt;="&amp;18,tblAdmissions[Age],"&lt;="&amp;19,tblAdmissions[Sex],"M",tblAdmissions[NHIS],"Non-Insured")</f>
        <v>0</v>
      </c>
      <c r="L10" s="5">
        <f>COUNTIFS(tblAdmissions[Month],2,tblAdmissions[AgeUnit],"Years",tblAdmissions[Age],"&gt;="&amp;18,tblAdmissions[Age],"&lt;="&amp;19,tblAdmissions[Sex],"F",tblAdmissions[NHIS],"Non-Insured")</f>
        <v>0</v>
      </c>
      <c r="M10" s="5">
        <f>COUNTIFS(tblAdmissions[Month],2,tblAdmissions[AgeUnit],"Years",tblAdmissions[Age],"&gt;="&amp;18,tblAdmissions[Age],"&lt;="&amp;19,tblAdmissions[Sex],"M",tblAdmissions[NHIS],"Insured")</f>
        <v>0</v>
      </c>
      <c r="N10" s="5">
        <f>COUNTIFS(tblAdmissions[Month],2,tblAdmissions[AgeUnit],"Years",tblAdmissions[Age],"&gt;="&amp;18,tblAdmissions[Age],"&lt;="&amp;19,tblAdmissions[Sex],"F",tblAdmissions[NHIS],"Insured")</f>
        <v>0</v>
      </c>
      <c r="O10" s="5" t="s">
        <v>143</v>
      </c>
      <c r="P10" s="5">
        <f>COUNTIFS(tblAdmissions[Month],3,tblAdmissions[AgeUnit],"Years",tblAdmissions[Age],"&gt;="&amp;18,tblAdmissions[Age],"&lt;="&amp;19,tblAdmissions[Sex],"M")</f>
        <v>0</v>
      </c>
      <c r="Q10" s="5">
        <f>COUNTIFS(tblAdmissions[Month],3,tblAdmissions[AgeUnit],"Years",tblAdmissions[Age],"&gt;="&amp;18,tblAdmissions[Age],"&lt;="&amp;19,tblAdmissions[Sex],"F")</f>
        <v>0</v>
      </c>
      <c r="R10" s="5">
        <f>COUNTIFS(tblAdmissions[Month],3,tblAdmissions[AgeUnit],"Years",tblAdmissions[Age],"&gt;="&amp;18,tblAdmissions[Age],"&lt;="&amp;19,tblAdmissions[Sex],"M",tblAdmissions[NHIS],"Non-Insured")</f>
        <v>0</v>
      </c>
      <c r="S10" s="5">
        <f>COUNTIFS(tblAdmissions[Month],3,tblAdmissions[AgeUnit],"Years",tblAdmissions[Age],"&gt;="&amp;18,tblAdmissions[Age],"&lt;="&amp;19,tblAdmissions[Sex],"F",tblAdmissions[NHIS],"Non-Insured")</f>
        <v>0</v>
      </c>
      <c r="T10" s="5">
        <f>COUNTIFS(tblAdmissions[Month],3,tblAdmissions[AgeUnit],"Years",tblAdmissions[Age],"&gt;="&amp;18,tblAdmissions[Age],"&lt;="&amp;19,tblAdmissions[Sex],"M",tblAdmissions[NHIS],"Insured")</f>
        <v>0</v>
      </c>
      <c r="U10" s="5">
        <f>COUNTIFS(tblAdmissions[Month],3,tblAdmissions[AgeUnit],"Years",tblAdmissions[Age],"&gt;="&amp;18,tblAdmissions[Age],"&lt;="&amp;19,tblAdmissions[Sex],"F",tblAdmissions[NHIS],"Insured")</f>
        <v>0</v>
      </c>
      <c r="V10" s="5" t="s">
        <v>143</v>
      </c>
      <c r="W10" s="5">
        <f>COUNTIFS(tblAdmissions[Month],4,tblAdmissions[AgeUnit],"Years",tblAdmissions[Age],"&gt;="&amp;18,tblAdmissions[Age],"&lt;="&amp;19,tblAdmissions[Sex],"M")</f>
        <v>0</v>
      </c>
      <c r="X10" s="5">
        <f>COUNTIFS(tblAdmissions[Month],4,tblAdmissions[AgeUnit],"Years",tblAdmissions[Age],"&gt;="&amp;18,tblAdmissions[Age],"&lt;="&amp;19,tblAdmissions[Sex],"F")</f>
        <v>0</v>
      </c>
      <c r="Y10" s="5">
        <f>COUNTIFS(tblAdmissions[Month],4,tblAdmissions[AgeUnit],"Years",tblAdmissions[Age],"&gt;="&amp;18,tblAdmissions[Age],"&lt;="&amp;19,tblAdmissions[Sex],"M",tblAdmissions[NHIS],"Non-Insured")</f>
        <v>0</v>
      </c>
      <c r="Z10" s="5">
        <f>COUNTIFS(tblAdmissions[Month],4,tblAdmissions[AgeUnit],"Years",tblAdmissions[Age],"&gt;="&amp;18,tblAdmissions[Age],"&lt;="&amp;19,tblAdmissions[Sex],"F",tblAdmissions[NHIS],"Non-Insured")</f>
        <v>0</v>
      </c>
      <c r="AA10" s="5">
        <f>COUNTIFS(tblAdmissions[Month],4,tblAdmissions[AgeUnit],"Years",tblAdmissions[Age],"&gt;="&amp;18,tblAdmissions[Age],"&lt;="&amp;19,tblAdmissions[Sex],"M",tblAdmissions[NHIS],"Insured")</f>
        <v>0</v>
      </c>
      <c r="AB10" s="5">
        <f>COUNTIFS(tblAdmissions[Month],4,tblAdmissions[AgeUnit],"Years",tblAdmissions[Age],"&gt;="&amp;18,tblAdmissions[Age],"&lt;="&amp;19,tblAdmissions[Sex],"F",tblAdmissions[NHIS],"Insured")</f>
        <v>0</v>
      </c>
      <c r="AC10" s="5" t="s">
        <v>143</v>
      </c>
      <c r="AD10" s="5">
        <f>COUNTIFS(tblAdmissions[Month],5,tblAdmissions[AgeUnit],"Years",tblAdmissions[Age],"&gt;="&amp;18,tblAdmissions[Age],"&lt;="&amp;19,tblAdmissions[Sex],"M")</f>
        <v>0</v>
      </c>
      <c r="AE10" s="5">
        <f>COUNTIFS(tblAdmissions[Month],5,tblAdmissions[AgeUnit],"Years",tblAdmissions[Age],"&gt;="&amp;18,tblAdmissions[Age],"&lt;="&amp;19,tblAdmissions[Sex],"F")</f>
        <v>0</v>
      </c>
      <c r="AF10" s="5">
        <f>COUNTIFS(tblAdmissions[Month],5,tblAdmissions[AgeUnit],"Years",tblAdmissions[Age],"&gt;="&amp;18,tblAdmissions[Age],"&lt;="&amp;19,tblAdmissions[Sex],"M",tblAdmissions[NHIS],"Non-Insured")</f>
        <v>0</v>
      </c>
      <c r="AG10" s="5">
        <f>COUNTIFS(tblAdmissions[Month],5,tblAdmissions[AgeUnit],"Years",tblAdmissions[Age],"&gt;="&amp;18,tblAdmissions[Age],"&lt;="&amp;19,tblAdmissions[Sex],"F",tblAdmissions[NHIS],"Non-Insured")</f>
        <v>0</v>
      </c>
      <c r="AH10" s="5">
        <f>COUNTIFS(tblAdmissions[Month],5,tblAdmissions[AgeUnit],"Years",tblAdmissions[Age],"&gt;="&amp;18,tblAdmissions[Age],"&lt;="&amp;19,tblAdmissions[Sex],"M",tblAdmissions[NHIS],"Insured")</f>
        <v>0</v>
      </c>
      <c r="AI10" s="5">
        <f>COUNTIFS(tblAdmissions[Month],5,tblAdmissions[AgeUnit],"Years",tblAdmissions[Age],"&gt;="&amp;18,tblAdmissions[Age],"&lt;="&amp;19,tblAdmissions[Sex],"F",tblAdmissions[NHIS],"Insured")</f>
        <v>0</v>
      </c>
      <c r="AJ10" s="5" t="s">
        <v>143</v>
      </c>
      <c r="AK10" s="5">
        <f>COUNTIFS(tblAdmissions[Month],6,tblAdmissions[AgeUnit],"Years",tblAdmissions[Age],"&gt;="&amp;18,tblAdmissions[Age],"&lt;="&amp;19,tblAdmissions[Sex],"M")</f>
        <v>0</v>
      </c>
      <c r="AL10" s="5">
        <f>COUNTIFS(tblAdmissions[Month],6,tblAdmissions[AgeUnit],"Years",tblAdmissions[Age],"&gt;="&amp;18,tblAdmissions[Age],"&lt;="&amp;19,tblAdmissions[Sex],"F")</f>
        <v>0</v>
      </c>
      <c r="AM10" s="5">
        <f>COUNTIFS(tblAdmissions[Month],6,tblAdmissions[AgeUnit],"Years",tblAdmissions[Age],"&gt;="&amp;18,tblAdmissions[Age],"&lt;="&amp;19,tblAdmissions[Sex],"M",tblAdmissions[NHIS],"Non-Insured")</f>
        <v>0</v>
      </c>
      <c r="AN10" s="5">
        <f>COUNTIFS(tblAdmissions[Month],6,tblAdmissions[AgeUnit],"Years",tblAdmissions[Age],"&gt;="&amp;18,tblAdmissions[Age],"&lt;="&amp;19,tblAdmissions[Sex],"F",tblAdmissions[NHIS],"Non-Insured")</f>
        <v>0</v>
      </c>
      <c r="AO10" s="5">
        <f>COUNTIFS(tblAdmissions[Month],6,tblAdmissions[AgeUnit],"Years",tblAdmissions[Age],"&gt;="&amp;18,tblAdmissions[Age],"&lt;="&amp;19,tblAdmissions[Sex],"M",tblAdmissions[NHIS],"Insured")</f>
        <v>0</v>
      </c>
      <c r="AP10" s="5">
        <f>COUNTIFS(tblAdmissions[Month],6,tblAdmissions[AgeUnit],"Years",tblAdmissions[Age],"&gt;="&amp;18,tblAdmissions[Age],"&lt;="&amp;19,tblAdmissions[Sex],"F",tblAdmissions[NHIS],"Insured")</f>
        <v>0</v>
      </c>
      <c r="AQ10" s="5" t="s">
        <v>143</v>
      </c>
      <c r="AR10" s="5">
        <f>COUNTIFS(tblAdmissions[Month],7,tblAdmissions[AgeUnit],"Years",tblAdmissions[Age],"&gt;="&amp;18,tblAdmissions[Age],"&lt;="&amp;19,tblAdmissions[Sex],"M")</f>
        <v>0</v>
      </c>
      <c r="AS10" s="5">
        <f>COUNTIFS(tblAdmissions[Month],7,tblAdmissions[AgeUnit],"Years",tblAdmissions[Age],"&gt;="&amp;18,tblAdmissions[Age],"&lt;="&amp;19,tblAdmissions[Sex],"F")</f>
        <v>0</v>
      </c>
      <c r="AT10" s="5">
        <f>COUNTIFS(tblAdmissions[Month],7,tblAdmissions[AgeUnit],"Years",tblAdmissions[Age],"&gt;="&amp;18,tblAdmissions[Age],"&lt;="&amp;19,tblAdmissions[Sex],"M",tblAdmissions[NHIS],"Non-Insured")</f>
        <v>0</v>
      </c>
      <c r="AU10" s="5">
        <f>COUNTIFS(tblAdmissions[Month],7,tblAdmissions[AgeUnit],"Years",tblAdmissions[Age],"&gt;="&amp;18,tblAdmissions[Age],"&lt;="&amp;19,tblAdmissions[Sex],"F",tblAdmissions[NHIS],"Non-Insured")</f>
        <v>0</v>
      </c>
      <c r="AV10" s="5">
        <f>COUNTIFS(tblAdmissions[Month],7,tblAdmissions[AgeUnit],"Years",tblAdmissions[Age],"&gt;="&amp;18,tblAdmissions[Age],"&lt;="&amp;19,tblAdmissions[Sex],"M",tblAdmissions[NHIS],"Insured")</f>
        <v>0</v>
      </c>
      <c r="AW10" s="5">
        <f>COUNTIFS(tblAdmissions[Month],7,tblAdmissions[AgeUnit],"Years",tblAdmissions[Age],"&gt;="&amp;18,tblAdmissions[Age],"&lt;="&amp;19,tblAdmissions[Sex],"F",tblAdmissions[NHIS],"Insured")</f>
        <v>0</v>
      </c>
      <c r="AX10" s="5" t="s">
        <v>143</v>
      </c>
      <c r="AY10" s="5">
        <f>COUNTIFS(tblAdmissions[Month],8,tblAdmissions[AgeUnit],"Years",tblAdmissions[Age],"&gt;="&amp;18,tblAdmissions[Age],"&lt;="&amp;19,tblAdmissions[Sex],"M")</f>
        <v>0</v>
      </c>
      <c r="AZ10" s="5">
        <f>COUNTIFS(tblAdmissions[Month],8,tblAdmissions[AgeUnit],"Years",tblAdmissions[Age],"&gt;="&amp;18,tblAdmissions[Age],"&lt;="&amp;19,tblAdmissions[Sex],"F")</f>
        <v>0</v>
      </c>
      <c r="BA10" s="5">
        <f>COUNTIFS(tblAdmissions[Month],8,tblAdmissions[AgeUnit],"Years",tblAdmissions[Age],"&gt;="&amp;18,tblAdmissions[Age],"&lt;="&amp;19,tblAdmissions[Sex],"M",tblAdmissions[NHIS],"Non-Insured")</f>
        <v>0</v>
      </c>
      <c r="BB10" s="5">
        <f>COUNTIFS(tblAdmissions[Month],8,tblAdmissions[AgeUnit],"Years",tblAdmissions[Age],"&gt;="&amp;18,tblAdmissions[Age],"&lt;="&amp;19,tblAdmissions[Sex],"F",tblAdmissions[NHIS],"Non-Insured")</f>
        <v>0</v>
      </c>
      <c r="BC10" s="5">
        <f>COUNTIFS(tblAdmissions[Month],8,tblAdmissions[AgeUnit],"Years",tblAdmissions[Age],"&gt;="&amp;18,tblAdmissions[Age],"&lt;="&amp;19,tblAdmissions[Sex],"M",tblAdmissions[NHIS],"Insured")</f>
        <v>0</v>
      </c>
      <c r="BD10" s="5">
        <f>COUNTIFS(tblAdmissions[Month],8,tblAdmissions[AgeUnit],"Years",tblAdmissions[Age],"&gt;="&amp;18,tblAdmissions[Age],"&lt;="&amp;19,tblAdmissions[Sex],"F",tblAdmissions[NHIS],"Insured")</f>
        <v>0</v>
      </c>
      <c r="BE10" s="5" t="s">
        <v>143</v>
      </c>
      <c r="BF10" s="5">
        <f>COUNTIFS(tblAdmissions[Month],9,tblAdmissions[AgeUnit],"Years",tblAdmissions[Age],"&gt;="&amp;18,tblAdmissions[Age],"&lt;="&amp;19,tblAdmissions[Sex],"M")</f>
        <v>0</v>
      </c>
      <c r="BG10" s="5">
        <f>COUNTIFS(tblAdmissions[Month],9,tblAdmissions[AgeUnit],"Years",tblAdmissions[Age],"&gt;="&amp;18,tblAdmissions[Age],"&lt;="&amp;19,tblAdmissions[Sex],"F")</f>
        <v>0</v>
      </c>
      <c r="BH10" s="5">
        <f>COUNTIFS(tblAdmissions[Month],9,tblAdmissions[AgeUnit],"Years",tblAdmissions[Age],"&gt;="&amp;18,tblAdmissions[Age],"&lt;="&amp;19,tblAdmissions[Sex],"M",tblAdmissions[NHIS],"Non-Insured")</f>
        <v>0</v>
      </c>
      <c r="BI10" s="5">
        <f>COUNTIFS(tblAdmissions[Month],9,tblAdmissions[AgeUnit],"Years",tblAdmissions[Age],"&gt;="&amp;18,tblAdmissions[Age],"&lt;="&amp;19,tblAdmissions[Sex],"F",tblAdmissions[NHIS],"Non-Insured")</f>
        <v>0</v>
      </c>
      <c r="BJ10" s="5">
        <f>COUNTIFS(tblAdmissions[Month],9,tblAdmissions[AgeUnit],"Years",tblAdmissions[Age],"&gt;="&amp;18,tblAdmissions[Age],"&lt;="&amp;19,tblAdmissions[Sex],"M",tblAdmissions[NHIS],"Insured")</f>
        <v>0</v>
      </c>
      <c r="BK10" s="5">
        <f>COUNTIFS(tblAdmissions[Month],9,tblAdmissions[AgeUnit],"Years",tblAdmissions[Age],"&gt;="&amp;18,tblAdmissions[Age],"&lt;="&amp;19,tblAdmissions[Sex],"F",tblAdmissions[NHIS],"Insured")</f>
        <v>0</v>
      </c>
      <c r="BL10" s="5" t="s">
        <v>143</v>
      </c>
      <c r="BM10" s="5">
        <f>COUNTIFS(tblAdmissions[Month],10,tblAdmissions[AgeUnit],"Years",tblAdmissions[Age],"&gt;="&amp;18,tblAdmissions[Age],"&lt;="&amp;19,tblAdmissions[Sex],"M")</f>
        <v>0</v>
      </c>
      <c r="BN10" s="5">
        <f>COUNTIFS(tblAdmissions[Month],10,tblAdmissions[AgeUnit],"Years",tblAdmissions[Age],"&gt;="&amp;18,tblAdmissions[Age],"&lt;="&amp;19,tblAdmissions[Sex],"F")</f>
        <v>0</v>
      </c>
      <c r="BO10" s="5">
        <f>COUNTIFS(tblAdmissions[Month],10,tblAdmissions[AgeUnit],"Years",tblAdmissions[Age],"&gt;="&amp;18,tblAdmissions[Age],"&lt;="&amp;19,tblAdmissions[Sex],"M",tblAdmissions[NHIS],"Non-Insured")</f>
        <v>0</v>
      </c>
      <c r="BP10" s="5">
        <f>COUNTIFS(tblAdmissions[Month],10,tblAdmissions[AgeUnit],"Years",tblAdmissions[Age],"&gt;="&amp;18,tblAdmissions[Age],"&lt;="&amp;19,tblAdmissions[Sex],"F",tblAdmissions[NHIS],"Non-Insured")</f>
        <v>0</v>
      </c>
      <c r="BQ10" s="5">
        <f>COUNTIFS(tblAdmissions[Month],10,tblAdmissions[AgeUnit],"Years",tblAdmissions[Age],"&gt;="&amp;18,tblAdmissions[Age],"&lt;="&amp;19,tblAdmissions[Sex],"M",tblAdmissions[NHIS],"Insured")</f>
        <v>0</v>
      </c>
      <c r="BR10" s="5">
        <f>COUNTIFS(tblAdmissions[Month],10,tblAdmissions[AgeUnit],"Years",tblAdmissions[Age],"&gt;="&amp;18,tblAdmissions[Age],"&lt;="&amp;19,tblAdmissions[Sex],"F",tblAdmissions[NHIS],"Insured")</f>
        <v>0</v>
      </c>
      <c r="BS10" s="5" t="s">
        <v>143</v>
      </c>
      <c r="BT10" s="5">
        <f>COUNTIFS(tblAdmissions[Month],11,tblAdmissions[AgeUnit],"Years",tblAdmissions[Age],"&gt;="&amp;18,tblAdmissions[Age],"&lt;="&amp;19,tblAdmissions[Sex],"M")</f>
        <v>0</v>
      </c>
      <c r="BU10" s="5">
        <f>COUNTIFS(tblAdmissions[Month],11,tblAdmissions[AgeUnit],"Years",tblAdmissions[Age],"&gt;="&amp;18,tblAdmissions[Age],"&lt;="&amp;19,tblAdmissions[Sex],"F")</f>
        <v>0</v>
      </c>
      <c r="BV10" s="5">
        <f>COUNTIFS(tblAdmissions[Month],11,tblAdmissions[AgeUnit],"Years",tblAdmissions[Age],"&gt;="&amp;18,tblAdmissions[Age],"&lt;="&amp;19,tblAdmissions[Sex],"M",tblAdmissions[NHIS],"Non-Insured")</f>
        <v>0</v>
      </c>
      <c r="BW10" s="5">
        <f>COUNTIFS(tblAdmissions[Month],11,tblAdmissions[AgeUnit],"Years",tblAdmissions[Age],"&gt;="&amp;18,tblAdmissions[Age],"&lt;="&amp;19,tblAdmissions[Sex],"F",tblAdmissions[NHIS],"Non-Insured")</f>
        <v>0</v>
      </c>
      <c r="BX10" s="5">
        <f>COUNTIFS(tblAdmissions[Month],11,tblAdmissions[AgeUnit],"Years",tblAdmissions[Age],"&gt;="&amp;18,tblAdmissions[Age],"&lt;="&amp;19,tblAdmissions[Sex],"M",tblAdmissions[NHIS],"Insured")</f>
        <v>0</v>
      </c>
      <c r="BY10" s="5">
        <f>COUNTIFS(tblAdmissions[Month],11,tblAdmissions[AgeUnit],"Years",tblAdmissions[Age],"&gt;="&amp;18,tblAdmissions[Age],"&lt;="&amp;19,tblAdmissions[Sex],"F",tblAdmissions[NHIS],"Insured")</f>
        <v>0</v>
      </c>
      <c r="BZ10" s="5" t="s">
        <v>143</v>
      </c>
      <c r="CA10" s="5">
        <f>COUNTIFS(tblAdmissions[Month],12,tblAdmissions[AgeUnit],"Years",tblAdmissions[Age],"&gt;="&amp;18,tblAdmissions[Age],"&lt;="&amp;19,tblAdmissions[Sex],"M")</f>
        <v>0</v>
      </c>
      <c r="CB10" s="5">
        <f>COUNTIFS(tblAdmissions[Month],12,tblAdmissions[AgeUnit],"Years",tblAdmissions[Age],"&gt;="&amp;18,tblAdmissions[Age],"&lt;="&amp;19,tblAdmissions[Sex],"F")</f>
        <v>0</v>
      </c>
      <c r="CC10" s="5">
        <f>COUNTIFS(tblAdmissions[Month],12,tblAdmissions[AgeUnit],"Years",tblAdmissions[Age],"&gt;="&amp;18,tblAdmissions[Age],"&lt;="&amp;19,tblAdmissions[Sex],"M",tblAdmissions[NHIS],"Non-Insured")</f>
        <v>0</v>
      </c>
      <c r="CD10" s="5">
        <f>COUNTIFS(tblAdmissions[Month],12,tblAdmissions[AgeUnit],"Years",tblAdmissions[Age],"&gt;="&amp;18,tblAdmissions[Age],"&lt;="&amp;19,tblAdmissions[Sex],"F",tblAdmissions[NHIS],"Non-Insured")</f>
        <v>0</v>
      </c>
      <c r="CE10" s="5">
        <f>COUNTIFS(tblAdmissions[Month],12,tblAdmissions[AgeUnit],"Years",tblAdmissions[Age],"&gt;="&amp;18,tblAdmissions[Age],"&lt;="&amp;19,tblAdmissions[Sex],"M",tblAdmissions[NHIS],"Insured")</f>
        <v>0</v>
      </c>
      <c r="CF10" s="5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5" t="s">
        <v>144</v>
      </c>
      <c r="B11" s="5">
        <f>COUNTIFS(tblAdmissions[Month],1,tblAdmissions[AgeUnit],"Years",tblAdmissions[Age],"&gt;="&amp;20,tblAdmissions[Age],"&lt;="&amp;34,tblAdmissions[Sex],"M")</f>
        <v>0</v>
      </c>
      <c r="C11" s="5">
        <f>COUNTIFS(tblAdmissions[Month],1,tblAdmissions[AgeUnit],"Years",tblAdmissions[Age],"&gt;="&amp;20,tblAdmissions[Age],"&lt;="&amp;34,tblAdmissions[Sex],"F")</f>
        <v>0</v>
      </c>
      <c r="D11" s="5">
        <f>COUNTIFS(tblAdmissions[Month],1,tblAdmissions[AgeUnit],"Years",tblAdmissions[Age],"&gt;="&amp;20,tblAdmissions[Age],"&lt;="&amp;34,tblAdmissions[Sex],"M",tblAdmissions[NHIS],"Non-Insured")</f>
        <v>0</v>
      </c>
      <c r="E11" s="5">
        <f>COUNTIFS(tblAdmissions[Month],1,tblAdmissions[AgeUnit],"Years",tblAdmissions[Age],"&gt;="&amp;20,tblAdmissions[Age],"&lt;="&amp;34,tblAdmissions[Sex],"F",tblAdmissions[NHIS],"Non-Insured")</f>
        <v>0</v>
      </c>
      <c r="F11" s="5">
        <f>COUNTIFS(tblAdmissions[Month],1,tblAdmissions[AgeUnit],"Years",tblAdmissions[Age],"&gt;="&amp;20,tblAdmissions[Age],"&lt;="&amp;34,tblAdmissions[Sex],"M",tblAdmissions[NHIS],"Insured")</f>
        <v>0</v>
      </c>
      <c r="G11" s="5">
        <f>COUNTIFS(tblAdmissions[Month],1,tblAdmissions[AgeUnit],"Years",tblAdmissions[Age],"&gt;="&amp;20,tblAdmissions[Age],"&lt;="&amp;34,tblAdmissions[Sex],"F",tblAdmissions[NHIS],"Insured")</f>
        <v>0</v>
      </c>
      <c r="H11" s="5" t="s">
        <v>144</v>
      </c>
      <c r="I11" s="5">
        <f>COUNTIFS(tblAdmissions[Month],2,tblAdmissions[AgeUnit],"Years",tblAdmissions[Age],"&gt;="&amp;20,tblAdmissions[Age],"&lt;="&amp;34,tblAdmissions[Sex],"M")</f>
        <v>0</v>
      </c>
      <c r="J11" s="5">
        <f>COUNTIFS(tblAdmissions[Month],2,tblAdmissions[AgeUnit],"Years",tblAdmissions[Age],"&gt;="&amp;20,tblAdmissions[Age],"&lt;="&amp;34,tblAdmissions[Sex],"F")</f>
        <v>0</v>
      </c>
      <c r="K11" s="5">
        <f>COUNTIFS(tblAdmissions[Month],2,tblAdmissions[AgeUnit],"Years",tblAdmissions[Age],"&gt;="&amp;20,tblAdmissions[Age],"&lt;="&amp;34,tblAdmissions[Sex],"M",tblAdmissions[NHIS],"Non-Insured")</f>
        <v>0</v>
      </c>
      <c r="L11" s="5">
        <f>COUNTIFS(tblAdmissions[Month],2,tblAdmissions[AgeUnit],"Years",tblAdmissions[Age],"&gt;="&amp;20,tblAdmissions[Age],"&lt;="&amp;34,tblAdmissions[Sex],"F",tblAdmissions[NHIS],"Non-Insured")</f>
        <v>0</v>
      </c>
      <c r="M11" s="5">
        <f>COUNTIFS(tblAdmissions[Month],2,tblAdmissions[AgeUnit],"Years",tblAdmissions[Age],"&gt;="&amp;20,tblAdmissions[Age],"&lt;="&amp;34,tblAdmissions[Sex],"M",tblAdmissions[NHIS],"Insured")</f>
        <v>0</v>
      </c>
      <c r="N11" s="5">
        <f>COUNTIFS(tblAdmissions[Month],2,tblAdmissions[AgeUnit],"Years",tblAdmissions[Age],"&gt;="&amp;20,tblAdmissions[Age],"&lt;="&amp;34,tblAdmissions[Sex],"F",tblAdmissions[NHIS],"Insured")</f>
        <v>0</v>
      </c>
      <c r="O11" s="5" t="s">
        <v>144</v>
      </c>
      <c r="P11" s="5">
        <f>COUNTIFS(tblAdmissions[Month],3,tblAdmissions[AgeUnit],"Years",tblAdmissions[Age],"&gt;="&amp;20,tblAdmissions[Age],"&lt;="&amp;34,tblAdmissions[Sex],"M")</f>
        <v>0</v>
      </c>
      <c r="Q11" s="5">
        <f>COUNTIFS(tblAdmissions[Month],3,tblAdmissions[AgeUnit],"Years",tblAdmissions[Age],"&gt;="&amp;20,tblAdmissions[Age],"&lt;="&amp;34,tblAdmissions[Sex],"F")</f>
        <v>0</v>
      </c>
      <c r="R11" s="5">
        <f>COUNTIFS(tblAdmissions[Month],3,tblAdmissions[AgeUnit],"Years",tblAdmissions[Age],"&gt;="&amp;20,tblAdmissions[Age],"&lt;="&amp;34,tblAdmissions[Sex],"M",tblAdmissions[NHIS],"Non-Insured")</f>
        <v>0</v>
      </c>
      <c r="S11" s="5">
        <f>COUNTIFS(tblAdmissions[Month],3,tblAdmissions[AgeUnit],"Years",tblAdmissions[Age],"&gt;="&amp;20,tblAdmissions[Age],"&lt;="&amp;34,tblAdmissions[Sex],"F",tblAdmissions[NHIS],"Non-Insured")</f>
        <v>0</v>
      </c>
      <c r="T11" s="5">
        <f>COUNTIFS(tblAdmissions[Month],3,tblAdmissions[AgeUnit],"Years",tblAdmissions[Age],"&gt;="&amp;20,tblAdmissions[Age],"&lt;="&amp;34,tblAdmissions[Sex],"M",tblAdmissions[NHIS],"Insured")</f>
        <v>0</v>
      </c>
      <c r="U11" s="5">
        <f>COUNTIFS(tblAdmissions[Month],3,tblAdmissions[AgeUnit],"Years",tblAdmissions[Age],"&gt;="&amp;20,tblAdmissions[Age],"&lt;="&amp;34,tblAdmissions[Sex],"F",tblAdmissions[NHIS],"Insured")</f>
        <v>0</v>
      </c>
      <c r="V11" s="5" t="s">
        <v>144</v>
      </c>
      <c r="W11" s="5">
        <f>COUNTIFS(tblAdmissions[Month],4,tblAdmissions[AgeUnit],"Years",tblAdmissions[Age],"&gt;="&amp;20,tblAdmissions[Age],"&lt;="&amp;34,tblAdmissions[Sex],"M")</f>
        <v>0</v>
      </c>
      <c r="X11" s="5">
        <f>COUNTIFS(tblAdmissions[Month],4,tblAdmissions[AgeUnit],"Years",tblAdmissions[Age],"&gt;="&amp;20,tblAdmissions[Age],"&lt;="&amp;34,tblAdmissions[Sex],"F")</f>
        <v>0</v>
      </c>
      <c r="Y11" s="5">
        <f>COUNTIFS(tblAdmissions[Month],4,tblAdmissions[AgeUnit],"Years",tblAdmissions[Age],"&gt;="&amp;20,tblAdmissions[Age],"&lt;="&amp;34,tblAdmissions[Sex],"M",tblAdmissions[NHIS],"Non-Insured")</f>
        <v>0</v>
      </c>
      <c r="Z11" s="5">
        <f>COUNTIFS(tblAdmissions[Month],4,tblAdmissions[AgeUnit],"Years",tblAdmissions[Age],"&gt;="&amp;20,tblAdmissions[Age],"&lt;="&amp;34,tblAdmissions[Sex],"F",tblAdmissions[NHIS],"Non-Insured")</f>
        <v>0</v>
      </c>
      <c r="AA11" s="5">
        <f>COUNTIFS(tblAdmissions[Month],4,tblAdmissions[AgeUnit],"Years",tblAdmissions[Age],"&gt;="&amp;20,tblAdmissions[Age],"&lt;="&amp;34,tblAdmissions[Sex],"M",tblAdmissions[NHIS],"Insured")</f>
        <v>0</v>
      </c>
      <c r="AB11" s="5">
        <f>COUNTIFS(tblAdmissions[Month],4,tblAdmissions[AgeUnit],"Years",tblAdmissions[Age],"&gt;="&amp;20,tblAdmissions[Age],"&lt;="&amp;34,tblAdmissions[Sex],"F",tblAdmissions[NHIS],"Insured")</f>
        <v>0</v>
      </c>
      <c r="AC11" s="5" t="s">
        <v>144</v>
      </c>
      <c r="AD11" s="5">
        <f>COUNTIFS(tblAdmissions[Month],5,tblAdmissions[AgeUnit],"Years",tblAdmissions[Age],"&gt;="&amp;20,tblAdmissions[Age],"&lt;="&amp;34,tblAdmissions[Sex],"M")</f>
        <v>0</v>
      </c>
      <c r="AE11" s="5">
        <f>COUNTIFS(tblAdmissions[Month],5,tblAdmissions[AgeUnit],"Years",tblAdmissions[Age],"&gt;="&amp;20,tblAdmissions[Age],"&lt;="&amp;34,tblAdmissions[Sex],"F")</f>
        <v>0</v>
      </c>
      <c r="AF11" s="5">
        <f>COUNTIFS(tblAdmissions[Month],5,tblAdmissions[AgeUnit],"Years",tblAdmissions[Age],"&gt;="&amp;20,tblAdmissions[Age],"&lt;="&amp;34,tblAdmissions[Sex],"M",tblAdmissions[NHIS],"Non-Insured")</f>
        <v>0</v>
      </c>
      <c r="AG11" s="5">
        <f>COUNTIFS(tblAdmissions[Month],5,tblAdmissions[AgeUnit],"Years",tblAdmissions[Age],"&gt;="&amp;20,tblAdmissions[Age],"&lt;="&amp;34,tblAdmissions[Sex],"F",tblAdmissions[NHIS],"Non-Insured")</f>
        <v>0</v>
      </c>
      <c r="AH11" s="5">
        <f>COUNTIFS(tblAdmissions[Month],5,tblAdmissions[AgeUnit],"Years",tblAdmissions[Age],"&gt;="&amp;20,tblAdmissions[Age],"&lt;="&amp;34,tblAdmissions[Sex],"M",tblAdmissions[NHIS],"Insured")</f>
        <v>0</v>
      </c>
      <c r="AI11" s="5">
        <f>COUNTIFS(tblAdmissions[Month],5,tblAdmissions[AgeUnit],"Years",tblAdmissions[Age],"&gt;="&amp;20,tblAdmissions[Age],"&lt;="&amp;34,tblAdmissions[Sex],"F",tblAdmissions[NHIS],"Insured")</f>
        <v>0</v>
      </c>
      <c r="AJ11" s="5" t="s">
        <v>144</v>
      </c>
      <c r="AK11" s="5">
        <f>COUNTIFS(tblAdmissions[Month],6,tblAdmissions[AgeUnit],"Years",tblAdmissions[Age],"&gt;="&amp;20,tblAdmissions[Age],"&lt;="&amp;34,tblAdmissions[Sex],"M")</f>
        <v>0</v>
      </c>
      <c r="AL11" s="5">
        <f>COUNTIFS(tblAdmissions[Month],6,tblAdmissions[AgeUnit],"Years",tblAdmissions[Age],"&gt;="&amp;20,tblAdmissions[Age],"&lt;="&amp;34,tblAdmissions[Sex],"F")</f>
        <v>0</v>
      </c>
      <c r="AM11" s="5">
        <f>COUNTIFS(tblAdmissions[Month],6,tblAdmissions[AgeUnit],"Years",tblAdmissions[Age],"&gt;="&amp;20,tblAdmissions[Age],"&lt;="&amp;34,tblAdmissions[Sex],"M",tblAdmissions[NHIS],"Non-Insured")</f>
        <v>0</v>
      </c>
      <c r="AN11" s="5">
        <f>COUNTIFS(tblAdmissions[Month],6,tblAdmissions[AgeUnit],"Years",tblAdmissions[Age],"&gt;="&amp;20,tblAdmissions[Age],"&lt;="&amp;34,tblAdmissions[Sex],"F",tblAdmissions[NHIS],"Non-Insured")</f>
        <v>0</v>
      </c>
      <c r="AO11" s="5">
        <f>COUNTIFS(tblAdmissions[Month],6,tblAdmissions[AgeUnit],"Years",tblAdmissions[Age],"&gt;="&amp;20,tblAdmissions[Age],"&lt;="&amp;34,tblAdmissions[Sex],"M",tblAdmissions[NHIS],"Insured")</f>
        <v>0</v>
      </c>
      <c r="AP11" s="5">
        <f>COUNTIFS(tblAdmissions[Month],6,tblAdmissions[AgeUnit],"Years",tblAdmissions[Age],"&gt;="&amp;20,tblAdmissions[Age],"&lt;="&amp;34,tblAdmissions[Sex],"F",tblAdmissions[NHIS],"Insured")</f>
        <v>0</v>
      </c>
      <c r="AQ11" s="5" t="s">
        <v>144</v>
      </c>
      <c r="AR11" s="5">
        <f>COUNTIFS(tblAdmissions[Month],7,tblAdmissions[AgeUnit],"Years",tblAdmissions[Age],"&gt;="&amp;20,tblAdmissions[Age],"&lt;="&amp;34,tblAdmissions[Sex],"M")</f>
        <v>0</v>
      </c>
      <c r="AS11" s="5">
        <f>COUNTIFS(tblAdmissions[Month],7,tblAdmissions[AgeUnit],"Years",tblAdmissions[Age],"&gt;="&amp;20,tblAdmissions[Age],"&lt;="&amp;34,tblAdmissions[Sex],"F")</f>
        <v>0</v>
      </c>
      <c r="AT11" s="5">
        <f>COUNTIFS(tblAdmissions[Month],7,tblAdmissions[AgeUnit],"Years",tblAdmissions[Age],"&gt;="&amp;20,tblAdmissions[Age],"&lt;="&amp;34,tblAdmissions[Sex],"M",tblAdmissions[NHIS],"Non-Insured")</f>
        <v>0</v>
      </c>
      <c r="AU11" s="5">
        <f>COUNTIFS(tblAdmissions[Month],7,tblAdmissions[AgeUnit],"Years",tblAdmissions[Age],"&gt;="&amp;20,tblAdmissions[Age],"&lt;="&amp;34,tblAdmissions[Sex],"F",tblAdmissions[NHIS],"Non-Insured")</f>
        <v>0</v>
      </c>
      <c r="AV11" s="5">
        <f>COUNTIFS(tblAdmissions[Month],7,tblAdmissions[AgeUnit],"Years",tblAdmissions[Age],"&gt;="&amp;20,tblAdmissions[Age],"&lt;="&amp;34,tblAdmissions[Sex],"M",tblAdmissions[NHIS],"Insured")</f>
        <v>0</v>
      </c>
      <c r="AW11" s="5">
        <f>COUNTIFS(tblAdmissions[Month],7,tblAdmissions[AgeUnit],"Years",tblAdmissions[Age],"&gt;="&amp;20,tblAdmissions[Age],"&lt;="&amp;34,tblAdmissions[Sex],"F",tblAdmissions[NHIS],"Insured")</f>
        <v>0</v>
      </c>
      <c r="AX11" s="5" t="s">
        <v>144</v>
      </c>
      <c r="AY11" s="5">
        <f>COUNTIFS(tblAdmissions[Month],8,tblAdmissions[AgeUnit],"Years",tblAdmissions[Age],"&gt;="&amp;20,tblAdmissions[Age],"&lt;="&amp;34,tblAdmissions[Sex],"M")</f>
        <v>0</v>
      </c>
      <c r="AZ11" s="5">
        <f>COUNTIFS(tblAdmissions[Month],8,tblAdmissions[AgeUnit],"Years",tblAdmissions[Age],"&gt;="&amp;20,tblAdmissions[Age],"&lt;="&amp;34,tblAdmissions[Sex],"F")</f>
        <v>0</v>
      </c>
      <c r="BA11" s="5">
        <f>COUNTIFS(tblAdmissions[Month],8,tblAdmissions[AgeUnit],"Years",tblAdmissions[Age],"&gt;="&amp;20,tblAdmissions[Age],"&lt;="&amp;34,tblAdmissions[Sex],"M",tblAdmissions[NHIS],"Non-Insured")</f>
        <v>0</v>
      </c>
      <c r="BB11" s="5">
        <f>COUNTIFS(tblAdmissions[Month],8,tblAdmissions[AgeUnit],"Years",tblAdmissions[Age],"&gt;="&amp;20,tblAdmissions[Age],"&lt;="&amp;34,tblAdmissions[Sex],"F",tblAdmissions[NHIS],"Non-Insured")</f>
        <v>0</v>
      </c>
      <c r="BC11" s="5">
        <f>COUNTIFS(tblAdmissions[Month],8,tblAdmissions[AgeUnit],"Years",tblAdmissions[Age],"&gt;="&amp;20,tblAdmissions[Age],"&lt;="&amp;34,tblAdmissions[Sex],"M",tblAdmissions[NHIS],"Insured")</f>
        <v>0</v>
      </c>
      <c r="BD11" s="5">
        <f>COUNTIFS(tblAdmissions[Month],8,tblAdmissions[AgeUnit],"Years",tblAdmissions[Age],"&gt;="&amp;20,tblAdmissions[Age],"&lt;="&amp;34,tblAdmissions[Sex],"F",tblAdmissions[NHIS],"Insured")</f>
        <v>0</v>
      </c>
      <c r="BE11" s="5" t="s">
        <v>144</v>
      </c>
      <c r="BF11" s="5">
        <f>COUNTIFS(tblAdmissions[Month],9,tblAdmissions[AgeUnit],"Years",tblAdmissions[Age],"&gt;="&amp;20,tblAdmissions[Age],"&lt;="&amp;34,tblAdmissions[Sex],"M")</f>
        <v>0</v>
      </c>
      <c r="BG11" s="5">
        <f>COUNTIFS(tblAdmissions[Month],9,tblAdmissions[AgeUnit],"Years",tblAdmissions[Age],"&gt;="&amp;20,tblAdmissions[Age],"&lt;="&amp;34,tblAdmissions[Sex],"F")</f>
        <v>0</v>
      </c>
      <c r="BH11" s="5">
        <f>COUNTIFS(tblAdmissions[Month],9,tblAdmissions[AgeUnit],"Years",tblAdmissions[Age],"&gt;="&amp;20,tblAdmissions[Age],"&lt;="&amp;34,tblAdmissions[Sex],"M",tblAdmissions[NHIS],"Non-Insured")</f>
        <v>0</v>
      </c>
      <c r="BI11" s="5">
        <f>COUNTIFS(tblAdmissions[Month],9,tblAdmissions[AgeUnit],"Years",tblAdmissions[Age],"&gt;="&amp;20,tblAdmissions[Age],"&lt;="&amp;34,tblAdmissions[Sex],"F",tblAdmissions[NHIS],"Non-Insured")</f>
        <v>0</v>
      </c>
      <c r="BJ11" s="5">
        <f>COUNTIFS(tblAdmissions[Month],9,tblAdmissions[AgeUnit],"Years",tblAdmissions[Age],"&gt;="&amp;20,tblAdmissions[Age],"&lt;="&amp;34,tblAdmissions[Sex],"M",tblAdmissions[NHIS],"Insured")</f>
        <v>0</v>
      </c>
      <c r="BK11" s="5">
        <f>COUNTIFS(tblAdmissions[Month],9,tblAdmissions[AgeUnit],"Years",tblAdmissions[Age],"&gt;="&amp;20,tblAdmissions[Age],"&lt;="&amp;34,tblAdmissions[Sex],"F",tblAdmissions[NHIS],"Insured")</f>
        <v>0</v>
      </c>
      <c r="BL11" s="5" t="s">
        <v>144</v>
      </c>
      <c r="BM11" s="5">
        <f>COUNTIFS(tblAdmissions[Month],10,tblAdmissions[AgeUnit],"Years",tblAdmissions[Age],"&gt;="&amp;20,tblAdmissions[Age],"&lt;="&amp;34,tblAdmissions[Sex],"M")</f>
        <v>0</v>
      </c>
      <c r="BN11" s="5">
        <f>COUNTIFS(tblAdmissions[Month],10,tblAdmissions[AgeUnit],"Years",tblAdmissions[Age],"&gt;="&amp;20,tblAdmissions[Age],"&lt;="&amp;34,tblAdmissions[Sex],"F")</f>
        <v>0</v>
      </c>
      <c r="BO11" s="5">
        <f>COUNTIFS(tblAdmissions[Month],10,tblAdmissions[AgeUnit],"Years",tblAdmissions[Age],"&gt;="&amp;20,tblAdmissions[Age],"&lt;="&amp;34,tblAdmissions[Sex],"M",tblAdmissions[NHIS],"Non-Insured")</f>
        <v>0</v>
      </c>
      <c r="BP11" s="5">
        <f>COUNTIFS(tblAdmissions[Month],10,tblAdmissions[AgeUnit],"Years",tblAdmissions[Age],"&gt;="&amp;20,tblAdmissions[Age],"&lt;="&amp;34,tblAdmissions[Sex],"F",tblAdmissions[NHIS],"Non-Insured")</f>
        <v>0</v>
      </c>
      <c r="BQ11" s="5">
        <f>COUNTIFS(tblAdmissions[Month],10,tblAdmissions[AgeUnit],"Years",tblAdmissions[Age],"&gt;="&amp;20,tblAdmissions[Age],"&lt;="&amp;34,tblAdmissions[Sex],"M",tblAdmissions[NHIS],"Insured")</f>
        <v>0</v>
      </c>
      <c r="BR11" s="5">
        <f>COUNTIFS(tblAdmissions[Month],10,tblAdmissions[AgeUnit],"Years",tblAdmissions[Age],"&gt;="&amp;20,tblAdmissions[Age],"&lt;="&amp;34,tblAdmissions[Sex],"F",tblAdmissions[NHIS],"Insured")</f>
        <v>0</v>
      </c>
      <c r="BS11" s="5" t="s">
        <v>144</v>
      </c>
      <c r="BT11" s="5">
        <f>COUNTIFS(tblAdmissions[Month],11,tblAdmissions[AgeUnit],"Years",tblAdmissions[Age],"&gt;="&amp;20,tblAdmissions[Age],"&lt;="&amp;34,tblAdmissions[Sex],"M")</f>
        <v>0</v>
      </c>
      <c r="BU11" s="5">
        <f>COUNTIFS(tblAdmissions[Month],11,tblAdmissions[AgeUnit],"Years",tblAdmissions[Age],"&gt;="&amp;20,tblAdmissions[Age],"&lt;="&amp;34,tblAdmissions[Sex],"F")</f>
        <v>0</v>
      </c>
      <c r="BV11" s="5">
        <f>COUNTIFS(tblAdmissions[Month],11,tblAdmissions[AgeUnit],"Years",tblAdmissions[Age],"&gt;="&amp;20,tblAdmissions[Age],"&lt;="&amp;34,tblAdmissions[Sex],"M",tblAdmissions[NHIS],"Non-Insured")</f>
        <v>0</v>
      </c>
      <c r="BW11" s="5">
        <f>COUNTIFS(tblAdmissions[Month],11,tblAdmissions[AgeUnit],"Years",tblAdmissions[Age],"&gt;="&amp;20,tblAdmissions[Age],"&lt;="&amp;34,tblAdmissions[Sex],"F",tblAdmissions[NHIS],"Non-Insured")</f>
        <v>0</v>
      </c>
      <c r="BX11" s="5">
        <f>COUNTIFS(tblAdmissions[Month],11,tblAdmissions[AgeUnit],"Years",tblAdmissions[Age],"&gt;="&amp;20,tblAdmissions[Age],"&lt;="&amp;34,tblAdmissions[Sex],"M",tblAdmissions[NHIS],"Insured")</f>
        <v>0</v>
      </c>
      <c r="BY11" s="5">
        <f>COUNTIFS(tblAdmissions[Month],11,tblAdmissions[AgeUnit],"Years",tblAdmissions[Age],"&gt;="&amp;20,tblAdmissions[Age],"&lt;="&amp;34,tblAdmissions[Sex],"F",tblAdmissions[NHIS],"Insured")</f>
        <v>0</v>
      </c>
      <c r="BZ11" s="5" t="s">
        <v>144</v>
      </c>
      <c r="CA11" s="5">
        <f>COUNTIFS(tblAdmissions[Month],12,tblAdmissions[AgeUnit],"Years",tblAdmissions[Age],"&gt;="&amp;20,tblAdmissions[Age],"&lt;="&amp;34,tblAdmissions[Sex],"M")</f>
        <v>0</v>
      </c>
      <c r="CB11" s="5">
        <f>COUNTIFS(tblAdmissions[Month],12,tblAdmissions[AgeUnit],"Years",tblAdmissions[Age],"&gt;="&amp;20,tblAdmissions[Age],"&lt;="&amp;34,tblAdmissions[Sex],"F")</f>
        <v>0</v>
      </c>
      <c r="CC11" s="5">
        <f>COUNTIFS(tblAdmissions[Month],12,tblAdmissions[AgeUnit],"Years",tblAdmissions[Age],"&gt;="&amp;20,tblAdmissions[Age],"&lt;="&amp;34,tblAdmissions[Sex],"M",tblAdmissions[NHIS],"Non-Insured")</f>
        <v>0</v>
      </c>
      <c r="CD11" s="5">
        <f>COUNTIFS(tblAdmissions[Month],12,tblAdmissions[AgeUnit],"Years",tblAdmissions[Age],"&gt;="&amp;20,tblAdmissions[Age],"&lt;="&amp;34,tblAdmissions[Sex],"F",tblAdmissions[NHIS],"Non-Insured")</f>
        <v>0</v>
      </c>
      <c r="CE11" s="5">
        <f>COUNTIFS(tblAdmissions[Month],12,tblAdmissions[AgeUnit],"Years",tblAdmissions[Age],"&gt;="&amp;20,tblAdmissions[Age],"&lt;="&amp;34,tblAdmissions[Sex],"M",tblAdmissions[NHIS],"Insured")</f>
        <v>0</v>
      </c>
      <c r="CF11" s="5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5" t="s">
        <v>145</v>
      </c>
      <c r="B12" s="5">
        <f>COUNTIFS(tblAdmissions[Month],1,tblAdmissions[AgeUnit],"Years",tblAdmissions[Age],"&gt;="&amp;35,tblAdmissions[Age],"&lt;="&amp;49,tblAdmissions[Sex],"M")</f>
        <v>0</v>
      </c>
      <c r="C12" s="5">
        <f>COUNTIFS(tblAdmissions[Month],1,tblAdmissions[AgeUnit],"Years",tblAdmissions[Age],"&gt;="&amp;35,tblAdmissions[Age],"&lt;="&amp;49,tblAdmissions[Sex],"F")</f>
        <v>0</v>
      </c>
      <c r="D12" s="5">
        <f>COUNTIFS(tblAdmissions[Month],1,tblAdmissions[AgeUnit],"Years",tblAdmissions[Age],"&gt;="&amp;35,tblAdmissions[Age],"&lt;="&amp;49,tblAdmissions[Sex],"M",tblAdmissions[NHIS],"Non-Insured")</f>
        <v>0</v>
      </c>
      <c r="E12" s="5">
        <f>COUNTIFS(tblAdmissions[Month],1,tblAdmissions[AgeUnit],"Years",tblAdmissions[Age],"&gt;="&amp;35,tblAdmissions[Age],"&lt;="&amp;49,tblAdmissions[Sex],"F",tblAdmissions[NHIS],"Non-Insured")</f>
        <v>0</v>
      </c>
      <c r="F12" s="5">
        <f>COUNTIFS(tblAdmissions[Month],1,tblAdmissions[AgeUnit],"Years",tblAdmissions[Age],"&gt;="&amp;35,tblAdmissions[Age],"&lt;="&amp;49,tblAdmissions[Sex],"M",tblAdmissions[NHIS],"Insured")</f>
        <v>0</v>
      </c>
      <c r="G12" s="5">
        <f>COUNTIFS(tblAdmissions[Month],1,tblAdmissions[AgeUnit],"Years",tblAdmissions[Age],"&gt;="&amp;35,tblAdmissions[Age],"&lt;="&amp;49,tblAdmissions[Sex],"F",tblAdmissions[NHIS],"Insured")</f>
        <v>0</v>
      </c>
      <c r="H12" s="5" t="s">
        <v>145</v>
      </c>
      <c r="I12" s="5">
        <f>COUNTIFS(tblAdmissions[Month],2,tblAdmissions[AgeUnit],"Years",tblAdmissions[Age],"&gt;="&amp;35,tblAdmissions[Age],"&lt;="&amp;49,tblAdmissions[Sex],"M")</f>
        <v>0</v>
      </c>
      <c r="J12" s="5">
        <f>COUNTIFS(tblAdmissions[Month],2,tblAdmissions[AgeUnit],"Years",tblAdmissions[Age],"&gt;="&amp;35,tblAdmissions[Age],"&lt;="&amp;49,tblAdmissions[Sex],"F")</f>
        <v>0</v>
      </c>
      <c r="K12" s="5">
        <f>COUNTIFS(tblAdmissions[Month],2,tblAdmissions[AgeUnit],"Years",tblAdmissions[Age],"&gt;="&amp;35,tblAdmissions[Age],"&lt;="&amp;49,tblAdmissions[Sex],"M",tblAdmissions[NHIS],"Non-Insured")</f>
        <v>0</v>
      </c>
      <c r="L12" s="5">
        <f>COUNTIFS(tblAdmissions[Month],2,tblAdmissions[AgeUnit],"Years",tblAdmissions[Age],"&gt;="&amp;35,tblAdmissions[Age],"&lt;="&amp;49,tblAdmissions[Sex],"F",tblAdmissions[NHIS],"Non-Insured")</f>
        <v>0</v>
      </c>
      <c r="M12" s="5">
        <f>COUNTIFS(tblAdmissions[Month],2,tblAdmissions[AgeUnit],"Years",tblAdmissions[Age],"&gt;="&amp;35,tblAdmissions[Age],"&lt;="&amp;49,tblAdmissions[Sex],"M",tblAdmissions[NHIS],"Insured")</f>
        <v>0</v>
      </c>
      <c r="N12" s="5">
        <f>COUNTIFS(tblAdmissions[Month],2,tblAdmissions[AgeUnit],"Years",tblAdmissions[Age],"&gt;="&amp;35,tblAdmissions[Age],"&lt;="&amp;49,tblAdmissions[Sex],"F",tblAdmissions[NHIS],"Insured")</f>
        <v>0</v>
      </c>
      <c r="O12" s="5" t="s">
        <v>145</v>
      </c>
      <c r="P12" s="5">
        <f>COUNTIFS(tblAdmissions[Month],3,tblAdmissions[AgeUnit],"Years",tblAdmissions[Age],"&gt;="&amp;35,tblAdmissions[Age],"&lt;="&amp;49,tblAdmissions[Sex],"M")</f>
        <v>0</v>
      </c>
      <c r="Q12" s="5">
        <f>COUNTIFS(tblAdmissions[Month],3,tblAdmissions[AgeUnit],"Years",tblAdmissions[Age],"&gt;="&amp;35,tblAdmissions[Age],"&lt;="&amp;49,tblAdmissions[Sex],"F")</f>
        <v>0</v>
      </c>
      <c r="R12" s="5">
        <f>COUNTIFS(tblAdmissions[Month],3,tblAdmissions[AgeUnit],"Years",tblAdmissions[Age],"&gt;="&amp;35,tblAdmissions[Age],"&lt;="&amp;49,tblAdmissions[Sex],"M",tblAdmissions[NHIS],"Non-Insured")</f>
        <v>0</v>
      </c>
      <c r="S12" s="5">
        <f>COUNTIFS(tblAdmissions[Month],3,tblAdmissions[AgeUnit],"Years",tblAdmissions[Age],"&gt;="&amp;35,tblAdmissions[Age],"&lt;="&amp;49,tblAdmissions[Sex],"F",tblAdmissions[NHIS],"Non-Insured")</f>
        <v>0</v>
      </c>
      <c r="T12" s="5">
        <f>COUNTIFS(tblAdmissions[Month],3,tblAdmissions[AgeUnit],"Years",tblAdmissions[Age],"&gt;="&amp;35,tblAdmissions[Age],"&lt;="&amp;49,tblAdmissions[Sex],"M",tblAdmissions[NHIS],"Insured")</f>
        <v>0</v>
      </c>
      <c r="U12" s="5">
        <f>COUNTIFS(tblAdmissions[Month],3,tblAdmissions[AgeUnit],"Years",tblAdmissions[Age],"&gt;="&amp;35,tblAdmissions[Age],"&lt;="&amp;49,tblAdmissions[Sex],"F",tblAdmissions[NHIS],"Insured")</f>
        <v>0</v>
      </c>
      <c r="V12" s="5" t="s">
        <v>145</v>
      </c>
      <c r="W12" s="5">
        <f>COUNTIFS(tblAdmissions[Month],4,tblAdmissions[AgeUnit],"Years",tblAdmissions[Age],"&gt;="&amp;35,tblAdmissions[Age],"&lt;="&amp;49,tblAdmissions[Sex],"M")</f>
        <v>0</v>
      </c>
      <c r="X12" s="5">
        <f>COUNTIFS(tblAdmissions[Month],4,tblAdmissions[AgeUnit],"Years",tblAdmissions[Age],"&gt;="&amp;35,tblAdmissions[Age],"&lt;="&amp;49,tblAdmissions[Sex],"F")</f>
        <v>0</v>
      </c>
      <c r="Y12" s="5">
        <f>COUNTIFS(tblAdmissions[Month],4,tblAdmissions[AgeUnit],"Years",tblAdmissions[Age],"&gt;="&amp;35,tblAdmissions[Age],"&lt;="&amp;49,tblAdmissions[Sex],"M",tblAdmissions[NHIS],"Non-Insured")</f>
        <v>0</v>
      </c>
      <c r="Z12" s="5">
        <f>COUNTIFS(tblAdmissions[Month],4,tblAdmissions[AgeUnit],"Years",tblAdmissions[Age],"&gt;="&amp;35,tblAdmissions[Age],"&lt;="&amp;49,tblAdmissions[Sex],"F",tblAdmissions[NHIS],"Non-Insured")</f>
        <v>0</v>
      </c>
      <c r="AA12" s="5">
        <f>COUNTIFS(tblAdmissions[Month],4,tblAdmissions[AgeUnit],"Years",tblAdmissions[Age],"&gt;="&amp;35,tblAdmissions[Age],"&lt;="&amp;49,tblAdmissions[Sex],"M",tblAdmissions[NHIS],"Insured")</f>
        <v>0</v>
      </c>
      <c r="AB12" s="5">
        <f>COUNTIFS(tblAdmissions[Month],4,tblAdmissions[AgeUnit],"Years",tblAdmissions[Age],"&gt;="&amp;35,tblAdmissions[Age],"&lt;="&amp;49,tblAdmissions[Sex],"F",tblAdmissions[NHIS],"Insured")</f>
        <v>0</v>
      </c>
      <c r="AC12" s="5" t="s">
        <v>145</v>
      </c>
      <c r="AD12" s="5">
        <f>COUNTIFS(tblAdmissions[Month],5,tblAdmissions[AgeUnit],"Years",tblAdmissions[Age],"&gt;="&amp;35,tblAdmissions[Age],"&lt;="&amp;49,tblAdmissions[Sex],"M")</f>
        <v>0</v>
      </c>
      <c r="AE12" s="5">
        <f>COUNTIFS(tblAdmissions[Month],5,tblAdmissions[AgeUnit],"Years",tblAdmissions[Age],"&gt;="&amp;35,tblAdmissions[Age],"&lt;="&amp;49,tblAdmissions[Sex],"F")</f>
        <v>0</v>
      </c>
      <c r="AF12" s="5">
        <f>COUNTIFS(tblAdmissions[Month],5,tblAdmissions[AgeUnit],"Years",tblAdmissions[Age],"&gt;="&amp;35,tblAdmissions[Age],"&lt;="&amp;49,tblAdmissions[Sex],"M",tblAdmissions[NHIS],"Non-Insured")</f>
        <v>0</v>
      </c>
      <c r="AG12" s="5">
        <f>COUNTIFS(tblAdmissions[Month],5,tblAdmissions[AgeUnit],"Years",tblAdmissions[Age],"&gt;="&amp;35,tblAdmissions[Age],"&lt;="&amp;49,tblAdmissions[Sex],"F",tblAdmissions[NHIS],"Non-Insured")</f>
        <v>0</v>
      </c>
      <c r="AH12" s="5">
        <f>COUNTIFS(tblAdmissions[Month],5,tblAdmissions[AgeUnit],"Years",tblAdmissions[Age],"&gt;="&amp;35,tblAdmissions[Age],"&lt;="&amp;49,tblAdmissions[Sex],"M",tblAdmissions[NHIS],"Insured")</f>
        <v>0</v>
      </c>
      <c r="AI12" s="5">
        <f>COUNTIFS(tblAdmissions[Month],5,tblAdmissions[AgeUnit],"Years",tblAdmissions[Age],"&gt;="&amp;35,tblAdmissions[Age],"&lt;="&amp;49,tblAdmissions[Sex],"F",tblAdmissions[NHIS],"Insured")</f>
        <v>0</v>
      </c>
      <c r="AJ12" s="5" t="s">
        <v>145</v>
      </c>
      <c r="AK12" s="5">
        <f>COUNTIFS(tblAdmissions[Month],6,tblAdmissions[AgeUnit],"Years",tblAdmissions[Age],"&gt;="&amp;35,tblAdmissions[Age],"&lt;="&amp;49,tblAdmissions[Sex],"M")</f>
        <v>0</v>
      </c>
      <c r="AL12" s="5">
        <f>COUNTIFS(tblAdmissions[Month],6,tblAdmissions[AgeUnit],"Years",tblAdmissions[Age],"&gt;="&amp;35,tblAdmissions[Age],"&lt;="&amp;49,tblAdmissions[Sex],"F")</f>
        <v>0</v>
      </c>
      <c r="AM12" s="5">
        <f>COUNTIFS(tblAdmissions[Month],6,tblAdmissions[AgeUnit],"Years",tblAdmissions[Age],"&gt;="&amp;35,tblAdmissions[Age],"&lt;="&amp;49,tblAdmissions[Sex],"M",tblAdmissions[NHIS],"Non-Insured")</f>
        <v>0</v>
      </c>
      <c r="AN12" s="5">
        <f>COUNTIFS(tblAdmissions[Month],6,tblAdmissions[AgeUnit],"Years",tblAdmissions[Age],"&gt;="&amp;35,tblAdmissions[Age],"&lt;="&amp;49,tblAdmissions[Sex],"F",tblAdmissions[NHIS],"Non-Insured")</f>
        <v>0</v>
      </c>
      <c r="AO12" s="5">
        <f>COUNTIFS(tblAdmissions[Month],6,tblAdmissions[AgeUnit],"Years",tblAdmissions[Age],"&gt;="&amp;35,tblAdmissions[Age],"&lt;="&amp;49,tblAdmissions[Sex],"M",tblAdmissions[NHIS],"Insured")</f>
        <v>0</v>
      </c>
      <c r="AP12" s="5">
        <f>COUNTIFS(tblAdmissions[Month],6,tblAdmissions[AgeUnit],"Years",tblAdmissions[Age],"&gt;="&amp;35,tblAdmissions[Age],"&lt;="&amp;49,tblAdmissions[Sex],"F",tblAdmissions[NHIS],"Insured")</f>
        <v>0</v>
      </c>
      <c r="AQ12" s="5" t="s">
        <v>145</v>
      </c>
      <c r="AR12" s="5">
        <f>COUNTIFS(tblAdmissions[Month],7,tblAdmissions[AgeUnit],"Years",tblAdmissions[Age],"&gt;="&amp;35,tblAdmissions[Age],"&lt;="&amp;49,tblAdmissions[Sex],"M")</f>
        <v>0</v>
      </c>
      <c r="AS12" s="5">
        <f>COUNTIFS(tblAdmissions[Month],7,tblAdmissions[AgeUnit],"Years",tblAdmissions[Age],"&gt;="&amp;35,tblAdmissions[Age],"&lt;="&amp;49,tblAdmissions[Sex],"F")</f>
        <v>0</v>
      </c>
      <c r="AT12" s="5">
        <f>COUNTIFS(tblAdmissions[Month],7,tblAdmissions[AgeUnit],"Years",tblAdmissions[Age],"&gt;="&amp;35,tblAdmissions[Age],"&lt;="&amp;49,tblAdmissions[Sex],"M",tblAdmissions[NHIS],"Non-Insured")</f>
        <v>0</v>
      </c>
      <c r="AU12" s="5">
        <f>COUNTIFS(tblAdmissions[Month],7,tblAdmissions[AgeUnit],"Years",tblAdmissions[Age],"&gt;="&amp;35,tblAdmissions[Age],"&lt;="&amp;49,tblAdmissions[Sex],"F",tblAdmissions[NHIS],"Non-Insured")</f>
        <v>0</v>
      </c>
      <c r="AV12" s="5">
        <f>COUNTIFS(tblAdmissions[Month],7,tblAdmissions[AgeUnit],"Years",tblAdmissions[Age],"&gt;="&amp;35,tblAdmissions[Age],"&lt;="&amp;49,tblAdmissions[Sex],"M",tblAdmissions[NHIS],"Insured")</f>
        <v>0</v>
      </c>
      <c r="AW12" s="5">
        <f>COUNTIFS(tblAdmissions[Month],7,tblAdmissions[AgeUnit],"Years",tblAdmissions[Age],"&gt;="&amp;35,tblAdmissions[Age],"&lt;="&amp;49,tblAdmissions[Sex],"F",tblAdmissions[NHIS],"Insured")</f>
        <v>0</v>
      </c>
      <c r="AX12" s="5" t="s">
        <v>145</v>
      </c>
      <c r="AY12" s="5">
        <f>COUNTIFS(tblAdmissions[Month],8,tblAdmissions[AgeUnit],"Years",tblAdmissions[Age],"&gt;="&amp;35,tblAdmissions[Age],"&lt;="&amp;49,tblAdmissions[Sex],"M")</f>
        <v>0</v>
      </c>
      <c r="AZ12" s="5">
        <f>COUNTIFS(tblAdmissions[Month],8,tblAdmissions[AgeUnit],"Years",tblAdmissions[Age],"&gt;="&amp;35,tblAdmissions[Age],"&lt;="&amp;49,tblAdmissions[Sex],"F")</f>
        <v>0</v>
      </c>
      <c r="BA12" s="5">
        <f>COUNTIFS(tblAdmissions[Month],8,tblAdmissions[AgeUnit],"Years",tblAdmissions[Age],"&gt;="&amp;35,tblAdmissions[Age],"&lt;="&amp;49,tblAdmissions[Sex],"M",tblAdmissions[NHIS],"Non-Insured")</f>
        <v>0</v>
      </c>
      <c r="BB12" s="5">
        <f>COUNTIFS(tblAdmissions[Month],8,tblAdmissions[AgeUnit],"Years",tblAdmissions[Age],"&gt;="&amp;35,tblAdmissions[Age],"&lt;="&amp;49,tblAdmissions[Sex],"F",tblAdmissions[NHIS],"Non-Insured")</f>
        <v>0</v>
      </c>
      <c r="BC12" s="5">
        <f>COUNTIFS(tblAdmissions[Month],8,tblAdmissions[AgeUnit],"Years",tblAdmissions[Age],"&gt;="&amp;35,tblAdmissions[Age],"&lt;="&amp;49,tblAdmissions[Sex],"M",tblAdmissions[NHIS],"Insured")</f>
        <v>0</v>
      </c>
      <c r="BD12" s="5">
        <f>COUNTIFS(tblAdmissions[Month],8,tblAdmissions[AgeUnit],"Years",tblAdmissions[Age],"&gt;="&amp;35,tblAdmissions[Age],"&lt;="&amp;49,tblAdmissions[Sex],"F",tblAdmissions[NHIS],"Insured")</f>
        <v>0</v>
      </c>
      <c r="BE12" s="5" t="s">
        <v>145</v>
      </c>
      <c r="BF12" s="5">
        <f>COUNTIFS(tblAdmissions[Month],9,tblAdmissions[AgeUnit],"Years",tblAdmissions[Age],"&gt;="&amp;35,tblAdmissions[Age],"&lt;="&amp;49,tblAdmissions[Sex],"M")</f>
        <v>0</v>
      </c>
      <c r="BG12" s="5">
        <f>COUNTIFS(tblAdmissions[Month],9,tblAdmissions[AgeUnit],"Years",tblAdmissions[Age],"&gt;="&amp;35,tblAdmissions[Age],"&lt;="&amp;49,tblAdmissions[Sex],"F")</f>
        <v>0</v>
      </c>
      <c r="BH12" s="5">
        <f>COUNTIFS(tblAdmissions[Month],9,tblAdmissions[AgeUnit],"Years",tblAdmissions[Age],"&gt;="&amp;35,tblAdmissions[Age],"&lt;="&amp;49,tblAdmissions[Sex],"M",tblAdmissions[NHIS],"Non-Insured")</f>
        <v>0</v>
      </c>
      <c r="BI12" s="5">
        <f>COUNTIFS(tblAdmissions[Month],9,tblAdmissions[AgeUnit],"Years",tblAdmissions[Age],"&gt;="&amp;35,tblAdmissions[Age],"&lt;="&amp;49,tblAdmissions[Sex],"F",tblAdmissions[NHIS],"Non-Insured")</f>
        <v>0</v>
      </c>
      <c r="BJ12" s="5">
        <f>COUNTIFS(tblAdmissions[Month],9,tblAdmissions[AgeUnit],"Years",tblAdmissions[Age],"&gt;="&amp;35,tblAdmissions[Age],"&lt;="&amp;49,tblAdmissions[Sex],"M",tblAdmissions[NHIS],"Insured")</f>
        <v>0</v>
      </c>
      <c r="BK12" s="5">
        <f>COUNTIFS(tblAdmissions[Month],9,tblAdmissions[AgeUnit],"Years",tblAdmissions[Age],"&gt;="&amp;35,tblAdmissions[Age],"&lt;="&amp;49,tblAdmissions[Sex],"F",tblAdmissions[NHIS],"Insured")</f>
        <v>0</v>
      </c>
      <c r="BL12" s="5" t="s">
        <v>145</v>
      </c>
      <c r="BM12" s="5">
        <f>COUNTIFS(tblAdmissions[Month],10,tblAdmissions[AgeUnit],"Years",tblAdmissions[Age],"&gt;="&amp;35,tblAdmissions[Age],"&lt;="&amp;49,tblAdmissions[Sex],"M")</f>
        <v>0</v>
      </c>
      <c r="BN12" s="5">
        <f>COUNTIFS(tblAdmissions[Month],10,tblAdmissions[AgeUnit],"Years",tblAdmissions[Age],"&gt;="&amp;35,tblAdmissions[Age],"&lt;="&amp;49,tblAdmissions[Sex],"F")</f>
        <v>0</v>
      </c>
      <c r="BO12" s="5">
        <f>COUNTIFS(tblAdmissions[Month],10,tblAdmissions[AgeUnit],"Years",tblAdmissions[Age],"&gt;="&amp;35,tblAdmissions[Age],"&lt;="&amp;49,tblAdmissions[Sex],"M",tblAdmissions[NHIS],"Non-Insured")</f>
        <v>0</v>
      </c>
      <c r="BP12" s="5">
        <f>COUNTIFS(tblAdmissions[Month],10,tblAdmissions[AgeUnit],"Years",tblAdmissions[Age],"&gt;="&amp;35,tblAdmissions[Age],"&lt;="&amp;49,tblAdmissions[Sex],"F",tblAdmissions[NHIS],"Non-Insured")</f>
        <v>0</v>
      </c>
      <c r="BQ12" s="5">
        <f>COUNTIFS(tblAdmissions[Month],10,tblAdmissions[AgeUnit],"Years",tblAdmissions[Age],"&gt;="&amp;35,tblAdmissions[Age],"&lt;="&amp;49,tblAdmissions[Sex],"M",tblAdmissions[NHIS],"Insured")</f>
        <v>0</v>
      </c>
      <c r="BR12" s="5">
        <f>COUNTIFS(tblAdmissions[Month],10,tblAdmissions[AgeUnit],"Years",tblAdmissions[Age],"&gt;="&amp;35,tblAdmissions[Age],"&lt;="&amp;49,tblAdmissions[Sex],"F",tblAdmissions[NHIS],"Insured")</f>
        <v>0</v>
      </c>
      <c r="BS12" s="5" t="s">
        <v>145</v>
      </c>
      <c r="BT12" s="5">
        <f>COUNTIFS(tblAdmissions[Month],11,tblAdmissions[AgeUnit],"Years",tblAdmissions[Age],"&gt;="&amp;35,tblAdmissions[Age],"&lt;="&amp;49,tblAdmissions[Sex],"M")</f>
        <v>0</v>
      </c>
      <c r="BU12" s="5">
        <f>COUNTIFS(tblAdmissions[Month],11,tblAdmissions[AgeUnit],"Years",tblAdmissions[Age],"&gt;="&amp;35,tblAdmissions[Age],"&lt;="&amp;49,tblAdmissions[Sex],"F")</f>
        <v>0</v>
      </c>
      <c r="BV12" s="5">
        <f>COUNTIFS(tblAdmissions[Month],11,tblAdmissions[AgeUnit],"Years",tblAdmissions[Age],"&gt;="&amp;35,tblAdmissions[Age],"&lt;="&amp;49,tblAdmissions[Sex],"M",tblAdmissions[NHIS],"Non-Insured")</f>
        <v>0</v>
      </c>
      <c r="BW12" s="5">
        <f>COUNTIFS(tblAdmissions[Month],11,tblAdmissions[AgeUnit],"Years",tblAdmissions[Age],"&gt;="&amp;35,tblAdmissions[Age],"&lt;="&amp;49,tblAdmissions[Sex],"F",tblAdmissions[NHIS],"Non-Insured")</f>
        <v>0</v>
      </c>
      <c r="BX12" s="5">
        <f>COUNTIFS(tblAdmissions[Month],11,tblAdmissions[AgeUnit],"Years",tblAdmissions[Age],"&gt;="&amp;35,tblAdmissions[Age],"&lt;="&amp;49,tblAdmissions[Sex],"M",tblAdmissions[NHIS],"Insured")</f>
        <v>0</v>
      </c>
      <c r="BY12" s="5">
        <f>COUNTIFS(tblAdmissions[Month],11,tblAdmissions[AgeUnit],"Years",tblAdmissions[Age],"&gt;="&amp;35,tblAdmissions[Age],"&lt;="&amp;49,tblAdmissions[Sex],"F",tblAdmissions[NHIS],"Insured")</f>
        <v>0</v>
      </c>
      <c r="BZ12" s="5" t="s">
        <v>145</v>
      </c>
      <c r="CA12" s="5">
        <f>COUNTIFS(tblAdmissions[Month],12,tblAdmissions[AgeUnit],"Years",tblAdmissions[Age],"&gt;="&amp;35,tblAdmissions[Age],"&lt;="&amp;49,tblAdmissions[Sex],"M")</f>
        <v>0</v>
      </c>
      <c r="CB12" s="5">
        <f>COUNTIFS(tblAdmissions[Month],12,tblAdmissions[AgeUnit],"Years",tblAdmissions[Age],"&gt;="&amp;35,tblAdmissions[Age],"&lt;="&amp;49,tblAdmissions[Sex],"F")</f>
        <v>0</v>
      </c>
      <c r="CC12" s="5">
        <f>COUNTIFS(tblAdmissions[Month],12,tblAdmissions[AgeUnit],"Years",tblAdmissions[Age],"&gt;="&amp;35,tblAdmissions[Age],"&lt;="&amp;49,tblAdmissions[Sex],"M",tblAdmissions[NHIS],"Non-Insured")</f>
        <v>0</v>
      </c>
      <c r="CD12" s="5">
        <f>COUNTIFS(tblAdmissions[Month],12,tblAdmissions[AgeUnit],"Years",tblAdmissions[Age],"&gt;="&amp;35,tblAdmissions[Age],"&lt;="&amp;49,tblAdmissions[Sex],"F",tblAdmissions[NHIS],"Non-Insured")</f>
        <v>0</v>
      </c>
      <c r="CE12" s="5">
        <f>COUNTIFS(tblAdmissions[Month],12,tblAdmissions[AgeUnit],"Years",tblAdmissions[Age],"&gt;="&amp;35,tblAdmissions[Age],"&lt;="&amp;49,tblAdmissions[Sex],"M",tblAdmissions[NHIS],"Insured")</f>
        <v>0</v>
      </c>
      <c r="CF12" s="5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5" t="s">
        <v>146</v>
      </c>
      <c r="B13" s="5">
        <f>COUNTIFS(tblAdmissions[Month],1,tblAdmissions[AgeUnit],"Years",tblAdmissions[Age],"&gt;="&amp;50,tblAdmissions[Age],"&lt;="&amp;59,tblAdmissions[Sex],"M")</f>
        <v>0</v>
      </c>
      <c r="C13" s="5">
        <f>COUNTIFS(tblAdmissions[Month],1,tblAdmissions[AgeUnit],"Years",tblAdmissions[Age],"&gt;="&amp;50,tblAdmissions[Age],"&lt;="&amp;59,tblAdmissions[Sex],"F")</f>
        <v>0</v>
      </c>
      <c r="D13" s="5">
        <f>COUNTIFS(tblAdmissions[Month],1,tblAdmissions[AgeUnit],"Years",tblAdmissions[Age],"&gt;="&amp;50,tblAdmissions[Age],"&lt;="&amp;59,tblAdmissions[Sex],"M",tblAdmissions[NHIS],"Non-Insured")</f>
        <v>0</v>
      </c>
      <c r="E13" s="5">
        <f>COUNTIFS(tblAdmissions[Month],1,tblAdmissions[AgeUnit],"Years",tblAdmissions[Age],"&gt;="&amp;50,tblAdmissions[Age],"&lt;="&amp;59,tblAdmissions[Sex],"F",tblAdmissions[NHIS],"Non-Insured")</f>
        <v>0</v>
      </c>
      <c r="F13" s="5">
        <f>COUNTIFS(tblAdmissions[Month],1,tblAdmissions[AgeUnit],"Years",tblAdmissions[Age],"&gt;="&amp;50,tblAdmissions[Age],"&lt;="&amp;59,tblAdmissions[Sex],"M",tblAdmissions[NHIS],"Insured")</f>
        <v>0</v>
      </c>
      <c r="G13" s="5">
        <f>COUNTIFS(tblAdmissions[Month],1,tblAdmissions[AgeUnit],"Years",tblAdmissions[Age],"&gt;="&amp;50,tblAdmissions[Age],"&lt;="&amp;59,tblAdmissions[Sex],"F",tblAdmissions[NHIS],"Insured")</f>
        <v>0</v>
      </c>
      <c r="H13" s="5" t="s">
        <v>146</v>
      </c>
      <c r="I13" s="5">
        <f>COUNTIFS(tblAdmissions[Month],2,tblAdmissions[AgeUnit],"Years",tblAdmissions[Age],"&gt;="&amp;50,tblAdmissions[Age],"&lt;="&amp;59,tblAdmissions[Sex],"M")</f>
        <v>0</v>
      </c>
      <c r="J13" s="5">
        <f>COUNTIFS(tblAdmissions[Month],2,tblAdmissions[AgeUnit],"Years",tblAdmissions[Age],"&gt;="&amp;50,tblAdmissions[Age],"&lt;="&amp;59,tblAdmissions[Sex],"F")</f>
        <v>0</v>
      </c>
      <c r="K13" s="5">
        <f>COUNTIFS(tblAdmissions[Month],2,tblAdmissions[AgeUnit],"Years",tblAdmissions[Age],"&gt;="&amp;50,tblAdmissions[Age],"&lt;="&amp;59,tblAdmissions[Sex],"M",tblAdmissions[NHIS],"Non-Insured")</f>
        <v>0</v>
      </c>
      <c r="L13" s="5">
        <f>COUNTIFS(tblAdmissions[Month],2,tblAdmissions[AgeUnit],"Years",tblAdmissions[Age],"&gt;="&amp;50,tblAdmissions[Age],"&lt;="&amp;59,tblAdmissions[Sex],"F",tblAdmissions[NHIS],"Non-Insured")</f>
        <v>0</v>
      </c>
      <c r="M13" s="5">
        <f>COUNTIFS(tblAdmissions[Month],2,tblAdmissions[AgeUnit],"Years",tblAdmissions[Age],"&gt;="&amp;50,tblAdmissions[Age],"&lt;="&amp;59,tblAdmissions[Sex],"M",tblAdmissions[NHIS],"Insured")</f>
        <v>0</v>
      </c>
      <c r="N13" s="5">
        <f>COUNTIFS(tblAdmissions[Month],2,tblAdmissions[AgeUnit],"Years",tblAdmissions[Age],"&gt;="&amp;50,tblAdmissions[Age],"&lt;="&amp;59,tblAdmissions[Sex],"F",tblAdmissions[NHIS],"Insured")</f>
        <v>0</v>
      </c>
      <c r="O13" s="5" t="s">
        <v>146</v>
      </c>
      <c r="P13" s="5">
        <f>COUNTIFS(tblAdmissions[Month],3,tblAdmissions[AgeUnit],"Years",tblAdmissions[Age],"&gt;="&amp;50,tblAdmissions[Age],"&lt;="&amp;59,tblAdmissions[Sex],"M")</f>
        <v>0</v>
      </c>
      <c r="Q13" s="5">
        <f>COUNTIFS(tblAdmissions[Month],3,tblAdmissions[AgeUnit],"Years",tblAdmissions[Age],"&gt;="&amp;50,tblAdmissions[Age],"&lt;="&amp;59,tblAdmissions[Sex],"F")</f>
        <v>0</v>
      </c>
      <c r="R13" s="5">
        <f>COUNTIFS(tblAdmissions[Month],3,tblAdmissions[AgeUnit],"Years",tblAdmissions[Age],"&gt;="&amp;50,tblAdmissions[Age],"&lt;="&amp;59,tblAdmissions[Sex],"M",tblAdmissions[NHIS],"Non-Insured")</f>
        <v>0</v>
      </c>
      <c r="S13" s="5">
        <f>COUNTIFS(tblAdmissions[Month],3,tblAdmissions[AgeUnit],"Years",tblAdmissions[Age],"&gt;="&amp;50,tblAdmissions[Age],"&lt;="&amp;59,tblAdmissions[Sex],"F",tblAdmissions[NHIS],"Non-Insured")</f>
        <v>0</v>
      </c>
      <c r="T13" s="5">
        <f>COUNTIFS(tblAdmissions[Month],3,tblAdmissions[AgeUnit],"Years",tblAdmissions[Age],"&gt;="&amp;50,tblAdmissions[Age],"&lt;="&amp;59,tblAdmissions[Sex],"M",tblAdmissions[NHIS],"Insured")</f>
        <v>0</v>
      </c>
      <c r="U13" s="5">
        <f>COUNTIFS(tblAdmissions[Month],3,tblAdmissions[AgeUnit],"Years",tblAdmissions[Age],"&gt;="&amp;50,tblAdmissions[Age],"&lt;="&amp;59,tblAdmissions[Sex],"F",tblAdmissions[NHIS],"Insured")</f>
        <v>0</v>
      </c>
      <c r="V13" s="5" t="s">
        <v>146</v>
      </c>
      <c r="W13" s="5">
        <f>COUNTIFS(tblAdmissions[Month],4,tblAdmissions[AgeUnit],"Years",tblAdmissions[Age],"&gt;="&amp;50,tblAdmissions[Age],"&lt;="&amp;59,tblAdmissions[Sex],"M")</f>
        <v>0</v>
      </c>
      <c r="X13" s="5">
        <f>COUNTIFS(tblAdmissions[Month],4,tblAdmissions[AgeUnit],"Years",tblAdmissions[Age],"&gt;="&amp;50,tblAdmissions[Age],"&lt;="&amp;59,tblAdmissions[Sex],"F")</f>
        <v>0</v>
      </c>
      <c r="Y13" s="5">
        <f>COUNTIFS(tblAdmissions[Month],4,tblAdmissions[AgeUnit],"Years",tblAdmissions[Age],"&gt;="&amp;50,tblAdmissions[Age],"&lt;="&amp;59,tblAdmissions[Sex],"M",tblAdmissions[NHIS],"Non-Insured")</f>
        <v>0</v>
      </c>
      <c r="Z13" s="5">
        <f>COUNTIFS(tblAdmissions[Month],4,tblAdmissions[AgeUnit],"Years",tblAdmissions[Age],"&gt;="&amp;50,tblAdmissions[Age],"&lt;="&amp;59,tblAdmissions[Sex],"F",tblAdmissions[NHIS],"Non-Insured")</f>
        <v>0</v>
      </c>
      <c r="AA13" s="5">
        <f>COUNTIFS(tblAdmissions[Month],4,tblAdmissions[AgeUnit],"Years",tblAdmissions[Age],"&gt;="&amp;50,tblAdmissions[Age],"&lt;="&amp;59,tblAdmissions[Sex],"M",tblAdmissions[NHIS],"Insured")</f>
        <v>0</v>
      </c>
      <c r="AB13" s="5">
        <f>COUNTIFS(tblAdmissions[Month],4,tblAdmissions[AgeUnit],"Years",tblAdmissions[Age],"&gt;="&amp;50,tblAdmissions[Age],"&lt;="&amp;59,tblAdmissions[Sex],"F",tblAdmissions[NHIS],"Insured")</f>
        <v>0</v>
      </c>
      <c r="AC13" s="5" t="s">
        <v>146</v>
      </c>
      <c r="AD13" s="5">
        <f>COUNTIFS(tblAdmissions[Month],5,tblAdmissions[AgeUnit],"Years",tblAdmissions[Age],"&gt;="&amp;50,tblAdmissions[Age],"&lt;="&amp;59,tblAdmissions[Sex],"M")</f>
        <v>0</v>
      </c>
      <c r="AE13" s="5">
        <f>COUNTIFS(tblAdmissions[Month],5,tblAdmissions[AgeUnit],"Years",tblAdmissions[Age],"&gt;="&amp;50,tblAdmissions[Age],"&lt;="&amp;59,tblAdmissions[Sex],"F")</f>
        <v>0</v>
      </c>
      <c r="AF13" s="5">
        <f>COUNTIFS(tblAdmissions[Month],5,tblAdmissions[AgeUnit],"Years",tblAdmissions[Age],"&gt;="&amp;50,tblAdmissions[Age],"&lt;="&amp;59,tblAdmissions[Sex],"M",tblAdmissions[NHIS],"Non-Insured")</f>
        <v>0</v>
      </c>
      <c r="AG13" s="5">
        <f>COUNTIFS(tblAdmissions[Month],5,tblAdmissions[AgeUnit],"Years",tblAdmissions[Age],"&gt;="&amp;50,tblAdmissions[Age],"&lt;="&amp;59,tblAdmissions[Sex],"F",tblAdmissions[NHIS],"Non-Insured")</f>
        <v>0</v>
      </c>
      <c r="AH13" s="5">
        <f>COUNTIFS(tblAdmissions[Month],5,tblAdmissions[AgeUnit],"Years",tblAdmissions[Age],"&gt;="&amp;50,tblAdmissions[Age],"&lt;="&amp;59,tblAdmissions[Sex],"M",tblAdmissions[NHIS],"Insured")</f>
        <v>0</v>
      </c>
      <c r="AI13" s="5">
        <f>COUNTIFS(tblAdmissions[Month],5,tblAdmissions[AgeUnit],"Years",tblAdmissions[Age],"&gt;="&amp;50,tblAdmissions[Age],"&lt;="&amp;59,tblAdmissions[Sex],"F",tblAdmissions[NHIS],"Insured")</f>
        <v>0</v>
      </c>
      <c r="AJ13" s="5" t="s">
        <v>146</v>
      </c>
      <c r="AK13" s="5">
        <f>COUNTIFS(tblAdmissions[Month],6,tblAdmissions[AgeUnit],"Years",tblAdmissions[Age],"&gt;="&amp;50,tblAdmissions[Age],"&lt;="&amp;59,tblAdmissions[Sex],"M")</f>
        <v>0</v>
      </c>
      <c r="AL13" s="5">
        <f>COUNTIFS(tblAdmissions[Month],6,tblAdmissions[AgeUnit],"Years",tblAdmissions[Age],"&gt;="&amp;50,tblAdmissions[Age],"&lt;="&amp;59,tblAdmissions[Sex],"F")</f>
        <v>0</v>
      </c>
      <c r="AM13" s="5">
        <f>COUNTIFS(tblAdmissions[Month],6,tblAdmissions[AgeUnit],"Years",tblAdmissions[Age],"&gt;="&amp;50,tblAdmissions[Age],"&lt;="&amp;59,tblAdmissions[Sex],"M",tblAdmissions[NHIS],"Non-Insured")</f>
        <v>0</v>
      </c>
      <c r="AN13" s="5">
        <f>COUNTIFS(tblAdmissions[Month],6,tblAdmissions[AgeUnit],"Years",tblAdmissions[Age],"&gt;="&amp;50,tblAdmissions[Age],"&lt;="&amp;59,tblAdmissions[Sex],"F",tblAdmissions[NHIS],"Non-Insured")</f>
        <v>0</v>
      </c>
      <c r="AO13" s="5">
        <f>COUNTIFS(tblAdmissions[Month],6,tblAdmissions[AgeUnit],"Years",tblAdmissions[Age],"&gt;="&amp;50,tblAdmissions[Age],"&lt;="&amp;59,tblAdmissions[Sex],"M",tblAdmissions[NHIS],"Insured")</f>
        <v>0</v>
      </c>
      <c r="AP13" s="5">
        <f>COUNTIFS(tblAdmissions[Month],6,tblAdmissions[AgeUnit],"Years",tblAdmissions[Age],"&gt;="&amp;50,tblAdmissions[Age],"&lt;="&amp;59,tblAdmissions[Sex],"F",tblAdmissions[NHIS],"Insured")</f>
        <v>0</v>
      </c>
      <c r="AQ13" s="5" t="s">
        <v>146</v>
      </c>
      <c r="AR13" s="5">
        <f>COUNTIFS(tblAdmissions[Month],7,tblAdmissions[AgeUnit],"Years",tblAdmissions[Age],"&gt;="&amp;50,tblAdmissions[Age],"&lt;="&amp;59,tblAdmissions[Sex],"M")</f>
        <v>0</v>
      </c>
      <c r="AS13" s="5">
        <f>COUNTIFS(tblAdmissions[Month],7,tblAdmissions[AgeUnit],"Years",tblAdmissions[Age],"&gt;="&amp;50,tblAdmissions[Age],"&lt;="&amp;59,tblAdmissions[Sex],"F")</f>
        <v>0</v>
      </c>
      <c r="AT13" s="5">
        <f>COUNTIFS(tblAdmissions[Month],7,tblAdmissions[AgeUnit],"Years",tblAdmissions[Age],"&gt;="&amp;50,tblAdmissions[Age],"&lt;="&amp;59,tblAdmissions[Sex],"M",tblAdmissions[NHIS],"Non-Insured")</f>
        <v>0</v>
      </c>
      <c r="AU13" s="5">
        <f>COUNTIFS(tblAdmissions[Month],7,tblAdmissions[AgeUnit],"Years",tblAdmissions[Age],"&gt;="&amp;50,tblAdmissions[Age],"&lt;="&amp;59,tblAdmissions[Sex],"F",tblAdmissions[NHIS],"Non-Insured")</f>
        <v>0</v>
      </c>
      <c r="AV13" s="5">
        <f>COUNTIFS(tblAdmissions[Month],7,tblAdmissions[AgeUnit],"Years",tblAdmissions[Age],"&gt;="&amp;50,tblAdmissions[Age],"&lt;="&amp;59,tblAdmissions[Sex],"M",tblAdmissions[NHIS],"Insured")</f>
        <v>0</v>
      </c>
      <c r="AW13" s="5">
        <f>COUNTIFS(tblAdmissions[Month],7,tblAdmissions[AgeUnit],"Years",tblAdmissions[Age],"&gt;="&amp;50,tblAdmissions[Age],"&lt;="&amp;59,tblAdmissions[Sex],"F",tblAdmissions[NHIS],"Insured")</f>
        <v>0</v>
      </c>
      <c r="AX13" s="5" t="s">
        <v>146</v>
      </c>
      <c r="AY13" s="5">
        <f>COUNTIFS(tblAdmissions[Month],8,tblAdmissions[AgeUnit],"Years",tblAdmissions[Age],"&gt;="&amp;50,tblAdmissions[Age],"&lt;="&amp;59,tblAdmissions[Sex],"M")</f>
        <v>0</v>
      </c>
      <c r="AZ13" s="5">
        <f>COUNTIFS(tblAdmissions[Month],8,tblAdmissions[AgeUnit],"Years",tblAdmissions[Age],"&gt;="&amp;50,tblAdmissions[Age],"&lt;="&amp;59,tblAdmissions[Sex],"F")</f>
        <v>0</v>
      </c>
      <c r="BA13" s="5">
        <f>COUNTIFS(tblAdmissions[Month],8,tblAdmissions[AgeUnit],"Years",tblAdmissions[Age],"&gt;="&amp;50,tblAdmissions[Age],"&lt;="&amp;59,tblAdmissions[Sex],"M",tblAdmissions[NHIS],"Non-Insured")</f>
        <v>0</v>
      </c>
      <c r="BB13" s="5">
        <f>COUNTIFS(tblAdmissions[Month],8,tblAdmissions[AgeUnit],"Years",tblAdmissions[Age],"&gt;="&amp;50,tblAdmissions[Age],"&lt;="&amp;59,tblAdmissions[Sex],"F",tblAdmissions[NHIS],"Non-Insured")</f>
        <v>0</v>
      </c>
      <c r="BC13" s="5">
        <f>COUNTIFS(tblAdmissions[Month],8,tblAdmissions[AgeUnit],"Years",tblAdmissions[Age],"&gt;="&amp;50,tblAdmissions[Age],"&lt;="&amp;59,tblAdmissions[Sex],"M",tblAdmissions[NHIS],"Insured")</f>
        <v>0</v>
      </c>
      <c r="BD13" s="5">
        <f>COUNTIFS(tblAdmissions[Month],8,tblAdmissions[AgeUnit],"Years",tblAdmissions[Age],"&gt;="&amp;50,tblAdmissions[Age],"&lt;="&amp;59,tblAdmissions[Sex],"F",tblAdmissions[NHIS],"Insured")</f>
        <v>0</v>
      </c>
      <c r="BE13" s="5" t="s">
        <v>146</v>
      </c>
      <c r="BF13" s="5">
        <f>COUNTIFS(tblAdmissions[Month],9,tblAdmissions[AgeUnit],"Years",tblAdmissions[Age],"&gt;="&amp;50,tblAdmissions[Age],"&lt;="&amp;59,tblAdmissions[Sex],"M")</f>
        <v>0</v>
      </c>
      <c r="BG13" s="5">
        <f>COUNTIFS(tblAdmissions[Month],9,tblAdmissions[AgeUnit],"Years",tblAdmissions[Age],"&gt;="&amp;50,tblAdmissions[Age],"&lt;="&amp;59,tblAdmissions[Sex],"F")</f>
        <v>0</v>
      </c>
      <c r="BH13" s="5">
        <f>COUNTIFS(tblAdmissions[Month],9,tblAdmissions[AgeUnit],"Years",tblAdmissions[Age],"&gt;="&amp;50,tblAdmissions[Age],"&lt;="&amp;59,tblAdmissions[Sex],"M",tblAdmissions[NHIS],"Non-Insured")</f>
        <v>0</v>
      </c>
      <c r="BI13" s="5">
        <f>COUNTIFS(tblAdmissions[Month],9,tblAdmissions[AgeUnit],"Years",tblAdmissions[Age],"&gt;="&amp;50,tblAdmissions[Age],"&lt;="&amp;59,tblAdmissions[Sex],"F",tblAdmissions[NHIS],"Non-Insured")</f>
        <v>0</v>
      </c>
      <c r="BJ13" s="5">
        <f>COUNTIFS(tblAdmissions[Month],9,tblAdmissions[AgeUnit],"Years",tblAdmissions[Age],"&gt;="&amp;50,tblAdmissions[Age],"&lt;="&amp;59,tblAdmissions[Sex],"M",tblAdmissions[NHIS],"Insured")</f>
        <v>0</v>
      </c>
      <c r="BK13" s="5">
        <f>COUNTIFS(tblAdmissions[Month],9,tblAdmissions[AgeUnit],"Years",tblAdmissions[Age],"&gt;="&amp;50,tblAdmissions[Age],"&lt;="&amp;59,tblAdmissions[Sex],"F",tblAdmissions[NHIS],"Insured")</f>
        <v>0</v>
      </c>
      <c r="BL13" s="5" t="s">
        <v>146</v>
      </c>
      <c r="BM13" s="5">
        <f>COUNTIFS(tblAdmissions[Month],10,tblAdmissions[AgeUnit],"Years",tblAdmissions[Age],"&gt;="&amp;50,tblAdmissions[Age],"&lt;="&amp;59,tblAdmissions[Sex],"M")</f>
        <v>0</v>
      </c>
      <c r="BN13" s="5">
        <f>COUNTIFS(tblAdmissions[Month],10,tblAdmissions[AgeUnit],"Years",tblAdmissions[Age],"&gt;="&amp;50,tblAdmissions[Age],"&lt;="&amp;59,tblAdmissions[Sex],"F")</f>
        <v>0</v>
      </c>
      <c r="BO13" s="5">
        <f>COUNTIFS(tblAdmissions[Month],10,tblAdmissions[AgeUnit],"Years",tblAdmissions[Age],"&gt;="&amp;50,tblAdmissions[Age],"&lt;="&amp;59,tblAdmissions[Sex],"M",tblAdmissions[NHIS],"Non-Insured")</f>
        <v>0</v>
      </c>
      <c r="BP13" s="5">
        <f>COUNTIFS(tblAdmissions[Month],10,tblAdmissions[AgeUnit],"Years",tblAdmissions[Age],"&gt;="&amp;50,tblAdmissions[Age],"&lt;="&amp;59,tblAdmissions[Sex],"F",tblAdmissions[NHIS],"Non-Insured")</f>
        <v>0</v>
      </c>
      <c r="BQ13" s="5">
        <f>COUNTIFS(tblAdmissions[Month],10,tblAdmissions[AgeUnit],"Years",tblAdmissions[Age],"&gt;="&amp;50,tblAdmissions[Age],"&lt;="&amp;59,tblAdmissions[Sex],"M",tblAdmissions[NHIS],"Insured")</f>
        <v>0</v>
      </c>
      <c r="BR13" s="5">
        <f>COUNTIFS(tblAdmissions[Month],10,tblAdmissions[AgeUnit],"Years",tblAdmissions[Age],"&gt;="&amp;50,tblAdmissions[Age],"&lt;="&amp;59,tblAdmissions[Sex],"F",tblAdmissions[NHIS],"Insured")</f>
        <v>0</v>
      </c>
      <c r="BS13" s="5" t="s">
        <v>146</v>
      </c>
      <c r="BT13" s="5">
        <f>COUNTIFS(tblAdmissions[Month],11,tblAdmissions[AgeUnit],"Years",tblAdmissions[Age],"&gt;="&amp;50,tblAdmissions[Age],"&lt;="&amp;59,tblAdmissions[Sex],"M")</f>
        <v>0</v>
      </c>
      <c r="BU13" s="5">
        <f>COUNTIFS(tblAdmissions[Month],11,tblAdmissions[AgeUnit],"Years",tblAdmissions[Age],"&gt;="&amp;50,tblAdmissions[Age],"&lt;="&amp;59,tblAdmissions[Sex],"F")</f>
        <v>0</v>
      </c>
      <c r="BV13" s="5">
        <f>COUNTIFS(tblAdmissions[Month],11,tblAdmissions[AgeUnit],"Years",tblAdmissions[Age],"&gt;="&amp;50,tblAdmissions[Age],"&lt;="&amp;59,tblAdmissions[Sex],"M",tblAdmissions[NHIS],"Non-Insured")</f>
        <v>0</v>
      </c>
      <c r="BW13" s="5">
        <f>COUNTIFS(tblAdmissions[Month],11,tblAdmissions[AgeUnit],"Years",tblAdmissions[Age],"&gt;="&amp;50,tblAdmissions[Age],"&lt;="&amp;59,tblAdmissions[Sex],"F",tblAdmissions[NHIS],"Non-Insured")</f>
        <v>0</v>
      </c>
      <c r="BX13" s="5">
        <f>COUNTIFS(tblAdmissions[Month],11,tblAdmissions[AgeUnit],"Years",tblAdmissions[Age],"&gt;="&amp;50,tblAdmissions[Age],"&lt;="&amp;59,tblAdmissions[Sex],"M",tblAdmissions[NHIS],"Insured")</f>
        <v>0</v>
      </c>
      <c r="BY13" s="5">
        <f>COUNTIFS(tblAdmissions[Month],11,tblAdmissions[AgeUnit],"Years",tblAdmissions[Age],"&gt;="&amp;50,tblAdmissions[Age],"&lt;="&amp;59,tblAdmissions[Sex],"F",tblAdmissions[NHIS],"Insured")</f>
        <v>0</v>
      </c>
      <c r="BZ13" s="5" t="s">
        <v>146</v>
      </c>
      <c r="CA13" s="5">
        <f>COUNTIFS(tblAdmissions[Month],12,tblAdmissions[AgeUnit],"Years",tblAdmissions[Age],"&gt;="&amp;50,tblAdmissions[Age],"&lt;="&amp;59,tblAdmissions[Sex],"M")</f>
        <v>0</v>
      </c>
      <c r="CB13" s="5">
        <f>COUNTIFS(tblAdmissions[Month],12,tblAdmissions[AgeUnit],"Years",tblAdmissions[Age],"&gt;="&amp;50,tblAdmissions[Age],"&lt;="&amp;59,tblAdmissions[Sex],"F")</f>
        <v>0</v>
      </c>
      <c r="CC13" s="5">
        <f>COUNTIFS(tblAdmissions[Month],12,tblAdmissions[AgeUnit],"Years",tblAdmissions[Age],"&gt;="&amp;50,tblAdmissions[Age],"&lt;="&amp;59,tblAdmissions[Sex],"M",tblAdmissions[NHIS],"Non-Insured")</f>
        <v>0</v>
      </c>
      <c r="CD13" s="5">
        <f>COUNTIFS(tblAdmissions[Month],12,tblAdmissions[AgeUnit],"Years",tblAdmissions[Age],"&gt;="&amp;50,tblAdmissions[Age],"&lt;="&amp;59,tblAdmissions[Sex],"F",tblAdmissions[NHIS],"Non-Insured")</f>
        <v>0</v>
      </c>
      <c r="CE13" s="5">
        <f>COUNTIFS(tblAdmissions[Month],12,tblAdmissions[AgeUnit],"Years",tblAdmissions[Age],"&gt;="&amp;50,tblAdmissions[Age],"&lt;="&amp;59,tblAdmissions[Sex],"M",tblAdmissions[NHIS],"Insured")</f>
        <v>0</v>
      </c>
      <c r="CF13" s="5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5" t="s">
        <v>147</v>
      </c>
      <c r="B14" s="5">
        <f>COUNTIFS(tblAdmissions[Month],1,tblAdmissions[AgeUnit],"Years",tblAdmissions[Age],"&gt;="&amp;60,tblAdmissions[Age],"&lt;="&amp;69,tblAdmissions[Sex],"M")</f>
        <v>0</v>
      </c>
      <c r="C14" s="5">
        <f>COUNTIFS(tblAdmissions[Month],1,tblAdmissions[AgeUnit],"Years",tblAdmissions[Age],"&gt;="&amp;60,tblAdmissions[Age],"&lt;="&amp;69,tblAdmissions[Sex],"F")</f>
        <v>0</v>
      </c>
      <c r="D14" s="5">
        <f>COUNTIFS(tblAdmissions[Month],1,tblAdmissions[AgeUnit],"Years",tblAdmissions[Age],"&gt;="&amp;60,tblAdmissions[Age],"&lt;="&amp;69,tblAdmissions[Sex],"M",tblAdmissions[NHIS],"Non-Insured")</f>
        <v>0</v>
      </c>
      <c r="E14" s="5">
        <f>COUNTIFS(tblAdmissions[Month],1,tblAdmissions[AgeUnit],"Years",tblAdmissions[Age],"&gt;="&amp;60,tblAdmissions[Age],"&lt;="&amp;69,tblAdmissions[Sex],"F",tblAdmissions[NHIS],"Non-Insured")</f>
        <v>0</v>
      </c>
      <c r="F14" s="5">
        <f>COUNTIFS(tblAdmissions[Month],1,tblAdmissions[AgeUnit],"Years",tblAdmissions[Age],"&gt;="&amp;60,tblAdmissions[Age],"&lt;="&amp;69,tblAdmissions[Sex],"M",tblAdmissions[NHIS],"Insured")</f>
        <v>0</v>
      </c>
      <c r="G14" s="5">
        <f>COUNTIFS(tblAdmissions[Month],1,tblAdmissions[AgeUnit],"Years",tblAdmissions[Age],"&gt;="&amp;60,tblAdmissions[Age],"&lt;="&amp;69,tblAdmissions[Sex],"F",tblAdmissions[NHIS],"Insured")</f>
        <v>0</v>
      </c>
      <c r="H14" s="5" t="s">
        <v>147</v>
      </c>
      <c r="I14" s="5">
        <f>COUNTIFS(tblAdmissions[Month],2,tblAdmissions[AgeUnit],"Years",tblAdmissions[Age],"&gt;="&amp;60,tblAdmissions[Age],"&lt;="&amp;69,tblAdmissions[Sex],"M")</f>
        <v>0</v>
      </c>
      <c r="J14" s="5">
        <f>COUNTIFS(tblAdmissions[Month],2,tblAdmissions[AgeUnit],"Years",tblAdmissions[Age],"&gt;="&amp;60,tblAdmissions[Age],"&lt;="&amp;69,tblAdmissions[Sex],"F")</f>
        <v>0</v>
      </c>
      <c r="K14" s="5">
        <f>COUNTIFS(tblAdmissions[Month],2,tblAdmissions[AgeUnit],"Years",tblAdmissions[Age],"&gt;="&amp;60,tblAdmissions[Age],"&lt;="&amp;69,tblAdmissions[Sex],"M",tblAdmissions[NHIS],"Non-Insured")</f>
        <v>0</v>
      </c>
      <c r="L14" s="5">
        <f>COUNTIFS(tblAdmissions[Month],2,tblAdmissions[AgeUnit],"Years",tblAdmissions[Age],"&gt;="&amp;60,tblAdmissions[Age],"&lt;="&amp;69,tblAdmissions[Sex],"F",tblAdmissions[NHIS],"Non-Insured")</f>
        <v>0</v>
      </c>
      <c r="M14" s="5">
        <f>COUNTIFS(tblAdmissions[Month],2,tblAdmissions[AgeUnit],"Years",tblAdmissions[Age],"&gt;="&amp;60,tblAdmissions[Age],"&lt;="&amp;69,tblAdmissions[Sex],"M",tblAdmissions[NHIS],"Insured")</f>
        <v>0</v>
      </c>
      <c r="N14" s="5">
        <f>COUNTIFS(tblAdmissions[Month],2,tblAdmissions[AgeUnit],"Years",tblAdmissions[Age],"&gt;="&amp;60,tblAdmissions[Age],"&lt;="&amp;69,tblAdmissions[Sex],"F",tblAdmissions[NHIS],"Insured")</f>
        <v>0</v>
      </c>
      <c r="O14" s="5" t="s">
        <v>147</v>
      </c>
      <c r="P14" s="5">
        <f>COUNTIFS(tblAdmissions[Month],3,tblAdmissions[AgeUnit],"Years",tblAdmissions[Age],"&gt;="&amp;60,tblAdmissions[Age],"&lt;="&amp;69,tblAdmissions[Sex],"M")</f>
        <v>0</v>
      </c>
      <c r="Q14" s="5">
        <f>COUNTIFS(tblAdmissions[Month],3,tblAdmissions[AgeUnit],"Years",tblAdmissions[Age],"&gt;="&amp;60,tblAdmissions[Age],"&lt;="&amp;69,tblAdmissions[Sex],"F")</f>
        <v>0</v>
      </c>
      <c r="R14" s="5">
        <f>COUNTIFS(tblAdmissions[Month],3,tblAdmissions[AgeUnit],"Years",tblAdmissions[Age],"&gt;="&amp;60,tblAdmissions[Age],"&lt;="&amp;69,tblAdmissions[Sex],"M",tblAdmissions[NHIS],"Non-Insured")</f>
        <v>0</v>
      </c>
      <c r="S14" s="5">
        <f>COUNTIFS(tblAdmissions[Month],3,tblAdmissions[AgeUnit],"Years",tblAdmissions[Age],"&gt;="&amp;60,tblAdmissions[Age],"&lt;="&amp;69,tblAdmissions[Sex],"F",tblAdmissions[NHIS],"Non-Insured")</f>
        <v>0</v>
      </c>
      <c r="T14" s="5">
        <f>COUNTIFS(tblAdmissions[Month],3,tblAdmissions[AgeUnit],"Years",tblAdmissions[Age],"&gt;="&amp;60,tblAdmissions[Age],"&lt;="&amp;69,tblAdmissions[Sex],"M",tblAdmissions[NHIS],"Insured")</f>
        <v>0</v>
      </c>
      <c r="U14" s="5">
        <f>COUNTIFS(tblAdmissions[Month],3,tblAdmissions[AgeUnit],"Years",tblAdmissions[Age],"&gt;="&amp;60,tblAdmissions[Age],"&lt;="&amp;69,tblAdmissions[Sex],"F",tblAdmissions[NHIS],"Insured")</f>
        <v>0</v>
      </c>
      <c r="V14" s="5" t="s">
        <v>147</v>
      </c>
      <c r="W14" s="5">
        <f>COUNTIFS(tblAdmissions[Month],4,tblAdmissions[AgeUnit],"Years",tblAdmissions[Age],"&gt;="&amp;60,tblAdmissions[Age],"&lt;="&amp;69,tblAdmissions[Sex],"M")</f>
        <v>0</v>
      </c>
      <c r="X14" s="5">
        <f>COUNTIFS(tblAdmissions[Month],4,tblAdmissions[AgeUnit],"Years",tblAdmissions[Age],"&gt;="&amp;60,tblAdmissions[Age],"&lt;="&amp;69,tblAdmissions[Sex],"F")</f>
        <v>0</v>
      </c>
      <c r="Y14" s="5">
        <f>COUNTIFS(tblAdmissions[Month],4,tblAdmissions[AgeUnit],"Years",tblAdmissions[Age],"&gt;="&amp;60,tblAdmissions[Age],"&lt;="&amp;69,tblAdmissions[Sex],"M",tblAdmissions[NHIS],"Non-Insured")</f>
        <v>0</v>
      </c>
      <c r="Z14" s="5">
        <f>COUNTIFS(tblAdmissions[Month],4,tblAdmissions[AgeUnit],"Years",tblAdmissions[Age],"&gt;="&amp;60,tblAdmissions[Age],"&lt;="&amp;69,tblAdmissions[Sex],"F",tblAdmissions[NHIS],"Non-Insured")</f>
        <v>0</v>
      </c>
      <c r="AA14" s="5">
        <f>COUNTIFS(tblAdmissions[Month],4,tblAdmissions[AgeUnit],"Years",tblAdmissions[Age],"&gt;="&amp;60,tblAdmissions[Age],"&lt;="&amp;69,tblAdmissions[Sex],"M",tblAdmissions[NHIS],"Insured")</f>
        <v>0</v>
      </c>
      <c r="AB14" s="5">
        <f>COUNTIFS(tblAdmissions[Month],4,tblAdmissions[AgeUnit],"Years",tblAdmissions[Age],"&gt;="&amp;60,tblAdmissions[Age],"&lt;="&amp;69,tblAdmissions[Sex],"F",tblAdmissions[NHIS],"Insured")</f>
        <v>0</v>
      </c>
      <c r="AC14" s="5" t="s">
        <v>147</v>
      </c>
      <c r="AD14" s="5">
        <f>COUNTIFS(tblAdmissions[Month],5,tblAdmissions[AgeUnit],"Years",tblAdmissions[Age],"&gt;="&amp;60,tblAdmissions[Age],"&lt;="&amp;69,tblAdmissions[Sex],"M")</f>
        <v>0</v>
      </c>
      <c r="AE14" s="5">
        <f>COUNTIFS(tblAdmissions[Month],5,tblAdmissions[AgeUnit],"Years",tblAdmissions[Age],"&gt;="&amp;60,tblAdmissions[Age],"&lt;="&amp;69,tblAdmissions[Sex],"F")</f>
        <v>0</v>
      </c>
      <c r="AF14" s="5">
        <f>COUNTIFS(tblAdmissions[Month],5,tblAdmissions[AgeUnit],"Years",tblAdmissions[Age],"&gt;="&amp;60,tblAdmissions[Age],"&lt;="&amp;69,tblAdmissions[Sex],"M",tblAdmissions[NHIS],"Non-Insured")</f>
        <v>0</v>
      </c>
      <c r="AG14" s="5">
        <f>COUNTIFS(tblAdmissions[Month],5,tblAdmissions[AgeUnit],"Years",tblAdmissions[Age],"&gt;="&amp;60,tblAdmissions[Age],"&lt;="&amp;69,tblAdmissions[Sex],"F",tblAdmissions[NHIS],"Non-Insured")</f>
        <v>0</v>
      </c>
      <c r="AH14" s="5">
        <f>COUNTIFS(tblAdmissions[Month],5,tblAdmissions[AgeUnit],"Years",tblAdmissions[Age],"&gt;="&amp;60,tblAdmissions[Age],"&lt;="&amp;69,tblAdmissions[Sex],"M",tblAdmissions[NHIS],"Insured")</f>
        <v>0</v>
      </c>
      <c r="AI14" s="5">
        <f>COUNTIFS(tblAdmissions[Month],5,tblAdmissions[AgeUnit],"Years",tblAdmissions[Age],"&gt;="&amp;60,tblAdmissions[Age],"&lt;="&amp;69,tblAdmissions[Sex],"F",tblAdmissions[NHIS],"Insured")</f>
        <v>0</v>
      </c>
      <c r="AJ14" s="5" t="s">
        <v>147</v>
      </c>
      <c r="AK14" s="5">
        <f>COUNTIFS(tblAdmissions[Month],6,tblAdmissions[AgeUnit],"Years",tblAdmissions[Age],"&gt;="&amp;60,tblAdmissions[Age],"&lt;="&amp;69,tblAdmissions[Sex],"M")</f>
        <v>0</v>
      </c>
      <c r="AL14" s="5">
        <f>COUNTIFS(tblAdmissions[Month],6,tblAdmissions[AgeUnit],"Years",tblAdmissions[Age],"&gt;="&amp;60,tblAdmissions[Age],"&lt;="&amp;69,tblAdmissions[Sex],"F")</f>
        <v>0</v>
      </c>
      <c r="AM14" s="5">
        <f>COUNTIFS(tblAdmissions[Month],6,tblAdmissions[AgeUnit],"Years",tblAdmissions[Age],"&gt;="&amp;60,tblAdmissions[Age],"&lt;="&amp;69,tblAdmissions[Sex],"M",tblAdmissions[NHIS],"Non-Insured")</f>
        <v>0</v>
      </c>
      <c r="AN14" s="5">
        <f>COUNTIFS(tblAdmissions[Month],6,tblAdmissions[AgeUnit],"Years",tblAdmissions[Age],"&gt;="&amp;60,tblAdmissions[Age],"&lt;="&amp;69,tblAdmissions[Sex],"F",tblAdmissions[NHIS],"Non-Insured")</f>
        <v>0</v>
      </c>
      <c r="AO14" s="5">
        <f>COUNTIFS(tblAdmissions[Month],6,tblAdmissions[AgeUnit],"Years",tblAdmissions[Age],"&gt;="&amp;60,tblAdmissions[Age],"&lt;="&amp;69,tblAdmissions[Sex],"M",tblAdmissions[NHIS],"Insured")</f>
        <v>0</v>
      </c>
      <c r="AP14" s="5">
        <f>COUNTIFS(tblAdmissions[Month],6,tblAdmissions[AgeUnit],"Years",tblAdmissions[Age],"&gt;="&amp;60,tblAdmissions[Age],"&lt;="&amp;69,tblAdmissions[Sex],"F",tblAdmissions[NHIS],"Insured")</f>
        <v>0</v>
      </c>
      <c r="AQ14" s="5" t="s">
        <v>147</v>
      </c>
      <c r="AR14" s="5">
        <f>COUNTIFS(tblAdmissions[Month],7,tblAdmissions[AgeUnit],"Years",tblAdmissions[Age],"&gt;="&amp;60,tblAdmissions[Age],"&lt;="&amp;69,tblAdmissions[Sex],"M")</f>
        <v>0</v>
      </c>
      <c r="AS14" s="5">
        <f>COUNTIFS(tblAdmissions[Month],7,tblAdmissions[AgeUnit],"Years",tblAdmissions[Age],"&gt;="&amp;60,tblAdmissions[Age],"&lt;="&amp;69,tblAdmissions[Sex],"F")</f>
        <v>0</v>
      </c>
      <c r="AT14" s="5">
        <f>COUNTIFS(tblAdmissions[Month],7,tblAdmissions[AgeUnit],"Years",tblAdmissions[Age],"&gt;="&amp;60,tblAdmissions[Age],"&lt;="&amp;69,tblAdmissions[Sex],"M",tblAdmissions[NHIS],"Non-Insured")</f>
        <v>0</v>
      </c>
      <c r="AU14" s="5">
        <f>COUNTIFS(tblAdmissions[Month],7,tblAdmissions[AgeUnit],"Years",tblAdmissions[Age],"&gt;="&amp;60,tblAdmissions[Age],"&lt;="&amp;69,tblAdmissions[Sex],"F",tblAdmissions[NHIS],"Non-Insured")</f>
        <v>0</v>
      </c>
      <c r="AV14" s="5">
        <f>COUNTIFS(tblAdmissions[Month],7,tblAdmissions[AgeUnit],"Years",tblAdmissions[Age],"&gt;="&amp;60,tblAdmissions[Age],"&lt;="&amp;69,tblAdmissions[Sex],"M",tblAdmissions[NHIS],"Insured")</f>
        <v>0</v>
      </c>
      <c r="AW14" s="5">
        <f>COUNTIFS(tblAdmissions[Month],7,tblAdmissions[AgeUnit],"Years",tblAdmissions[Age],"&gt;="&amp;60,tblAdmissions[Age],"&lt;="&amp;69,tblAdmissions[Sex],"F",tblAdmissions[NHIS],"Insured")</f>
        <v>0</v>
      </c>
      <c r="AX14" s="5" t="s">
        <v>147</v>
      </c>
      <c r="AY14" s="5">
        <f>COUNTIFS(tblAdmissions[Month],8,tblAdmissions[AgeUnit],"Years",tblAdmissions[Age],"&gt;="&amp;60,tblAdmissions[Age],"&lt;="&amp;69,tblAdmissions[Sex],"M")</f>
        <v>0</v>
      </c>
      <c r="AZ14" s="5">
        <f>COUNTIFS(tblAdmissions[Month],8,tblAdmissions[AgeUnit],"Years",tblAdmissions[Age],"&gt;="&amp;60,tblAdmissions[Age],"&lt;="&amp;69,tblAdmissions[Sex],"F")</f>
        <v>0</v>
      </c>
      <c r="BA14" s="5">
        <f>COUNTIFS(tblAdmissions[Month],8,tblAdmissions[AgeUnit],"Years",tblAdmissions[Age],"&gt;="&amp;60,tblAdmissions[Age],"&lt;="&amp;69,tblAdmissions[Sex],"M",tblAdmissions[NHIS],"Non-Insured")</f>
        <v>0</v>
      </c>
      <c r="BB14" s="5">
        <f>COUNTIFS(tblAdmissions[Month],8,tblAdmissions[AgeUnit],"Years",tblAdmissions[Age],"&gt;="&amp;60,tblAdmissions[Age],"&lt;="&amp;69,tblAdmissions[Sex],"F",tblAdmissions[NHIS],"Non-Insured")</f>
        <v>0</v>
      </c>
      <c r="BC14" s="5">
        <f>COUNTIFS(tblAdmissions[Month],8,tblAdmissions[AgeUnit],"Years",tblAdmissions[Age],"&gt;="&amp;60,tblAdmissions[Age],"&lt;="&amp;69,tblAdmissions[Sex],"M",tblAdmissions[NHIS],"Insured")</f>
        <v>0</v>
      </c>
      <c r="BD14" s="5">
        <f>COUNTIFS(tblAdmissions[Month],8,tblAdmissions[AgeUnit],"Years",tblAdmissions[Age],"&gt;="&amp;60,tblAdmissions[Age],"&lt;="&amp;69,tblAdmissions[Sex],"F",tblAdmissions[NHIS],"Insured")</f>
        <v>0</v>
      </c>
      <c r="BE14" s="5" t="s">
        <v>147</v>
      </c>
      <c r="BF14" s="5">
        <f>COUNTIFS(tblAdmissions[Month],9,tblAdmissions[AgeUnit],"Years",tblAdmissions[Age],"&gt;="&amp;60,tblAdmissions[Age],"&lt;="&amp;69,tblAdmissions[Sex],"M")</f>
        <v>0</v>
      </c>
      <c r="BG14" s="5">
        <f>COUNTIFS(tblAdmissions[Month],9,tblAdmissions[AgeUnit],"Years",tblAdmissions[Age],"&gt;="&amp;60,tblAdmissions[Age],"&lt;="&amp;69,tblAdmissions[Sex],"F")</f>
        <v>0</v>
      </c>
      <c r="BH14" s="5">
        <f>COUNTIFS(tblAdmissions[Month],9,tblAdmissions[AgeUnit],"Years",tblAdmissions[Age],"&gt;="&amp;60,tblAdmissions[Age],"&lt;="&amp;69,tblAdmissions[Sex],"M",tblAdmissions[NHIS],"Non-Insured")</f>
        <v>0</v>
      </c>
      <c r="BI14" s="5">
        <f>COUNTIFS(tblAdmissions[Month],9,tblAdmissions[AgeUnit],"Years",tblAdmissions[Age],"&gt;="&amp;60,tblAdmissions[Age],"&lt;="&amp;69,tblAdmissions[Sex],"F",tblAdmissions[NHIS],"Non-Insured")</f>
        <v>0</v>
      </c>
      <c r="BJ14" s="5">
        <f>COUNTIFS(tblAdmissions[Month],9,tblAdmissions[AgeUnit],"Years",tblAdmissions[Age],"&gt;="&amp;60,tblAdmissions[Age],"&lt;="&amp;69,tblAdmissions[Sex],"M",tblAdmissions[NHIS],"Insured")</f>
        <v>0</v>
      </c>
      <c r="BK14" s="5">
        <f>COUNTIFS(tblAdmissions[Month],9,tblAdmissions[AgeUnit],"Years",tblAdmissions[Age],"&gt;="&amp;60,tblAdmissions[Age],"&lt;="&amp;69,tblAdmissions[Sex],"F",tblAdmissions[NHIS],"Insured")</f>
        <v>0</v>
      </c>
      <c r="BL14" s="5" t="s">
        <v>147</v>
      </c>
      <c r="BM14" s="5">
        <f>COUNTIFS(tblAdmissions[Month],10,tblAdmissions[AgeUnit],"Years",tblAdmissions[Age],"&gt;="&amp;60,tblAdmissions[Age],"&lt;="&amp;69,tblAdmissions[Sex],"M")</f>
        <v>0</v>
      </c>
      <c r="BN14" s="5">
        <f>COUNTIFS(tblAdmissions[Month],10,tblAdmissions[AgeUnit],"Years",tblAdmissions[Age],"&gt;="&amp;60,tblAdmissions[Age],"&lt;="&amp;69,tblAdmissions[Sex],"F")</f>
        <v>0</v>
      </c>
      <c r="BO14" s="5">
        <f>COUNTIFS(tblAdmissions[Month],10,tblAdmissions[AgeUnit],"Years",tblAdmissions[Age],"&gt;="&amp;60,tblAdmissions[Age],"&lt;="&amp;69,tblAdmissions[Sex],"M",tblAdmissions[NHIS],"Non-Insured")</f>
        <v>0</v>
      </c>
      <c r="BP14" s="5">
        <f>COUNTIFS(tblAdmissions[Month],10,tblAdmissions[AgeUnit],"Years",tblAdmissions[Age],"&gt;="&amp;60,tblAdmissions[Age],"&lt;="&amp;69,tblAdmissions[Sex],"F",tblAdmissions[NHIS],"Non-Insured")</f>
        <v>0</v>
      </c>
      <c r="BQ14" s="5">
        <f>COUNTIFS(tblAdmissions[Month],10,tblAdmissions[AgeUnit],"Years",tblAdmissions[Age],"&gt;="&amp;60,tblAdmissions[Age],"&lt;="&amp;69,tblAdmissions[Sex],"M",tblAdmissions[NHIS],"Insured")</f>
        <v>0</v>
      </c>
      <c r="BR14" s="5">
        <f>COUNTIFS(tblAdmissions[Month],10,tblAdmissions[AgeUnit],"Years",tblAdmissions[Age],"&gt;="&amp;60,tblAdmissions[Age],"&lt;="&amp;69,tblAdmissions[Sex],"F",tblAdmissions[NHIS],"Insured")</f>
        <v>0</v>
      </c>
      <c r="BS14" s="5" t="s">
        <v>147</v>
      </c>
      <c r="BT14" s="5">
        <f>COUNTIFS(tblAdmissions[Month],11,tblAdmissions[AgeUnit],"Years",tblAdmissions[Age],"&gt;="&amp;60,tblAdmissions[Age],"&lt;="&amp;69,tblAdmissions[Sex],"M")</f>
        <v>0</v>
      </c>
      <c r="BU14" s="5">
        <f>COUNTIFS(tblAdmissions[Month],11,tblAdmissions[AgeUnit],"Years",tblAdmissions[Age],"&gt;="&amp;60,tblAdmissions[Age],"&lt;="&amp;69,tblAdmissions[Sex],"F")</f>
        <v>0</v>
      </c>
      <c r="BV14" s="5">
        <f>COUNTIFS(tblAdmissions[Month],11,tblAdmissions[AgeUnit],"Years",tblAdmissions[Age],"&gt;="&amp;60,tblAdmissions[Age],"&lt;="&amp;69,tblAdmissions[Sex],"M",tblAdmissions[NHIS],"Non-Insured")</f>
        <v>0</v>
      </c>
      <c r="BW14" s="5">
        <f>COUNTIFS(tblAdmissions[Month],11,tblAdmissions[AgeUnit],"Years",tblAdmissions[Age],"&gt;="&amp;60,tblAdmissions[Age],"&lt;="&amp;69,tblAdmissions[Sex],"F",tblAdmissions[NHIS],"Non-Insured")</f>
        <v>0</v>
      </c>
      <c r="BX14" s="5">
        <f>COUNTIFS(tblAdmissions[Month],11,tblAdmissions[AgeUnit],"Years",tblAdmissions[Age],"&gt;="&amp;60,tblAdmissions[Age],"&lt;="&amp;69,tblAdmissions[Sex],"M",tblAdmissions[NHIS],"Insured")</f>
        <v>0</v>
      </c>
      <c r="BY14" s="5">
        <f>COUNTIFS(tblAdmissions[Month],11,tblAdmissions[AgeUnit],"Years",tblAdmissions[Age],"&gt;="&amp;60,tblAdmissions[Age],"&lt;="&amp;69,tblAdmissions[Sex],"F",tblAdmissions[NHIS],"Insured")</f>
        <v>0</v>
      </c>
      <c r="BZ14" s="5" t="s">
        <v>147</v>
      </c>
      <c r="CA14" s="5">
        <f>COUNTIFS(tblAdmissions[Month],12,tblAdmissions[AgeUnit],"Years",tblAdmissions[Age],"&gt;="&amp;60,tblAdmissions[Age],"&lt;="&amp;69,tblAdmissions[Sex],"M")</f>
        <v>0</v>
      </c>
      <c r="CB14" s="5">
        <f>COUNTIFS(tblAdmissions[Month],12,tblAdmissions[AgeUnit],"Years",tblAdmissions[Age],"&gt;="&amp;60,tblAdmissions[Age],"&lt;="&amp;69,tblAdmissions[Sex],"F")</f>
        <v>0</v>
      </c>
      <c r="CC14" s="5">
        <f>COUNTIFS(tblAdmissions[Month],12,tblAdmissions[AgeUnit],"Years",tblAdmissions[Age],"&gt;="&amp;60,tblAdmissions[Age],"&lt;="&amp;69,tblAdmissions[Sex],"M",tblAdmissions[NHIS],"Non-Insured")</f>
        <v>0</v>
      </c>
      <c r="CD14" s="5">
        <f>COUNTIFS(tblAdmissions[Month],12,tblAdmissions[AgeUnit],"Years",tblAdmissions[Age],"&gt;="&amp;60,tblAdmissions[Age],"&lt;="&amp;69,tblAdmissions[Sex],"F",tblAdmissions[NHIS],"Non-Insured")</f>
        <v>0</v>
      </c>
      <c r="CE14" s="5">
        <f>COUNTIFS(tblAdmissions[Month],12,tblAdmissions[AgeUnit],"Years",tblAdmissions[Age],"&gt;="&amp;60,tblAdmissions[Age],"&lt;="&amp;69,tblAdmissions[Sex],"M",tblAdmissions[NHIS],"Insured")</f>
        <v>0</v>
      </c>
      <c r="CF14" s="5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5" t="s">
        <v>148</v>
      </c>
      <c r="B15" s="5">
        <f>COUNTIFS(tblAdmissions[Month],1,tblAdmissions[AgeUnit],"Years",tblAdmissions[Age],"&gt;="&amp;70,tblAdmissions[Age],"&lt;="&amp;200,tblAdmissions[Sex],"M")</f>
        <v>0</v>
      </c>
      <c r="C15" s="5">
        <f>COUNTIFS(tblAdmissions[Month],1,tblAdmissions[AgeUnit],"Years",tblAdmissions[Age],"&gt;="&amp;70,tblAdmissions[Age],"&lt;="&amp;200,tblAdmissions[Sex],"F")</f>
        <v>0</v>
      </c>
      <c r="D15" s="5">
        <f>COUNTIFS(tblAdmissions[Month],1,tblAdmissions[AgeUnit],"Years",tblAdmissions[Age],"&gt;="&amp;70,tblAdmissions[Age],"&lt;="&amp;200,tblAdmissions[Sex],"M",tblAdmissions[NHIS],"Non-Insured")</f>
        <v>0</v>
      </c>
      <c r="E15" s="5">
        <f>COUNTIFS(tblAdmissions[Month],1,tblAdmissions[AgeUnit],"Years",tblAdmissions[Age],"&gt;="&amp;70,tblAdmissions[Age],"&lt;="&amp;200,tblAdmissions[Sex],"F",tblAdmissions[NHIS],"Non-Insured")</f>
        <v>0</v>
      </c>
      <c r="F15" s="5">
        <f>COUNTIFS(tblAdmissions[Month],1,tblAdmissions[AgeUnit],"Years",tblAdmissions[Age],"&gt;="&amp;70,tblAdmissions[Age],"&lt;="&amp;200,tblAdmissions[Sex],"M",tblAdmissions[NHIS],"Insured")</f>
        <v>0</v>
      </c>
      <c r="G15" s="5">
        <f>COUNTIFS(tblAdmissions[Month],1,tblAdmissions[AgeUnit],"Years",tblAdmissions[Age],"&gt;="&amp;70,tblAdmissions[Age],"&lt;="&amp;200,tblAdmissions[Sex],"F",tblAdmissions[NHIS],"Insured")</f>
        <v>0</v>
      </c>
      <c r="H15" s="5" t="s">
        <v>148</v>
      </c>
      <c r="I15" s="5">
        <f>COUNTIFS(tblAdmissions[Month],2,tblAdmissions[AgeUnit],"Years",tblAdmissions[Age],"&gt;="&amp;70,tblAdmissions[Age],"&lt;="&amp;200,tblAdmissions[Sex],"M")</f>
        <v>0</v>
      </c>
      <c r="J15" s="5">
        <f>COUNTIFS(tblAdmissions[Month],2,tblAdmissions[AgeUnit],"Years",tblAdmissions[Age],"&gt;="&amp;70,tblAdmissions[Age],"&lt;="&amp;200,tblAdmissions[Sex],"F")</f>
        <v>0</v>
      </c>
      <c r="K15" s="5">
        <f>COUNTIFS(tblAdmissions[Month],2,tblAdmissions[AgeUnit],"Years",tblAdmissions[Age],"&gt;="&amp;70,tblAdmissions[Age],"&lt;="&amp;200,tblAdmissions[Sex],"M",tblAdmissions[NHIS],"Non-Insured")</f>
        <v>0</v>
      </c>
      <c r="L15" s="5">
        <f>COUNTIFS(tblAdmissions[Month],2,tblAdmissions[AgeUnit],"Years",tblAdmissions[Age],"&gt;="&amp;70,tblAdmissions[Age],"&lt;="&amp;200,tblAdmissions[Sex],"F",tblAdmissions[NHIS],"Non-Insured")</f>
        <v>0</v>
      </c>
      <c r="M15" s="5">
        <f>COUNTIFS(tblAdmissions[Month],2,tblAdmissions[AgeUnit],"Years",tblAdmissions[Age],"&gt;="&amp;70,tblAdmissions[Age],"&lt;="&amp;200,tblAdmissions[Sex],"M",tblAdmissions[NHIS],"Insured")</f>
        <v>0</v>
      </c>
      <c r="N15" s="5">
        <f>COUNTIFS(tblAdmissions[Month],2,tblAdmissions[AgeUnit],"Years",tblAdmissions[Age],"&gt;="&amp;70,tblAdmissions[Age],"&lt;="&amp;200,tblAdmissions[Sex],"F",tblAdmissions[NHIS],"Insured")</f>
        <v>0</v>
      </c>
      <c r="O15" s="5" t="s">
        <v>148</v>
      </c>
      <c r="P15" s="5">
        <f>COUNTIFS(tblAdmissions[Month],3,tblAdmissions[AgeUnit],"Years",tblAdmissions[Age],"&gt;="&amp;70,tblAdmissions[Age],"&lt;="&amp;200,tblAdmissions[Sex],"M")</f>
        <v>0</v>
      </c>
      <c r="Q15" s="5">
        <f>COUNTIFS(tblAdmissions[Month],3,tblAdmissions[AgeUnit],"Years",tblAdmissions[Age],"&gt;="&amp;70,tblAdmissions[Age],"&lt;="&amp;200,tblAdmissions[Sex],"F")</f>
        <v>0</v>
      </c>
      <c r="R15" s="5">
        <f>COUNTIFS(tblAdmissions[Month],3,tblAdmissions[AgeUnit],"Years",tblAdmissions[Age],"&gt;="&amp;70,tblAdmissions[Age],"&lt;="&amp;200,tblAdmissions[Sex],"M",tblAdmissions[NHIS],"Non-Insured")</f>
        <v>0</v>
      </c>
      <c r="S15" s="5">
        <f>COUNTIFS(tblAdmissions[Month],3,tblAdmissions[AgeUnit],"Years",tblAdmissions[Age],"&gt;="&amp;70,tblAdmissions[Age],"&lt;="&amp;200,tblAdmissions[Sex],"F",tblAdmissions[NHIS],"Non-Insured")</f>
        <v>0</v>
      </c>
      <c r="T15" s="5">
        <f>COUNTIFS(tblAdmissions[Month],3,tblAdmissions[AgeUnit],"Years",tblAdmissions[Age],"&gt;="&amp;70,tblAdmissions[Age],"&lt;="&amp;200,tblAdmissions[Sex],"M",tblAdmissions[NHIS],"Insured")</f>
        <v>0</v>
      </c>
      <c r="U15" s="5">
        <f>COUNTIFS(tblAdmissions[Month],3,tblAdmissions[AgeUnit],"Years",tblAdmissions[Age],"&gt;="&amp;70,tblAdmissions[Age],"&lt;="&amp;200,tblAdmissions[Sex],"F",tblAdmissions[NHIS],"Insured")</f>
        <v>0</v>
      </c>
      <c r="V15" s="5" t="s">
        <v>148</v>
      </c>
      <c r="W15" s="5">
        <f>COUNTIFS(tblAdmissions[Month],4,tblAdmissions[AgeUnit],"Years",tblAdmissions[Age],"&gt;="&amp;70,tblAdmissions[Age],"&lt;="&amp;200,tblAdmissions[Sex],"M")</f>
        <v>0</v>
      </c>
      <c r="X15" s="5">
        <f>COUNTIFS(tblAdmissions[Month],4,tblAdmissions[AgeUnit],"Years",tblAdmissions[Age],"&gt;="&amp;70,tblAdmissions[Age],"&lt;="&amp;200,tblAdmissions[Sex],"F")</f>
        <v>0</v>
      </c>
      <c r="Y15" s="5">
        <f>COUNTIFS(tblAdmissions[Month],4,tblAdmissions[AgeUnit],"Years",tblAdmissions[Age],"&gt;="&amp;70,tblAdmissions[Age],"&lt;="&amp;200,tblAdmissions[Sex],"M",tblAdmissions[NHIS],"Non-Insured")</f>
        <v>0</v>
      </c>
      <c r="Z15" s="5">
        <f>COUNTIFS(tblAdmissions[Month],4,tblAdmissions[AgeUnit],"Years",tblAdmissions[Age],"&gt;="&amp;70,tblAdmissions[Age],"&lt;="&amp;200,tblAdmissions[Sex],"F",tblAdmissions[NHIS],"Non-Insured")</f>
        <v>0</v>
      </c>
      <c r="AA15" s="5">
        <f>COUNTIFS(tblAdmissions[Month],4,tblAdmissions[AgeUnit],"Years",tblAdmissions[Age],"&gt;="&amp;70,tblAdmissions[Age],"&lt;="&amp;200,tblAdmissions[Sex],"M",tblAdmissions[NHIS],"Insured")</f>
        <v>0</v>
      </c>
      <c r="AB15" s="5">
        <f>COUNTIFS(tblAdmissions[Month],4,tblAdmissions[AgeUnit],"Years",tblAdmissions[Age],"&gt;="&amp;70,tblAdmissions[Age],"&lt;="&amp;200,tblAdmissions[Sex],"F",tblAdmissions[NHIS],"Insured")</f>
        <v>0</v>
      </c>
      <c r="AC15" s="5" t="s">
        <v>148</v>
      </c>
      <c r="AD15" s="5">
        <f>COUNTIFS(tblAdmissions[Month],5,tblAdmissions[AgeUnit],"Years",tblAdmissions[Age],"&gt;="&amp;70,tblAdmissions[Age],"&lt;="&amp;200,tblAdmissions[Sex],"M")</f>
        <v>0</v>
      </c>
      <c r="AE15" s="5">
        <f>COUNTIFS(tblAdmissions[Month],5,tblAdmissions[AgeUnit],"Years",tblAdmissions[Age],"&gt;="&amp;70,tblAdmissions[Age],"&lt;="&amp;200,tblAdmissions[Sex],"F")</f>
        <v>0</v>
      </c>
      <c r="AF15" s="5">
        <f>COUNTIFS(tblAdmissions[Month],5,tblAdmissions[AgeUnit],"Years",tblAdmissions[Age],"&gt;="&amp;70,tblAdmissions[Age],"&lt;="&amp;200,tblAdmissions[Sex],"M",tblAdmissions[NHIS],"Non-Insured")</f>
        <v>0</v>
      </c>
      <c r="AG15" s="5">
        <f>COUNTIFS(tblAdmissions[Month],5,tblAdmissions[AgeUnit],"Years",tblAdmissions[Age],"&gt;="&amp;70,tblAdmissions[Age],"&lt;="&amp;200,tblAdmissions[Sex],"F",tblAdmissions[NHIS],"Non-Insured")</f>
        <v>0</v>
      </c>
      <c r="AH15" s="5">
        <f>COUNTIFS(tblAdmissions[Month],5,tblAdmissions[AgeUnit],"Years",tblAdmissions[Age],"&gt;="&amp;70,tblAdmissions[Age],"&lt;="&amp;200,tblAdmissions[Sex],"M",tblAdmissions[NHIS],"Insured")</f>
        <v>0</v>
      </c>
      <c r="AI15" s="5">
        <f>COUNTIFS(tblAdmissions[Month],5,tblAdmissions[AgeUnit],"Years",tblAdmissions[Age],"&gt;="&amp;70,tblAdmissions[Age],"&lt;="&amp;200,tblAdmissions[Sex],"F",tblAdmissions[NHIS],"Insured")</f>
        <v>0</v>
      </c>
      <c r="AJ15" s="5" t="s">
        <v>148</v>
      </c>
      <c r="AK15" s="5">
        <f>COUNTIFS(tblAdmissions[Month],6,tblAdmissions[AgeUnit],"Years",tblAdmissions[Age],"&gt;="&amp;70,tblAdmissions[Age],"&lt;="&amp;200,tblAdmissions[Sex],"M")</f>
        <v>0</v>
      </c>
      <c r="AL15" s="5">
        <f>COUNTIFS(tblAdmissions[Month],6,tblAdmissions[AgeUnit],"Years",tblAdmissions[Age],"&gt;="&amp;70,tblAdmissions[Age],"&lt;="&amp;200,tblAdmissions[Sex],"F")</f>
        <v>0</v>
      </c>
      <c r="AM15" s="5">
        <f>COUNTIFS(tblAdmissions[Month],6,tblAdmissions[AgeUnit],"Years",tblAdmissions[Age],"&gt;="&amp;70,tblAdmissions[Age],"&lt;="&amp;200,tblAdmissions[Sex],"M",tblAdmissions[NHIS],"Non-Insured")</f>
        <v>0</v>
      </c>
      <c r="AN15" s="5">
        <f>COUNTIFS(tblAdmissions[Month],6,tblAdmissions[AgeUnit],"Years",tblAdmissions[Age],"&gt;="&amp;70,tblAdmissions[Age],"&lt;="&amp;200,tblAdmissions[Sex],"F",tblAdmissions[NHIS],"Non-Insured")</f>
        <v>0</v>
      </c>
      <c r="AO15" s="5">
        <f>COUNTIFS(tblAdmissions[Month],6,tblAdmissions[AgeUnit],"Years",tblAdmissions[Age],"&gt;="&amp;70,tblAdmissions[Age],"&lt;="&amp;200,tblAdmissions[Sex],"M",tblAdmissions[NHIS],"Insured")</f>
        <v>0</v>
      </c>
      <c r="AP15" s="5">
        <f>COUNTIFS(tblAdmissions[Month],6,tblAdmissions[AgeUnit],"Years",tblAdmissions[Age],"&gt;="&amp;70,tblAdmissions[Age],"&lt;="&amp;200,tblAdmissions[Sex],"F",tblAdmissions[NHIS],"Insured")</f>
        <v>0</v>
      </c>
      <c r="AQ15" s="5" t="s">
        <v>148</v>
      </c>
      <c r="AR15" s="5">
        <f>COUNTIFS(tblAdmissions[Month],7,tblAdmissions[AgeUnit],"Years",tblAdmissions[Age],"&gt;="&amp;70,tblAdmissions[Age],"&lt;="&amp;200,tblAdmissions[Sex],"M")</f>
        <v>0</v>
      </c>
      <c r="AS15" s="5">
        <f>COUNTIFS(tblAdmissions[Month],7,tblAdmissions[AgeUnit],"Years",tblAdmissions[Age],"&gt;="&amp;70,tblAdmissions[Age],"&lt;="&amp;200,tblAdmissions[Sex],"F")</f>
        <v>0</v>
      </c>
      <c r="AT15" s="5">
        <f>COUNTIFS(tblAdmissions[Month],7,tblAdmissions[AgeUnit],"Years",tblAdmissions[Age],"&gt;="&amp;70,tblAdmissions[Age],"&lt;="&amp;200,tblAdmissions[Sex],"M",tblAdmissions[NHIS],"Non-Insured")</f>
        <v>0</v>
      </c>
      <c r="AU15" s="5">
        <f>COUNTIFS(tblAdmissions[Month],7,tblAdmissions[AgeUnit],"Years",tblAdmissions[Age],"&gt;="&amp;70,tblAdmissions[Age],"&lt;="&amp;200,tblAdmissions[Sex],"F",tblAdmissions[NHIS],"Non-Insured")</f>
        <v>0</v>
      </c>
      <c r="AV15" s="5">
        <f>COUNTIFS(tblAdmissions[Month],7,tblAdmissions[AgeUnit],"Years",tblAdmissions[Age],"&gt;="&amp;70,tblAdmissions[Age],"&lt;="&amp;200,tblAdmissions[Sex],"M",tblAdmissions[NHIS],"Insured")</f>
        <v>0</v>
      </c>
      <c r="AW15" s="5">
        <f>COUNTIFS(tblAdmissions[Month],7,tblAdmissions[AgeUnit],"Years",tblAdmissions[Age],"&gt;="&amp;70,tblAdmissions[Age],"&lt;="&amp;200,tblAdmissions[Sex],"F",tblAdmissions[NHIS],"Insured")</f>
        <v>0</v>
      </c>
      <c r="AX15" s="5" t="s">
        <v>148</v>
      </c>
      <c r="AY15" s="5">
        <f>COUNTIFS(tblAdmissions[Month],8,tblAdmissions[AgeUnit],"Years",tblAdmissions[Age],"&gt;="&amp;70,tblAdmissions[Age],"&lt;="&amp;200,tblAdmissions[Sex],"M")</f>
        <v>0</v>
      </c>
      <c r="AZ15" s="5">
        <f>COUNTIFS(tblAdmissions[Month],8,tblAdmissions[AgeUnit],"Years",tblAdmissions[Age],"&gt;="&amp;70,tblAdmissions[Age],"&lt;="&amp;200,tblAdmissions[Sex],"F")</f>
        <v>0</v>
      </c>
      <c r="BA15" s="5">
        <f>COUNTIFS(tblAdmissions[Month],8,tblAdmissions[AgeUnit],"Years",tblAdmissions[Age],"&gt;="&amp;70,tblAdmissions[Age],"&lt;="&amp;200,tblAdmissions[Sex],"M",tblAdmissions[NHIS],"Non-Insured")</f>
        <v>0</v>
      </c>
      <c r="BB15" s="5">
        <f>COUNTIFS(tblAdmissions[Month],8,tblAdmissions[AgeUnit],"Years",tblAdmissions[Age],"&gt;="&amp;70,tblAdmissions[Age],"&lt;="&amp;200,tblAdmissions[Sex],"F",tblAdmissions[NHIS],"Non-Insured")</f>
        <v>0</v>
      </c>
      <c r="BC15" s="5">
        <f>COUNTIFS(tblAdmissions[Month],8,tblAdmissions[AgeUnit],"Years",tblAdmissions[Age],"&gt;="&amp;70,tblAdmissions[Age],"&lt;="&amp;200,tblAdmissions[Sex],"M",tblAdmissions[NHIS],"Insured")</f>
        <v>0</v>
      </c>
      <c r="BD15" s="5">
        <f>COUNTIFS(tblAdmissions[Month],8,tblAdmissions[AgeUnit],"Years",tblAdmissions[Age],"&gt;="&amp;70,tblAdmissions[Age],"&lt;="&amp;200,tblAdmissions[Sex],"F",tblAdmissions[NHIS],"Insured")</f>
        <v>0</v>
      </c>
      <c r="BE15" s="5" t="s">
        <v>148</v>
      </c>
      <c r="BF15" s="5">
        <f>COUNTIFS(tblAdmissions[Month],9,tblAdmissions[AgeUnit],"Years",tblAdmissions[Age],"&gt;="&amp;70,tblAdmissions[Age],"&lt;="&amp;200,tblAdmissions[Sex],"M")</f>
        <v>0</v>
      </c>
      <c r="BG15" s="5">
        <f>COUNTIFS(tblAdmissions[Month],9,tblAdmissions[AgeUnit],"Years",tblAdmissions[Age],"&gt;="&amp;70,tblAdmissions[Age],"&lt;="&amp;200,tblAdmissions[Sex],"F")</f>
        <v>0</v>
      </c>
      <c r="BH15" s="5">
        <f>COUNTIFS(tblAdmissions[Month],9,tblAdmissions[AgeUnit],"Years",tblAdmissions[Age],"&gt;="&amp;70,tblAdmissions[Age],"&lt;="&amp;200,tblAdmissions[Sex],"M",tblAdmissions[NHIS],"Non-Insured")</f>
        <v>0</v>
      </c>
      <c r="BI15" s="5">
        <f>COUNTIFS(tblAdmissions[Month],9,tblAdmissions[AgeUnit],"Years",tblAdmissions[Age],"&gt;="&amp;70,tblAdmissions[Age],"&lt;="&amp;200,tblAdmissions[Sex],"F",tblAdmissions[NHIS],"Non-Insured")</f>
        <v>0</v>
      </c>
      <c r="BJ15" s="5">
        <f>COUNTIFS(tblAdmissions[Month],9,tblAdmissions[AgeUnit],"Years",tblAdmissions[Age],"&gt;="&amp;70,tblAdmissions[Age],"&lt;="&amp;200,tblAdmissions[Sex],"M",tblAdmissions[NHIS],"Insured")</f>
        <v>0</v>
      </c>
      <c r="BK15" s="5">
        <f>COUNTIFS(tblAdmissions[Month],9,tblAdmissions[AgeUnit],"Years",tblAdmissions[Age],"&gt;="&amp;70,tblAdmissions[Age],"&lt;="&amp;200,tblAdmissions[Sex],"F",tblAdmissions[NHIS],"Insured")</f>
        <v>0</v>
      </c>
      <c r="BL15" s="5" t="s">
        <v>148</v>
      </c>
      <c r="BM15" s="5">
        <f>COUNTIFS(tblAdmissions[Month],10,tblAdmissions[AgeUnit],"Years",tblAdmissions[Age],"&gt;="&amp;70,tblAdmissions[Age],"&lt;="&amp;200,tblAdmissions[Sex],"M")</f>
        <v>0</v>
      </c>
      <c r="BN15" s="5">
        <f>COUNTIFS(tblAdmissions[Month],10,tblAdmissions[AgeUnit],"Years",tblAdmissions[Age],"&gt;="&amp;70,tblAdmissions[Age],"&lt;="&amp;200,tblAdmissions[Sex],"F")</f>
        <v>0</v>
      </c>
      <c r="BO15" s="5">
        <f>COUNTIFS(tblAdmissions[Month],10,tblAdmissions[AgeUnit],"Years",tblAdmissions[Age],"&gt;="&amp;70,tblAdmissions[Age],"&lt;="&amp;200,tblAdmissions[Sex],"M",tblAdmissions[NHIS],"Non-Insured")</f>
        <v>0</v>
      </c>
      <c r="BP15" s="5">
        <f>COUNTIFS(tblAdmissions[Month],10,tblAdmissions[AgeUnit],"Years",tblAdmissions[Age],"&gt;="&amp;70,tblAdmissions[Age],"&lt;="&amp;200,tblAdmissions[Sex],"F",tblAdmissions[NHIS],"Non-Insured")</f>
        <v>0</v>
      </c>
      <c r="BQ15" s="5">
        <f>COUNTIFS(tblAdmissions[Month],10,tblAdmissions[AgeUnit],"Years",tblAdmissions[Age],"&gt;="&amp;70,tblAdmissions[Age],"&lt;="&amp;200,tblAdmissions[Sex],"M",tblAdmissions[NHIS],"Insured")</f>
        <v>0</v>
      </c>
      <c r="BR15" s="5">
        <f>COUNTIFS(tblAdmissions[Month],10,tblAdmissions[AgeUnit],"Years",tblAdmissions[Age],"&gt;="&amp;70,tblAdmissions[Age],"&lt;="&amp;200,tblAdmissions[Sex],"F",tblAdmissions[NHIS],"Insured")</f>
        <v>0</v>
      </c>
      <c r="BS15" s="5" t="s">
        <v>148</v>
      </c>
      <c r="BT15" s="5">
        <f>COUNTIFS(tblAdmissions[Month],11,tblAdmissions[AgeUnit],"Years",tblAdmissions[Age],"&gt;="&amp;70,tblAdmissions[Age],"&lt;="&amp;200,tblAdmissions[Sex],"M")</f>
        <v>0</v>
      </c>
      <c r="BU15" s="5">
        <f>COUNTIFS(tblAdmissions[Month],11,tblAdmissions[AgeUnit],"Years",tblAdmissions[Age],"&gt;="&amp;70,tblAdmissions[Age],"&lt;="&amp;200,tblAdmissions[Sex],"F")</f>
        <v>0</v>
      </c>
      <c r="BV15" s="5">
        <f>COUNTIFS(tblAdmissions[Month],11,tblAdmissions[AgeUnit],"Years",tblAdmissions[Age],"&gt;="&amp;70,tblAdmissions[Age],"&lt;="&amp;200,tblAdmissions[Sex],"M",tblAdmissions[NHIS],"Non-Insured")</f>
        <v>0</v>
      </c>
      <c r="BW15" s="5">
        <f>COUNTIFS(tblAdmissions[Month],11,tblAdmissions[AgeUnit],"Years",tblAdmissions[Age],"&gt;="&amp;70,tblAdmissions[Age],"&lt;="&amp;200,tblAdmissions[Sex],"F",tblAdmissions[NHIS],"Non-Insured")</f>
        <v>0</v>
      </c>
      <c r="BX15" s="5">
        <f>COUNTIFS(tblAdmissions[Month],11,tblAdmissions[AgeUnit],"Years",tblAdmissions[Age],"&gt;="&amp;70,tblAdmissions[Age],"&lt;="&amp;200,tblAdmissions[Sex],"M",tblAdmissions[NHIS],"Insured")</f>
        <v>0</v>
      </c>
      <c r="BY15" s="5">
        <f>COUNTIFS(tblAdmissions[Month],11,tblAdmissions[AgeUnit],"Years",tblAdmissions[Age],"&gt;="&amp;70,tblAdmissions[Age],"&lt;="&amp;200,tblAdmissions[Sex],"F",tblAdmissions[NHIS],"Insured")</f>
        <v>0</v>
      </c>
      <c r="BZ15" s="5" t="s">
        <v>148</v>
      </c>
      <c r="CA15" s="5">
        <f>COUNTIFS(tblAdmissions[Month],12,tblAdmissions[AgeUnit],"Years",tblAdmissions[Age],"&gt;="&amp;70,tblAdmissions[Age],"&lt;="&amp;200,tblAdmissions[Sex],"M")</f>
        <v>0</v>
      </c>
      <c r="CB15" s="5">
        <f>COUNTIFS(tblAdmissions[Month],12,tblAdmissions[AgeUnit],"Years",tblAdmissions[Age],"&gt;="&amp;70,tblAdmissions[Age],"&lt;="&amp;200,tblAdmissions[Sex],"F")</f>
        <v>0</v>
      </c>
      <c r="CC15" s="5">
        <f>COUNTIFS(tblAdmissions[Month],12,tblAdmissions[AgeUnit],"Years",tblAdmissions[Age],"&gt;="&amp;70,tblAdmissions[Age],"&lt;="&amp;200,tblAdmissions[Sex],"M",tblAdmissions[NHIS],"Non-Insured")</f>
        <v>0</v>
      </c>
      <c r="CD15" s="5">
        <f>COUNTIFS(tblAdmissions[Month],12,tblAdmissions[AgeUnit],"Years",tblAdmissions[Age],"&gt;="&amp;70,tblAdmissions[Age],"&lt;="&amp;200,tblAdmissions[Sex],"F",tblAdmissions[NHIS],"Non-Insured")</f>
        <v>0</v>
      </c>
      <c r="CE15" s="5">
        <f>COUNTIFS(tblAdmissions[Month],12,tblAdmissions[AgeUnit],"Years",tblAdmissions[Age],"&gt;="&amp;70,tblAdmissions[Age],"&lt;="&amp;200,tblAdmissions[Sex],"M",tblAdmissions[NHIS],"Insured")</f>
        <v>0</v>
      </c>
      <c r="CF15" s="5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149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149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149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149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149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149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149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149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149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149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149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149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1" t="s">
        <v>150</v>
      </c>
      <c r="B1" s="17"/>
      <c r="C1" s="17"/>
      <c r="D1" s="17"/>
      <c r="E1" s="17"/>
      <c r="F1" s="17"/>
      <c r="G1" s="17"/>
      <c r="H1" s="17"/>
    </row>
    <row r="2" spans="1:8" x14ac:dyDescent="0.25">
      <c r="A2" s="4" t="s">
        <v>151</v>
      </c>
      <c r="B2" s="4" t="s">
        <v>152</v>
      </c>
      <c r="C2" s="4" t="s">
        <v>153</v>
      </c>
      <c r="D2" s="4" t="s">
        <v>154</v>
      </c>
      <c r="E2" s="4" t="s">
        <v>70</v>
      </c>
      <c r="F2" s="4" t="s">
        <v>72</v>
      </c>
      <c r="G2" s="4" t="s">
        <v>155</v>
      </c>
      <c r="H2" s="4" t="s">
        <v>73</v>
      </c>
    </row>
    <row r="43" spans="1:8" ht="15.75" x14ac:dyDescent="0.25">
      <c r="A43" s="21" t="s">
        <v>156</v>
      </c>
      <c r="B43" s="17"/>
      <c r="C43" s="17"/>
      <c r="D43" s="17"/>
      <c r="E43" s="17"/>
      <c r="F43" s="17"/>
      <c r="G43" s="17"/>
      <c r="H43" s="17"/>
    </row>
    <row r="44" spans="1:8" x14ac:dyDescent="0.25">
      <c r="A44" s="4" t="s">
        <v>151</v>
      </c>
      <c r="B44" s="4" t="s">
        <v>152</v>
      </c>
      <c r="C44" s="4" t="s">
        <v>153</v>
      </c>
      <c r="D44" s="4" t="s">
        <v>154</v>
      </c>
      <c r="E44" s="4" t="s">
        <v>70</v>
      </c>
      <c r="F44" s="4" t="s">
        <v>72</v>
      </c>
      <c r="G44" s="4" t="s">
        <v>155</v>
      </c>
      <c r="H44" s="4" t="s">
        <v>73</v>
      </c>
    </row>
    <row r="85" spans="1:8" ht="15.75" x14ac:dyDescent="0.25">
      <c r="A85" s="21" t="s">
        <v>157</v>
      </c>
      <c r="B85" s="17"/>
      <c r="C85" s="17"/>
      <c r="D85" s="17"/>
      <c r="E85" s="17"/>
      <c r="F85" s="17"/>
      <c r="G85" s="17"/>
      <c r="H85" s="17"/>
    </row>
    <row r="86" spans="1:8" x14ac:dyDescent="0.25">
      <c r="A86" s="4" t="s">
        <v>151</v>
      </c>
      <c r="B86" s="4" t="s">
        <v>152</v>
      </c>
      <c r="C86" s="4" t="s">
        <v>153</v>
      </c>
      <c r="D86" s="4" t="s">
        <v>154</v>
      </c>
      <c r="E86" s="4" t="s">
        <v>70</v>
      </c>
      <c r="F86" s="4" t="s">
        <v>72</v>
      </c>
      <c r="G86" s="4" t="s">
        <v>155</v>
      </c>
      <c r="H86" s="4" t="s">
        <v>73</v>
      </c>
    </row>
    <row r="127" spans="1:8" ht="15.75" x14ac:dyDescent="0.25">
      <c r="A127" s="21" t="s">
        <v>158</v>
      </c>
      <c r="B127" s="17"/>
      <c r="C127" s="17"/>
      <c r="D127" s="17"/>
      <c r="E127" s="17"/>
      <c r="F127" s="17"/>
      <c r="G127" s="17"/>
      <c r="H127" s="17"/>
    </row>
    <row r="128" spans="1:8" x14ac:dyDescent="0.25">
      <c r="A128" s="4" t="s">
        <v>151</v>
      </c>
      <c r="B128" s="4" t="s">
        <v>152</v>
      </c>
      <c r="C128" s="4" t="s">
        <v>153</v>
      </c>
      <c r="D128" s="4" t="s">
        <v>154</v>
      </c>
      <c r="E128" s="4" t="s">
        <v>70</v>
      </c>
      <c r="F128" s="4" t="s">
        <v>72</v>
      </c>
      <c r="G128" s="4" t="s">
        <v>155</v>
      </c>
      <c r="H128" s="4" t="s">
        <v>73</v>
      </c>
    </row>
    <row r="169" spans="1:8" ht="15.75" x14ac:dyDescent="0.25">
      <c r="A169" s="21" t="s">
        <v>159</v>
      </c>
      <c r="B169" s="17"/>
      <c r="C169" s="17"/>
      <c r="D169" s="17"/>
      <c r="E169" s="17"/>
      <c r="F169" s="17"/>
      <c r="G169" s="17"/>
      <c r="H169" s="17"/>
    </row>
    <row r="170" spans="1:8" x14ac:dyDescent="0.25">
      <c r="A170" s="4" t="s">
        <v>151</v>
      </c>
      <c r="B170" s="4" t="s">
        <v>152</v>
      </c>
      <c r="C170" s="4" t="s">
        <v>153</v>
      </c>
      <c r="D170" s="4" t="s">
        <v>154</v>
      </c>
      <c r="E170" s="4" t="s">
        <v>70</v>
      </c>
      <c r="F170" s="4" t="s">
        <v>72</v>
      </c>
      <c r="G170" s="4" t="s">
        <v>155</v>
      </c>
      <c r="H170" s="4" t="s">
        <v>73</v>
      </c>
    </row>
    <row r="211" spans="1:8" ht="15.75" x14ac:dyDescent="0.25">
      <c r="A211" s="21" t="s">
        <v>160</v>
      </c>
      <c r="B211" s="17"/>
      <c r="C211" s="17"/>
      <c r="D211" s="17"/>
      <c r="E211" s="17"/>
      <c r="F211" s="17"/>
      <c r="G211" s="17"/>
      <c r="H211" s="17"/>
    </row>
    <row r="212" spans="1:8" x14ac:dyDescent="0.25">
      <c r="A212" s="4" t="s">
        <v>151</v>
      </c>
      <c r="B212" s="4" t="s">
        <v>152</v>
      </c>
      <c r="C212" s="4" t="s">
        <v>153</v>
      </c>
      <c r="D212" s="4" t="s">
        <v>154</v>
      </c>
      <c r="E212" s="4" t="s">
        <v>70</v>
      </c>
      <c r="F212" s="4" t="s">
        <v>72</v>
      </c>
      <c r="G212" s="4" t="s">
        <v>155</v>
      </c>
      <c r="H212" s="4" t="s">
        <v>73</v>
      </c>
    </row>
    <row r="253" spans="1:8" ht="15.75" x14ac:dyDescent="0.25">
      <c r="A253" s="21" t="s">
        <v>161</v>
      </c>
      <c r="B253" s="17"/>
      <c r="C253" s="17"/>
      <c r="D253" s="17"/>
      <c r="E253" s="17"/>
      <c r="F253" s="17"/>
      <c r="G253" s="17"/>
      <c r="H253" s="17"/>
    </row>
    <row r="254" spans="1:8" x14ac:dyDescent="0.25">
      <c r="A254" s="4" t="s">
        <v>151</v>
      </c>
      <c r="B254" s="4" t="s">
        <v>152</v>
      </c>
      <c r="C254" s="4" t="s">
        <v>153</v>
      </c>
      <c r="D254" s="4" t="s">
        <v>154</v>
      </c>
      <c r="E254" s="4" t="s">
        <v>70</v>
      </c>
      <c r="F254" s="4" t="s">
        <v>72</v>
      </c>
      <c r="G254" s="4" t="s">
        <v>155</v>
      </c>
      <c r="H254" s="4" t="s">
        <v>73</v>
      </c>
    </row>
    <row r="295" spans="1:8" ht="15.75" x14ac:dyDescent="0.25">
      <c r="A295" s="21" t="s">
        <v>162</v>
      </c>
      <c r="B295" s="17"/>
      <c r="C295" s="17"/>
      <c r="D295" s="17"/>
      <c r="E295" s="17"/>
      <c r="F295" s="17"/>
      <c r="G295" s="17"/>
      <c r="H295" s="17"/>
    </row>
    <row r="296" spans="1:8" x14ac:dyDescent="0.25">
      <c r="A296" s="4" t="s">
        <v>151</v>
      </c>
      <c r="B296" s="4" t="s">
        <v>152</v>
      </c>
      <c r="C296" s="4" t="s">
        <v>153</v>
      </c>
      <c r="D296" s="4" t="s">
        <v>154</v>
      </c>
      <c r="E296" s="4" t="s">
        <v>70</v>
      </c>
      <c r="F296" s="4" t="s">
        <v>72</v>
      </c>
      <c r="G296" s="4" t="s">
        <v>155</v>
      </c>
      <c r="H296" s="4" t="s">
        <v>73</v>
      </c>
    </row>
    <row r="337" spans="1:8" ht="15.75" x14ac:dyDescent="0.25">
      <c r="A337" s="21" t="s">
        <v>163</v>
      </c>
      <c r="B337" s="17"/>
      <c r="C337" s="17"/>
      <c r="D337" s="17"/>
      <c r="E337" s="17"/>
      <c r="F337" s="17"/>
      <c r="G337" s="17"/>
      <c r="H337" s="17"/>
    </row>
    <row r="338" spans="1:8" x14ac:dyDescent="0.25">
      <c r="A338" s="4" t="s">
        <v>151</v>
      </c>
      <c r="B338" s="4" t="s">
        <v>152</v>
      </c>
      <c r="C338" s="4" t="s">
        <v>153</v>
      </c>
      <c r="D338" s="4" t="s">
        <v>154</v>
      </c>
      <c r="E338" s="4" t="s">
        <v>70</v>
      </c>
      <c r="F338" s="4" t="s">
        <v>72</v>
      </c>
      <c r="G338" s="4" t="s">
        <v>155</v>
      </c>
      <c r="H338" s="4" t="s">
        <v>73</v>
      </c>
    </row>
    <row r="379" spans="1:8" ht="15.75" x14ac:dyDescent="0.25">
      <c r="A379" s="21" t="s">
        <v>164</v>
      </c>
      <c r="B379" s="17"/>
      <c r="C379" s="17"/>
      <c r="D379" s="17"/>
      <c r="E379" s="17"/>
      <c r="F379" s="17"/>
      <c r="G379" s="17"/>
      <c r="H379" s="17"/>
    </row>
    <row r="380" spans="1:8" x14ac:dyDescent="0.25">
      <c r="A380" s="4" t="s">
        <v>151</v>
      </c>
      <c r="B380" s="4" t="s">
        <v>152</v>
      </c>
      <c r="C380" s="4" t="s">
        <v>153</v>
      </c>
      <c r="D380" s="4" t="s">
        <v>154</v>
      </c>
      <c r="E380" s="4" t="s">
        <v>70</v>
      </c>
      <c r="F380" s="4" t="s">
        <v>72</v>
      </c>
      <c r="G380" s="4" t="s">
        <v>155</v>
      </c>
      <c r="H380" s="4" t="s">
        <v>73</v>
      </c>
    </row>
    <row r="421" spans="1:8" ht="15.75" x14ac:dyDescent="0.25">
      <c r="A421" s="21" t="s">
        <v>165</v>
      </c>
      <c r="B421" s="17"/>
      <c r="C421" s="17"/>
      <c r="D421" s="17"/>
      <c r="E421" s="17"/>
      <c r="F421" s="17"/>
      <c r="G421" s="17"/>
      <c r="H421" s="17"/>
    </row>
    <row r="422" spans="1:8" x14ac:dyDescent="0.25">
      <c r="A422" s="4" t="s">
        <v>151</v>
      </c>
      <c r="B422" s="4" t="s">
        <v>152</v>
      </c>
      <c r="C422" s="4" t="s">
        <v>153</v>
      </c>
      <c r="D422" s="4" t="s">
        <v>154</v>
      </c>
      <c r="E422" s="4" t="s">
        <v>70</v>
      </c>
      <c r="F422" s="4" t="s">
        <v>72</v>
      </c>
      <c r="G422" s="4" t="s">
        <v>155</v>
      </c>
      <c r="H422" s="4" t="s">
        <v>73</v>
      </c>
    </row>
    <row r="463" spans="1:8" ht="15.75" x14ac:dyDescent="0.25">
      <c r="A463" s="21" t="s">
        <v>166</v>
      </c>
      <c r="B463" s="17"/>
      <c r="C463" s="17"/>
      <c r="D463" s="17"/>
      <c r="E463" s="17"/>
      <c r="F463" s="17"/>
      <c r="G463" s="17"/>
      <c r="H463" s="17"/>
    </row>
    <row r="464" spans="1:8" x14ac:dyDescent="0.25">
      <c r="A464" s="4" t="s">
        <v>151</v>
      </c>
      <c r="B464" s="4" t="s">
        <v>152</v>
      </c>
      <c r="C464" s="4" t="s">
        <v>153</v>
      </c>
      <c r="D464" s="4" t="s">
        <v>154</v>
      </c>
      <c r="E464" s="4" t="s">
        <v>70</v>
      </c>
      <c r="F464" s="4" t="s">
        <v>72</v>
      </c>
      <c r="G464" s="4" t="s">
        <v>155</v>
      </c>
      <c r="H464" s="4" t="s">
        <v>73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16" t="s">
        <v>167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</row>
    <row r="2" spans="1:14" x14ac:dyDescent="0.25">
      <c r="A2" s="4" t="s">
        <v>168</v>
      </c>
      <c r="B2" s="4" t="s">
        <v>43</v>
      </c>
      <c r="C2" s="4" t="s">
        <v>44</v>
      </c>
      <c r="D2" s="4" t="s">
        <v>45</v>
      </c>
      <c r="E2" s="4" t="s">
        <v>46</v>
      </c>
      <c r="F2" s="4" t="s">
        <v>47</v>
      </c>
      <c r="G2" s="4" t="s">
        <v>48</v>
      </c>
      <c r="H2" s="4" t="s">
        <v>49</v>
      </c>
      <c r="I2" s="4" t="s">
        <v>50</v>
      </c>
      <c r="J2" s="4" t="s">
        <v>51</v>
      </c>
      <c r="K2" s="4" t="s">
        <v>52</v>
      </c>
      <c r="L2" s="4" t="s">
        <v>53</v>
      </c>
      <c r="M2" s="4" t="s">
        <v>54</v>
      </c>
      <c r="N2" s="4" t="s">
        <v>95</v>
      </c>
    </row>
    <row r="3" spans="1:14" x14ac:dyDescent="0.25">
      <c r="A3" s="2" t="s">
        <v>169</v>
      </c>
    </row>
  </sheetData>
  <mergeCells count="1">
    <mergeCell ref="A1:N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2026-02-03T00:27:38Z</dcterms:created>
  <dcterms:modified xsi:type="dcterms:W3CDTF">2026-02-03T00:30:30Z</dcterms:modified>
</cp:coreProperties>
</file>