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8_{95F86164-8550-4E76-BD20-50AD75339B9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O12" i="20" s="1"/>
  <c r="G12" i="20"/>
  <c r="F12" i="20"/>
  <c r="P12" i="20" s="1"/>
  <c r="E12" i="20"/>
  <c r="N12" i="20" s="1"/>
  <c r="D12" i="20"/>
  <c r="C12" i="20"/>
  <c r="M12" i="20" s="1"/>
  <c r="B12" i="20"/>
  <c r="P11" i="20"/>
  <c r="J11" i="20"/>
  <c r="I11" i="20"/>
  <c r="H11" i="20"/>
  <c r="G11" i="20"/>
  <c r="F11" i="20"/>
  <c r="E11" i="20"/>
  <c r="N11" i="20" s="1"/>
  <c r="D11" i="20"/>
  <c r="C11" i="20"/>
  <c r="B11" i="20"/>
  <c r="P10" i="20"/>
  <c r="O10" i="20"/>
  <c r="J10" i="20"/>
  <c r="I10" i="20"/>
  <c r="H10" i="20"/>
  <c r="L10" i="20" s="1"/>
  <c r="G10" i="20"/>
  <c r="F10" i="20"/>
  <c r="E10" i="20"/>
  <c r="N10" i="20" s="1"/>
  <c r="D10" i="20"/>
  <c r="C10" i="20"/>
  <c r="M10" i="20" s="1"/>
  <c r="B10" i="20"/>
  <c r="O9" i="20"/>
  <c r="N9" i="20"/>
  <c r="K9" i="20"/>
  <c r="J9" i="20"/>
  <c r="I9" i="20"/>
  <c r="H9" i="20"/>
  <c r="G9" i="20"/>
  <c r="F9" i="20"/>
  <c r="P9" i="20" s="1"/>
  <c r="E9" i="20"/>
  <c r="D9" i="20"/>
  <c r="C9" i="20"/>
  <c r="B9" i="20"/>
  <c r="J8" i="20"/>
  <c r="I8" i="20"/>
  <c r="H8" i="20"/>
  <c r="L8" i="20" s="1"/>
  <c r="G8" i="20"/>
  <c r="F8" i="20"/>
  <c r="P8" i="20" s="1"/>
  <c r="E8" i="20"/>
  <c r="N8" i="20" s="1"/>
  <c r="D8" i="20"/>
  <c r="C8" i="20"/>
  <c r="B8" i="20"/>
  <c r="L7" i="20"/>
  <c r="J7" i="20"/>
  <c r="I7" i="20"/>
  <c r="H7" i="20"/>
  <c r="K7" i="20" s="1"/>
  <c r="G7" i="20"/>
  <c r="F7" i="20"/>
  <c r="P7" i="20" s="1"/>
  <c r="E7" i="20"/>
  <c r="N7" i="20" s="1"/>
  <c r="D7" i="20"/>
  <c r="C7" i="20"/>
  <c r="B7" i="20"/>
  <c r="L6" i="20"/>
  <c r="K6" i="20"/>
  <c r="J6" i="20"/>
  <c r="I6" i="20"/>
  <c r="H6" i="20"/>
  <c r="G6" i="20"/>
  <c r="F6" i="20"/>
  <c r="E6" i="20"/>
  <c r="D6" i="20"/>
  <c r="P6" i="20" s="1"/>
  <c r="C6" i="20"/>
  <c r="M6" i="20" s="1"/>
  <c r="B6" i="20"/>
  <c r="K5" i="20"/>
  <c r="J5" i="20"/>
  <c r="I5" i="20"/>
  <c r="H5" i="20"/>
  <c r="L5" i="20" s="1"/>
  <c r="G5" i="20"/>
  <c r="F5" i="20"/>
  <c r="E5" i="20"/>
  <c r="N5" i="20" s="1"/>
  <c r="D5" i="20"/>
  <c r="C5" i="20"/>
  <c r="O5" i="20" s="1"/>
  <c r="B5" i="20"/>
  <c r="K4" i="20"/>
  <c r="J4" i="20"/>
  <c r="I4" i="20"/>
  <c r="H4" i="20"/>
  <c r="O4" i="20" s="1"/>
  <c r="G4" i="20"/>
  <c r="F4" i="20"/>
  <c r="P4" i="20" s="1"/>
  <c r="E4" i="20"/>
  <c r="L4" i="20" s="1"/>
  <c r="D4" i="20"/>
  <c r="C4" i="20"/>
  <c r="M4" i="20" s="1"/>
  <c r="B4" i="20"/>
  <c r="BN16" i="17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H191" i="16"/>
  <c r="C191" i="16"/>
  <c r="B189" i="16"/>
  <c r="O188" i="16"/>
  <c r="K188" i="16"/>
  <c r="J188" i="16"/>
  <c r="J191" i="16" s="1"/>
  <c r="I188" i="16"/>
  <c r="H188" i="16"/>
  <c r="L188" i="16" s="1"/>
  <c r="G188" i="16"/>
  <c r="G191" i="16" s="1"/>
  <c r="F188" i="16"/>
  <c r="P188" i="16" s="1"/>
  <c r="E188" i="16"/>
  <c r="N188" i="16" s="1"/>
  <c r="D188" i="16"/>
  <c r="C188" i="16"/>
  <c r="B188" i="16"/>
  <c r="B191" i="16" s="1"/>
  <c r="N187" i="16"/>
  <c r="J187" i="16"/>
  <c r="I187" i="16"/>
  <c r="I191" i="16" s="1"/>
  <c r="H187" i="16"/>
  <c r="G187" i="16"/>
  <c r="F187" i="16"/>
  <c r="E187" i="16"/>
  <c r="E191" i="16" s="1"/>
  <c r="D187" i="16"/>
  <c r="D191" i="16" s="1"/>
  <c r="C187" i="16"/>
  <c r="B187" i="16"/>
  <c r="P186" i="16"/>
  <c r="J186" i="16"/>
  <c r="I186" i="16"/>
  <c r="H186" i="16"/>
  <c r="L186" i="16" s="1"/>
  <c r="G186" i="16"/>
  <c r="F186" i="16"/>
  <c r="E186" i="16"/>
  <c r="N186" i="16" s="1"/>
  <c r="D186" i="16"/>
  <c r="C186" i="16"/>
  <c r="B186" i="16"/>
  <c r="O185" i="16"/>
  <c r="L185" i="16"/>
  <c r="J185" i="16"/>
  <c r="I185" i="16"/>
  <c r="H185" i="16"/>
  <c r="K185" i="16" s="1"/>
  <c r="G185" i="16"/>
  <c r="F185" i="16"/>
  <c r="E185" i="16"/>
  <c r="D185" i="16"/>
  <c r="C185" i="16"/>
  <c r="M185" i="16" s="1"/>
  <c r="B185" i="16"/>
  <c r="K184" i="16"/>
  <c r="J184" i="16"/>
  <c r="I184" i="16"/>
  <c r="H184" i="16"/>
  <c r="L184" i="16" s="1"/>
  <c r="G184" i="16"/>
  <c r="F184" i="16"/>
  <c r="P184" i="16" s="1"/>
  <c r="E184" i="16"/>
  <c r="D184" i="16"/>
  <c r="C184" i="16"/>
  <c r="B184" i="16"/>
  <c r="J183" i="16"/>
  <c r="I183" i="16"/>
  <c r="H183" i="16"/>
  <c r="O183" i="16" s="1"/>
  <c r="G183" i="16"/>
  <c r="F183" i="16"/>
  <c r="E183" i="16"/>
  <c r="N183" i="16" s="1"/>
  <c r="D183" i="16"/>
  <c r="P183" i="16" s="1"/>
  <c r="C183" i="16"/>
  <c r="B183" i="16"/>
  <c r="L182" i="16"/>
  <c r="K182" i="16"/>
  <c r="J182" i="16"/>
  <c r="I182" i="16"/>
  <c r="H182" i="16"/>
  <c r="G182" i="16"/>
  <c r="F182" i="16"/>
  <c r="E182" i="16"/>
  <c r="N182" i="16" s="1"/>
  <c r="D182" i="16"/>
  <c r="P182" i="16" s="1"/>
  <c r="C182" i="16"/>
  <c r="O182" i="16" s="1"/>
  <c r="B182" i="16"/>
  <c r="P181" i="16"/>
  <c r="J181" i="16"/>
  <c r="I181" i="16"/>
  <c r="H181" i="16"/>
  <c r="G181" i="16"/>
  <c r="F181" i="16"/>
  <c r="N181" i="16" s="1"/>
  <c r="E181" i="16"/>
  <c r="D181" i="16"/>
  <c r="C181" i="16"/>
  <c r="M181" i="16" s="1"/>
  <c r="B181" i="16"/>
  <c r="O180" i="16"/>
  <c r="K180" i="16"/>
  <c r="J180" i="16"/>
  <c r="J190" i="16" s="1"/>
  <c r="I180" i="16"/>
  <c r="H180" i="16"/>
  <c r="L180" i="16" s="1"/>
  <c r="G180" i="16"/>
  <c r="G190" i="16" s="1"/>
  <c r="F180" i="16"/>
  <c r="F190" i="16" s="1"/>
  <c r="E180" i="16"/>
  <c r="N180" i="16" s="1"/>
  <c r="D180" i="16"/>
  <c r="D190" i="16" s="1"/>
  <c r="C180" i="16"/>
  <c r="B180" i="16"/>
  <c r="B190" i="16" s="1"/>
  <c r="I175" i="16"/>
  <c r="F175" i="16"/>
  <c r="B173" i="16"/>
  <c r="P172" i="16"/>
  <c r="J172" i="16"/>
  <c r="I172" i="16"/>
  <c r="H172" i="16"/>
  <c r="G172" i="16"/>
  <c r="F172" i="16"/>
  <c r="E172" i="16"/>
  <c r="D172" i="16"/>
  <c r="C172" i="16"/>
  <c r="B172" i="16"/>
  <c r="O171" i="16"/>
  <c r="L171" i="16"/>
  <c r="J171" i="16"/>
  <c r="J175" i="16" s="1"/>
  <c r="I171" i="16"/>
  <c r="H171" i="16"/>
  <c r="K171" i="16" s="1"/>
  <c r="G171" i="16"/>
  <c r="G175" i="16" s="1"/>
  <c r="F171" i="16"/>
  <c r="P171" i="16" s="1"/>
  <c r="E171" i="16"/>
  <c r="D171" i="16"/>
  <c r="D175" i="16" s="1"/>
  <c r="C171" i="16"/>
  <c r="C175" i="16" s="1"/>
  <c r="B171" i="16"/>
  <c r="B175" i="16" s="1"/>
  <c r="K170" i="16"/>
  <c r="J170" i="16"/>
  <c r="I170" i="16"/>
  <c r="H170" i="16"/>
  <c r="G170" i="16"/>
  <c r="F170" i="16"/>
  <c r="P170" i="16" s="1"/>
  <c r="E170" i="16"/>
  <c r="L170" i="16" s="1"/>
  <c r="D170" i="16"/>
  <c r="C170" i="16"/>
  <c r="B170" i="16"/>
  <c r="J169" i="16"/>
  <c r="I169" i="16"/>
  <c r="H169" i="16"/>
  <c r="O169" i="16" s="1"/>
  <c r="G169" i="16"/>
  <c r="F169" i="16"/>
  <c r="E169" i="16"/>
  <c r="N169" i="16" s="1"/>
  <c r="D169" i="16"/>
  <c r="P169" i="16" s="1"/>
  <c r="C169" i="16"/>
  <c r="B169" i="16"/>
  <c r="L168" i="16"/>
  <c r="K168" i="16"/>
  <c r="J168" i="16"/>
  <c r="I168" i="16"/>
  <c r="H168" i="16"/>
  <c r="G168" i="16"/>
  <c r="F168" i="16"/>
  <c r="E168" i="16"/>
  <c r="N168" i="16" s="1"/>
  <c r="D168" i="16"/>
  <c r="P168" i="16" s="1"/>
  <c r="C168" i="16"/>
  <c r="O168" i="16" s="1"/>
  <c r="B168" i="16"/>
  <c r="P167" i="16"/>
  <c r="J167" i="16"/>
  <c r="I167" i="16"/>
  <c r="H167" i="16"/>
  <c r="G167" i="16"/>
  <c r="F167" i="16"/>
  <c r="N167" i="16" s="1"/>
  <c r="E167" i="16"/>
  <c r="D167" i="16"/>
  <c r="C167" i="16"/>
  <c r="B167" i="16"/>
  <c r="O166" i="16"/>
  <c r="K166" i="16"/>
  <c r="J166" i="16"/>
  <c r="I166" i="16"/>
  <c r="H166" i="16"/>
  <c r="L166" i="16" s="1"/>
  <c r="G166" i="16"/>
  <c r="F166" i="16"/>
  <c r="P166" i="16" s="1"/>
  <c r="E166" i="16"/>
  <c r="N166" i="16" s="1"/>
  <c r="D166" i="16"/>
  <c r="C166" i="16"/>
  <c r="B166" i="16"/>
  <c r="J165" i="16"/>
  <c r="I165" i="16"/>
  <c r="H165" i="16"/>
  <c r="G165" i="16"/>
  <c r="F165" i="16"/>
  <c r="E165" i="16"/>
  <c r="D165" i="16"/>
  <c r="C165" i="16"/>
  <c r="B165" i="16"/>
  <c r="P164" i="16"/>
  <c r="M164" i="16"/>
  <c r="J164" i="16"/>
  <c r="J174" i="16" s="1"/>
  <c r="I164" i="16"/>
  <c r="I174" i="16" s="1"/>
  <c r="H164" i="16"/>
  <c r="L164" i="16" s="1"/>
  <c r="G164" i="16"/>
  <c r="F164" i="16"/>
  <c r="E164" i="16"/>
  <c r="N164" i="16" s="1"/>
  <c r="D164" i="16"/>
  <c r="D174" i="16" s="1"/>
  <c r="C164" i="16"/>
  <c r="B164" i="16"/>
  <c r="B174" i="16" s="1"/>
  <c r="G159" i="16"/>
  <c r="D159" i="16"/>
  <c r="B157" i="16"/>
  <c r="K156" i="16"/>
  <c r="J156" i="16"/>
  <c r="I156" i="16"/>
  <c r="H156" i="16"/>
  <c r="G156" i="16"/>
  <c r="F156" i="16"/>
  <c r="P156" i="16" s="1"/>
  <c r="E156" i="16"/>
  <c r="L156" i="16" s="1"/>
  <c r="D156" i="16"/>
  <c r="C156" i="16"/>
  <c r="B156" i="16"/>
  <c r="J155" i="16"/>
  <c r="J159" i="16" s="1"/>
  <c r="I155" i="16"/>
  <c r="I159" i="16" s="1"/>
  <c r="H155" i="16"/>
  <c r="O155" i="16" s="1"/>
  <c r="G155" i="16"/>
  <c r="F155" i="16"/>
  <c r="E155" i="16"/>
  <c r="N155" i="16" s="1"/>
  <c r="D155" i="16"/>
  <c r="C155" i="16"/>
  <c r="B155" i="16"/>
  <c r="B159" i="16" s="1"/>
  <c r="L154" i="16"/>
  <c r="K154" i="16"/>
  <c r="J154" i="16"/>
  <c r="I154" i="16"/>
  <c r="H154" i="16"/>
  <c r="G154" i="16"/>
  <c r="F154" i="16"/>
  <c r="E154" i="16"/>
  <c r="N154" i="16" s="1"/>
  <c r="D154" i="16"/>
  <c r="P154" i="16" s="1"/>
  <c r="C154" i="16"/>
  <c r="O154" i="16" s="1"/>
  <c r="B154" i="16"/>
  <c r="P153" i="16"/>
  <c r="J153" i="16"/>
  <c r="I153" i="16"/>
  <c r="H153" i="16"/>
  <c r="G153" i="16"/>
  <c r="F153" i="16"/>
  <c r="N153" i="16" s="1"/>
  <c r="E153" i="16"/>
  <c r="D153" i="16"/>
  <c r="C153" i="16"/>
  <c r="B153" i="16"/>
  <c r="O152" i="16"/>
  <c r="K152" i="16"/>
  <c r="J152" i="16"/>
  <c r="I152" i="16"/>
  <c r="H152" i="16"/>
  <c r="L152" i="16" s="1"/>
  <c r="G152" i="16"/>
  <c r="F152" i="16"/>
  <c r="E152" i="16"/>
  <c r="N152" i="16" s="1"/>
  <c r="D152" i="16"/>
  <c r="C152" i="16"/>
  <c r="B152" i="16"/>
  <c r="N151" i="16"/>
  <c r="J151" i="16"/>
  <c r="I151" i="16"/>
  <c r="H151" i="16"/>
  <c r="G151" i="16"/>
  <c r="F151" i="16"/>
  <c r="P151" i="16" s="1"/>
  <c r="E151" i="16"/>
  <c r="D151" i="16"/>
  <c r="C151" i="16"/>
  <c r="B151" i="16"/>
  <c r="P150" i="16"/>
  <c r="J150" i="16"/>
  <c r="I150" i="16"/>
  <c r="H150" i="16"/>
  <c r="G150" i="16"/>
  <c r="F150" i="16"/>
  <c r="E150" i="16"/>
  <c r="N150" i="16" s="1"/>
  <c r="D150" i="16"/>
  <c r="C150" i="16"/>
  <c r="B150" i="16"/>
  <c r="O149" i="16"/>
  <c r="L149" i="16"/>
  <c r="J149" i="16"/>
  <c r="I149" i="16"/>
  <c r="H149" i="16"/>
  <c r="K149" i="16" s="1"/>
  <c r="G149" i="16"/>
  <c r="F149" i="16"/>
  <c r="E149" i="16"/>
  <c r="D149" i="16"/>
  <c r="C149" i="16"/>
  <c r="M149" i="16" s="1"/>
  <c r="B149" i="16"/>
  <c r="N148" i="16"/>
  <c r="K148" i="16"/>
  <c r="J148" i="16"/>
  <c r="I148" i="16"/>
  <c r="H148" i="16"/>
  <c r="H158" i="16" s="1"/>
  <c r="G148" i="16"/>
  <c r="G158" i="16" s="1"/>
  <c r="F148" i="16"/>
  <c r="E148" i="16"/>
  <c r="E158" i="16" s="1"/>
  <c r="D148" i="16"/>
  <c r="D158" i="16" s="1"/>
  <c r="C148" i="16"/>
  <c r="C158" i="16" s="1"/>
  <c r="B148" i="16"/>
  <c r="J143" i="16"/>
  <c r="E143" i="16"/>
  <c r="B143" i="16"/>
  <c r="I142" i="16"/>
  <c r="B141" i="16"/>
  <c r="L140" i="16"/>
  <c r="K140" i="16"/>
  <c r="J140" i="16"/>
  <c r="I140" i="16"/>
  <c r="I143" i="16" s="1"/>
  <c r="H140" i="16"/>
  <c r="G140" i="16"/>
  <c r="F140" i="16"/>
  <c r="E140" i="16"/>
  <c r="N140" i="16" s="1"/>
  <c r="D140" i="16"/>
  <c r="C140" i="16"/>
  <c r="O140" i="16" s="1"/>
  <c r="B140" i="16"/>
  <c r="P139" i="16"/>
  <c r="K139" i="16"/>
  <c r="J139" i="16"/>
  <c r="I139" i="16"/>
  <c r="H139" i="16"/>
  <c r="G139" i="16"/>
  <c r="G143" i="16" s="1"/>
  <c r="F139" i="16"/>
  <c r="E139" i="16"/>
  <c r="D139" i="16"/>
  <c r="C139" i="16"/>
  <c r="B139" i="16"/>
  <c r="O138" i="16"/>
  <c r="K138" i="16"/>
  <c r="J138" i="16"/>
  <c r="I138" i="16"/>
  <c r="H138" i="16"/>
  <c r="L138" i="16" s="1"/>
  <c r="G138" i="16"/>
  <c r="F138" i="16"/>
  <c r="P138" i="16" s="1"/>
  <c r="E138" i="16"/>
  <c r="N138" i="16" s="1"/>
  <c r="D138" i="16"/>
  <c r="C138" i="16"/>
  <c r="B138" i="16"/>
  <c r="J137" i="16"/>
  <c r="I137" i="16"/>
  <c r="H137" i="16"/>
  <c r="M137" i="16" s="1"/>
  <c r="G137" i="16"/>
  <c r="F137" i="16"/>
  <c r="P137" i="16" s="1"/>
  <c r="E137" i="16"/>
  <c r="D137" i="16"/>
  <c r="C137" i="16"/>
  <c r="B137" i="16"/>
  <c r="P136" i="16"/>
  <c r="M136" i="16"/>
  <c r="J136" i="16"/>
  <c r="I136" i="16"/>
  <c r="H136" i="16"/>
  <c r="G136" i="16"/>
  <c r="F136" i="16"/>
  <c r="E136" i="16"/>
  <c r="N136" i="16" s="1"/>
  <c r="D136" i="16"/>
  <c r="C136" i="16"/>
  <c r="B136" i="16"/>
  <c r="O135" i="16"/>
  <c r="J135" i="16"/>
  <c r="I135" i="16"/>
  <c r="H135" i="16"/>
  <c r="K135" i="16" s="1"/>
  <c r="G135" i="16"/>
  <c r="F135" i="16"/>
  <c r="E135" i="16"/>
  <c r="D135" i="16"/>
  <c r="C135" i="16"/>
  <c r="B135" i="16"/>
  <c r="K134" i="16"/>
  <c r="J134" i="16"/>
  <c r="I134" i="16"/>
  <c r="H134" i="16"/>
  <c r="G134" i="16"/>
  <c r="F134" i="16"/>
  <c r="P134" i="16" s="1"/>
  <c r="E134" i="16"/>
  <c r="L134" i="16" s="1"/>
  <c r="D134" i="16"/>
  <c r="C134" i="16"/>
  <c r="B134" i="16"/>
  <c r="J133" i="16"/>
  <c r="I133" i="16"/>
  <c r="H133" i="16"/>
  <c r="O133" i="16" s="1"/>
  <c r="G133" i="16"/>
  <c r="F133" i="16"/>
  <c r="E133" i="16"/>
  <c r="D133" i="16"/>
  <c r="P133" i="16" s="1"/>
  <c r="C133" i="16"/>
  <c r="B133" i="16"/>
  <c r="L132" i="16"/>
  <c r="K132" i="16"/>
  <c r="J132" i="16"/>
  <c r="J142" i="16" s="1"/>
  <c r="I132" i="16"/>
  <c r="H132" i="16"/>
  <c r="H142" i="16" s="1"/>
  <c r="G132" i="16"/>
  <c r="F132" i="16"/>
  <c r="E132" i="16"/>
  <c r="D132" i="16"/>
  <c r="P132" i="16" s="1"/>
  <c r="C132" i="16"/>
  <c r="B132" i="16"/>
  <c r="B142" i="16" s="1"/>
  <c r="C127" i="16"/>
  <c r="I126" i="16"/>
  <c r="B125" i="16"/>
  <c r="O124" i="16"/>
  <c r="K124" i="16"/>
  <c r="J124" i="16"/>
  <c r="J127" i="16" s="1"/>
  <c r="I124" i="16"/>
  <c r="H124" i="16"/>
  <c r="L124" i="16" s="1"/>
  <c r="G124" i="16"/>
  <c r="G127" i="16" s="1"/>
  <c r="F124" i="16"/>
  <c r="E124" i="16"/>
  <c r="N124" i="16" s="1"/>
  <c r="D124" i="16"/>
  <c r="C124" i="16"/>
  <c r="B124" i="16"/>
  <c r="B127" i="16" s="1"/>
  <c r="P127" i="16" s="1"/>
  <c r="P123" i="16"/>
  <c r="N123" i="16"/>
  <c r="J123" i="16"/>
  <c r="I123" i="16"/>
  <c r="I127" i="16" s="1"/>
  <c r="H123" i="16"/>
  <c r="G123" i="16"/>
  <c r="F123" i="16"/>
  <c r="F127" i="16" s="1"/>
  <c r="E123" i="16"/>
  <c r="E127" i="16" s="1"/>
  <c r="N127" i="16" s="1"/>
  <c r="D123" i="16"/>
  <c r="D127" i="16" s="1"/>
  <c r="C123" i="16"/>
  <c r="B123" i="16"/>
  <c r="P122" i="16"/>
  <c r="O122" i="16"/>
  <c r="J122" i="16"/>
  <c r="I122" i="16"/>
  <c r="H122" i="16"/>
  <c r="G122" i="16"/>
  <c r="F122" i="16"/>
  <c r="E122" i="16"/>
  <c r="N122" i="16" s="1"/>
  <c r="D122" i="16"/>
  <c r="C122" i="16"/>
  <c r="B122" i="16"/>
  <c r="O121" i="16"/>
  <c r="N121" i="16"/>
  <c r="L121" i="16"/>
  <c r="J121" i="16"/>
  <c r="I121" i="16"/>
  <c r="H121" i="16"/>
  <c r="K121" i="16" s="1"/>
  <c r="G121" i="16"/>
  <c r="F121" i="16"/>
  <c r="E121" i="16"/>
  <c r="D121" i="16"/>
  <c r="C121" i="16"/>
  <c r="M121" i="16" s="1"/>
  <c r="B121" i="16"/>
  <c r="K120" i="16"/>
  <c r="J120" i="16"/>
  <c r="I120" i="16"/>
  <c r="H120" i="16"/>
  <c r="G120" i="16"/>
  <c r="F120" i="16"/>
  <c r="P120" i="16" s="1"/>
  <c r="E120" i="16"/>
  <c r="M120" i="16" s="1"/>
  <c r="D120" i="16"/>
  <c r="C120" i="16"/>
  <c r="O120" i="16" s="1"/>
  <c r="B120" i="16"/>
  <c r="M119" i="16"/>
  <c r="L119" i="16"/>
  <c r="J119" i="16"/>
  <c r="I119" i="16"/>
  <c r="H119" i="16"/>
  <c r="O119" i="16" s="1"/>
  <c r="G119" i="16"/>
  <c r="F119" i="16"/>
  <c r="E119" i="16"/>
  <c r="N119" i="16" s="1"/>
  <c r="D119" i="16"/>
  <c r="C119" i="16"/>
  <c r="B119" i="16"/>
  <c r="L118" i="16"/>
  <c r="K118" i="16"/>
  <c r="J118" i="16"/>
  <c r="I118" i="16"/>
  <c r="H118" i="16"/>
  <c r="G118" i="16"/>
  <c r="F118" i="16"/>
  <c r="E118" i="16"/>
  <c r="N118" i="16" s="1"/>
  <c r="D118" i="16"/>
  <c r="P118" i="16" s="1"/>
  <c r="C118" i="16"/>
  <c r="B118" i="16"/>
  <c r="J117" i="16"/>
  <c r="I117" i="16"/>
  <c r="H117" i="16"/>
  <c r="G117" i="16"/>
  <c r="F117" i="16"/>
  <c r="P117" i="16" s="1"/>
  <c r="E117" i="16"/>
  <c r="D117" i="16"/>
  <c r="C117" i="16"/>
  <c r="B117" i="16"/>
  <c r="O116" i="16"/>
  <c r="K116" i="16"/>
  <c r="J116" i="16"/>
  <c r="J126" i="16" s="1"/>
  <c r="I116" i="16"/>
  <c r="H116" i="16"/>
  <c r="G116" i="16"/>
  <c r="F116" i="16"/>
  <c r="E116" i="16"/>
  <c r="M116" i="16" s="1"/>
  <c r="D116" i="16"/>
  <c r="D126" i="16" s="1"/>
  <c r="C116" i="16"/>
  <c r="B116" i="16"/>
  <c r="B126" i="16" s="1"/>
  <c r="I111" i="16"/>
  <c r="H111" i="16"/>
  <c r="F111" i="16"/>
  <c r="P111" i="16" s="1"/>
  <c r="G110" i="16"/>
  <c r="B109" i="16"/>
  <c r="P108" i="16"/>
  <c r="M108" i="16"/>
  <c r="J108" i="16"/>
  <c r="I108" i="16"/>
  <c r="H108" i="16"/>
  <c r="L108" i="16" s="1"/>
  <c r="G108" i="16"/>
  <c r="F108" i="16"/>
  <c r="E108" i="16"/>
  <c r="D108" i="16"/>
  <c r="C108" i="16"/>
  <c r="B108" i="16"/>
  <c r="O107" i="16"/>
  <c r="J107" i="16"/>
  <c r="J111" i="16" s="1"/>
  <c r="I107" i="16"/>
  <c r="H107" i="16"/>
  <c r="K107" i="16" s="1"/>
  <c r="G107" i="16"/>
  <c r="G111" i="16" s="1"/>
  <c r="F107" i="16"/>
  <c r="E107" i="16"/>
  <c r="D107" i="16"/>
  <c r="D111" i="16" s="1"/>
  <c r="C107" i="16"/>
  <c r="C111" i="16" s="1"/>
  <c r="B107" i="16"/>
  <c r="B111" i="16" s="1"/>
  <c r="M106" i="16"/>
  <c r="K106" i="16"/>
  <c r="J106" i="16"/>
  <c r="I106" i="16"/>
  <c r="H106" i="16"/>
  <c r="G106" i="16"/>
  <c r="F106" i="16"/>
  <c r="P106" i="16" s="1"/>
  <c r="E106" i="16"/>
  <c r="D106" i="16"/>
  <c r="C106" i="16"/>
  <c r="O106" i="16" s="1"/>
  <c r="B106" i="16"/>
  <c r="P105" i="16"/>
  <c r="J105" i="16"/>
  <c r="I105" i="16"/>
  <c r="H105" i="16"/>
  <c r="G105" i="16"/>
  <c r="F105" i="16"/>
  <c r="E105" i="16"/>
  <c r="N105" i="16" s="1"/>
  <c r="D105" i="16"/>
  <c r="C105" i="16"/>
  <c r="B105" i="16"/>
  <c r="L104" i="16"/>
  <c r="K104" i="16"/>
  <c r="J104" i="16"/>
  <c r="I104" i="16"/>
  <c r="H104" i="16"/>
  <c r="G104" i="16"/>
  <c r="F104" i="16"/>
  <c r="E104" i="16"/>
  <c r="D104" i="16"/>
  <c r="P104" i="16" s="1"/>
  <c r="C104" i="16"/>
  <c r="M104" i="16" s="1"/>
  <c r="B104" i="16"/>
  <c r="P103" i="16"/>
  <c r="J103" i="16"/>
  <c r="I103" i="16"/>
  <c r="H103" i="16"/>
  <c r="G103" i="16"/>
  <c r="F103" i="16"/>
  <c r="N103" i="16" s="1"/>
  <c r="E103" i="16"/>
  <c r="D103" i="16"/>
  <c r="C103" i="16"/>
  <c r="B103" i="16"/>
  <c r="M102" i="16"/>
  <c r="K102" i="16"/>
  <c r="J102" i="16"/>
  <c r="I102" i="16"/>
  <c r="H102" i="16"/>
  <c r="L102" i="16" s="1"/>
  <c r="G102" i="16"/>
  <c r="F102" i="16"/>
  <c r="E102" i="16"/>
  <c r="D102" i="16"/>
  <c r="C102" i="16"/>
  <c r="O102" i="16" s="1"/>
  <c r="B102" i="16"/>
  <c r="J101" i="16"/>
  <c r="I101" i="16"/>
  <c r="H101" i="16"/>
  <c r="G101" i="16"/>
  <c r="F101" i="16"/>
  <c r="N101" i="16" s="1"/>
  <c r="E101" i="16"/>
  <c r="D101" i="16"/>
  <c r="C101" i="16"/>
  <c r="B101" i="16"/>
  <c r="P100" i="16"/>
  <c r="K100" i="16"/>
  <c r="J100" i="16"/>
  <c r="J110" i="16" s="1"/>
  <c r="I100" i="16"/>
  <c r="H100" i="16"/>
  <c r="H110" i="16" s="1"/>
  <c r="G100" i="16"/>
  <c r="F100" i="16"/>
  <c r="E100" i="16"/>
  <c r="D100" i="16"/>
  <c r="C100" i="16"/>
  <c r="B100" i="16"/>
  <c r="B110" i="16" s="1"/>
  <c r="H95" i="16"/>
  <c r="C95" i="16"/>
  <c r="B94" i="16"/>
  <c r="B93" i="16"/>
  <c r="O92" i="16"/>
  <c r="K92" i="16"/>
  <c r="J92" i="16"/>
  <c r="I92" i="16"/>
  <c r="H92" i="16"/>
  <c r="G92" i="16"/>
  <c r="G95" i="16" s="1"/>
  <c r="F92" i="16"/>
  <c r="M92" i="16" s="1"/>
  <c r="E92" i="16"/>
  <c r="D92" i="16"/>
  <c r="C92" i="16"/>
  <c r="B92" i="16"/>
  <c r="M91" i="16"/>
  <c r="J91" i="16"/>
  <c r="J95" i="16" s="1"/>
  <c r="I91" i="16"/>
  <c r="I95" i="16" s="1"/>
  <c r="H91" i="16"/>
  <c r="G91" i="16"/>
  <c r="F91" i="16"/>
  <c r="P91" i="16" s="1"/>
  <c r="E91" i="16"/>
  <c r="N91" i="16" s="1"/>
  <c r="D91" i="16"/>
  <c r="D95" i="16" s="1"/>
  <c r="C91" i="16"/>
  <c r="B91" i="16"/>
  <c r="B95" i="16" s="1"/>
  <c r="K90" i="16"/>
  <c r="J90" i="16"/>
  <c r="I90" i="16"/>
  <c r="H90" i="16"/>
  <c r="G90" i="16"/>
  <c r="F90" i="16"/>
  <c r="E90" i="16"/>
  <c r="D90" i="16"/>
  <c r="C90" i="16"/>
  <c r="M90" i="16" s="1"/>
  <c r="B90" i="16"/>
  <c r="P89" i="16"/>
  <c r="J89" i="16"/>
  <c r="I89" i="16"/>
  <c r="H89" i="16"/>
  <c r="G89" i="16"/>
  <c r="F89" i="16"/>
  <c r="E89" i="16"/>
  <c r="N89" i="16" s="1"/>
  <c r="D89" i="16"/>
  <c r="C89" i="16"/>
  <c r="B89" i="16"/>
  <c r="P88" i="16"/>
  <c r="J88" i="16"/>
  <c r="I88" i="16"/>
  <c r="H88" i="16"/>
  <c r="G88" i="16"/>
  <c r="F88" i="16"/>
  <c r="N88" i="16" s="1"/>
  <c r="E88" i="16"/>
  <c r="D88" i="16"/>
  <c r="C88" i="16"/>
  <c r="B88" i="16"/>
  <c r="O87" i="16"/>
  <c r="N87" i="16"/>
  <c r="J87" i="16"/>
  <c r="I87" i="16"/>
  <c r="H87" i="16"/>
  <c r="L87" i="16" s="1"/>
  <c r="G87" i="16"/>
  <c r="F87" i="16"/>
  <c r="P87" i="16" s="1"/>
  <c r="E87" i="16"/>
  <c r="D87" i="16"/>
  <c r="C87" i="16"/>
  <c r="B87" i="16"/>
  <c r="J86" i="16"/>
  <c r="I86" i="16"/>
  <c r="H86" i="16"/>
  <c r="G86" i="16"/>
  <c r="F86" i="16"/>
  <c r="P86" i="16" s="1"/>
  <c r="E86" i="16"/>
  <c r="N86" i="16" s="1"/>
  <c r="D86" i="16"/>
  <c r="C86" i="16"/>
  <c r="B86" i="16"/>
  <c r="O85" i="16"/>
  <c r="L85" i="16"/>
  <c r="K85" i="16"/>
  <c r="J85" i="16"/>
  <c r="I85" i="16"/>
  <c r="H85" i="16"/>
  <c r="G85" i="16"/>
  <c r="F85" i="16"/>
  <c r="E85" i="16"/>
  <c r="N85" i="16" s="1"/>
  <c r="D85" i="16"/>
  <c r="P85" i="16" s="1"/>
  <c r="C85" i="16"/>
  <c r="B85" i="16"/>
  <c r="L84" i="16"/>
  <c r="K84" i="16"/>
  <c r="J84" i="16"/>
  <c r="I84" i="16"/>
  <c r="I94" i="16" s="1"/>
  <c r="H84" i="16"/>
  <c r="G84" i="16"/>
  <c r="F84" i="16"/>
  <c r="P84" i="16" s="1"/>
  <c r="E84" i="16"/>
  <c r="E94" i="16" s="1"/>
  <c r="D84" i="16"/>
  <c r="D94" i="16" s="1"/>
  <c r="C84" i="16"/>
  <c r="B84" i="16"/>
  <c r="E79" i="16"/>
  <c r="C79" i="16"/>
  <c r="B79" i="16"/>
  <c r="J78" i="16"/>
  <c r="B77" i="16"/>
  <c r="L76" i="16"/>
  <c r="J76" i="16"/>
  <c r="J79" i="16" s="1"/>
  <c r="I76" i="16"/>
  <c r="H76" i="16"/>
  <c r="O76" i="16" s="1"/>
  <c r="G76" i="16"/>
  <c r="F76" i="16"/>
  <c r="E76" i="16"/>
  <c r="N76" i="16" s="1"/>
  <c r="D76" i="16"/>
  <c r="C76" i="16"/>
  <c r="B76" i="16"/>
  <c r="P75" i="16"/>
  <c r="J75" i="16"/>
  <c r="I75" i="16"/>
  <c r="I78" i="16" s="1"/>
  <c r="H75" i="16"/>
  <c r="G75" i="16"/>
  <c r="G79" i="16" s="1"/>
  <c r="F75" i="16"/>
  <c r="F79" i="16" s="1"/>
  <c r="E75" i="16"/>
  <c r="N75" i="16" s="1"/>
  <c r="D75" i="16"/>
  <c r="D79" i="16" s="1"/>
  <c r="C75" i="16"/>
  <c r="M75" i="16" s="1"/>
  <c r="B75" i="16"/>
  <c r="P74" i="16"/>
  <c r="O74" i="16"/>
  <c r="J74" i="16"/>
  <c r="I74" i="16"/>
  <c r="H74" i="16"/>
  <c r="G74" i="16"/>
  <c r="F74" i="16"/>
  <c r="N74" i="16" s="1"/>
  <c r="E74" i="16"/>
  <c r="D74" i="16"/>
  <c r="C74" i="16"/>
  <c r="M74" i="16" s="1"/>
  <c r="B74" i="16"/>
  <c r="O73" i="16"/>
  <c r="K73" i="16"/>
  <c r="J73" i="16"/>
  <c r="I73" i="16"/>
  <c r="H73" i="16"/>
  <c r="L73" i="16" s="1"/>
  <c r="G73" i="16"/>
  <c r="F73" i="16"/>
  <c r="P73" i="16" s="1"/>
  <c r="E73" i="16"/>
  <c r="M73" i="16" s="1"/>
  <c r="D73" i="16"/>
  <c r="C73" i="16"/>
  <c r="B73" i="16"/>
  <c r="J72" i="16"/>
  <c r="I72" i="16"/>
  <c r="H72" i="16"/>
  <c r="G72" i="16"/>
  <c r="F72" i="16"/>
  <c r="P72" i="16" s="1"/>
  <c r="E72" i="16"/>
  <c r="N72" i="16" s="1"/>
  <c r="D72" i="16"/>
  <c r="C72" i="16"/>
  <c r="B72" i="16"/>
  <c r="J71" i="16"/>
  <c r="I71" i="16"/>
  <c r="H71" i="16"/>
  <c r="K71" i="16" s="1"/>
  <c r="G71" i="16"/>
  <c r="F71" i="16"/>
  <c r="E71" i="16"/>
  <c r="N71" i="16" s="1"/>
  <c r="D71" i="16"/>
  <c r="P71" i="16" s="1"/>
  <c r="C71" i="16"/>
  <c r="B71" i="16"/>
  <c r="L70" i="16"/>
  <c r="K70" i="16"/>
  <c r="J70" i="16"/>
  <c r="I70" i="16"/>
  <c r="H70" i="16"/>
  <c r="G70" i="16"/>
  <c r="F70" i="16"/>
  <c r="E70" i="16"/>
  <c r="D70" i="16"/>
  <c r="C70" i="16"/>
  <c r="B70" i="16"/>
  <c r="K69" i="16"/>
  <c r="J69" i="16"/>
  <c r="I69" i="16"/>
  <c r="H69" i="16"/>
  <c r="G69" i="16"/>
  <c r="F69" i="16"/>
  <c r="P69" i="16" s="1"/>
  <c r="E69" i="16"/>
  <c r="D69" i="16"/>
  <c r="C69" i="16"/>
  <c r="M69" i="16" s="1"/>
  <c r="B69" i="16"/>
  <c r="O68" i="16"/>
  <c r="J68" i="16"/>
  <c r="I68" i="16"/>
  <c r="H68" i="16"/>
  <c r="H78" i="16" s="1"/>
  <c r="G68" i="16"/>
  <c r="G78" i="16" s="1"/>
  <c r="F68" i="16"/>
  <c r="F78" i="16" s="1"/>
  <c r="E68" i="16"/>
  <c r="N68" i="16" s="1"/>
  <c r="D68" i="16"/>
  <c r="P68" i="16" s="1"/>
  <c r="C68" i="16"/>
  <c r="B68" i="16"/>
  <c r="B78" i="16" s="1"/>
  <c r="I63" i="16"/>
  <c r="H63" i="16"/>
  <c r="D63" i="16"/>
  <c r="B61" i="16"/>
  <c r="P60" i="16"/>
  <c r="O60" i="16"/>
  <c r="J60" i="16"/>
  <c r="I60" i="16"/>
  <c r="H60" i="16"/>
  <c r="G60" i="16"/>
  <c r="F60" i="16"/>
  <c r="E60" i="16"/>
  <c r="N60" i="16" s="1"/>
  <c r="D60" i="16"/>
  <c r="C60" i="16"/>
  <c r="M60" i="16" s="1"/>
  <c r="B60" i="16"/>
  <c r="O59" i="16"/>
  <c r="J59" i="16"/>
  <c r="J63" i="16" s="1"/>
  <c r="I59" i="16"/>
  <c r="H59" i="16"/>
  <c r="K59" i="16" s="1"/>
  <c r="G59" i="16"/>
  <c r="G63" i="16" s="1"/>
  <c r="F59" i="16"/>
  <c r="N59" i="16" s="1"/>
  <c r="E59" i="16"/>
  <c r="D59" i="16"/>
  <c r="C59" i="16"/>
  <c r="B59" i="16"/>
  <c r="B63" i="16" s="1"/>
  <c r="O58" i="16"/>
  <c r="M58" i="16"/>
  <c r="K58" i="16"/>
  <c r="J58" i="16"/>
  <c r="I58" i="16"/>
  <c r="H58" i="16"/>
  <c r="L58" i="16" s="1"/>
  <c r="G58" i="16"/>
  <c r="F58" i="16"/>
  <c r="P58" i="16" s="1"/>
  <c r="E58" i="16"/>
  <c r="N58" i="16" s="1"/>
  <c r="D58" i="16"/>
  <c r="C58" i="16"/>
  <c r="B58" i="16"/>
  <c r="J57" i="16"/>
  <c r="I57" i="16"/>
  <c r="H57" i="16"/>
  <c r="K57" i="16" s="1"/>
  <c r="G57" i="16"/>
  <c r="F57" i="16"/>
  <c r="E57" i="16"/>
  <c r="N57" i="16" s="1"/>
  <c r="D57" i="16"/>
  <c r="P57" i="16" s="1"/>
  <c r="C57" i="16"/>
  <c r="B57" i="16"/>
  <c r="L56" i="16"/>
  <c r="K56" i="16"/>
  <c r="J56" i="16"/>
  <c r="I56" i="16"/>
  <c r="H56" i="16"/>
  <c r="G56" i="16"/>
  <c r="F56" i="16"/>
  <c r="P56" i="16" s="1"/>
  <c r="E56" i="16"/>
  <c r="N56" i="16" s="1"/>
  <c r="D56" i="16"/>
  <c r="C56" i="16"/>
  <c r="B56" i="16"/>
  <c r="K55" i="16"/>
  <c r="J55" i="16"/>
  <c r="I55" i="16"/>
  <c r="H55" i="16"/>
  <c r="G55" i="16"/>
  <c r="F55" i="16"/>
  <c r="E55" i="16"/>
  <c r="D55" i="16"/>
  <c r="C55" i="16"/>
  <c r="M55" i="16" s="1"/>
  <c r="B55" i="16"/>
  <c r="K54" i="16"/>
  <c r="J54" i="16"/>
  <c r="I54" i="16"/>
  <c r="H54" i="16"/>
  <c r="G54" i="16"/>
  <c r="F54" i="16"/>
  <c r="E54" i="16"/>
  <c r="N54" i="16" s="1"/>
  <c r="D54" i="16"/>
  <c r="P54" i="16" s="1"/>
  <c r="C54" i="16"/>
  <c r="O54" i="16" s="1"/>
  <c r="B54" i="16"/>
  <c r="P53" i="16"/>
  <c r="J53" i="16"/>
  <c r="I53" i="16"/>
  <c r="H53" i="16"/>
  <c r="G53" i="16"/>
  <c r="F53" i="16"/>
  <c r="N53" i="16" s="1"/>
  <c r="E53" i="16"/>
  <c r="D53" i="16"/>
  <c r="C53" i="16"/>
  <c r="B53" i="16"/>
  <c r="P52" i="16"/>
  <c r="O52" i="16"/>
  <c r="J52" i="16"/>
  <c r="J62" i="16" s="1"/>
  <c r="I52" i="16"/>
  <c r="I62" i="16" s="1"/>
  <c r="H52" i="16"/>
  <c r="G52" i="16"/>
  <c r="G62" i="16" s="1"/>
  <c r="F52" i="16"/>
  <c r="E52" i="16"/>
  <c r="N52" i="16" s="1"/>
  <c r="D52" i="16"/>
  <c r="C52" i="16"/>
  <c r="M52" i="16" s="1"/>
  <c r="B52" i="16"/>
  <c r="B62" i="16" s="1"/>
  <c r="J47" i="16"/>
  <c r="G47" i="16"/>
  <c r="B47" i="16"/>
  <c r="F46" i="16"/>
  <c r="B45" i="16"/>
  <c r="O44" i="16"/>
  <c r="K44" i="16"/>
  <c r="J44" i="16"/>
  <c r="I44" i="16"/>
  <c r="I47" i="16" s="1"/>
  <c r="H44" i="16"/>
  <c r="L44" i="16" s="1"/>
  <c r="G44" i="16"/>
  <c r="F44" i="16"/>
  <c r="P44" i="16" s="1"/>
  <c r="E44" i="16"/>
  <c r="N44" i="16" s="1"/>
  <c r="D44" i="16"/>
  <c r="C44" i="16"/>
  <c r="B44" i="16"/>
  <c r="J43" i="16"/>
  <c r="I43" i="16"/>
  <c r="H43" i="16"/>
  <c r="K43" i="16" s="1"/>
  <c r="G43" i="16"/>
  <c r="F43" i="16"/>
  <c r="E43" i="16"/>
  <c r="M43" i="16" s="1"/>
  <c r="D43" i="16"/>
  <c r="C43" i="16"/>
  <c r="C47" i="16" s="1"/>
  <c r="B43" i="16"/>
  <c r="L42" i="16"/>
  <c r="K42" i="16"/>
  <c r="J42" i="16"/>
  <c r="I42" i="16"/>
  <c r="H42" i="16"/>
  <c r="G42" i="16"/>
  <c r="F42" i="16"/>
  <c r="P42" i="16" s="1"/>
  <c r="E42" i="16"/>
  <c r="N42" i="16" s="1"/>
  <c r="D42" i="16"/>
  <c r="C42" i="16"/>
  <c r="B42" i="16"/>
  <c r="K41" i="16"/>
  <c r="J41" i="16"/>
  <c r="I41" i="16"/>
  <c r="H41" i="16"/>
  <c r="G41" i="16"/>
  <c r="F41" i="16"/>
  <c r="E41" i="16"/>
  <c r="D41" i="16"/>
  <c r="C41" i="16"/>
  <c r="M41" i="16" s="1"/>
  <c r="B41" i="16"/>
  <c r="K40" i="16"/>
  <c r="J40" i="16"/>
  <c r="I40" i="16"/>
  <c r="H40" i="16"/>
  <c r="G40" i="16"/>
  <c r="F40" i="16"/>
  <c r="E40" i="16"/>
  <c r="N40" i="16" s="1"/>
  <c r="D40" i="16"/>
  <c r="P40" i="16" s="1"/>
  <c r="C40" i="16"/>
  <c r="O40" i="16" s="1"/>
  <c r="B40" i="16"/>
  <c r="P39" i="16"/>
  <c r="J39" i="16"/>
  <c r="I39" i="16"/>
  <c r="H39" i="16"/>
  <c r="G39" i="16"/>
  <c r="F39" i="16"/>
  <c r="N39" i="16" s="1"/>
  <c r="E39" i="16"/>
  <c r="D39" i="16"/>
  <c r="C39" i="16"/>
  <c r="M39" i="16" s="1"/>
  <c r="B39" i="16"/>
  <c r="P38" i="16"/>
  <c r="J38" i="16"/>
  <c r="I38" i="16"/>
  <c r="H38" i="16"/>
  <c r="G38" i="16"/>
  <c r="F38" i="16"/>
  <c r="E38" i="16"/>
  <c r="N38" i="16" s="1"/>
  <c r="D38" i="16"/>
  <c r="C38" i="16"/>
  <c r="B38" i="16"/>
  <c r="O37" i="16"/>
  <c r="N37" i="16"/>
  <c r="J37" i="16"/>
  <c r="I37" i="16"/>
  <c r="H37" i="16"/>
  <c r="M37" i="16" s="1"/>
  <c r="G37" i="16"/>
  <c r="F37" i="16"/>
  <c r="P37" i="16" s="1"/>
  <c r="E37" i="16"/>
  <c r="D37" i="16"/>
  <c r="C37" i="16"/>
  <c r="B37" i="16"/>
  <c r="O36" i="16"/>
  <c r="K36" i="16"/>
  <c r="J36" i="16"/>
  <c r="I36" i="16"/>
  <c r="I46" i="16" s="1"/>
  <c r="H36" i="16"/>
  <c r="L36" i="16" s="1"/>
  <c r="G36" i="16"/>
  <c r="G46" i="16" s="1"/>
  <c r="F36" i="16"/>
  <c r="P36" i="16" s="1"/>
  <c r="E36" i="16"/>
  <c r="N36" i="16" s="1"/>
  <c r="D36" i="16"/>
  <c r="C36" i="16"/>
  <c r="B36" i="16"/>
  <c r="H31" i="16"/>
  <c r="K31" i="16" s="1"/>
  <c r="E31" i="16"/>
  <c r="D30" i="16"/>
  <c r="C30" i="16"/>
  <c r="B29" i="16"/>
  <c r="L28" i="16"/>
  <c r="K28" i="16"/>
  <c r="J28" i="16"/>
  <c r="I28" i="16"/>
  <c r="H28" i="16"/>
  <c r="G28" i="16"/>
  <c r="G31" i="16" s="1"/>
  <c r="F28" i="16"/>
  <c r="P28" i="16" s="1"/>
  <c r="E28" i="16"/>
  <c r="N28" i="16" s="1"/>
  <c r="D28" i="16"/>
  <c r="D31" i="16" s="1"/>
  <c r="C28" i="16"/>
  <c r="B28" i="16"/>
  <c r="K27" i="16"/>
  <c r="J27" i="16"/>
  <c r="J31" i="16" s="1"/>
  <c r="I27" i="16"/>
  <c r="I31" i="16" s="1"/>
  <c r="H27" i="16"/>
  <c r="O27" i="16" s="1"/>
  <c r="G27" i="16"/>
  <c r="F27" i="16"/>
  <c r="P27" i="16" s="1"/>
  <c r="E27" i="16"/>
  <c r="D27" i="16"/>
  <c r="C27" i="16"/>
  <c r="B27" i="16"/>
  <c r="B31" i="16" s="1"/>
  <c r="K26" i="16"/>
  <c r="J26" i="16"/>
  <c r="I26" i="16"/>
  <c r="H26" i="16"/>
  <c r="G26" i="16"/>
  <c r="F26" i="16"/>
  <c r="E26" i="16"/>
  <c r="N26" i="16" s="1"/>
  <c r="D26" i="16"/>
  <c r="C26" i="16"/>
  <c r="O26" i="16" s="1"/>
  <c r="B26" i="16"/>
  <c r="P25" i="16"/>
  <c r="J25" i="16"/>
  <c r="I25" i="16"/>
  <c r="H25" i="16"/>
  <c r="G25" i="16"/>
  <c r="F25" i="16"/>
  <c r="N25" i="16" s="1"/>
  <c r="E25" i="16"/>
  <c r="D25" i="16"/>
  <c r="C25" i="16"/>
  <c r="M25" i="16" s="1"/>
  <c r="B25" i="16"/>
  <c r="P24" i="16"/>
  <c r="J24" i="16"/>
  <c r="I24" i="16"/>
  <c r="H24" i="16"/>
  <c r="G24" i="16"/>
  <c r="F24" i="16"/>
  <c r="E24" i="16"/>
  <c r="N24" i="16" s="1"/>
  <c r="D24" i="16"/>
  <c r="C24" i="16"/>
  <c r="B24" i="16"/>
  <c r="O23" i="16"/>
  <c r="N23" i="16"/>
  <c r="J23" i="16"/>
  <c r="I23" i="16"/>
  <c r="H23" i="16"/>
  <c r="M23" i="16" s="1"/>
  <c r="G23" i="16"/>
  <c r="F23" i="16"/>
  <c r="P23" i="16" s="1"/>
  <c r="E23" i="16"/>
  <c r="D23" i="16"/>
  <c r="C23" i="16"/>
  <c r="B23" i="16"/>
  <c r="O22" i="16"/>
  <c r="K22" i="16"/>
  <c r="J22" i="16"/>
  <c r="I22" i="16"/>
  <c r="H22" i="16"/>
  <c r="L22" i="16" s="1"/>
  <c r="G22" i="16"/>
  <c r="F22" i="16"/>
  <c r="P22" i="16" s="1"/>
  <c r="E22" i="16"/>
  <c r="N22" i="16" s="1"/>
  <c r="D22" i="16"/>
  <c r="C22" i="16"/>
  <c r="B22" i="16"/>
  <c r="L21" i="16"/>
  <c r="J21" i="16"/>
  <c r="I21" i="16"/>
  <c r="H21" i="16"/>
  <c r="K21" i="16" s="1"/>
  <c r="G21" i="16"/>
  <c r="F21" i="16"/>
  <c r="E21" i="16"/>
  <c r="N21" i="16" s="1"/>
  <c r="D21" i="16"/>
  <c r="P21" i="16" s="1"/>
  <c r="C21" i="16"/>
  <c r="B21" i="16"/>
  <c r="L20" i="16"/>
  <c r="K20" i="16"/>
  <c r="J20" i="16"/>
  <c r="I20" i="16"/>
  <c r="H20" i="16"/>
  <c r="G20" i="16"/>
  <c r="F20" i="16"/>
  <c r="P20" i="16" s="1"/>
  <c r="E20" i="16"/>
  <c r="N20" i="16" s="1"/>
  <c r="D20" i="16"/>
  <c r="C20" i="16"/>
  <c r="B20" i="16"/>
  <c r="J15" i="16"/>
  <c r="F15" i="16"/>
  <c r="C15" i="16"/>
  <c r="B15" i="16"/>
  <c r="J14" i="16"/>
  <c r="B13" i="16"/>
  <c r="K12" i="16"/>
  <c r="J12" i="16"/>
  <c r="I12" i="16"/>
  <c r="H12" i="16"/>
  <c r="G12" i="16"/>
  <c r="F12" i="16"/>
  <c r="E12" i="16"/>
  <c r="N12" i="16" s="1"/>
  <c r="D12" i="16"/>
  <c r="P12" i="16" s="1"/>
  <c r="C12" i="16"/>
  <c r="O12" i="16" s="1"/>
  <c r="B12" i="16"/>
  <c r="P11" i="16"/>
  <c r="J11" i="16"/>
  <c r="I11" i="16"/>
  <c r="I14" i="16" s="1"/>
  <c r="H11" i="16"/>
  <c r="G11" i="16"/>
  <c r="G15" i="16" s="1"/>
  <c r="F11" i="16"/>
  <c r="N11" i="16" s="1"/>
  <c r="E11" i="16"/>
  <c r="D11" i="16"/>
  <c r="D15" i="16" s="1"/>
  <c r="C11" i="16"/>
  <c r="M11" i="16" s="1"/>
  <c r="B11" i="16"/>
  <c r="P10" i="16"/>
  <c r="O10" i="16"/>
  <c r="J10" i="16"/>
  <c r="I10" i="16"/>
  <c r="H10" i="16"/>
  <c r="G10" i="16"/>
  <c r="F10" i="16"/>
  <c r="E10" i="16"/>
  <c r="N10" i="16" s="1"/>
  <c r="D10" i="16"/>
  <c r="C10" i="16"/>
  <c r="M10" i="16" s="1"/>
  <c r="B10" i="16"/>
  <c r="O9" i="16"/>
  <c r="J9" i="16"/>
  <c r="I9" i="16"/>
  <c r="H9" i="16"/>
  <c r="M9" i="16" s="1"/>
  <c r="G9" i="16"/>
  <c r="F9" i="16"/>
  <c r="P9" i="16" s="1"/>
  <c r="E9" i="16"/>
  <c r="D9" i="16"/>
  <c r="C9" i="16"/>
  <c r="B9" i="16"/>
  <c r="O8" i="16"/>
  <c r="K8" i="16"/>
  <c r="J8" i="16"/>
  <c r="I8" i="16"/>
  <c r="H8" i="16"/>
  <c r="G8" i="16"/>
  <c r="F8" i="16"/>
  <c r="P8" i="16" s="1"/>
  <c r="E8" i="16"/>
  <c r="N8" i="16" s="1"/>
  <c r="D8" i="16"/>
  <c r="C8" i="16"/>
  <c r="B8" i="16"/>
  <c r="J7" i="16"/>
  <c r="I7" i="16"/>
  <c r="H7" i="16"/>
  <c r="K7" i="16" s="1"/>
  <c r="G7" i="16"/>
  <c r="F7" i="16"/>
  <c r="E7" i="16"/>
  <c r="N7" i="16" s="1"/>
  <c r="D7" i="16"/>
  <c r="P7" i="16" s="1"/>
  <c r="C7" i="16"/>
  <c r="B7" i="16"/>
  <c r="L6" i="16"/>
  <c r="K6" i="16"/>
  <c r="J6" i="16"/>
  <c r="I6" i="16"/>
  <c r="H6" i="16"/>
  <c r="G6" i="16"/>
  <c r="F6" i="16"/>
  <c r="E6" i="16"/>
  <c r="D6" i="16"/>
  <c r="C6" i="16"/>
  <c r="B6" i="16"/>
  <c r="K5" i="16"/>
  <c r="J5" i="16"/>
  <c r="I5" i="16"/>
  <c r="H5" i="16"/>
  <c r="G5" i="16"/>
  <c r="F5" i="16"/>
  <c r="P5" i="16" s="1"/>
  <c r="E5" i="16"/>
  <c r="D5" i="16"/>
  <c r="C5" i="16"/>
  <c r="M5" i="16" s="1"/>
  <c r="B5" i="16"/>
  <c r="B14" i="16" s="1"/>
  <c r="K4" i="16"/>
  <c r="J4" i="16"/>
  <c r="I4" i="16"/>
  <c r="H4" i="16"/>
  <c r="H14" i="16" s="1"/>
  <c r="G4" i="16"/>
  <c r="G14" i="16" s="1"/>
  <c r="F4" i="16"/>
  <c r="E4" i="16"/>
  <c r="N4" i="16" s="1"/>
  <c r="D4" i="16"/>
  <c r="P4" i="16" s="1"/>
  <c r="C4" i="16"/>
  <c r="O4" i="16" s="1"/>
  <c r="B4" i="16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O445" i="15" s="1"/>
  <c r="B445" i="15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O405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O365" i="15"/>
  <c r="I365" i="15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O325" i="15"/>
  <c r="I325" i="15"/>
  <c r="B325" i="15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O285" i="15"/>
  <c r="I285" i="15"/>
  <c r="B285" i="15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O205" i="15"/>
  <c r="I205" i="15"/>
  <c r="B205" i="15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O165" i="15"/>
  <c r="I165" i="15"/>
  <c r="B165" i="15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O45" i="15"/>
  <c r="I45" i="15"/>
  <c r="B45" i="15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B30" i="16" l="1"/>
  <c r="J30" i="16"/>
  <c r="M22" i="16"/>
  <c r="O28" i="16"/>
  <c r="M28" i="16"/>
  <c r="O55" i="16"/>
  <c r="L57" i="16"/>
  <c r="L60" i="16"/>
  <c r="K60" i="16"/>
  <c r="O75" i="16"/>
  <c r="H79" i="16"/>
  <c r="L75" i="16"/>
  <c r="K75" i="16"/>
  <c r="C94" i="16"/>
  <c r="M84" i="16"/>
  <c r="M86" i="16"/>
  <c r="O90" i="16"/>
  <c r="O95" i="16"/>
  <c r="K95" i="16"/>
  <c r="O117" i="16"/>
  <c r="L117" i="16"/>
  <c r="K117" i="16"/>
  <c r="P135" i="16"/>
  <c r="N135" i="16"/>
  <c r="L135" i="16"/>
  <c r="O170" i="16"/>
  <c r="M170" i="16"/>
  <c r="O11" i="16"/>
  <c r="H15" i="16"/>
  <c r="L11" i="16"/>
  <c r="K11" i="16"/>
  <c r="O20" i="16"/>
  <c r="M20" i="16"/>
  <c r="O41" i="16"/>
  <c r="L43" i="16"/>
  <c r="E46" i="16"/>
  <c r="N46" i="16" s="1"/>
  <c r="L52" i="16"/>
  <c r="K52" i="16"/>
  <c r="M57" i="16"/>
  <c r="M72" i="16"/>
  <c r="I79" i="16"/>
  <c r="E110" i="16"/>
  <c r="N116" i="16"/>
  <c r="E126" i="16"/>
  <c r="G126" i="16"/>
  <c r="P165" i="16"/>
  <c r="N165" i="16"/>
  <c r="O191" i="16"/>
  <c r="K191" i="16"/>
  <c r="F14" i="16"/>
  <c r="M8" i="16"/>
  <c r="I15" i="16"/>
  <c r="L38" i="16"/>
  <c r="K38" i="16"/>
  <c r="D47" i="16"/>
  <c r="P43" i="16"/>
  <c r="M59" i="16"/>
  <c r="P78" i="16"/>
  <c r="N94" i="16"/>
  <c r="C110" i="16"/>
  <c r="O100" i="16"/>
  <c r="M100" i="16"/>
  <c r="O6" i="16"/>
  <c r="M6" i="16"/>
  <c r="M30" i="16"/>
  <c r="E47" i="16"/>
  <c r="N47" i="16" s="1"/>
  <c r="N43" i="16"/>
  <c r="F63" i="16"/>
  <c r="P63" i="16" s="1"/>
  <c r="L59" i="16"/>
  <c r="P59" i="16"/>
  <c r="K63" i="16"/>
  <c r="O70" i="16"/>
  <c r="M70" i="16"/>
  <c r="M79" i="16"/>
  <c r="M88" i="16"/>
  <c r="L88" i="16"/>
  <c r="K88" i="16"/>
  <c r="O134" i="16"/>
  <c r="M134" i="16"/>
  <c r="O14" i="16"/>
  <c r="K14" i="16"/>
  <c r="L24" i="16"/>
  <c r="K24" i="16"/>
  <c r="B46" i="16"/>
  <c r="J46" i="16"/>
  <c r="O53" i="16"/>
  <c r="L53" i="16"/>
  <c r="K53" i="16"/>
  <c r="K78" i="16"/>
  <c r="N79" i="16"/>
  <c r="G94" i="16"/>
  <c r="P90" i="16"/>
  <c r="K111" i="16"/>
  <c r="O111" i="16"/>
  <c r="K142" i="16"/>
  <c r="N133" i="16"/>
  <c r="M133" i="16"/>
  <c r="L133" i="16"/>
  <c r="O184" i="16"/>
  <c r="M184" i="16"/>
  <c r="N6" i="16"/>
  <c r="P15" i="16"/>
  <c r="G30" i="16"/>
  <c r="M21" i="16"/>
  <c r="P26" i="16"/>
  <c r="C46" i="16"/>
  <c r="M38" i="16"/>
  <c r="O38" i="16"/>
  <c r="O39" i="16"/>
  <c r="L39" i="16"/>
  <c r="K39" i="16"/>
  <c r="M44" i="16"/>
  <c r="D62" i="16"/>
  <c r="O56" i="16"/>
  <c r="M56" i="16"/>
  <c r="N73" i="16"/>
  <c r="L74" i="16"/>
  <c r="K74" i="16"/>
  <c r="O84" i="16"/>
  <c r="M85" i="16"/>
  <c r="L86" i="16"/>
  <c r="M87" i="16"/>
  <c r="P101" i="16"/>
  <c r="O5" i="16"/>
  <c r="P6" i="16"/>
  <c r="L7" i="16"/>
  <c r="L8" i="16"/>
  <c r="N9" i="16"/>
  <c r="L10" i="16"/>
  <c r="K10" i="16"/>
  <c r="H30" i="16"/>
  <c r="C31" i="16"/>
  <c r="M27" i="16"/>
  <c r="D46" i="16"/>
  <c r="P46" i="16" s="1"/>
  <c r="M36" i="16"/>
  <c r="O42" i="16"/>
  <c r="M42" i="16"/>
  <c r="F47" i="16"/>
  <c r="P47" i="16" s="1"/>
  <c r="P55" i="16"/>
  <c r="O69" i="16"/>
  <c r="P70" i="16"/>
  <c r="L71" i="16"/>
  <c r="L72" i="16"/>
  <c r="P79" i="16"/>
  <c r="P76" i="16"/>
  <c r="O88" i="16"/>
  <c r="O89" i="16"/>
  <c r="L89" i="16"/>
  <c r="K89" i="16"/>
  <c r="M139" i="16"/>
  <c r="C143" i="16"/>
  <c r="M143" i="16" s="1"/>
  <c r="M7" i="16"/>
  <c r="I30" i="16"/>
  <c r="M24" i="16"/>
  <c r="O24" i="16"/>
  <c r="O25" i="16"/>
  <c r="L25" i="16"/>
  <c r="K25" i="16"/>
  <c r="P41" i="16"/>
  <c r="F62" i="16"/>
  <c r="P62" i="16" s="1"/>
  <c r="M53" i="16"/>
  <c r="H62" i="16"/>
  <c r="C78" i="16"/>
  <c r="M71" i="16"/>
  <c r="J94" i="16"/>
  <c r="E95" i="16"/>
  <c r="L91" i="16"/>
  <c r="L110" i="16"/>
  <c r="O110" i="16"/>
  <c r="K110" i="16"/>
  <c r="P107" i="16"/>
  <c r="N107" i="16"/>
  <c r="L107" i="16"/>
  <c r="O167" i="16"/>
  <c r="L167" i="16"/>
  <c r="K167" i="16"/>
  <c r="E175" i="16"/>
  <c r="N175" i="16" s="1"/>
  <c r="N172" i="16"/>
  <c r="M172" i="16"/>
  <c r="E174" i="16"/>
  <c r="P5" i="20"/>
  <c r="L5" i="16"/>
  <c r="C14" i="16"/>
  <c r="M14" i="16" s="1"/>
  <c r="L27" i="16"/>
  <c r="E30" i="16"/>
  <c r="N30" i="16" s="1"/>
  <c r="F31" i="16"/>
  <c r="N31" i="16" s="1"/>
  <c r="L41" i="16"/>
  <c r="H47" i="16"/>
  <c r="M47" i="16" s="1"/>
  <c r="L55" i="16"/>
  <c r="K68" i="16"/>
  <c r="L69" i="16"/>
  <c r="O72" i="16"/>
  <c r="K76" i="16"/>
  <c r="O86" i="16"/>
  <c r="L90" i="16"/>
  <c r="D110" i="16"/>
  <c r="K108" i="16"/>
  <c r="F126" i="16"/>
  <c r="P126" i="16" s="1"/>
  <c r="L122" i="16"/>
  <c r="K122" i="16"/>
  <c r="P148" i="16"/>
  <c r="F158" i="16"/>
  <c r="M158" i="16" s="1"/>
  <c r="L150" i="16"/>
  <c r="K150" i="16"/>
  <c r="O150" i="16"/>
  <c r="O153" i="16"/>
  <c r="L153" i="16"/>
  <c r="K153" i="16"/>
  <c r="P190" i="16"/>
  <c r="N191" i="16"/>
  <c r="N6" i="20"/>
  <c r="L4" i="16"/>
  <c r="O7" i="16"/>
  <c r="L12" i="16"/>
  <c r="D14" i="16"/>
  <c r="E15" i="16"/>
  <c r="N15" i="16" s="1"/>
  <c r="O21" i="16"/>
  <c r="L26" i="16"/>
  <c r="F30" i="16"/>
  <c r="P30" i="16" s="1"/>
  <c r="O31" i="16"/>
  <c r="L40" i="16"/>
  <c r="O43" i="16"/>
  <c r="H46" i="16"/>
  <c r="L54" i="16"/>
  <c r="O57" i="16"/>
  <c r="C63" i="16"/>
  <c r="O63" i="16" s="1"/>
  <c r="L68" i="16"/>
  <c r="N70" i="16"/>
  <c r="O71" i="16"/>
  <c r="D78" i="16"/>
  <c r="N84" i="16"/>
  <c r="M89" i="16"/>
  <c r="N90" i="16"/>
  <c r="N100" i="16"/>
  <c r="M101" i="16"/>
  <c r="K101" i="16"/>
  <c r="O101" i="16"/>
  <c r="O103" i="16"/>
  <c r="L103" i="16"/>
  <c r="O105" i="16"/>
  <c r="K105" i="16"/>
  <c r="M117" i="16"/>
  <c r="P119" i="16"/>
  <c r="O132" i="16"/>
  <c r="M132" i="16"/>
  <c r="C142" i="16"/>
  <c r="N134" i="16"/>
  <c r="N143" i="16"/>
  <c r="P155" i="16"/>
  <c r="C159" i="16"/>
  <c r="O156" i="16"/>
  <c r="M156" i="16"/>
  <c r="C174" i="16"/>
  <c r="M165" i="16"/>
  <c r="M167" i="16"/>
  <c r="M175" i="16"/>
  <c r="L172" i="16"/>
  <c r="P175" i="16"/>
  <c r="F191" i="16"/>
  <c r="P191" i="16" s="1"/>
  <c r="P187" i="16"/>
  <c r="O11" i="20"/>
  <c r="M11" i="20"/>
  <c r="L11" i="20"/>
  <c r="K11" i="20"/>
  <c r="M4" i="16"/>
  <c r="N5" i="16"/>
  <c r="M12" i="16"/>
  <c r="E14" i="16"/>
  <c r="M26" i="16"/>
  <c r="N27" i="16"/>
  <c r="M40" i="16"/>
  <c r="N41" i="16"/>
  <c r="M54" i="16"/>
  <c r="N55" i="16"/>
  <c r="C62" i="16"/>
  <c r="M68" i="16"/>
  <c r="N69" i="16"/>
  <c r="M76" i="16"/>
  <c r="E78" i="16"/>
  <c r="N78" i="16" s="1"/>
  <c r="O91" i="16"/>
  <c r="K91" i="16"/>
  <c r="F94" i="16"/>
  <c r="P94" i="16" s="1"/>
  <c r="F110" i="16"/>
  <c r="N102" i="16"/>
  <c r="N104" i="16"/>
  <c r="O104" i="16"/>
  <c r="L106" i="16"/>
  <c r="N106" i="16"/>
  <c r="E111" i="16"/>
  <c r="N111" i="16" s="1"/>
  <c r="N108" i="16"/>
  <c r="O108" i="16"/>
  <c r="L116" i="16"/>
  <c r="N117" i="16"/>
  <c r="P121" i="16"/>
  <c r="N137" i="16"/>
  <c r="N139" i="16"/>
  <c r="O158" i="16"/>
  <c r="L158" i="16"/>
  <c r="L9" i="20"/>
  <c r="K9" i="16"/>
  <c r="K23" i="16"/>
  <c r="K37" i="16"/>
  <c r="E63" i="16"/>
  <c r="N63" i="16" s="1"/>
  <c r="H94" i="16"/>
  <c r="K87" i="16"/>
  <c r="M95" i="16"/>
  <c r="P102" i="16"/>
  <c r="M122" i="16"/>
  <c r="N132" i="16"/>
  <c r="M135" i="16"/>
  <c r="P140" i="16"/>
  <c r="D143" i="16"/>
  <c r="I158" i="16"/>
  <c r="P149" i="16"/>
  <c r="M150" i="16"/>
  <c r="M151" i="16"/>
  <c r="P152" i="16"/>
  <c r="M153" i="16"/>
  <c r="I190" i="16"/>
  <c r="P185" i="16"/>
  <c r="M186" i="16"/>
  <c r="M187" i="16"/>
  <c r="O6" i="20"/>
  <c r="M8" i="20"/>
  <c r="L9" i="16"/>
  <c r="L23" i="16"/>
  <c r="L37" i="16"/>
  <c r="E62" i="16"/>
  <c r="K72" i="16"/>
  <c r="K86" i="16"/>
  <c r="L92" i="16"/>
  <c r="N92" i="16"/>
  <c r="L100" i="16"/>
  <c r="L101" i="16"/>
  <c r="M103" i="16"/>
  <c r="K103" i="16"/>
  <c r="L105" i="16"/>
  <c r="M123" i="16"/>
  <c r="L123" i="16"/>
  <c r="K123" i="16"/>
  <c r="O123" i="16"/>
  <c r="H127" i="16"/>
  <c r="F142" i="16"/>
  <c r="L136" i="16"/>
  <c r="K136" i="16"/>
  <c r="O136" i="16"/>
  <c r="O139" i="16"/>
  <c r="H143" i="16"/>
  <c r="L139" i="16"/>
  <c r="B158" i="16"/>
  <c r="J158" i="16"/>
  <c r="K158" i="16"/>
  <c r="F174" i="16"/>
  <c r="P174" i="16" s="1"/>
  <c r="P92" i="16"/>
  <c r="F95" i="16"/>
  <c r="P95" i="16" s="1"/>
  <c r="I110" i="16"/>
  <c r="M105" i="16"/>
  <c r="C126" i="16"/>
  <c r="M126" i="16" s="1"/>
  <c r="O118" i="16"/>
  <c r="M118" i="16"/>
  <c r="L120" i="16"/>
  <c r="N120" i="16"/>
  <c r="P124" i="16"/>
  <c r="G142" i="16"/>
  <c r="D142" i="16"/>
  <c r="O148" i="16"/>
  <c r="M148" i="16"/>
  <c r="G174" i="16"/>
  <c r="C190" i="16"/>
  <c r="O181" i="16"/>
  <c r="L181" i="16"/>
  <c r="K181" i="16"/>
  <c r="M191" i="16"/>
  <c r="M9" i="20"/>
  <c r="M107" i="16"/>
  <c r="P116" i="16"/>
  <c r="K119" i="16"/>
  <c r="H126" i="16"/>
  <c r="K133" i="16"/>
  <c r="O137" i="16"/>
  <c r="L148" i="16"/>
  <c r="O151" i="16"/>
  <c r="K155" i="16"/>
  <c r="E159" i="16"/>
  <c r="N159" i="16" s="1"/>
  <c r="O165" i="16"/>
  <c r="K169" i="16"/>
  <c r="M171" i="16"/>
  <c r="P180" i="16"/>
  <c r="K183" i="16"/>
  <c r="O187" i="16"/>
  <c r="H190" i="16"/>
  <c r="M7" i="20"/>
  <c r="N149" i="16"/>
  <c r="L155" i="16"/>
  <c r="F159" i="16"/>
  <c r="P159" i="16" s="1"/>
  <c r="O164" i="16"/>
  <c r="L169" i="16"/>
  <c r="N171" i="16"/>
  <c r="O172" i="16"/>
  <c r="H175" i="16"/>
  <c r="L183" i="16"/>
  <c r="N185" i="16"/>
  <c r="O186" i="16"/>
  <c r="O8" i="20"/>
  <c r="K12" i="20"/>
  <c r="M155" i="16"/>
  <c r="N156" i="16"/>
  <c r="M169" i="16"/>
  <c r="N170" i="16"/>
  <c r="H174" i="16"/>
  <c r="M183" i="16"/>
  <c r="N184" i="16"/>
  <c r="M5" i="20"/>
  <c r="O7" i="20"/>
  <c r="L12" i="20"/>
  <c r="M140" i="16"/>
  <c r="E142" i="16"/>
  <c r="F143" i="16"/>
  <c r="P143" i="16" s="1"/>
  <c r="M154" i="16"/>
  <c r="H159" i="16"/>
  <c r="M168" i="16"/>
  <c r="M182" i="16"/>
  <c r="K10" i="20"/>
  <c r="K137" i="16"/>
  <c r="K151" i="16"/>
  <c r="K165" i="16"/>
  <c r="K187" i="16"/>
  <c r="N4" i="20"/>
  <c r="M124" i="16"/>
  <c r="L137" i="16"/>
  <c r="M138" i="16"/>
  <c r="L151" i="16"/>
  <c r="M152" i="16"/>
  <c r="K164" i="16"/>
  <c r="L165" i="16"/>
  <c r="M166" i="16"/>
  <c r="K172" i="16"/>
  <c r="M180" i="16"/>
  <c r="K186" i="16"/>
  <c r="L187" i="16"/>
  <c r="M188" i="16"/>
  <c r="E190" i="16"/>
  <c r="N190" i="16" s="1"/>
  <c r="K8" i="20"/>
  <c r="N126" i="16" l="1"/>
  <c r="O15" i="16"/>
  <c r="L15" i="16"/>
  <c r="K15" i="16"/>
  <c r="M94" i="16"/>
  <c r="K159" i="16"/>
  <c r="O159" i="16"/>
  <c r="L159" i="16"/>
  <c r="O143" i="16"/>
  <c r="L143" i="16"/>
  <c r="K143" i="16"/>
  <c r="M142" i="16"/>
  <c r="N95" i="16"/>
  <c r="L63" i="16"/>
  <c r="P14" i="16"/>
  <c r="O127" i="16"/>
  <c r="L127" i="16"/>
  <c r="K127" i="16"/>
  <c r="L94" i="16"/>
  <c r="O94" i="16"/>
  <c r="K94" i="16"/>
  <c r="L46" i="16"/>
  <c r="K46" i="16"/>
  <c r="O46" i="16"/>
  <c r="M127" i="16"/>
  <c r="M174" i="16"/>
  <c r="N110" i="16"/>
  <c r="L126" i="16"/>
  <c r="K126" i="16"/>
  <c r="O126" i="16"/>
  <c r="N14" i="16"/>
  <c r="L47" i="16"/>
  <c r="K47" i="16"/>
  <c r="O47" i="16"/>
  <c r="N174" i="16"/>
  <c r="M31" i="16"/>
  <c r="O142" i="16"/>
  <c r="L78" i="16"/>
  <c r="L191" i="16"/>
  <c r="L95" i="16"/>
  <c r="O79" i="16"/>
  <c r="L79" i="16"/>
  <c r="K79" i="16"/>
  <c r="L174" i="16"/>
  <c r="K174" i="16"/>
  <c r="O174" i="16"/>
  <c r="N142" i="16"/>
  <c r="M190" i="16"/>
  <c r="M111" i="16"/>
  <c r="P110" i="16"/>
  <c r="M62" i="16"/>
  <c r="M78" i="16"/>
  <c r="O30" i="16"/>
  <c r="L30" i="16"/>
  <c r="K30" i="16"/>
  <c r="L142" i="16"/>
  <c r="L111" i="16"/>
  <c r="O78" i="16"/>
  <c r="M15" i="16"/>
  <c r="M159" i="16"/>
  <c r="M63" i="16"/>
  <c r="P158" i="16"/>
  <c r="P31" i="16"/>
  <c r="L31" i="16"/>
  <c r="L62" i="16"/>
  <c r="K62" i="16"/>
  <c r="O62" i="16"/>
  <c r="L175" i="16"/>
  <c r="K175" i="16"/>
  <c r="O175" i="16"/>
  <c r="L190" i="16"/>
  <c r="K190" i="16"/>
  <c r="O190" i="16"/>
  <c r="P142" i="16"/>
  <c r="N62" i="16"/>
  <c r="M46" i="16"/>
  <c r="N158" i="16"/>
  <c r="L14" i="16"/>
  <c r="M110" i="16"/>
</calcChain>
</file>

<file path=xl/sharedStrings.xml><?xml version="1.0" encoding="utf-8"?>
<sst xmlns="http://schemas.openxmlformats.org/spreadsheetml/2006/main" count="3362" uniqueCount="217">
  <si>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</si>
  <si>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</si>
  <si>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</si>
  <si>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</si>
  <si>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</si>
  <si>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</si>
  <si>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</si>
  <si>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</si>
  <si>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</si>
  <si>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</si>
  <si>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</si>
  <si>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</si>
  <si>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</si>
  <si>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</si>
  <si>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</si>
  <si>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</si>
  <si>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</si>
  <si>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</si>
  <si>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</si>
  <si>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</si>
  <si>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</si>
  <si>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[ FIX DATE FORMATS ]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</si>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</sst>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BF1F4385-20DF-691D-629B-304D5D8B05A8}"/>
            </a:ext>
          </a:extLst>
        </xdr:cNvPr>
        <xdr:cNvSpPr/>
      </xdr:nvSpPr>
      <xdr:spPr>
        <a:xfrm>
          <a:off x="0" y="153924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86DA3DCB-FC2B-323D-A04C-8ED59FD1B406}"/>
            </a:ext>
          </a:extLst>
        </xdr:cNvPr>
        <xdr:cNvSpPr/>
      </xdr:nvSpPr>
      <xdr:spPr>
        <a:xfrm>
          <a:off x="0" y="190500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0C6F79F1-EBE3-1A95-FDF6-A69F4F55D2B5}"/>
            </a:ext>
          </a:extLst>
        </xdr:cNvPr>
        <xdr:cNvSpPr/>
      </xdr:nvSpPr>
      <xdr:spPr>
        <a:xfrm>
          <a:off x="0" y="227076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C43B1894-AC17-796E-3BA8-CD936F4C3807}"/>
            </a:ext>
          </a:extLst>
        </xdr:cNvPr>
        <xdr:cNvSpPr/>
      </xdr:nvSpPr>
      <xdr:spPr>
        <a:xfrm>
          <a:off x="0" y="263652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3F45C497-5D0F-B63F-3F2D-5E8332025D80}"/>
            </a:ext>
          </a:extLst>
        </xdr:cNvPr>
        <xdr:cNvSpPr/>
      </xdr:nvSpPr>
      <xdr:spPr>
        <a:xfrm>
          <a:off x="0" y="300228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09A1BFBD-43D9-63C7-CB2D-DD35E0030729}"/>
            </a:ext>
          </a:extLst>
        </xdr:cNvPr>
        <xdr:cNvSpPr/>
      </xdr:nvSpPr>
      <xdr:spPr>
        <a:xfrm>
          <a:off x="0" y="336804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E4AEC5AF-F986-7A7D-5E75-87ED9BA91FEF}"/>
            </a:ext>
          </a:extLst>
        </xdr:cNvPr>
        <xdr:cNvSpPr/>
      </xdr:nvSpPr>
      <xdr:spPr>
        <a:xfrm>
          <a:off x="0" y="373380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552BB595-A5DF-4EF3-CDA7-D95EE59128FF}"/>
            </a:ext>
          </a:extLst>
        </xdr:cNvPr>
        <xdr:cNvSpPr/>
      </xdr:nvSpPr>
      <xdr:spPr>
        <a:xfrm>
          <a:off x="0" y="409956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827B9246-DB40-BC26-313F-B7A65E192056}"/>
            </a:ext>
          </a:extLst>
        </xdr:cNvPr>
        <xdr:cNvSpPr/>
      </xdr:nvSpPr>
      <xdr:spPr>
        <a:xfrm>
          <a:off x="0" y="446532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A06BD6E8-DB05-0057-B5F7-49488E1F5972}"/>
            </a:ext>
          </a:extLst>
        </xdr:cNvPr>
        <xdr:cNvSpPr/>
      </xdr:nvSpPr>
      <xdr:spPr>
        <a:xfrm>
          <a:off x="0" y="483108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89A06F4B-F3E3-71A4-0DE3-776572C9821B}"/>
            </a:ext>
          </a:extLst>
        </xdr:cNvPr>
        <xdr:cNvSpPr/>
      </xdr:nvSpPr>
      <xdr:spPr>
        <a:xfrm>
          <a:off x="0" y="519684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F57AE68C-E624-DB15-C03B-C17AC3394DFF}"/>
            </a:ext>
          </a:extLst>
        </xdr:cNvPr>
        <xdr:cNvSpPr/>
      </xdr:nvSpPr>
      <xdr:spPr>
        <a:xfrm>
          <a:off x="0" y="556260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86842CED-04E3-5BCC-4DD8-1F0ED187DE0B}"/>
            </a:ext>
          </a:extLst>
        </xdr:cNvPr>
        <xdr:cNvSpPr/>
      </xdr:nvSpPr>
      <xdr:spPr>
        <a:xfrm>
          <a:off x="0" y="5928360"/>
          <a:ext cx="3429000" cy="18288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workbookViewId="0">
      <selection sqref="A1:H1"/>
    </sheetView>
  </sheetViews>
  <sheetFormatPr defaultRowHeight="14.4" x14ac:dyDescent="0.3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" x14ac:dyDescent="0.3">
      <c r="A1" s="30" t="s">
        <v>0</v>
      </c>
      <c r="B1" s="27"/>
      <c r="C1" s="27"/>
      <c r="D1" s="27"/>
      <c r="E1" s="27"/>
      <c r="F1" s="27"/>
      <c r="G1" s="27"/>
      <c r="H1" s="27"/>
    </row>
    <row r="2" spans="1:10" ht="15.6" x14ac:dyDescent="0.3">
      <c r="A2" s="35" t="s">
        <v>1</v>
      </c>
      <c r="B2" s="27"/>
      <c r="C2" s="27"/>
      <c r="D2" s="27"/>
      <c r="E2" s="27"/>
      <c r="F2" s="27"/>
      <c r="G2" s="27"/>
      <c r="H2" s="27"/>
    </row>
    <row r="3" spans="1:10" x14ac:dyDescent="0.3">
      <c r="A3" s="34" t="s">
        <v>2</v>
      </c>
      <c r="B3" s="27"/>
      <c r="C3" s="27"/>
      <c r="D3" s="27"/>
      <c r="E3" s="27"/>
      <c r="F3" s="27"/>
      <c r="G3" s="27"/>
      <c r="H3" s="27"/>
    </row>
    <row r="5" spans="1:10" x14ac:dyDescent="0.3">
      <c r="A5" s="1" t="s">
        <v>3</v>
      </c>
      <c r="B5" s="1">
        <v>2026</v>
      </c>
      <c r="D5" s="1" t="s">
        <v>4</v>
      </c>
      <c r="E5" s="33" t="s">
        <v>2</v>
      </c>
      <c r="F5" s="27"/>
      <c r="G5" s="27"/>
      <c r="H5" s="27"/>
      <c r="J5" t="b">
        <v>1</v>
      </c>
    </row>
    <row r="6" spans="1:10" x14ac:dyDescent="0.3">
      <c r="J6" t="b">
        <v>1</v>
      </c>
    </row>
    <row r="7" spans="1:10" ht="15.6" x14ac:dyDescent="0.3">
      <c r="A7" s="32" t="s">
        <v>5</v>
      </c>
      <c r="B7" s="27"/>
      <c r="C7" s="27"/>
      <c r="D7" s="27"/>
      <c r="E7" s="27"/>
      <c r="F7" s="27"/>
      <c r="G7" s="27"/>
      <c r="H7" s="27"/>
    </row>
    <row r="9" spans="1:10" x14ac:dyDescent="0.3">
      <c r="A9" s="26" t="s">
        <v>206</v>
      </c>
      <c r="B9" s="27"/>
      <c r="C9" s="27"/>
      <c r="D9" s="2" t="s">
        <v>6</v>
      </c>
    </row>
    <row r="11" spans="1:10" x14ac:dyDescent="0.3">
      <c r="A11" s="26" t="s">
        <v>207</v>
      </c>
      <c r="B11" s="27"/>
      <c r="C11" s="27"/>
      <c r="D11" s="2" t="s">
        <v>7</v>
      </c>
    </row>
    <row r="13" spans="1:10" x14ac:dyDescent="0.3">
      <c r="A13" s="26" t="s">
        <v>208</v>
      </c>
      <c r="B13" s="27"/>
      <c r="C13" s="27"/>
      <c r="D13" s="2" t="s">
        <v>8</v>
      </c>
    </row>
    <row r="15" spans="1:10" x14ac:dyDescent="0.3">
      <c r="A15" s="26" t="s">
        <v>209</v>
      </c>
      <c r="B15" s="27"/>
      <c r="C15" s="27"/>
      <c r="D15" s="2" t="s">
        <v>9</v>
      </c>
    </row>
    <row r="17" spans="1:4" x14ac:dyDescent="0.3">
      <c r="A17" s="26" t="s">
        <v>210</v>
      </c>
      <c r="B17" s="27"/>
      <c r="C17" s="27"/>
      <c r="D17" s="2" t="s">
        <v>10</v>
      </c>
    </row>
    <row r="19" spans="1:4" x14ac:dyDescent="0.3">
      <c r="A19" s="26" t="s">
        <v>211</v>
      </c>
      <c r="B19" s="27"/>
      <c r="C19" s="27"/>
      <c r="D19" s="2" t="s">
        <v>11</v>
      </c>
    </row>
    <row r="21" spans="1:4" x14ac:dyDescent="0.3">
      <c r="A21" s="26" t="s">
        <v>212</v>
      </c>
      <c r="B21" s="27"/>
      <c r="C21" s="27"/>
      <c r="D21" s="2" t="s">
        <v>12</v>
      </c>
    </row>
    <row r="23" spans="1:4" x14ac:dyDescent="0.3">
      <c r="A23" s="26" t="s">
        <v>213</v>
      </c>
      <c r="B23" s="27"/>
      <c r="C23" s="27"/>
      <c r="D23" s="2" t="s">
        <v>13</v>
      </c>
    </row>
    <row r="25" spans="1:4" x14ac:dyDescent="0.3">
      <c r="A25" s="26" t="s">
        <v>14</v>
      </c>
      <c r="B25" s="27"/>
      <c r="C25" s="27"/>
      <c r="D25" s="2" t="s">
        <v>15</v>
      </c>
    </row>
    <row r="27" spans="1:4" x14ac:dyDescent="0.3">
      <c r="A27" s="29" t="s">
        <v>16</v>
      </c>
      <c r="B27" s="27"/>
      <c r="C27" s="27"/>
      <c r="D27" s="2" t="s">
        <v>17</v>
      </c>
    </row>
    <row r="29" spans="1:4" x14ac:dyDescent="0.3">
      <c r="A29" s="31" t="s">
        <v>214</v>
      </c>
      <c r="B29" s="27"/>
      <c r="C29" s="27"/>
      <c r="D29" s="2" t="s">
        <v>18</v>
      </c>
    </row>
    <row r="31" spans="1:4" x14ac:dyDescent="0.3">
      <c r="A31" s="31" t="s">
        <v>215</v>
      </c>
      <c r="B31" s="27"/>
      <c r="C31" s="27"/>
      <c r="D31" s="2" t="s">
        <v>19</v>
      </c>
    </row>
    <row r="33" spans="1:6" x14ac:dyDescent="0.3">
      <c r="A33" s="31" t="s">
        <v>216</v>
      </c>
      <c r="B33" s="27"/>
      <c r="C33" s="27"/>
      <c r="D33" s="2" t="s">
        <v>20</v>
      </c>
    </row>
    <row r="35" spans="1:6" x14ac:dyDescent="0.3">
      <c r="A35" s="31" t="s">
        <v>21</v>
      </c>
      <c r="B35" s="27"/>
      <c r="C35" s="27"/>
      <c r="D35" s="2" t="s">
        <v>22</v>
      </c>
    </row>
    <row r="37" spans="1:6" ht="15.6" x14ac:dyDescent="0.3">
      <c r="A37" s="28" t="s">
        <v>23</v>
      </c>
      <c r="B37" s="27"/>
      <c r="C37" s="27"/>
      <c r="D37" s="27"/>
      <c r="E37" s="27"/>
      <c r="F37" s="27"/>
    </row>
    <row r="38" spans="1:6" x14ac:dyDescent="0.3">
      <c r="A38" s="3" t="s">
        <v>24</v>
      </c>
      <c r="B38" s="3" t="s">
        <v>25</v>
      </c>
      <c r="C38" s="3" t="s">
        <v>26</v>
      </c>
      <c r="D38" s="3" t="s">
        <v>27</v>
      </c>
      <c r="E38" s="3" t="s">
        <v>28</v>
      </c>
      <c r="F38" s="3" t="s">
        <v>29</v>
      </c>
    </row>
    <row r="39" spans="1:6" x14ac:dyDescent="0.3">
      <c r="A39" s="4" t="s">
        <v>30</v>
      </c>
      <c r="B39" s="4" t="s">
        <v>31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3">
      <c r="A40" s="4" t="s">
        <v>32</v>
      </c>
      <c r="B40" s="4" t="s">
        <v>33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3">
      <c r="A41" s="4" t="s">
        <v>34</v>
      </c>
      <c r="B41" s="4" t="s">
        <v>35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3">
      <c r="A42" s="4" t="s">
        <v>36</v>
      </c>
      <c r="B42" s="4" t="s">
        <v>37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3">
      <c r="A43" s="4" t="s">
        <v>38</v>
      </c>
      <c r="B43" s="4" t="s">
        <v>39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3">
      <c r="A44" s="4" t="s">
        <v>40</v>
      </c>
      <c r="B44" s="4" t="s">
        <v>41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3">
      <c r="A45" s="4" t="s">
        <v>42</v>
      </c>
      <c r="B45" s="4" t="s">
        <v>43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3">
      <c r="A46" s="4" t="s">
        <v>44</v>
      </c>
      <c r="B46" s="4" t="s">
        <v>45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3">
      <c r="A47" s="4" t="s">
        <v>46</v>
      </c>
      <c r="B47" s="4" t="s">
        <v>47</v>
      </c>
      <c r="C47" s="4">
        <v>10</v>
      </c>
      <c r="D47" s="4">
        <v>0</v>
      </c>
      <c r="E47" s="4" t="b">
        <v>1</v>
      </c>
      <c r="F47" s="4">
        <v>9</v>
      </c>
    </row>
    <row r="49" spans="1:6" ht="15.6" x14ac:dyDescent="0.3">
      <c r="A49" s="28" t="s">
        <v>48</v>
      </c>
      <c r="B49" s="27"/>
      <c r="C49" s="27"/>
      <c r="D49" s="27"/>
      <c r="E49" s="27"/>
      <c r="F49" s="27"/>
    </row>
    <row r="50" spans="1:6" x14ac:dyDescent="0.3">
      <c r="A50" s="3" t="s">
        <v>49</v>
      </c>
      <c r="B50" s="3" t="s">
        <v>50</v>
      </c>
      <c r="C50" s="3" t="s">
        <v>51</v>
      </c>
    </row>
    <row r="51" spans="1:6" x14ac:dyDescent="0.3">
      <c r="A51" s="4" t="s">
        <v>52</v>
      </c>
      <c r="B51" s="4" t="b">
        <v>1</v>
      </c>
      <c r="C51" s="4" t="s">
        <v>53</v>
      </c>
    </row>
    <row r="52" spans="1:6" x14ac:dyDescent="0.3">
      <c r="A52" s="4" t="s">
        <v>54</v>
      </c>
      <c r="B52" s="4" t="b">
        <v>1</v>
      </c>
      <c r="C52" s="4" t="s">
        <v>55</v>
      </c>
    </row>
    <row r="54" spans="1:6" ht="15.6" x14ac:dyDescent="0.3">
      <c r="A54" s="5" t="s">
        <v>56</v>
      </c>
    </row>
    <row r="55" spans="1:6" x14ac:dyDescent="0.3">
      <c r="A55" s="3" t="s">
        <v>57</v>
      </c>
      <c r="B55" s="3" t="s">
        <v>58</v>
      </c>
      <c r="C55" s="3" t="s">
        <v>59</v>
      </c>
    </row>
    <row r="56" spans="1:6" x14ac:dyDescent="0.3">
      <c r="A56" s="4">
        <v>1</v>
      </c>
      <c r="B56" s="4" t="s">
        <v>60</v>
      </c>
      <c r="C56" s="4">
        <v>31</v>
      </c>
    </row>
    <row r="57" spans="1:6" x14ac:dyDescent="0.3">
      <c r="A57" s="4">
        <v>2</v>
      </c>
      <c r="B57" s="4" t="s">
        <v>61</v>
      </c>
      <c r="C57" s="4">
        <v>28</v>
      </c>
    </row>
    <row r="58" spans="1:6" x14ac:dyDescent="0.3">
      <c r="A58" s="4">
        <v>3</v>
      </c>
      <c r="B58" s="4" t="s">
        <v>62</v>
      </c>
      <c r="C58" s="4">
        <v>31</v>
      </c>
    </row>
    <row r="59" spans="1:6" x14ac:dyDescent="0.3">
      <c r="A59" s="4">
        <v>4</v>
      </c>
      <c r="B59" s="4" t="s">
        <v>63</v>
      </c>
      <c r="C59" s="4">
        <v>30</v>
      </c>
    </row>
    <row r="60" spans="1:6" x14ac:dyDescent="0.3">
      <c r="A60" s="4">
        <v>5</v>
      </c>
      <c r="B60" s="4" t="s">
        <v>64</v>
      </c>
      <c r="C60" s="4">
        <v>31</v>
      </c>
    </row>
    <row r="61" spans="1:6" x14ac:dyDescent="0.3">
      <c r="A61" s="4">
        <v>6</v>
      </c>
      <c r="B61" s="4" t="s">
        <v>65</v>
      </c>
      <c r="C61" s="4">
        <v>30</v>
      </c>
    </row>
    <row r="62" spans="1:6" x14ac:dyDescent="0.3">
      <c r="A62" s="4">
        <v>7</v>
      </c>
      <c r="B62" s="4" t="s">
        <v>66</v>
      </c>
      <c r="C62" s="4">
        <v>31</v>
      </c>
    </row>
    <row r="63" spans="1:6" x14ac:dyDescent="0.3">
      <c r="A63" s="4">
        <v>8</v>
      </c>
      <c r="B63" s="4" t="s">
        <v>67</v>
      </c>
      <c r="C63" s="4">
        <v>31</v>
      </c>
    </row>
    <row r="64" spans="1:6" x14ac:dyDescent="0.3">
      <c r="A64" s="4">
        <v>9</v>
      </c>
      <c r="B64" s="4" t="s">
        <v>68</v>
      </c>
      <c r="C64" s="4">
        <v>30</v>
      </c>
    </row>
    <row r="65" spans="1:3" x14ac:dyDescent="0.3">
      <c r="A65" s="4">
        <v>10</v>
      </c>
      <c r="B65" s="4" t="s">
        <v>69</v>
      </c>
      <c r="C65" s="4">
        <v>31</v>
      </c>
    </row>
    <row r="66" spans="1:3" x14ac:dyDescent="0.3">
      <c r="A66" s="4">
        <v>11</v>
      </c>
      <c r="B66" s="4" t="s">
        <v>70</v>
      </c>
      <c r="C66" s="4">
        <v>30</v>
      </c>
    </row>
    <row r="67" spans="1:3" x14ac:dyDescent="0.3">
      <c r="A67" s="4">
        <v>12</v>
      </c>
      <c r="B67" s="4" t="s">
        <v>71</v>
      </c>
      <c r="C67" s="4">
        <v>31</v>
      </c>
    </row>
  </sheetData>
  <mergeCells count="21"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1:H1"/>
    <mergeCell ref="A33:C33"/>
    <mergeCell ref="A7:H7"/>
    <mergeCell ref="A23:C23"/>
    <mergeCell ref="A17:C17"/>
    <mergeCell ref="A35:C35"/>
    <mergeCell ref="A29:C29"/>
    <mergeCell ref="E5:H5"/>
    <mergeCell ref="A3:H3"/>
    <mergeCell ref="A13:C13"/>
    <mergeCell ref="A19:C19"/>
    <mergeCell ref="A2:H2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4.4" x14ac:dyDescent="0.3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3">
      <c r="A1" t="s">
        <v>72</v>
      </c>
      <c r="B1" t="s">
        <v>73</v>
      </c>
      <c r="C1" t="s">
        <v>24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</row>
    <row r="2" spans="1:12" x14ac:dyDescent="0.3">
      <c r="A2" s="43"/>
      <c r="L2" s="44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4.4" x14ac:dyDescent="0.3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3">
      <c r="A1" t="s">
        <v>83</v>
      </c>
      <c r="B1" t="s">
        <v>84</v>
      </c>
      <c r="C1" t="s">
        <v>73</v>
      </c>
      <c r="D1" t="s">
        <v>24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82</v>
      </c>
    </row>
    <row r="2" spans="1:11" x14ac:dyDescent="0.3">
      <c r="B2" s="43"/>
      <c r="K2" s="44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4.4" x14ac:dyDescent="0.3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3">
      <c r="A1" t="s">
        <v>91</v>
      </c>
      <c r="B1" t="s">
        <v>92</v>
      </c>
      <c r="C1" t="s">
        <v>73</v>
      </c>
      <c r="D1" t="s">
        <v>24</v>
      </c>
      <c r="E1" t="s">
        <v>93</v>
      </c>
      <c r="F1" t="s">
        <v>94</v>
      </c>
      <c r="G1" t="s">
        <v>87</v>
      </c>
      <c r="H1" t="s">
        <v>88</v>
      </c>
      <c r="I1" t="s">
        <v>89</v>
      </c>
      <c r="J1" t="s">
        <v>90</v>
      </c>
      <c r="K1" t="s">
        <v>95</v>
      </c>
      <c r="L1" t="s">
        <v>96</v>
      </c>
      <c r="M1" t="s">
        <v>82</v>
      </c>
    </row>
    <row r="2" spans="1:13" x14ac:dyDescent="0.3">
      <c r="B2" s="43"/>
      <c r="M2" s="44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4.4" x14ac:dyDescent="0.3"/>
  <sheetData>
    <row r="1" spans="1:8" x14ac:dyDescent="0.3">
      <c r="A1" t="s">
        <v>97</v>
      </c>
      <c r="B1" t="s">
        <v>98</v>
      </c>
      <c r="C1" t="s">
        <v>73</v>
      </c>
      <c r="D1" t="s">
        <v>99</v>
      </c>
      <c r="E1" t="s">
        <v>100</v>
      </c>
      <c r="F1" t="s">
        <v>85</v>
      </c>
      <c r="G1" t="s">
        <v>86</v>
      </c>
      <c r="H1" t="s">
        <v>82</v>
      </c>
    </row>
    <row r="2" spans="1:8" x14ac:dyDescent="0.3">
      <c r="B2" s="43"/>
      <c r="H2" s="44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103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IFERROR(INDEX(tblWardConfig[PrevYearRemaining],MATCH("MW",tblWardConfig[WardCode],0)),0)</f>
        <v>0</v>
      </c>
    </row>
    <row r="5" spans="1:8" x14ac:dyDescent="0.3">
      <c r="A5" s="1" t="s">
        <v>106</v>
      </c>
      <c r="H5" s="7">
        <f>IFERROR(INDEX(tblWardConfig[BedComplement],MATCH("MW",tblWardConfig[WardCode],0)),0)</f>
        <v>32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3">
      <c r="A38" s="9" t="s">
        <v>112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103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IFERROR(SUMIFS(tblDaily[Remaining],tblDaily[EntryDate],DATE(2026,1,31),tblDaily[WardCode],"MW"),0)</f>
        <v>0</v>
      </c>
    </row>
    <row r="44" spans="1:8" x14ac:dyDescent="0.3">
      <c r="A44" s="1" t="s">
        <v>106</v>
      </c>
      <c r="H44" s="7">
        <f>IFERROR(INDEX(tblWardConfig[BedComplement],MATCH("MW",tblWardConfig[WardCode],0)),0)</f>
        <v>32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103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IFERROR(SUMIFS(tblDaily[Remaining],tblDaily[EntryDate],DATE(2026,2,28),tblDaily[WardCode],"MW"),0)</f>
        <v>0</v>
      </c>
    </row>
    <row r="83" spans="1:8" x14ac:dyDescent="0.3">
      <c r="A83" s="1" t="s">
        <v>106</v>
      </c>
      <c r="H83" s="7">
        <f>IFERROR(INDEX(tblWardConfig[BedComplement],MATCH("MW",tblWardConfig[WardCode],0)),0)</f>
        <v>32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3">
      <c r="A116" s="9" t="s">
        <v>112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103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IFERROR(SUMIFS(tblDaily[Remaining],tblDaily[EntryDate],DATE(2026,3,31),tblDaily[WardCode],"MW"),0)</f>
        <v>0</v>
      </c>
    </row>
    <row r="122" spans="1:8" x14ac:dyDescent="0.3">
      <c r="A122" s="1" t="s">
        <v>106</v>
      </c>
      <c r="H122" s="7">
        <f>IFERROR(INDEX(tblWardConfig[BedComplement],MATCH("MW",tblWardConfig[WardCode],0)),0)</f>
        <v>32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103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IFERROR(SUMIFS(tblDaily[Remaining],tblDaily[EntryDate],DATE(2026,4,30),tblDaily[WardCode],"MW"),0)</f>
        <v>0</v>
      </c>
    </row>
    <row r="161" spans="1:8" x14ac:dyDescent="0.3">
      <c r="A161" s="1" t="s">
        <v>106</v>
      </c>
      <c r="H161" s="7">
        <f>IFERROR(INDEX(tblWardConfig[BedComplement],MATCH("MW",tblWardConfig[WardCode],0)),0)</f>
        <v>32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3">
      <c r="A194" s="9" t="s">
        <v>112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103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IFERROR(SUMIFS(tblDaily[Remaining],tblDaily[EntryDate],DATE(2026,5,31),tblDaily[WardCode],"MW"),0)</f>
        <v>0</v>
      </c>
    </row>
    <row r="200" spans="1:8" x14ac:dyDescent="0.3">
      <c r="A200" s="1" t="s">
        <v>106</v>
      </c>
      <c r="H200" s="7">
        <f>IFERROR(INDEX(tblWardConfig[BedComplement],MATCH("MW",tblWardConfig[WardCode],0)),0)</f>
        <v>32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103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IFERROR(SUMIFS(tblDaily[Remaining],tblDaily[EntryDate],DATE(2026,6,30),tblDaily[WardCode],"MW"),0)</f>
        <v>0</v>
      </c>
    </row>
    <row r="239" spans="1:8" x14ac:dyDescent="0.3">
      <c r="A239" s="1" t="s">
        <v>106</v>
      </c>
      <c r="H239" s="7">
        <f>IFERROR(INDEX(tblWardConfig[BedComplement],MATCH("MW",tblWardConfig[WardCode],0)),0)</f>
        <v>32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3">
      <c r="A272" s="9" t="s">
        <v>112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103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IFERROR(SUMIFS(tblDaily[Remaining],tblDaily[EntryDate],DATE(2026,7,31),tblDaily[WardCode],"MW"),0)</f>
        <v>0</v>
      </c>
    </row>
    <row r="278" spans="1:8" x14ac:dyDescent="0.3">
      <c r="A278" s="1" t="s">
        <v>106</v>
      </c>
      <c r="H278" s="7">
        <f>IFERROR(INDEX(tblWardConfig[BedComplement],MATCH("MW",tblWardConfig[WardCode],0)),0)</f>
        <v>32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3">
      <c r="A311" s="9" t="s">
        <v>112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103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IFERROR(SUMIFS(tblDaily[Remaining],tblDaily[EntryDate],DATE(2026,8,31),tblDaily[WardCode],"MW"),0)</f>
        <v>0</v>
      </c>
    </row>
    <row r="317" spans="1:8" x14ac:dyDescent="0.3">
      <c r="A317" s="1" t="s">
        <v>106</v>
      </c>
      <c r="H317" s="7">
        <f>IFERROR(INDEX(tblWardConfig[BedComplement],MATCH("MW",tblWardConfig[WardCode],0)),0)</f>
        <v>32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103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IFERROR(SUMIFS(tblDaily[Remaining],tblDaily[EntryDate],DATE(2026,9,30),tblDaily[WardCode],"MW"),0)</f>
        <v>0</v>
      </c>
    </row>
    <row r="356" spans="1:8" x14ac:dyDescent="0.3">
      <c r="A356" s="1" t="s">
        <v>106</v>
      </c>
      <c r="H356" s="7">
        <f>IFERROR(INDEX(tblWardConfig[BedComplement],MATCH("MW",tblWardConfig[WardCode],0)),0)</f>
        <v>32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3">
      <c r="A389" s="9" t="s">
        <v>112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103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IFERROR(SUMIFS(tblDaily[Remaining],tblDaily[EntryDate],DATE(2026,10,31),tblDaily[WardCode],"MW"),0)</f>
        <v>0</v>
      </c>
    </row>
    <row r="395" spans="1:8" x14ac:dyDescent="0.3">
      <c r="A395" s="1" t="s">
        <v>106</v>
      </c>
      <c r="H395" s="7">
        <f>IFERROR(INDEX(tblWardConfig[BedComplement],MATCH("MW",tblWardConfig[WardCode],0)),0)</f>
        <v>32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103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IFERROR(SUMIFS(tblDaily[Remaining],tblDaily[EntryDate],DATE(2026,11,30),tblDaily[WardCode],"MW"),0)</f>
        <v>0</v>
      </c>
    </row>
    <row r="434" spans="1:8" x14ac:dyDescent="0.3">
      <c r="A434" s="1" t="s">
        <v>106</v>
      </c>
      <c r="H434" s="7">
        <f>IFERROR(INDEX(tblWardConfig[BedComplement],MATCH("MW",tblWardConfig[WardCode],0)),0)</f>
        <v>32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3">
      <c r="A467" s="9" t="s">
        <v>112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113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IFERROR(INDEX(tblWardConfig[PrevYearRemaining],MATCH("FW",tblWardConfig[WardCode],0)),0)</f>
        <v>0</v>
      </c>
    </row>
    <row r="5" spans="1:8" x14ac:dyDescent="0.3">
      <c r="A5" s="1" t="s">
        <v>106</v>
      </c>
      <c r="H5" s="7">
        <f>IFERROR(INDEX(tblWardConfig[BedComplement],MATCH("FW",tblWardConfig[WardCode],0)),0)</f>
        <v>28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3">
      <c r="A38" s="9" t="s">
        <v>112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113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IFERROR(SUMIFS(tblDaily[Remaining],tblDaily[EntryDate],DATE(2026,1,31),tblDaily[WardCode],"FW"),0)</f>
        <v>0</v>
      </c>
    </row>
    <row r="44" spans="1:8" x14ac:dyDescent="0.3">
      <c r="A44" s="1" t="s">
        <v>106</v>
      </c>
      <c r="H44" s="7">
        <f>IFERROR(INDEX(tblWardConfig[BedComplement],MATCH("FW",tblWardConfig[WardCode],0)),0)</f>
        <v>28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113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IFERROR(SUMIFS(tblDaily[Remaining],tblDaily[EntryDate],DATE(2026,2,28),tblDaily[WardCode],"FW"),0)</f>
        <v>0</v>
      </c>
    </row>
    <row r="83" spans="1:8" x14ac:dyDescent="0.3">
      <c r="A83" s="1" t="s">
        <v>106</v>
      </c>
      <c r="H83" s="7">
        <f>IFERROR(INDEX(tblWardConfig[BedComplement],MATCH("FW",tblWardConfig[WardCode],0)),0)</f>
        <v>28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3">
      <c r="A116" s="9" t="s">
        <v>112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113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IFERROR(SUMIFS(tblDaily[Remaining],tblDaily[EntryDate],DATE(2026,3,31),tblDaily[WardCode],"FW"),0)</f>
        <v>0</v>
      </c>
    </row>
    <row r="122" spans="1:8" x14ac:dyDescent="0.3">
      <c r="A122" s="1" t="s">
        <v>106</v>
      </c>
      <c r="H122" s="7">
        <f>IFERROR(INDEX(tblWardConfig[BedComplement],MATCH("FW",tblWardConfig[WardCode],0)),0)</f>
        <v>28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113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IFERROR(SUMIFS(tblDaily[Remaining],tblDaily[EntryDate],DATE(2026,4,30),tblDaily[WardCode],"FW"),0)</f>
        <v>0</v>
      </c>
    </row>
    <row r="161" spans="1:8" x14ac:dyDescent="0.3">
      <c r="A161" s="1" t="s">
        <v>106</v>
      </c>
      <c r="H161" s="7">
        <f>IFERROR(INDEX(tblWardConfig[BedComplement],MATCH("FW",tblWardConfig[WardCode],0)),0)</f>
        <v>28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3">
      <c r="A194" s="9" t="s">
        <v>112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113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IFERROR(SUMIFS(tblDaily[Remaining],tblDaily[EntryDate],DATE(2026,5,31),tblDaily[WardCode],"FW"),0)</f>
        <v>0</v>
      </c>
    </row>
    <row r="200" spans="1:8" x14ac:dyDescent="0.3">
      <c r="A200" s="1" t="s">
        <v>106</v>
      </c>
      <c r="H200" s="7">
        <f>IFERROR(INDEX(tblWardConfig[BedComplement],MATCH("FW",tblWardConfig[WardCode],0)),0)</f>
        <v>28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113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IFERROR(SUMIFS(tblDaily[Remaining],tblDaily[EntryDate],DATE(2026,6,30),tblDaily[WardCode],"FW"),0)</f>
        <v>0</v>
      </c>
    </row>
    <row r="239" spans="1:8" x14ac:dyDescent="0.3">
      <c r="A239" s="1" t="s">
        <v>106</v>
      </c>
      <c r="H239" s="7">
        <f>IFERROR(INDEX(tblWardConfig[BedComplement],MATCH("FW",tblWardConfig[WardCode],0)),0)</f>
        <v>28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3">
      <c r="A272" s="9" t="s">
        <v>112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113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IFERROR(SUMIFS(tblDaily[Remaining],tblDaily[EntryDate],DATE(2026,7,31),tblDaily[WardCode],"FW"),0)</f>
        <v>0</v>
      </c>
    </row>
    <row r="278" spans="1:8" x14ac:dyDescent="0.3">
      <c r="A278" s="1" t="s">
        <v>106</v>
      </c>
      <c r="H278" s="7">
        <f>IFERROR(INDEX(tblWardConfig[BedComplement],MATCH("FW",tblWardConfig[WardCode],0)),0)</f>
        <v>28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3">
      <c r="A311" s="9" t="s">
        <v>112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113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IFERROR(SUMIFS(tblDaily[Remaining],tblDaily[EntryDate],DATE(2026,8,31),tblDaily[WardCode],"FW"),0)</f>
        <v>0</v>
      </c>
    </row>
    <row r="317" spans="1:8" x14ac:dyDescent="0.3">
      <c r="A317" s="1" t="s">
        <v>106</v>
      </c>
      <c r="H317" s="7">
        <f>IFERROR(INDEX(tblWardConfig[BedComplement],MATCH("FW",tblWardConfig[WardCode],0)),0)</f>
        <v>28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113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IFERROR(SUMIFS(tblDaily[Remaining],tblDaily[EntryDate],DATE(2026,9,30),tblDaily[WardCode],"FW"),0)</f>
        <v>0</v>
      </c>
    </row>
    <row r="356" spans="1:8" x14ac:dyDescent="0.3">
      <c r="A356" s="1" t="s">
        <v>106</v>
      </c>
      <c r="H356" s="7">
        <f>IFERROR(INDEX(tblWardConfig[BedComplement],MATCH("FW",tblWardConfig[WardCode],0)),0)</f>
        <v>28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3">
      <c r="A389" s="9" t="s">
        <v>112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113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IFERROR(SUMIFS(tblDaily[Remaining],tblDaily[EntryDate],DATE(2026,10,31),tblDaily[WardCode],"FW"),0)</f>
        <v>0</v>
      </c>
    </row>
    <row r="395" spans="1:8" x14ac:dyDescent="0.3">
      <c r="A395" s="1" t="s">
        <v>106</v>
      </c>
      <c r="H395" s="7">
        <f>IFERROR(INDEX(tblWardConfig[BedComplement],MATCH("FW",tblWardConfig[WardCode],0)),0)</f>
        <v>28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113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IFERROR(SUMIFS(tblDaily[Remaining],tblDaily[EntryDate],DATE(2026,11,30),tblDaily[WardCode],"FW"),0)</f>
        <v>0</v>
      </c>
    </row>
    <row r="434" spans="1:8" x14ac:dyDescent="0.3">
      <c r="A434" s="1" t="s">
        <v>106</v>
      </c>
      <c r="H434" s="7">
        <f>IFERROR(INDEX(tblWardConfig[BedComplement],MATCH("FW",tblWardConfig[WardCode],0)),0)</f>
        <v>28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3">
      <c r="A467" s="9" t="s">
        <v>112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114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IFERROR(INDEX(tblWardConfig[PrevYearRemaining],MATCH("CW",tblWardConfig[WardCode],0)),0)</f>
        <v>0</v>
      </c>
    </row>
    <row r="5" spans="1:8" x14ac:dyDescent="0.3">
      <c r="A5" s="1" t="s">
        <v>106</v>
      </c>
      <c r="H5" s="7">
        <f>IFERROR(INDEX(tblWardConfig[BedComplement],MATCH("CW",tblWardConfig[WardCode],0)),0)</f>
        <v>27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3">
      <c r="A38" s="9" t="s">
        <v>112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114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IFERROR(SUMIFS(tblDaily[Remaining],tblDaily[EntryDate],DATE(2026,1,31),tblDaily[WardCode],"CW"),0)</f>
        <v>0</v>
      </c>
    </row>
    <row r="44" spans="1:8" x14ac:dyDescent="0.3">
      <c r="A44" s="1" t="s">
        <v>106</v>
      </c>
      <c r="H44" s="7">
        <f>IFERROR(INDEX(tblWardConfig[BedComplement],MATCH("CW",tblWardConfig[WardCode],0)),0)</f>
        <v>27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114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IFERROR(SUMIFS(tblDaily[Remaining],tblDaily[EntryDate],DATE(2026,2,28),tblDaily[WardCode],"CW"),0)</f>
        <v>0</v>
      </c>
    </row>
    <row r="83" spans="1:8" x14ac:dyDescent="0.3">
      <c r="A83" s="1" t="s">
        <v>106</v>
      </c>
      <c r="H83" s="7">
        <f>IFERROR(INDEX(tblWardConfig[BedComplement],MATCH("CW",tblWardConfig[WardCode],0)),0)</f>
        <v>27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3">
      <c r="A116" s="9" t="s">
        <v>112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114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IFERROR(SUMIFS(tblDaily[Remaining],tblDaily[EntryDate],DATE(2026,3,31),tblDaily[WardCode],"CW"),0)</f>
        <v>0</v>
      </c>
    </row>
    <row r="122" spans="1:8" x14ac:dyDescent="0.3">
      <c r="A122" s="1" t="s">
        <v>106</v>
      </c>
      <c r="H122" s="7">
        <f>IFERROR(INDEX(tblWardConfig[BedComplement],MATCH("CW",tblWardConfig[WardCode],0)),0)</f>
        <v>27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114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IFERROR(SUMIFS(tblDaily[Remaining],tblDaily[EntryDate],DATE(2026,4,30),tblDaily[WardCode],"CW"),0)</f>
        <v>0</v>
      </c>
    </row>
    <row r="161" spans="1:8" x14ac:dyDescent="0.3">
      <c r="A161" s="1" t="s">
        <v>106</v>
      </c>
      <c r="H161" s="7">
        <f>IFERROR(INDEX(tblWardConfig[BedComplement],MATCH("CW",tblWardConfig[WardCode],0)),0)</f>
        <v>27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3">
      <c r="A194" s="9" t="s">
        <v>112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114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IFERROR(SUMIFS(tblDaily[Remaining],tblDaily[EntryDate],DATE(2026,5,31),tblDaily[WardCode],"CW"),0)</f>
        <v>0</v>
      </c>
    </row>
    <row r="200" spans="1:8" x14ac:dyDescent="0.3">
      <c r="A200" s="1" t="s">
        <v>106</v>
      </c>
      <c r="H200" s="7">
        <f>IFERROR(INDEX(tblWardConfig[BedComplement],MATCH("CW",tblWardConfig[WardCode],0)),0)</f>
        <v>27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114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IFERROR(SUMIFS(tblDaily[Remaining],tblDaily[EntryDate],DATE(2026,6,30),tblDaily[WardCode],"CW"),0)</f>
        <v>0</v>
      </c>
    </row>
    <row r="239" spans="1:8" x14ac:dyDescent="0.3">
      <c r="A239" s="1" t="s">
        <v>106</v>
      </c>
      <c r="H239" s="7">
        <f>IFERROR(INDEX(tblWardConfig[BedComplement],MATCH("CW",tblWardConfig[WardCode],0)),0)</f>
        <v>27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3">
      <c r="A272" s="9" t="s">
        <v>112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114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IFERROR(SUMIFS(tblDaily[Remaining],tblDaily[EntryDate],DATE(2026,7,31),tblDaily[WardCode],"CW"),0)</f>
        <v>0</v>
      </c>
    </row>
    <row r="278" spans="1:8" x14ac:dyDescent="0.3">
      <c r="A278" s="1" t="s">
        <v>106</v>
      </c>
      <c r="H278" s="7">
        <f>IFERROR(INDEX(tblWardConfig[BedComplement],MATCH("CW",tblWardConfig[WardCode],0)),0)</f>
        <v>27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3">
      <c r="A311" s="9" t="s">
        <v>112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114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IFERROR(SUMIFS(tblDaily[Remaining],tblDaily[EntryDate],DATE(2026,8,31),tblDaily[WardCode],"CW"),0)</f>
        <v>0</v>
      </c>
    </row>
    <row r="317" spans="1:8" x14ac:dyDescent="0.3">
      <c r="A317" s="1" t="s">
        <v>106</v>
      </c>
      <c r="H317" s="7">
        <f>IFERROR(INDEX(tblWardConfig[BedComplement],MATCH("CW",tblWardConfig[WardCode],0)),0)</f>
        <v>27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114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IFERROR(SUMIFS(tblDaily[Remaining],tblDaily[EntryDate],DATE(2026,9,30),tblDaily[WardCode],"CW"),0)</f>
        <v>0</v>
      </c>
    </row>
    <row r="356" spans="1:8" x14ac:dyDescent="0.3">
      <c r="A356" s="1" t="s">
        <v>106</v>
      </c>
      <c r="H356" s="7">
        <f>IFERROR(INDEX(tblWardConfig[BedComplement],MATCH("CW",tblWardConfig[WardCode],0)),0)</f>
        <v>27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3">
      <c r="A389" s="9" t="s">
        <v>112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114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IFERROR(SUMIFS(tblDaily[Remaining],tblDaily[EntryDate],DATE(2026,10,31),tblDaily[WardCode],"CW"),0)</f>
        <v>0</v>
      </c>
    </row>
    <row r="395" spans="1:8" x14ac:dyDescent="0.3">
      <c r="A395" s="1" t="s">
        <v>106</v>
      </c>
      <c r="H395" s="7">
        <f>IFERROR(INDEX(tblWardConfig[BedComplement],MATCH("CW",tblWardConfig[WardCode],0)),0)</f>
        <v>27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114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IFERROR(SUMIFS(tblDaily[Remaining],tblDaily[EntryDate],DATE(2026,11,30),tblDaily[WardCode],"CW"),0)</f>
        <v>0</v>
      </c>
    </row>
    <row r="434" spans="1:8" x14ac:dyDescent="0.3">
      <c r="A434" s="1" t="s">
        <v>106</v>
      </c>
      <c r="H434" s="7">
        <f>IFERROR(INDEX(tblWardConfig[BedComplement],MATCH("CW",tblWardConfig[WardCode],0)),0)</f>
        <v>27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3">
      <c r="A467" s="9" t="s">
        <v>112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115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IFERROR(INDEX(tblWardConfig[PrevYearRemaining],MATCH("BF",tblWardConfig[WardCode],0)),0)</f>
        <v>0</v>
      </c>
    </row>
    <row r="5" spans="1:8" x14ac:dyDescent="0.3">
      <c r="A5" s="1" t="s">
        <v>106</v>
      </c>
      <c r="H5" s="7">
        <f>IFERROR(INDEX(tblWardConfig[BedComplement],MATCH("BF",tblWardConfig[WardCode],0)),0)</f>
        <v>20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3">
      <c r="A38" s="9" t="s">
        <v>112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115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IFERROR(SUMIFS(tblDaily[Remaining],tblDaily[EntryDate],DATE(2026,1,31),tblDaily[WardCode],"BF"),0)</f>
        <v>0</v>
      </c>
    </row>
    <row r="44" spans="1:8" x14ac:dyDescent="0.3">
      <c r="A44" s="1" t="s">
        <v>106</v>
      </c>
      <c r="H44" s="7">
        <f>IFERROR(INDEX(tblWardConfig[BedComplement],MATCH("BF",tblWardConfig[WardCode],0)),0)</f>
        <v>20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115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IFERROR(SUMIFS(tblDaily[Remaining],tblDaily[EntryDate],DATE(2026,2,28),tblDaily[WardCode],"BF"),0)</f>
        <v>0</v>
      </c>
    </row>
    <row r="83" spans="1:8" x14ac:dyDescent="0.3">
      <c r="A83" s="1" t="s">
        <v>106</v>
      </c>
      <c r="H83" s="7">
        <f>IFERROR(INDEX(tblWardConfig[BedComplement],MATCH("BF",tblWardConfig[WardCode],0)),0)</f>
        <v>20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3">
      <c r="A116" s="9" t="s">
        <v>112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115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IFERROR(SUMIFS(tblDaily[Remaining],tblDaily[EntryDate],DATE(2026,3,31),tblDaily[WardCode],"BF"),0)</f>
        <v>0</v>
      </c>
    </row>
    <row r="122" spans="1:8" x14ac:dyDescent="0.3">
      <c r="A122" s="1" t="s">
        <v>106</v>
      </c>
      <c r="H122" s="7">
        <f>IFERROR(INDEX(tblWardConfig[BedComplement],MATCH("BF",tblWardConfig[WardCode],0)),0)</f>
        <v>20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115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IFERROR(SUMIFS(tblDaily[Remaining],tblDaily[EntryDate],DATE(2026,4,30),tblDaily[WardCode],"BF"),0)</f>
        <v>0</v>
      </c>
    </row>
    <row r="161" spans="1:8" x14ac:dyDescent="0.3">
      <c r="A161" s="1" t="s">
        <v>106</v>
      </c>
      <c r="H161" s="7">
        <f>IFERROR(INDEX(tblWardConfig[BedComplement],MATCH("BF",tblWardConfig[WardCode],0)),0)</f>
        <v>20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3">
      <c r="A194" s="9" t="s">
        <v>112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115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IFERROR(SUMIFS(tblDaily[Remaining],tblDaily[EntryDate],DATE(2026,5,31),tblDaily[WardCode],"BF"),0)</f>
        <v>0</v>
      </c>
    </row>
    <row r="200" spans="1:8" x14ac:dyDescent="0.3">
      <c r="A200" s="1" t="s">
        <v>106</v>
      </c>
      <c r="H200" s="7">
        <f>IFERROR(INDEX(tblWardConfig[BedComplement],MATCH("BF",tblWardConfig[WardCode],0)),0)</f>
        <v>20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115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IFERROR(SUMIFS(tblDaily[Remaining],tblDaily[EntryDate],DATE(2026,6,30),tblDaily[WardCode],"BF"),0)</f>
        <v>0</v>
      </c>
    </row>
    <row r="239" spans="1:8" x14ac:dyDescent="0.3">
      <c r="A239" s="1" t="s">
        <v>106</v>
      </c>
      <c r="H239" s="7">
        <f>IFERROR(INDEX(tblWardConfig[BedComplement],MATCH("BF",tblWardConfig[WardCode],0)),0)</f>
        <v>20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3">
      <c r="A272" s="9" t="s">
        <v>112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115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IFERROR(SUMIFS(tblDaily[Remaining],tblDaily[EntryDate],DATE(2026,7,31),tblDaily[WardCode],"BF"),0)</f>
        <v>0</v>
      </c>
    </row>
    <row r="278" spans="1:8" x14ac:dyDescent="0.3">
      <c r="A278" s="1" t="s">
        <v>106</v>
      </c>
      <c r="H278" s="7">
        <f>IFERROR(INDEX(tblWardConfig[BedComplement],MATCH("BF",tblWardConfig[WardCode],0)),0)</f>
        <v>20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3">
      <c r="A311" s="9" t="s">
        <v>112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115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IFERROR(SUMIFS(tblDaily[Remaining],tblDaily[EntryDate],DATE(2026,8,31),tblDaily[WardCode],"BF"),0)</f>
        <v>0</v>
      </c>
    </row>
    <row r="317" spans="1:8" x14ac:dyDescent="0.3">
      <c r="A317" s="1" t="s">
        <v>106</v>
      </c>
      <c r="H317" s="7">
        <f>IFERROR(INDEX(tblWardConfig[BedComplement],MATCH("BF",tblWardConfig[WardCode],0)),0)</f>
        <v>20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115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IFERROR(SUMIFS(tblDaily[Remaining],tblDaily[EntryDate],DATE(2026,9,30),tblDaily[WardCode],"BF"),0)</f>
        <v>0</v>
      </c>
    </row>
    <row r="356" spans="1:8" x14ac:dyDescent="0.3">
      <c r="A356" s="1" t="s">
        <v>106</v>
      </c>
      <c r="H356" s="7">
        <f>IFERROR(INDEX(tblWardConfig[BedComplement],MATCH("BF",tblWardConfig[WardCode],0)),0)</f>
        <v>20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3">
      <c r="A389" s="9" t="s">
        <v>112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115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IFERROR(SUMIFS(tblDaily[Remaining],tblDaily[EntryDate],DATE(2026,10,31),tblDaily[WardCode],"BF"),0)</f>
        <v>0</v>
      </c>
    </row>
    <row r="395" spans="1:8" x14ac:dyDescent="0.3">
      <c r="A395" s="1" t="s">
        <v>106</v>
      </c>
      <c r="H395" s="7">
        <f>IFERROR(INDEX(tblWardConfig[BedComplement],MATCH("BF",tblWardConfig[WardCode],0)),0)</f>
        <v>20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115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IFERROR(SUMIFS(tblDaily[Remaining],tblDaily[EntryDate],DATE(2026,11,30),tblDaily[WardCode],"BF"),0)</f>
        <v>0</v>
      </c>
    </row>
    <row r="434" spans="1:8" x14ac:dyDescent="0.3">
      <c r="A434" s="1" t="s">
        <v>106</v>
      </c>
      <c r="H434" s="7">
        <f>IFERROR(INDEX(tblWardConfig[BedComplement],MATCH("BF",tblWardConfig[WardCode],0)),0)</f>
        <v>20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3">
      <c r="A467" s="9" t="s">
        <v>112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116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IFERROR(INDEX(tblWardConfig[PrevYearRemaining],MATCH("BG",tblWardConfig[WardCode],0)),0)</f>
        <v>0</v>
      </c>
    </row>
    <row r="5" spans="1:8" x14ac:dyDescent="0.3">
      <c r="A5" s="1" t="s">
        <v>106</v>
      </c>
      <c r="H5" s="7">
        <f>IFERROR(INDEX(tblWardConfig[BedComplement],MATCH("BG",tblWardConfig[WardCode],0)),0)</f>
        <v>14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3">
      <c r="A38" s="9" t="s">
        <v>112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116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IFERROR(SUMIFS(tblDaily[Remaining],tblDaily[EntryDate],DATE(2026,1,31),tblDaily[WardCode],"BG"),0)</f>
        <v>0</v>
      </c>
    </row>
    <row r="44" spans="1:8" x14ac:dyDescent="0.3">
      <c r="A44" s="1" t="s">
        <v>106</v>
      </c>
      <c r="H44" s="7">
        <f>IFERROR(INDEX(tblWardConfig[BedComplement],MATCH("BG",tblWardConfig[WardCode],0)),0)</f>
        <v>14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116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IFERROR(SUMIFS(tblDaily[Remaining],tblDaily[EntryDate],DATE(2026,2,28),tblDaily[WardCode],"BG"),0)</f>
        <v>0</v>
      </c>
    </row>
    <row r="83" spans="1:8" x14ac:dyDescent="0.3">
      <c r="A83" s="1" t="s">
        <v>106</v>
      </c>
      <c r="H83" s="7">
        <f>IFERROR(INDEX(tblWardConfig[BedComplement],MATCH("BG",tblWardConfig[WardCode],0)),0)</f>
        <v>14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3">
      <c r="A116" s="9" t="s">
        <v>112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116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IFERROR(SUMIFS(tblDaily[Remaining],tblDaily[EntryDate],DATE(2026,3,31),tblDaily[WardCode],"BG"),0)</f>
        <v>0</v>
      </c>
    </row>
    <row r="122" spans="1:8" x14ac:dyDescent="0.3">
      <c r="A122" s="1" t="s">
        <v>106</v>
      </c>
      <c r="H122" s="7">
        <f>IFERROR(INDEX(tblWardConfig[BedComplement],MATCH("BG",tblWardConfig[WardCode],0)),0)</f>
        <v>14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116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IFERROR(SUMIFS(tblDaily[Remaining],tblDaily[EntryDate],DATE(2026,4,30),tblDaily[WardCode],"BG"),0)</f>
        <v>0</v>
      </c>
    </row>
    <row r="161" spans="1:8" x14ac:dyDescent="0.3">
      <c r="A161" s="1" t="s">
        <v>106</v>
      </c>
      <c r="H161" s="7">
        <f>IFERROR(INDEX(tblWardConfig[BedComplement],MATCH("BG",tblWardConfig[WardCode],0)),0)</f>
        <v>14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3">
      <c r="A194" s="9" t="s">
        <v>112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116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IFERROR(SUMIFS(tblDaily[Remaining],tblDaily[EntryDate],DATE(2026,5,31),tblDaily[WardCode],"BG"),0)</f>
        <v>0</v>
      </c>
    </row>
    <row r="200" spans="1:8" x14ac:dyDescent="0.3">
      <c r="A200" s="1" t="s">
        <v>106</v>
      </c>
      <c r="H200" s="7">
        <f>IFERROR(INDEX(tblWardConfig[BedComplement],MATCH("BG",tblWardConfig[WardCode],0)),0)</f>
        <v>14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116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IFERROR(SUMIFS(tblDaily[Remaining],tblDaily[EntryDate],DATE(2026,6,30),tblDaily[WardCode],"BG"),0)</f>
        <v>0</v>
      </c>
    </row>
    <row r="239" spans="1:8" x14ac:dyDescent="0.3">
      <c r="A239" s="1" t="s">
        <v>106</v>
      </c>
      <c r="H239" s="7">
        <f>IFERROR(INDEX(tblWardConfig[BedComplement],MATCH("BG",tblWardConfig[WardCode],0)),0)</f>
        <v>14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3">
      <c r="A272" s="9" t="s">
        <v>112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116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IFERROR(SUMIFS(tblDaily[Remaining],tblDaily[EntryDate],DATE(2026,7,31),tblDaily[WardCode],"BG"),0)</f>
        <v>0</v>
      </c>
    </row>
    <row r="278" spans="1:8" x14ac:dyDescent="0.3">
      <c r="A278" s="1" t="s">
        <v>106</v>
      </c>
      <c r="H278" s="7">
        <f>IFERROR(INDEX(tblWardConfig[BedComplement],MATCH("BG",tblWardConfig[WardCode],0)),0)</f>
        <v>14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3">
      <c r="A311" s="9" t="s">
        <v>112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116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IFERROR(SUMIFS(tblDaily[Remaining],tblDaily[EntryDate],DATE(2026,8,31),tblDaily[WardCode],"BG"),0)</f>
        <v>0</v>
      </c>
    </row>
    <row r="317" spans="1:8" x14ac:dyDescent="0.3">
      <c r="A317" s="1" t="s">
        <v>106</v>
      </c>
      <c r="H317" s="7">
        <f>IFERROR(INDEX(tblWardConfig[BedComplement],MATCH("BG",tblWardConfig[WardCode],0)),0)</f>
        <v>14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116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IFERROR(SUMIFS(tblDaily[Remaining],tblDaily[EntryDate],DATE(2026,9,30),tblDaily[WardCode],"BG"),0)</f>
        <v>0</v>
      </c>
    </row>
    <row r="356" spans="1:8" x14ac:dyDescent="0.3">
      <c r="A356" s="1" t="s">
        <v>106</v>
      </c>
      <c r="H356" s="7">
        <f>IFERROR(INDEX(tblWardConfig[BedComplement],MATCH("BG",tblWardConfig[WardCode],0)),0)</f>
        <v>14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3">
      <c r="A389" s="9" t="s">
        <v>112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116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IFERROR(SUMIFS(tblDaily[Remaining],tblDaily[EntryDate],DATE(2026,10,31),tblDaily[WardCode],"BG"),0)</f>
        <v>0</v>
      </c>
    </row>
    <row r="395" spans="1:8" x14ac:dyDescent="0.3">
      <c r="A395" s="1" t="s">
        <v>106</v>
      </c>
      <c r="H395" s="7">
        <f>IFERROR(INDEX(tblWardConfig[BedComplement],MATCH("BG",tblWardConfig[WardCode],0)),0)</f>
        <v>14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116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IFERROR(SUMIFS(tblDaily[Remaining],tblDaily[EntryDate],DATE(2026,11,30),tblDaily[WardCode],"BG"),0)</f>
        <v>0</v>
      </c>
    </row>
    <row r="434" spans="1:8" x14ac:dyDescent="0.3">
      <c r="A434" s="1" t="s">
        <v>106</v>
      </c>
      <c r="H434" s="7">
        <f>IFERROR(INDEX(tblWardConfig[BedComplement],MATCH("BG",tblWardConfig[WardCode],0)),0)</f>
        <v>14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3">
      <c r="A467" s="9" t="s">
        <v>112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117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IFERROR(INDEX(tblWardConfig[PrevYearRemaining],MATCH("BH",tblWardConfig[WardCode],0)),0)</f>
        <v>0</v>
      </c>
    </row>
    <row r="5" spans="1:8" x14ac:dyDescent="0.3">
      <c r="A5" s="1" t="s">
        <v>106</v>
      </c>
      <c r="H5" s="7">
        <f>IFERROR(INDEX(tblWardConfig[BedComplement],MATCH("BH",tblWardConfig[WardCode],0)),0)</f>
        <v>22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3">
      <c r="A38" s="9" t="s">
        <v>112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117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IFERROR(SUMIFS(tblDaily[Remaining],tblDaily[EntryDate],DATE(2026,1,31),tblDaily[WardCode],"BH"),0)</f>
        <v>0</v>
      </c>
    </row>
    <row r="44" spans="1:8" x14ac:dyDescent="0.3">
      <c r="A44" s="1" t="s">
        <v>106</v>
      </c>
      <c r="H44" s="7">
        <f>IFERROR(INDEX(tblWardConfig[BedComplement],MATCH("BH",tblWardConfig[WardCode],0)),0)</f>
        <v>22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117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IFERROR(SUMIFS(tblDaily[Remaining],tblDaily[EntryDate],DATE(2026,2,28),tblDaily[WardCode],"BH"),0)</f>
        <v>0</v>
      </c>
    </row>
    <row r="83" spans="1:8" x14ac:dyDescent="0.3">
      <c r="A83" s="1" t="s">
        <v>106</v>
      </c>
      <c r="H83" s="7">
        <f>IFERROR(INDEX(tblWardConfig[BedComplement],MATCH("BH",tblWardConfig[WardCode],0)),0)</f>
        <v>22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3">
      <c r="A116" s="9" t="s">
        <v>112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117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IFERROR(SUMIFS(tblDaily[Remaining],tblDaily[EntryDate],DATE(2026,3,31),tblDaily[WardCode],"BH"),0)</f>
        <v>0</v>
      </c>
    </row>
    <row r="122" spans="1:8" x14ac:dyDescent="0.3">
      <c r="A122" s="1" t="s">
        <v>106</v>
      </c>
      <c r="H122" s="7">
        <f>IFERROR(INDEX(tblWardConfig[BedComplement],MATCH("BH",tblWardConfig[WardCode],0)),0)</f>
        <v>22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117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IFERROR(SUMIFS(tblDaily[Remaining],tblDaily[EntryDate],DATE(2026,4,30),tblDaily[WardCode],"BH"),0)</f>
        <v>0</v>
      </c>
    </row>
    <row r="161" spans="1:8" x14ac:dyDescent="0.3">
      <c r="A161" s="1" t="s">
        <v>106</v>
      </c>
      <c r="H161" s="7">
        <f>IFERROR(INDEX(tblWardConfig[BedComplement],MATCH("BH",tblWardConfig[WardCode],0)),0)</f>
        <v>22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3">
      <c r="A194" s="9" t="s">
        <v>112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117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IFERROR(SUMIFS(tblDaily[Remaining],tblDaily[EntryDate],DATE(2026,5,31),tblDaily[WardCode],"BH"),0)</f>
        <v>0</v>
      </c>
    </row>
    <row r="200" spans="1:8" x14ac:dyDescent="0.3">
      <c r="A200" s="1" t="s">
        <v>106</v>
      </c>
      <c r="H200" s="7">
        <f>IFERROR(INDEX(tblWardConfig[BedComplement],MATCH("BH",tblWardConfig[WardCode],0)),0)</f>
        <v>22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117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IFERROR(SUMIFS(tblDaily[Remaining],tblDaily[EntryDate],DATE(2026,6,30),tblDaily[WardCode],"BH"),0)</f>
        <v>0</v>
      </c>
    </row>
    <row r="239" spans="1:8" x14ac:dyDescent="0.3">
      <c r="A239" s="1" t="s">
        <v>106</v>
      </c>
      <c r="H239" s="7">
        <f>IFERROR(INDEX(tblWardConfig[BedComplement],MATCH("BH",tblWardConfig[WardCode],0)),0)</f>
        <v>22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3">
      <c r="A272" s="9" t="s">
        <v>112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117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IFERROR(SUMIFS(tblDaily[Remaining],tblDaily[EntryDate],DATE(2026,7,31),tblDaily[WardCode],"BH"),0)</f>
        <v>0</v>
      </c>
    </row>
    <row r="278" spans="1:8" x14ac:dyDescent="0.3">
      <c r="A278" s="1" t="s">
        <v>106</v>
      </c>
      <c r="H278" s="7">
        <f>IFERROR(INDEX(tblWardConfig[BedComplement],MATCH("BH",tblWardConfig[WardCode],0)),0)</f>
        <v>22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3">
      <c r="A311" s="9" t="s">
        <v>112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117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IFERROR(SUMIFS(tblDaily[Remaining],tblDaily[EntryDate],DATE(2026,8,31),tblDaily[WardCode],"BH"),0)</f>
        <v>0</v>
      </c>
    </row>
    <row r="317" spans="1:8" x14ac:dyDescent="0.3">
      <c r="A317" s="1" t="s">
        <v>106</v>
      </c>
      <c r="H317" s="7">
        <f>IFERROR(INDEX(tblWardConfig[BedComplement],MATCH("BH",tblWardConfig[WardCode],0)),0)</f>
        <v>22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117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IFERROR(SUMIFS(tblDaily[Remaining],tblDaily[EntryDate],DATE(2026,9,30),tblDaily[WardCode],"BH"),0)</f>
        <v>0</v>
      </c>
    </row>
    <row r="356" spans="1:8" x14ac:dyDescent="0.3">
      <c r="A356" s="1" t="s">
        <v>106</v>
      </c>
      <c r="H356" s="7">
        <f>IFERROR(INDEX(tblWardConfig[BedComplement],MATCH("BH",tblWardConfig[WardCode],0)),0)</f>
        <v>22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3">
      <c r="A389" s="9" t="s">
        <v>112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117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IFERROR(SUMIFS(tblDaily[Remaining],tblDaily[EntryDate],DATE(2026,10,31),tblDaily[WardCode],"BH"),0)</f>
        <v>0</v>
      </c>
    </row>
    <row r="395" spans="1:8" x14ac:dyDescent="0.3">
      <c r="A395" s="1" t="s">
        <v>106</v>
      </c>
      <c r="H395" s="7">
        <f>IFERROR(INDEX(tblWardConfig[BedComplement],MATCH("BH",tblWardConfig[WardCode],0)),0)</f>
        <v>22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117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IFERROR(SUMIFS(tblDaily[Remaining],tblDaily[EntryDate],DATE(2026,11,30),tblDaily[WardCode],"BH"),0)</f>
        <v>0</v>
      </c>
    </row>
    <row r="434" spans="1:8" x14ac:dyDescent="0.3">
      <c r="A434" s="1" t="s">
        <v>106</v>
      </c>
      <c r="H434" s="7">
        <f>IFERROR(INDEX(tblWardConfig[BedComplement],MATCH("BH",tblWardConfig[WardCode],0)),0)</f>
        <v>22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3">
      <c r="A467" s="9" t="s">
        <v>112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118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IFERROR(INDEX(tblWardConfig[PrevYearRemaining],MATCH("NICU",tblWardConfig[WardCode],0)),0)</f>
        <v>0</v>
      </c>
    </row>
    <row r="5" spans="1:8" x14ac:dyDescent="0.3">
      <c r="A5" s="1" t="s">
        <v>106</v>
      </c>
      <c r="H5" s="7">
        <f>IFERROR(INDEX(tblWardConfig[BedComplement],MATCH("NICU",tblWardConfig[WardCode],0)),0)</f>
        <v>15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3">
      <c r="A38" s="9" t="s">
        <v>112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118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IFERROR(SUMIFS(tblDaily[Remaining],tblDaily[EntryDate],DATE(2026,1,31),tblDaily[WardCode],"NICU"),0)</f>
        <v>0</v>
      </c>
    </row>
    <row r="44" spans="1:8" x14ac:dyDescent="0.3">
      <c r="A44" s="1" t="s">
        <v>106</v>
      </c>
      <c r="H44" s="7">
        <f>IFERROR(INDEX(tblWardConfig[BedComplement],MATCH("NICU",tblWardConfig[WardCode],0)),0)</f>
        <v>15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118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IFERROR(SUMIFS(tblDaily[Remaining],tblDaily[EntryDate],DATE(2026,2,28),tblDaily[WardCode],"NICU"),0)</f>
        <v>0</v>
      </c>
    </row>
    <row r="83" spans="1:8" x14ac:dyDescent="0.3">
      <c r="A83" s="1" t="s">
        <v>106</v>
      </c>
      <c r="H83" s="7">
        <f>IFERROR(INDEX(tblWardConfig[BedComplement],MATCH("NICU",tblWardConfig[WardCode],0)),0)</f>
        <v>15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3">
      <c r="A116" s="9" t="s">
        <v>112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118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IFERROR(SUMIFS(tblDaily[Remaining],tblDaily[EntryDate],DATE(2026,3,31),tblDaily[WardCode],"NICU"),0)</f>
        <v>0</v>
      </c>
    </row>
    <row r="122" spans="1:8" x14ac:dyDescent="0.3">
      <c r="A122" s="1" t="s">
        <v>106</v>
      </c>
      <c r="H122" s="7">
        <f>IFERROR(INDEX(tblWardConfig[BedComplement],MATCH("NICU",tblWardConfig[WardCode],0)),0)</f>
        <v>15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118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IFERROR(SUMIFS(tblDaily[Remaining],tblDaily[EntryDate],DATE(2026,4,30),tblDaily[WardCode],"NICU"),0)</f>
        <v>0</v>
      </c>
    </row>
    <row r="161" spans="1:8" x14ac:dyDescent="0.3">
      <c r="A161" s="1" t="s">
        <v>106</v>
      </c>
      <c r="H161" s="7">
        <f>IFERROR(INDEX(tblWardConfig[BedComplement],MATCH("NICU",tblWardConfig[WardCode],0)),0)</f>
        <v>15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3">
      <c r="A194" s="9" t="s">
        <v>112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118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IFERROR(SUMIFS(tblDaily[Remaining],tblDaily[EntryDate],DATE(2026,5,31),tblDaily[WardCode],"NICU"),0)</f>
        <v>0</v>
      </c>
    </row>
    <row r="200" spans="1:8" x14ac:dyDescent="0.3">
      <c r="A200" s="1" t="s">
        <v>106</v>
      </c>
      <c r="H200" s="7">
        <f>IFERROR(INDEX(tblWardConfig[BedComplement],MATCH("NICU",tblWardConfig[WardCode],0)),0)</f>
        <v>15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118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IFERROR(SUMIFS(tblDaily[Remaining],tblDaily[EntryDate],DATE(2026,6,30),tblDaily[WardCode],"NICU"),0)</f>
        <v>0</v>
      </c>
    </row>
    <row r="239" spans="1:8" x14ac:dyDescent="0.3">
      <c r="A239" s="1" t="s">
        <v>106</v>
      </c>
      <c r="H239" s="7">
        <f>IFERROR(INDEX(tblWardConfig[BedComplement],MATCH("NICU",tblWardConfig[WardCode],0)),0)</f>
        <v>15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3">
      <c r="A272" s="9" t="s">
        <v>112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118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IFERROR(SUMIFS(tblDaily[Remaining],tblDaily[EntryDate],DATE(2026,7,31),tblDaily[WardCode],"NICU"),0)</f>
        <v>0</v>
      </c>
    </row>
    <row r="278" spans="1:8" x14ac:dyDescent="0.3">
      <c r="A278" s="1" t="s">
        <v>106</v>
      </c>
      <c r="H278" s="7">
        <f>IFERROR(INDEX(tblWardConfig[BedComplement],MATCH("NICU",tblWardConfig[WardCode],0)),0)</f>
        <v>15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3">
      <c r="A311" s="9" t="s">
        <v>112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118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IFERROR(SUMIFS(tblDaily[Remaining],tblDaily[EntryDate],DATE(2026,8,31),tblDaily[WardCode],"NICU"),0)</f>
        <v>0</v>
      </c>
    </row>
    <row r="317" spans="1:8" x14ac:dyDescent="0.3">
      <c r="A317" s="1" t="s">
        <v>106</v>
      </c>
      <c r="H317" s="7">
        <f>IFERROR(INDEX(tblWardConfig[BedComplement],MATCH("NICU",tblWardConfig[WardCode],0)),0)</f>
        <v>15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118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IFERROR(SUMIFS(tblDaily[Remaining],tblDaily[EntryDate],DATE(2026,9,30),tblDaily[WardCode],"NICU"),0)</f>
        <v>0</v>
      </c>
    </row>
    <row r="356" spans="1:8" x14ac:dyDescent="0.3">
      <c r="A356" s="1" t="s">
        <v>106</v>
      </c>
      <c r="H356" s="7">
        <f>IFERROR(INDEX(tblWardConfig[BedComplement],MATCH("NICU",tblWardConfig[WardCode],0)),0)</f>
        <v>15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3">
      <c r="A389" s="9" t="s">
        <v>112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118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IFERROR(SUMIFS(tblDaily[Remaining],tblDaily[EntryDate],DATE(2026,10,31),tblDaily[WardCode],"NICU"),0)</f>
        <v>0</v>
      </c>
    </row>
    <row r="395" spans="1:8" x14ac:dyDescent="0.3">
      <c r="A395" s="1" t="s">
        <v>106</v>
      </c>
      <c r="H395" s="7">
        <f>IFERROR(INDEX(tblWardConfig[BedComplement],MATCH("NICU",tblWardConfig[WardCode],0)),0)</f>
        <v>15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118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IFERROR(SUMIFS(tblDaily[Remaining],tblDaily[EntryDate],DATE(2026,11,30),tblDaily[WardCode],"NICU"),0)</f>
        <v>0</v>
      </c>
    </row>
    <row r="434" spans="1:8" x14ac:dyDescent="0.3">
      <c r="A434" s="1" t="s">
        <v>106</v>
      </c>
      <c r="H434" s="7">
        <f>IFERROR(INDEX(tblWardConfig[BedComplement],MATCH("NICU",tblWardConfig[WardCode],0)),0)</f>
        <v>15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3">
      <c r="A467" s="9" t="s">
        <v>112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119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IFERROR(INDEX(tblWardConfig[PrevYearRemaining],MATCH("MAE",tblWardConfig[WardCode],0)),0)</f>
        <v>0</v>
      </c>
    </row>
    <row r="5" spans="1:8" x14ac:dyDescent="0.3">
      <c r="A5" s="1" t="s">
        <v>106</v>
      </c>
      <c r="H5" s="7">
        <f>IFERROR(INDEX(tblWardConfig[BedComplement],MATCH("MAE",tblWardConfig[WardCode],0)),0)</f>
        <v>10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3">
      <c r="A38" s="9" t="s">
        <v>112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119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IFERROR(SUMIFS(tblDaily[Remaining],tblDaily[EntryDate],DATE(2026,1,31),tblDaily[WardCode],"MAE"),0)</f>
        <v>0</v>
      </c>
    </row>
    <row r="44" spans="1:8" x14ac:dyDescent="0.3">
      <c r="A44" s="1" t="s">
        <v>106</v>
      </c>
      <c r="H44" s="7">
        <f>IFERROR(INDEX(tblWardConfig[BedComplement],MATCH("MAE",tblWardConfig[WardCode],0)),0)</f>
        <v>10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119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IFERROR(SUMIFS(tblDaily[Remaining],tblDaily[EntryDate],DATE(2026,2,28),tblDaily[WardCode],"MAE"),0)</f>
        <v>0</v>
      </c>
    </row>
    <row r="83" spans="1:8" x14ac:dyDescent="0.3">
      <c r="A83" s="1" t="s">
        <v>106</v>
      </c>
      <c r="H83" s="7">
        <f>IFERROR(INDEX(tblWardConfig[BedComplement],MATCH("MAE",tblWardConfig[WardCode],0)),0)</f>
        <v>10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3">
      <c r="A116" s="9" t="s">
        <v>112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119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IFERROR(SUMIFS(tblDaily[Remaining],tblDaily[EntryDate],DATE(2026,3,31),tblDaily[WardCode],"MAE"),0)</f>
        <v>0</v>
      </c>
    </row>
    <row r="122" spans="1:8" x14ac:dyDescent="0.3">
      <c r="A122" s="1" t="s">
        <v>106</v>
      </c>
      <c r="H122" s="7">
        <f>IFERROR(INDEX(tblWardConfig[BedComplement],MATCH("MAE",tblWardConfig[WardCode],0)),0)</f>
        <v>10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119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IFERROR(SUMIFS(tblDaily[Remaining],tblDaily[EntryDate],DATE(2026,4,30),tblDaily[WardCode],"MAE"),0)</f>
        <v>0</v>
      </c>
    </row>
    <row r="161" spans="1:8" x14ac:dyDescent="0.3">
      <c r="A161" s="1" t="s">
        <v>106</v>
      </c>
      <c r="H161" s="7">
        <f>IFERROR(INDEX(tblWardConfig[BedComplement],MATCH("MAE",tblWardConfig[WardCode],0)),0)</f>
        <v>10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3">
      <c r="A194" s="9" t="s">
        <v>112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119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IFERROR(SUMIFS(tblDaily[Remaining],tblDaily[EntryDate],DATE(2026,5,31),tblDaily[WardCode],"MAE"),0)</f>
        <v>0</v>
      </c>
    </row>
    <row r="200" spans="1:8" x14ac:dyDescent="0.3">
      <c r="A200" s="1" t="s">
        <v>106</v>
      </c>
      <c r="H200" s="7">
        <f>IFERROR(INDEX(tblWardConfig[BedComplement],MATCH("MAE",tblWardConfig[WardCode],0)),0)</f>
        <v>10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119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IFERROR(SUMIFS(tblDaily[Remaining],tblDaily[EntryDate],DATE(2026,6,30),tblDaily[WardCode],"MAE"),0)</f>
        <v>0</v>
      </c>
    </row>
    <row r="239" spans="1:8" x14ac:dyDescent="0.3">
      <c r="A239" s="1" t="s">
        <v>106</v>
      </c>
      <c r="H239" s="7">
        <f>IFERROR(INDEX(tblWardConfig[BedComplement],MATCH("MAE",tblWardConfig[WardCode],0)),0)</f>
        <v>10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3">
      <c r="A272" s="9" t="s">
        <v>112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119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IFERROR(SUMIFS(tblDaily[Remaining],tblDaily[EntryDate],DATE(2026,7,31),tblDaily[WardCode],"MAE"),0)</f>
        <v>0</v>
      </c>
    </row>
    <row r="278" spans="1:8" x14ac:dyDescent="0.3">
      <c r="A278" s="1" t="s">
        <v>106</v>
      </c>
      <c r="H278" s="7">
        <f>IFERROR(INDEX(tblWardConfig[BedComplement],MATCH("MAE",tblWardConfig[WardCode],0)),0)</f>
        <v>10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3">
      <c r="A311" s="9" t="s">
        <v>112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119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IFERROR(SUMIFS(tblDaily[Remaining],tblDaily[EntryDate],DATE(2026,8,31),tblDaily[WardCode],"MAE"),0)</f>
        <v>0</v>
      </c>
    </row>
    <row r="317" spans="1:8" x14ac:dyDescent="0.3">
      <c r="A317" s="1" t="s">
        <v>106</v>
      </c>
      <c r="H317" s="7">
        <f>IFERROR(INDEX(tblWardConfig[BedComplement],MATCH("MAE",tblWardConfig[WardCode],0)),0)</f>
        <v>10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119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IFERROR(SUMIFS(tblDaily[Remaining],tblDaily[EntryDate],DATE(2026,9,30),tblDaily[WardCode],"MAE"),0)</f>
        <v>0</v>
      </c>
    </row>
    <row r="356" spans="1:8" x14ac:dyDescent="0.3">
      <c r="A356" s="1" t="s">
        <v>106</v>
      </c>
      <c r="H356" s="7">
        <f>IFERROR(INDEX(tblWardConfig[BedComplement],MATCH("MAE",tblWardConfig[WardCode],0)),0)</f>
        <v>10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3">
      <c r="A389" s="9" t="s">
        <v>112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119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IFERROR(SUMIFS(tblDaily[Remaining],tblDaily[EntryDate],DATE(2026,10,31),tblDaily[WardCode],"MAE"),0)</f>
        <v>0</v>
      </c>
    </row>
    <row r="395" spans="1:8" x14ac:dyDescent="0.3">
      <c r="A395" s="1" t="s">
        <v>106</v>
      </c>
      <c r="H395" s="7">
        <f>IFERROR(INDEX(tblWardConfig[BedComplement],MATCH("MAE",tblWardConfig[WardCode],0)),0)</f>
        <v>10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119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IFERROR(SUMIFS(tblDaily[Remaining],tblDaily[EntryDate],DATE(2026,11,30),tblDaily[WardCode],"MAE"),0)</f>
        <v>0</v>
      </c>
    </row>
    <row r="434" spans="1:8" x14ac:dyDescent="0.3">
      <c r="A434" s="1" t="s">
        <v>106</v>
      </c>
      <c r="H434" s="7">
        <f>IFERROR(INDEX(tblWardConfig[BedComplement],MATCH("MAE",tblWardConfig[WardCode],0)),0)</f>
        <v>10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3">
      <c r="A467" s="9" t="s">
        <v>112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4.4" x14ac:dyDescent="0.3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" x14ac:dyDescent="0.3">
      <c r="A1" s="30" t="s">
        <v>0</v>
      </c>
      <c r="B1" s="27"/>
      <c r="C1" s="27"/>
      <c r="D1" s="27"/>
      <c r="E1" s="27"/>
      <c r="F1" s="27"/>
      <c r="G1" s="27"/>
    </row>
    <row r="2" spans="1:8" ht="15.6" x14ac:dyDescent="0.3">
      <c r="A2" s="35" t="s">
        <v>101</v>
      </c>
      <c r="B2" s="27"/>
      <c r="C2" s="27"/>
      <c r="D2" s="27"/>
      <c r="E2" s="27"/>
      <c r="F2" s="27"/>
      <c r="G2" s="27"/>
    </row>
    <row r="3" spans="1:8" x14ac:dyDescent="0.3">
      <c r="A3" s="1" t="s">
        <v>4</v>
      </c>
      <c r="B3" s="2" t="s">
        <v>2</v>
      </c>
      <c r="D3" s="1" t="s">
        <v>102</v>
      </c>
      <c r="E3" s="2" t="s">
        <v>120</v>
      </c>
      <c r="F3" s="1" t="s">
        <v>104</v>
      </c>
      <c r="G3" s="2" t="s">
        <v>60</v>
      </c>
    </row>
    <row r="4" spans="1:8" x14ac:dyDescent="0.3">
      <c r="A4" s="1" t="s">
        <v>105</v>
      </c>
      <c r="H4" s="6">
        <f>IFERROR(INDEX(tblWardConfig[PrevYearRemaining],MATCH("FAE",tblWardConfig[WardCode],0)),0)</f>
        <v>0</v>
      </c>
    </row>
    <row r="5" spans="1:8" x14ac:dyDescent="0.3">
      <c r="A5" s="1" t="s">
        <v>106</v>
      </c>
      <c r="H5" s="7">
        <f>IFERROR(INDEX(tblWardConfig[BedComplement],MATCH("FAE",tblWardConfig[WardCode],0)),0)</f>
        <v>10</v>
      </c>
    </row>
    <row r="6" spans="1:8" ht="41.4" x14ac:dyDescent="0.3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3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3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3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3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3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3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3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3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3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3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3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3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3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3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3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3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3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3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3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3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3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3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3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3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3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3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3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3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3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3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3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3">
      <c r="A38" s="9" t="s">
        <v>112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" x14ac:dyDescent="0.3">
      <c r="A40" s="30" t="s">
        <v>0</v>
      </c>
      <c r="B40" s="27"/>
      <c r="C40" s="27"/>
      <c r="D40" s="27"/>
      <c r="E40" s="27"/>
      <c r="F40" s="27"/>
      <c r="G40" s="27"/>
    </row>
    <row r="41" spans="1:8" ht="15.6" x14ac:dyDescent="0.3">
      <c r="A41" s="35" t="s">
        <v>101</v>
      </c>
      <c r="B41" s="27"/>
      <c r="C41" s="27"/>
      <c r="D41" s="27"/>
      <c r="E41" s="27"/>
      <c r="F41" s="27"/>
      <c r="G41" s="27"/>
    </row>
    <row r="42" spans="1:8" x14ac:dyDescent="0.3">
      <c r="A42" s="1" t="s">
        <v>4</v>
      </c>
      <c r="B42" s="2" t="s">
        <v>2</v>
      </c>
      <c r="D42" s="1" t="s">
        <v>102</v>
      </c>
      <c r="E42" s="2" t="s">
        <v>120</v>
      </c>
      <c r="F42" s="1" t="s">
        <v>104</v>
      </c>
      <c r="G42" s="2" t="s">
        <v>61</v>
      </c>
    </row>
    <row r="43" spans="1:8" x14ac:dyDescent="0.3">
      <c r="A43" s="1" t="s">
        <v>105</v>
      </c>
      <c r="H43" s="6">
        <f>IFERROR(SUMIFS(tblDaily[Remaining],tblDaily[EntryDate],DATE(2026,1,31),tblDaily[WardCode],"FAE"),0)</f>
        <v>0</v>
      </c>
    </row>
    <row r="44" spans="1:8" x14ac:dyDescent="0.3">
      <c r="A44" s="1" t="s">
        <v>106</v>
      </c>
      <c r="H44" s="7">
        <f>IFERROR(INDEX(tblWardConfig[BedComplement],MATCH("FAE",tblWardConfig[WardCode],0)),0)</f>
        <v>10</v>
      </c>
    </row>
    <row r="45" spans="1:8" ht="41.4" x14ac:dyDescent="0.3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3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3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3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3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3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3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3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3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3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3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3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3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3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3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3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3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3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3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3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3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3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3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3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3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3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3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3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3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3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3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3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3">
      <c r="A77" s="9" t="s">
        <v>112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" x14ac:dyDescent="0.3">
      <c r="A79" s="30" t="s">
        <v>0</v>
      </c>
      <c r="B79" s="27"/>
      <c r="C79" s="27"/>
      <c r="D79" s="27"/>
      <c r="E79" s="27"/>
      <c r="F79" s="27"/>
      <c r="G79" s="27"/>
    </row>
    <row r="80" spans="1:8" ht="15.6" x14ac:dyDescent="0.3">
      <c r="A80" s="35" t="s">
        <v>101</v>
      </c>
      <c r="B80" s="27"/>
      <c r="C80" s="27"/>
      <c r="D80" s="27"/>
      <c r="E80" s="27"/>
      <c r="F80" s="27"/>
      <c r="G80" s="27"/>
    </row>
    <row r="81" spans="1:8" x14ac:dyDescent="0.3">
      <c r="A81" s="1" t="s">
        <v>4</v>
      </c>
      <c r="B81" s="2" t="s">
        <v>2</v>
      </c>
      <c r="D81" s="1" t="s">
        <v>102</v>
      </c>
      <c r="E81" s="2" t="s">
        <v>120</v>
      </c>
      <c r="F81" s="1" t="s">
        <v>104</v>
      </c>
      <c r="G81" s="2" t="s">
        <v>62</v>
      </c>
    </row>
    <row r="82" spans="1:8" x14ac:dyDescent="0.3">
      <c r="A82" s="1" t="s">
        <v>105</v>
      </c>
      <c r="H82" s="6">
        <f>IFERROR(SUMIFS(tblDaily[Remaining],tblDaily[EntryDate],DATE(2026,2,28),tblDaily[WardCode],"FAE"),0)</f>
        <v>0</v>
      </c>
    </row>
    <row r="83" spans="1:8" x14ac:dyDescent="0.3">
      <c r="A83" s="1" t="s">
        <v>106</v>
      </c>
      <c r="H83" s="7">
        <f>IFERROR(INDEX(tblWardConfig[BedComplement],MATCH("FAE",tblWardConfig[WardCode],0)),0)</f>
        <v>10</v>
      </c>
    </row>
    <row r="84" spans="1:8" ht="41.4" x14ac:dyDescent="0.3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3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3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3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3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3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3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3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3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3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3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3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3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3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3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3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3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3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3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3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3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3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3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3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3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3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3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3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3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3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3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3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3">
      <c r="A116" s="9" t="s">
        <v>112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" x14ac:dyDescent="0.3">
      <c r="A118" s="30" t="s">
        <v>0</v>
      </c>
      <c r="B118" s="27"/>
      <c r="C118" s="27"/>
      <c r="D118" s="27"/>
      <c r="E118" s="27"/>
      <c r="F118" s="27"/>
      <c r="G118" s="27"/>
    </row>
    <row r="119" spans="1:8" ht="15.6" x14ac:dyDescent="0.3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3">
      <c r="A120" s="1" t="s">
        <v>4</v>
      </c>
      <c r="B120" s="2" t="s">
        <v>2</v>
      </c>
      <c r="D120" s="1" t="s">
        <v>102</v>
      </c>
      <c r="E120" s="2" t="s">
        <v>120</v>
      </c>
      <c r="F120" s="1" t="s">
        <v>104</v>
      </c>
      <c r="G120" s="2" t="s">
        <v>63</v>
      </c>
    </row>
    <row r="121" spans="1:8" x14ac:dyDescent="0.3">
      <c r="A121" s="1" t="s">
        <v>105</v>
      </c>
      <c r="H121" s="6">
        <f>IFERROR(SUMIFS(tblDaily[Remaining],tblDaily[EntryDate],DATE(2026,3,31),tblDaily[WardCode],"FAE"),0)</f>
        <v>0</v>
      </c>
    </row>
    <row r="122" spans="1:8" x14ac:dyDescent="0.3">
      <c r="A122" s="1" t="s">
        <v>106</v>
      </c>
      <c r="H122" s="7">
        <f>IFERROR(INDEX(tblWardConfig[BedComplement],MATCH("FAE",tblWardConfig[WardCode],0)),0)</f>
        <v>10</v>
      </c>
    </row>
    <row r="123" spans="1:8" ht="41.4" x14ac:dyDescent="0.3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3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3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3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3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3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3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3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3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3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3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3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3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3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3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3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3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3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3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3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3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3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3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3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3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3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3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3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3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3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3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3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3">
      <c r="A155" s="9" t="s">
        <v>112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" x14ac:dyDescent="0.3">
      <c r="A157" s="30" t="s">
        <v>0</v>
      </c>
      <c r="B157" s="27"/>
      <c r="C157" s="27"/>
      <c r="D157" s="27"/>
      <c r="E157" s="27"/>
      <c r="F157" s="27"/>
      <c r="G157" s="27"/>
    </row>
    <row r="158" spans="1:8" ht="15.6" x14ac:dyDescent="0.3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3">
      <c r="A159" s="1" t="s">
        <v>4</v>
      </c>
      <c r="B159" s="2" t="s">
        <v>2</v>
      </c>
      <c r="D159" s="1" t="s">
        <v>102</v>
      </c>
      <c r="E159" s="2" t="s">
        <v>120</v>
      </c>
      <c r="F159" s="1" t="s">
        <v>104</v>
      </c>
      <c r="G159" s="2" t="s">
        <v>64</v>
      </c>
    </row>
    <row r="160" spans="1:8" x14ac:dyDescent="0.3">
      <c r="A160" s="1" t="s">
        <v>105</v>
      </c>
      <c r="H160" s="6">
        <f>IFERROR(SUMIFS(tblDaily[Remaining],tblDaily[EntryDate],DATE(2026,4,30),tblDaily[WardCode],"FAE"),0)</f>
        <v>0</v>
      </c>
    </row>
    <row r="161" spans="1:8" x14ac:dyDescent="0.3">
      <c r="A161" s="1" t="s">
        <v>106</v>
      </c>
      <c r="H161" s="7">
        <f>IFERROR(INDEX(tblWardConfig[BedComplement],MATCH("FAE",tblWardConfig[WardCode],0)),0)</f>
        <v>10</v>
      </c>
    </row>
    <row r="162" spans="1:8" ht="41.4" x14ac:dyDescent="0.3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3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3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3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3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3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3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3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3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3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3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3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3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3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3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3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3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3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3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3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3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3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3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3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3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3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3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3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3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3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3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3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3">
      <c r="A194" s="9" t="s">
        <v>112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" x14ac:dyDescent="0.3">
      <c r="A196" s="30" t="s">
        <v>0</v>
      </c>
      <c r="B196" s="27"/>
      <c r="C196" s="27"/>
      <c r="D196" s="27"/>
      <c r="E196" s="27"/>
      <c r="F196" s="27"/>
      <c r="G196" s="27"/>
    </row>
    <row r="197" spans="1:8" ht="15.6" x14ac:dyDescent="0.3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3">
      <c r="A198" s="1" t="s">
        <v>4</v>
      </c>
      <c r="B198" s="2" t="s">
        <v>2</v>
      </c>
      <c r="D198" s="1" t="s">
        <v>102</v>
      </c>
      <c r="E198" s="2" t="s">
        <v>120</v>
      </c>
      <c r="F198" s="1" t="s">
        <v>104</v>
      </c>
      <c r="G198" s="2" t="s">
        <v>65</v>
      </c>
    </row>
    <row r="199" spans="1:8" x14ac:dyDescent="0.3">
      <c r="A199" s="1" t="s">
        <v>105</v>
      </c>
      <c r="H199" s="6">
        <f>IFERROR(SUMIFS(tblDaily[Remaining],tblDaily[EntryDate],DATE(2026,5,31),tblDaily[WardCode],"FAE"),0)</f>
        <v>0</v>
      </c>
    </row>
    <row r="200" spans="1:8" x14ac:dyDescent="0.3">
      <c r="A200" s="1" t="s">
        <v>106</v>
      </c>
      <c r="H200" s="7">
        <f>IFERROR(INDEX(tblWardConfig[BedComplement],MATCH("FAE",tblWardConfig[WardCode],0)),0)</f>
        <v>10</v>
      </c>
    </row>
    <row r="201" spans="1:8" ht="41.4" x14ac:dyDescent="0.3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3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3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3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3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3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3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3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3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3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3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3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3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3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3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3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3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3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3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3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3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3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3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3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3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3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3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3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3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3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3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3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3">
      <c r="A233" s="9" t="s">
        <v>112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" x14ac:dyDescent="0.3">
      <c r="A235" s="30" t="s">
        <v>0</v>
      </c>
      <c r="B235" s="27"/>
      <c r="C235" s="27"/>
      <c r="D235" s="27"/>
      <c r="E235" s="27"/>
      <c r="F235" s="27"/>
      <c r="G235" s="27"/>
    </row>
    <row r="236" spans="1:8" ht="15.6" x14ac:dyDescent="0.3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3">
      <c r="A237" s="1" t="s">
        <v>4</v>
      </c>
      <c r="B237" s="2" t="s">
        <v>2</v>
      </c>
      <c r="D237" s="1" t="s">
        <v>102</v>
      </c>
      <c r="E237" s="2" t="s">
        <v>120</v>
      </c>
      <c r="F237" s="1" t="s">
        <v>104</v>
      </c>
      <c r="G237" s="2" t="s">
        <v>66</v>
      </c>
    </row>
    <row r="238" spans="1:8" x14ac:dyDescent="0.3">
      <c r="A238" s="1" t="s">
        <v>105</v>
      </c>
      <c r="H238" s="6">
        <f>IFERROR(SUMIFS(tblDaily[Remaining],tblDaily[EntryDate],DATE(2026,6,30),tblDaily[WardCode],"FAE"),0)</f>
        <v>0</v>
      </c>
    </row>
    <row r="239" spans="1:8" x14ac:dyDescent="0.3">
      <c r="A239" s="1" t="s">
        <v>106</v>
      </c>
      <c r="H239" s="7">
        <f>IFERROR(INDEX(tblWardConfig[BedComplement],MATCH("FAE",tblWardConfig[WardCode],0)),0)</f>
        <v>10</v>
      </c>
    </row>
    <row r="240" spans="1:8" ht="41.4" x14ac:dyDescent="0.3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3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3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3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3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3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3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3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3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3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3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3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3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3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3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3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3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3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3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3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3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3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3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3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3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3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3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3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3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3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3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3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3">
      <c r="A272" s="9" t="s">
        <v>112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" x14ac:dyDescent="0.3">
      <c r="A274" s="30" t="s">
        <v>0</v>
      </c>
      <c r="B274" s="27"/>
      <c r="C274" s="27"/>
      <c r="D274" s="27"/>
      <c r="E274" s="27"/>
      <c r="F274" s="27"/>
      <c r="G274" s="27"/>
    </row>
    <row r="275" spans="1:8" ht="15.6" x14ac:dyDescent="0.3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3">
      <c r="A276" s="1" t="s">
        <v>4</v>
      </c>
      <c r="B276" s="2" t="s">
        <v>2</v>
      </c>
      <c r="D276" s="1" t="s">
        <v>102</v>
      </c>
      <c r="E276" s="2" t="s">
        <v>120</v>
      </c>
      <c r="F276" s="1" t="s">
        <v>104</v>
      </c>
      <c r="G276" s="2" t="s">
        <v>67</v>
      </c>
    </row>
    <row r="277" spans="1:8" x14ac:dyDescent="0.3">
      <c r="A277" s="1" t="s">
        <v>105</v>
      </c>
      <c r="H277" s="6">
        <f>IFERROR(SUMIFS(tblDaily[Remaining],tblDaily[EntryDate],DATE(2026,7,31),tblDaily[WardCode],"FAE"),0)</f>
        <v>0</v>
      </c>
    </row>
    <row r="278" spans="1:8" x14ac:dyDescent="0.3">
      <c r="A278" s="1" t="s">
        <v>106</v>
      </c>
      <c r="H278" s="7">
        <f>IFERROR(INDEX(tblWardConfig[BedComplement],MATCH("FAE",tblWardConfig[WardCode],0)),0)</f>
        <v>10</v>
      </c>
    </row>
    <row r="279" spans="1:8" ht="41.4" x14ac:dyDescent="0.3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3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3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3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3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3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3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3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3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3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3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3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3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3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3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3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3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3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3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3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3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3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3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3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3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3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3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3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3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3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3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3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3">
      <c r="A311" s="9" t="s">
        <v>112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" x14ac:dyDescent="0.3">
      <c r="A313" s="30" t="s">
        <v>0</v>
      </c>
      <c r="B313" s="27"/>
      <c r="C313" s="27"/>
      <c r="D313" s="27"/>
      <c r="E313" s="27"/>
      <c r="F313" s="27"/>
      <c r="G313" s="27"/>
    </row>
    <row r="314" spans="1:8" ht="15.6" x14ac:dyDescent="0.3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3">
      <c r="A315" s="1" t="s">
        <v>4</v>
      </c>
      <c r="B315" s="2" t="s">
        <v>2</v>
      </c>
      <c r="D315" s="1" t="s">
        <v>102</v>
      </c>
      <c r="E315" s="2" t="s">
        <v>120</v>
      </c>
      <c r="F315" s="1" t="s">
        <v>104</v>
      </c>
      <c r="G315" s="2" t="s">
        <v>68</v>
      </c>
    </row>
    <row r="316" spans="1:8" x14ac:dyDescent="0.3">
      <c r="A316" s="1" t="s">
        <v>105</v>
      </c>
      <c r="H316" s="6">
        <f>IFERROR(SUMIFS(tblDaily[Remaining],tblDaily[EntryDate],DATE(2026,8,31),tblDaily[WardCode],"FAE"),0)</f>
        <v>0</v>
      </c>
    </row>
    <row r="317" spans="1:8" x14ac:dyDescent="0.3">
      <c r="A317" s="1" t="s">
        <v>106</v>
      </c>
      <c r="H317" s="7">
        <f>IFERROR(INDEX(tblWardConfig[BedComplement],MATCH("FAE",tblWardConfig[WardCode],0)),0)</f>
        <v>10</v>
      </c>
    </row>
    <row r="318" spans="1:8" ht="41.4" x14ac:dyDescent="0.3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3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3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3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3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3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3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3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3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3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3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3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3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3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3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3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3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3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3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3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3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3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3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3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3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3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3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3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3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3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3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3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3">
      <c r="A350" s="9" t="s">
        <v>112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" x14ac:dyDescent="0.3">
      <c r="A352" s="30" t="s">
        <v>0</v>
      </c>
      <c r="B352" s="27"/>
      <c r="C352" s="27"/>
      <c r="D352" s="27"/>
      <c r="E352" s="27"/>
      <c r="F352" s="27"/>
      <c r="G352" s="27"/>
    </row>
    <row r="353" spans="1:8" ht="15.6" x14ac:dyDescent="0.3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3">
      <c r="A354" s="1" t="s">
        <v>4</v>
      </c>
      <c r="B354" s="2" t="s">
        <v>2</v>
      </c>
      <c r="D354" s="1" t="s">
        <v>102</v>
      </c>
      <c r="E354" s="2" t="s">
        <v>120</v>
      </c>
      <c r="F354" s="1" t="s">
        <v>104</v>
      </c>
      <c r="G354" s="2" t="s">
        <v>69</v>
      </c>
    </row>
    <row r="355" spans="1:8" x14ac:dyDescent="0.3">
      <c r="A355" s="1" t="s">
        <v>105</v>
      </c>
      <c r="H355" s="6">
        <f>IFERROR(SUMIFS(tblDaily[Remaining],tblDaily[EntryDate],DATE(2026,9,30),tblDaily[WardCode],"FAE"),0)</f>
        <v>0</v>
      </c>
    </row>
    <row r="356" spans="1:8" x14ac:dyDescent="0.3">
      <c r="A356" s="1" t="s">
        <v>106</v>
      </c>
      <c r="H356" s="7">
        <f>IFERROR(INDEX(tblWardConfig[BedComplement],MATCH("FAE",tblWardConfig[WardCode],0)),0)</f>
        <v>10</v>
      </c>
    </row>
    <row r="357" spans="1:8" ht="41.4" x14ac:dyDescent="0.3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3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3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3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3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3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3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3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3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3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3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3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3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3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3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3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3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3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3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3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3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3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3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3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3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3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3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3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3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3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3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3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3">
      <c r="A389" s="9" t="s">
        <v>112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" x14ac:dyDescent="0.3">
      <c r="A391" s="30" t="s">
        <v>0</v>
      </c>
      <c r="B391" s="27"/>
      <c r="C391" s="27"/>
      <c r="D391" s="27"/>
      <c r="E391" s="27"/>
      <c r="F391" s="27"/>
      <c r="G391" s="27"/>
    </row>
    <row r="392" spans="1:8" ht="15.6" x14ac:dyDescent="0.3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3">
      <c r="A393" s="1" t="s">
        <v>4</v>
      </c>
      <c r="B393" s="2" t="s">
        <v>2</v>
      </c>
      <c r="D393" s="1" t="s">
        <v>102</v>
      </c>
      <c r="E393" s="2" t="s">
        <v>120</v>
      </c>
      <c r="F393" s="1" t="s">
        <v>104</v>
      </c>
      <c r="G393" s="2" t="s">
        <v>70</v>
      </c>
    </row>
    <row r="394" spans="1:8" x14ac:dyDescent="0.3">
      <c r="A394" s="1" t="s">
        <v>105</v>
      </c>
      <c r="H394" s="6">
        <f>IFERROR(SUMIFS(tblDaily[Remaining],tblDaily[EntryDate],DATE(2026,10,31),tblDaily[WardCode],"FAE"),0)</f>
        <v>0</v>
      </c>
    </row>
    <row r="395" spans="1:8" x14ac:dyDescent="0.3">
      <c r="A395" s="1" t="s">
        <v>106</v>
      </c>
      <c r="H395" s="7">
        <f>IFERROR(INDEX(tblWardConfig[BedComplement],MATCH("FAE",tblWardConfig[WardCode],0)),0)</f>
        <v>10</v>
      </c>
    </row>
    <row r="396" spans="1:8" ht="41.4" x14ac:dyDescent="0.3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3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3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3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3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3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3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3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3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3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3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3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3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3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3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3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3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3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3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3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3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3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3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3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3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3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3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3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3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3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3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3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3">
      <c r="A428" s="9" t="s">
        <v>112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" x14ac:dyDescent="0.3">
      <c r="A430" s="30" t="s">
        <v>0</v>
      </c>
      <c r="B430" s="27"/>
      <c r="C430" s="27"/>
      <c r="D430" s="27"/>
      <c r="E430" s="27"/>
      <c r="F430" s="27"/>
      <c r="G430" s="27"/>
    </row>
    <row r="431" spans="1:8" ht="15.6" x14ac:dyDescent="0.3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3">
      <c r="A432" s="1" t="s">
        <v>4</v>
      </c>
      <c r="B432" s="2" t="s">
        <v>2</v>
      </c>
      <c r="D432" s="1" t="s">
        <v>102</v>
      </c>
      <c r="E432" s="2" t="s">
        <v>120</v>
      </c>
      <c r="F432" s="1" t="s">
        <v>104</v>
      </c>
      <c r="G432" s="2" t="s">
        <v>71</v>
      </c>
    </row>
    <row r="433" spans="1:8" x14ac:dyDescent="0.3">
      <c r="A433" s="1" t="s">
        <v>105</v>
      </c>
      <c r="H433" s="6">
        <f>IFERROR(SUMIFS(tblDaily[Remaining],tblDaily[EntryDate],DATE(2026,11,30),tblDaily[WardCode],"FAE"),0)</f>
        <v>0</v>
      </c>
    </row>
    <row r="434" spans="1:8" x14ac:dyDescent="0.3">
      <c r="A434" s="1" t="s">
        <v>106</v>
      </c>
      <c r="H434" s="7">
        <f>IFERROR(INDEX(tblWardConfig[BedComplement],MATCH("FAE",tblWardConfig[WardCode],0)),0)</f>
        <v>10</v>
      </c>
    </row>
    <row r="435" spans="1:8" ht="41.4" x14ac:dyDescent="0.3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3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3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3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3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3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3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3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3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3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3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3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3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3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3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3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3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3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3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3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3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3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3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3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3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3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3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3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3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3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3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3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3">
      <c r="A467" s="9" t="s">
        <v>112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4.4" x14ac:dyDescent="0.3"/>
  <cols>
    <col min="1" max="1" width="5" customWidth="1"/>
    <col min="2" max="15" width="6" customWidth="1"/>
    <col min="16" max="16" width="8" customWidth="1"/>
  </cols>
  <sheetData>
    <row r="1" spans="1:16" ht="18" x14ac:dyDescent="0.3">
      <c r="A1" s="3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6" ht="15.6" x14ac:dyDescent="0.3">
      <c r="A2" s="35" t="s">
        <v>101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3" spans="1:16" x14ac:dyDescent="0.3">
      <c r="A3" s="1" t="s">
        <v>4</v>
      </c>
      <c r="B3" s="2" t="s">
        <v>2</v>
      </c>
      <c r="E3" s="1" t="s">
        <v>102</v>
      </c>
      <c r="F3" s="1" t="s">
        <v>121</v>
      </c>
      <c r="M3" s="1" t="s">
        <v>104</v>
      </c>
      <c r="N3" s="1" t="s">
        <v>60</v>
      </c>
    </row>
    <row r="4" spans="1:16" x14ac:dyDescent="0.3">
      <c r="A4" s="1" t="s">
        <v>105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3">
      <c r="A5" s="1" t="s">
        <v>106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3">
      <c r="A6" s="3" t="s">
        <v>122</v>
      </c>
      <c r="B6" s="36" t="s">
        <v>119</v>
      </c>
      <c r="C6" s="27"/>
      <c r="D6" s="27"/>
      <c r="E6" s="27"/>
      <c r="F6" s="27"/>
      <c r="G6" s="27"/>
      <c r="H6" s="27"/>
      <c r="I6" s="38" t="s">
        <v>120</v>
      </c>
      <c r="J6" s="27"/>
      <c r="K6" s="27"/>
      <c r="L6" s="27"/>
      <c r="M6" s="27"/>
      <c r="N6" s="27"/>
      <c r="O6" s="27"/>
      <c r="P6" s="13" t="s">
        <v>112</v>
      </c>
    </row>
    <row r="7" spans="1:16" x14ac:dyDescent="0.3">
      <c r="A7" s="3" t="s">
        <v>122</v>
      </c>
      <c r="B7" s="3" t="s">
        <v>123</v>
      </c>
      <c r="C7" s="3" t="s">
        <v>124</v>
      </c>
      <c r="D7" s="3" t="s">
        <v>125</v>
      </c>
      <c r="E7" s="3" t="s">
        <v>126</v>
      </c>
      <c r="F7" s="3" t="s">
        <v>127</v>
      </c>
      <c r="G7" s="3" t="s">
        <v>128</v>
      </c>
      <c r="H7" s="3" t="s">
        <v>129</v>
      </c>
      <c r="I7" s="3" t="s">
        <v>123</v>
      </c>
      <c r="J7" s="3" t="s">
        <v>124</v>
      </c>
      <c r="K7" s="3" t="s">
        <v>125</v>
      </c>
      <c r="L7" s="3" t="s">
        <v>126</v>
      </c>
      <c r="M7" s="3" t="s">
        <v>127</v>
      </c>
      <c r="N7" s="3" t="s">
        <v>128</v>
      </c>
      <c r="O7" s="3" t="s">
        <v>129</v>
      </c>
      <c r="P7" s="3" t="s">
        <v>130</v>
      </c>
    </row>
    <row r="8" spans="1:16" x14ac:dyDescent="0.3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3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3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3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3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3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3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3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3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3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3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3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3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3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3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3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3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3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3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3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3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3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3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3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3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3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3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3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3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3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3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3">
      <c r="A39" s="9" t="s">
        <v>112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" x14ac:dyDescent="0.3">
      <c r="A41" s="37" t="s">
        <v>0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</row>
    <row r="42" spans="1:16" ht="15.6" x14ac:dyDescent="0.3">
      <c r="A42" s="35" t="s">
        <v>101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</row>
    <row r="43" spans="1:16" x14ac:dyDescent="0.3">
      <c r="A43" s="1" t="s">
        <v>4</v>
      </c>
      <c r="B43" s="2" t="s">
        <v>2</v>
      </c>
      <c r="E43" s="1" t="s">
        <v>102</v>
      </c>
      <c r="F43" s="1" t="s">
        <v>121</v>
      </c>
      <c r="M43" s="1" t="s">
        <v>104</v>
      </c>
      <c r="N43" s="1" t="s">
        <v>61</v>
      </c>
    </row>
    <row r="44" spans="1:16" x14ac:dyDescent="0.3">
      <c r="A44" s="1" t="s">
        <v>105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3">
      <c r="A45" s="1" t="s">
        <v>106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3">
      <c r="A46" s="3" t="s">
        <v>122</v>
      </c>
      <c r="B46" s="36" t="s">
        <v>119</v>
      </c>
      <c r="C46" s="27"/>
      <c r="D46" s="27"/>
      <c r="E46" s="27"/>
      <c r="F46" s="27"/>
      <c r="G46" s="27"/>
      <c r="H46" s="27"/>
      <c r="I46" s="38" t="s">
        <v>120</v>
      </c>
      <c r="J46" s="27"/>
      <c r="K46" s="27"/>
      <c r="L46" s="27"/>
      <c r="M46" s="27"/>
      <c r="N46" s="27"/>
      <c r="O46" s="27"/>
      <c r="P46" s="13" t="s">
        <v>112</v>
      </c>
    </row>
    <row r="47" spans="1:16" x14ac:dyDescent="0.3">
      <c r="A47" s="3" t="s">
        <v>122</v>
      </c>
      <c r="B47" s="3" t="s">
        <v>123</v>
      </c>
      <c r="C47" s="3" t="s">
        <v>124</v>
      </c>
      <c r="D47" s="3" t="s">
        <v>125</v>
      </c>
      <c r="E47" s="3" t="s">
        <v>126</v>
      </c>
      <c r="F47" s="3" t="s">
        <v>127</v>
      </c>
      <c r="G47" s="3" t="s">
        <v>128</v>
      </c>
      <c r="H47" s="3" t="s">
        <v>129</v>
      </c>
      <c r="I47" s="3" t="s">
        <v>123</v>
      </c>
      <c r="J47" s="3" t="s">
        <v>124</v>
      </c>
      <c r="K47" s="3" t="s">
        <v>125</v>
      </c>
      <c r="L47" s="3" t="s">
        <v>126</v>
      </c>
      <c r="M47" s="3" t="s">
        <v>127</v>
      </c>
      <c r="N47" s="3" t="s">
        <v>128</v>
      </c>
      <c r="O47" s="3" t="s">
        <v>129</v>
      </c>
      <c r="P47" s="3" t="s">
        <v>130</v>
      </c>
    </row>
    <row r="48" spans="1:16" x14ac:dyDescent="0.3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3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3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3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3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3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3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3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3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3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3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3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3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3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3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3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3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3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3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3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3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3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3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3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3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3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3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3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3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3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3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3">
      <c r="A79" s="9" t="s">
        <v>112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" x14ac:dyDescent="0.3">
      <c r="A81" s="37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</row>
    <row r="82" spans="1:16" ht="15.6" x14ac:dyDescent="0.3">
      <c r="A82" s="35" t="s">
        <v>101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1:16" x14ac:dyDescent="0.3">
      <c r="A83" s="1" t="s">
        <v>4</v>
      </c>
      <c r="B83" s="2" t="s">
        <v>2</v>
      </c>
      <c r="E83" s="1" t="s">
        <v>102</v>
      </c>
      <c r="F83" s="1" t="s">
        <v>121</v>
      </c>
      <c r="M83" s="1" t="s">
        <v>104</v>
      </c>
      <c r="N83" s="1" t="s">
        <v>62</v>
      </c>
    </row>
    <row r="84" spans="1:16" x14ac:dyDescent="0.3">
      <c r="A84" s="1" t="s">
        <v>105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3">
      <c r="A85" s="1" t="s">
        <v>106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3">
      <c r="A86" s="3" t="s">
        <v>122</v>
      </c>
      <c r="B86" s="36" t="s">
        <v>119</v>
      </c>
      <c r="C86" s="27"/>
      <c r="D86" s="27"/>
      <c r="E86" s="27"/>
      <c r="F86" s="27"/>
      <c r="G86" s="27"/>
      <c r="H86" s="27"/>
      <c r="I86" s="38" t="s">
        <v>120</v>
      </c>
      <c r="J86" s="27"/>
      <c r="K86" s="27"/>
      <c r="L86" s="27"/>
      <c r="M86" s="27"/>
      <c r="N86" s="27"/>
      <c r="O86" s="27"/>
      <c r="P86" s="13" t="s">
        <v>112</v>
      </c>
    </row>
    <row r="87" spans="1:16" x14ac:dyDescent="0.3">
      <c r="A87" s="3" t="s">
        <v>122</v>
      </c>
      <c r="B87" s="3" t="s">
        <v>123</v>
      </c>
      <c r="C87" s="3" t="s">
        <v>124</v>
      </c>
      <c r="D87" s="3" t="s">
        <v>125</v>
      </c>
      <c r="E87" s="3" t="s">
        <v>126</v>
      </c>
      <c r="F87" s="3" t="s">
        <v>127</v>
      </c>
      <c r="G87" s="3" t="s">
        <v>128</v>
      </c>
      <c r="H87" s="3" t="s">
        <v>129</v>
      </c>
      <c r="I87" s="3" t="s">
        <v>123</v>
      </c>
      <c r="J87" s="3" t="s">
        <v>124</v>
      </c>
      <c r="K87" s="3" t="s">
        <v>125</v>
      </c>
      <c r="L87" s="3" t="s">
        <v>126</v>
      </c>
      <c r="M87" s="3" t="s">
        <v>127</v>
      </c>
      <c r="N87" s="3" t="s">
        <v>128</v>
      </c>
      <c r="O87" s="3" t="s">
        <v>129</v>
      </c>
      <c r="P87" s="3" t="s">
        <v>130</v>
      </c>
    </row>
    <row r="88" spans="1:16" x14ac:dyDescent="0.3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3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3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3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3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3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3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3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3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3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3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3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3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3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3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3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3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3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3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3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3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3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3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3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3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3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3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3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3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3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3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3">
      <c r="A119" s="9" t="s">
        <v>112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" x14ac:dyDescent="0.3">
      <c r="A121" s="37" t="s">
        <v>0</v>
      </c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</row>
    <row r="122" spans="1:16" ht="15.6" x14ac:dyDescent="0.3">
      <c r="A122" s="35" t="s">
        <v>101</v>
      </c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</row>
    <row r="123" spans="1:16" x14ac:dyDescent="0.3">
      <c r="A123" s="1" t="s">
        <v>4</v>
      </c>
      <c r="B123" s="2" t="s">
        <v>2</v>
      </c>
      <c r="E123" s="1" t="s">
        <v>102</v>
      </c>
      <c r="F123" s="1" t="s">
        <v>121</v>
      </c>
      <c r="M123" s="1" t="s">
        <v>104</v>
      </c>
      <c r="N123" s="1" t="s">
        <v>63</v>
      </c>
    </row>
    <row r="124" spans="1:16" x14ac:dyDescent="0.3">
      <c r="A124" s="1" t="s">
        <v>105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3">
      <c r="A125" s="1" t="s">
        <v>106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3">
      <c r="A126" s="3" t="s">
        <v>122</v>
      </c>
      <c r="B126" s="36" t="s">
        <v>119</v>
      </c>
      <c r="C126" s="27"/>
      <c r="D126" s="27"/>
      <c r="E126" s="27"/>
      <c r="F126" s="27"/>
      <c r="G126" s="27"/>
      <c r="H126" s="27"/>
      <c r="I126" s="38" t="s">
        <v>120</v>
      </c>
      <c r="J126" s="27"/>
      <c r="K126" s="27"/>
      <c r="L126" s="27"/>
      <c r="M126" s="27"/>
      <c r="N126" s="27"/>
      <c r="O126" s="27"/>
      <c r="P126" s="13" t="s">
        <v>112</v>
      </c>
    </row>
    <row r="127" spans="1:16" x14ac:dyDescent="0.3">
      <c r="A127" s="3" t="s">
        <v>122</v>
      </c>
      <c r="B127" s="3" t="s">
        <v>123</v>
      </c>
      <c r="C127" s="3" t="s">
        <v>124</v>
      </c>
      <c r="D127" s="3" t="s">
        <v>125</v>
      </c>
      <c r="E127" s="3" t="s">
        <v>126</v>
      </c>
      <c r="F127" s="3" t="s">
        <v>127</v>
      </c>
      <c r="G127" s="3" t="s">
        <v>128</v>
      </c>
      <c r="H127" s="3" t="s">
        <v>129</v>
      </c>
      <c r="I127" s="3" t="s">
        <v>123</v>
      </c>
      <c r="J127" s="3" t="s">
        <v>124</v>
      </c>
      <c r="K127" s="3" t="s">
        <v>125</v>
      </c>
      <c r="L127" s="3" t="s">
        <v>126</v>
      </c>
      <c r="M127" s="3" t="s">
        <v>127</v>
      </c>
      <c r="N127" s="3" t="s">
        <v>128</v>
      </c>
      <c r="O127" s="3" t="s">
        <v>129</v>
      </c>
      <c r="P127" s="3" t="s">
        <v>130</v>
      </c>
    </row>
    <row r="128" spans="1:16" x14ac:dyDescent="0.3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3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3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3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3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3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3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3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3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3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3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3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3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3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3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3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3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3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3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3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3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3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3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3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3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3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3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3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3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3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3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3">
      <c r="A159" s="9" t="s">
        <v>112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" x14ac:dyDescent="0.3">
      <c r="A161" s="37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</row>
    <row r="162" spans="1:16" ht="15.6" x14ac:dyDescent="0.3">
      <c r="A162" s="35" t="s">
        <v>101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</row>
    <row r="163" spans="1:16" x14ac:dyDescent="0.3">
      <c r="A163" s="1" t="s">
        <v>4</v>
      </c>
      <c r="B163" s="2" t="s">
        <v>2</v>
      </c>
      <c r="E163" s="1" t="s">
        <v>102</v>
      </c>
      <c r="F163" s="1" t="s">
        <v>121</v>
      </c>
      <c r="M163" s="1" t="s">
        <v>104</v>
      </c>
      <c r="N163" s="1" t="s">
        <v>64</v>
      </c>
    </row>
    <row r="164" spans="1:16" x14ac:dyDescent="0.3">
      <c r="A164" s="1" t="s">
        <v>105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3">
      <c r="A165" s="1" t="s">
        <v>106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3">
      <c r="A166" s="3" t="s">
        <v>122</v>
      </c>
      <c r="B166" s="36" t="s">
        <v>119</v>
      </c>
      <c r="C166" s="27"/>
      <c r="D166" s="27"/>
      <c r="E166" s="27"/>
      <c r="F166" s="27"/>
      <c r="G166" s="27"/>
      <c r="H166" s="27"/>
      <c r="I166" s="38" t="s">
        <v>120</v>
      </c>
      <c r="J166" s="27"/>
      <c r="K166" s="27"/>
      <c r="L166" s="27"/>
      <c r="M166" s="27"/>
      <c r="N166" s="27"/>
      <c r="O166" s="27"/>
      <c r="P166" s="13" t="s">
        <v>112</v>
      </c>
    </row>
    <row r="167" spans="1:16" x14ac:dyDescent="0.3">
      <c r="A167" s="3" t="s">
        <v>122</v>
      </c>
      <c r="B167" s="3" t="s">
        <v>123</v>
      </c>
      <c r="C167" s="3" t="s">
        <v>124</v>
      </c>
      <c r="D167" s="3" t="s">
        <v>125</v>
      </c>
      <c r="E167" s="3" t="s">
        <v>126</v>
      </c>
      <c r="F167" s="3" t="s">
        <v>127</v>
      </c>
      <c r="G167" s="3" t="s">
        <v>128</v>
      </c>
      <c r="H167" s="3" t="s">
        <v>129</v>
      </c>
      <c r="I167" s="3" t="s">
        <v>123</v>
      </c>
      <c r="J167" s="3" t="s">
        <v>124</v>
      </c>
      <c r="K167" s="3" t="s">
        <v>125</v>
      </c>
      <c r="L167" s="3" t="s">
        <v>126</v>
      </c>
      <c r="M167" s="3" t="s">
        <v>127</v>
      </c>
      <c r="N167" s="3" t="s">
        <v>128</v>
      </c>
      <c r="O167" s="3" t="s">
        <v>129</v>
      </c>
      <c r="P167" s="3" t="s">
        <v>130</v>
      </c>
    </row>
    <row r="168" spans="1:16" x14ac:dyDescent="0.3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3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3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3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3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3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3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3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3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3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3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3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3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3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3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3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3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3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3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3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3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3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3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3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3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3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3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3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3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3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3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3">
      <c r="A199" s="9" t="s">
        <v>112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" x14ac:dyDescent="0.3">
      <c r="A201" s="37" t="s">
        <v>0</v>
      </c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6" ht="15.6" x14ac:dyDescent="0.3">
      <c r="A202" s="35" t="s">
        <v>101</v>
      </c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</row>
    <row r="203" spans="1:16" x14ac:dyDescent="0.3">
      <c r="A203" s="1" t="s">
        <v>4</v>
      </c>
      <c r="B203" s="2" t="s">
        <v>2</v>
      </c>
      <c r="E203" s="1" t="s">
        <v>102</v>
      </c>
      <c r="F203" s="1" t="s">
        <v>121</v>
      </c>
      <c r="M203" s="1" t="s">
        <v>104</v>
      </c>
      <c r="N203" s="1" t="s">
        <v>65</v>
      </c>
    </row>
    <row r="204" spans="1:16" x14ac:dyDescent="0.3">
      <c r="A204" s="1" t="s">
        <v>105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3">
      <c r="A205" s="1" t="s">
        <v>106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3">
      <c r="A206" s="3" t="s">
        <v>122</v>
      </c>
      <c r="B206" s="36" t="s">
        <v>119</v>
      </c>
      <c r="C206" s="27"/>
      <c r="D206" s="27"/>
      <c r="E206" s="27"/>
      <c r="F206" s="27"/>
      <c r="G206" s="27"/>
      <c r="H206" s="27"/>
      <c r="I206" s="38" t="s">
        <v>120</v>
      </c>
      <c r="J206" s="27"/>
      <c r="K206" s="27"/>
      <c r="L206" s="27"/>
      <c r="M206" s="27"/>
      <c r="N206" s="27"/>
      <c r="O206" s="27"/>
      <c r="P206" s="13" t="s">
        <v>112</v>
      </c>
    </row>
    <row r="207" spans="1:16" x14ac:dyDescent="0.3">
      <c r="A207" s="3" t="s">
        <v>122</v>
      </c>
      <c r="B207" s="3" t="s">
        <v>123</v>
      </c>
      <c r="C207" s="3" t="s">
        <v>124</v>
      </c>
      <c r="D207" s="3" t="s">
        <v>125</v>
      </c>
      <c r="E207" s="3" t="s">
        <v>126</v>
      </c>
      <c r="F207" s="3" t="s">
        <v>127</v>
      </c>
      <c r="G207" s="3" t="s">
        <v>128</v>
      </c>
      <c r="H207" s="3" t="s">
        <v>129</v>
      </c>
      <c r="I207" s="3" t="s">
        <v>123</v>
      </c>
      <c r="J207" s="3" t="s">
        <v>124</v>
      </c>
      <c r="K207" s="3" t="s">
        <v>125</v>
      </c>
      <c r="L207" s="3" t="s">
        <v>126</v>
      </c>
      <c r="M207" s="3" t="s">
        <v>127</v>
      </c>
      <c r="N207" s="3" t="s">
        <v>128</v>
      </c>
      <c r="O207" s="3" t="s">
        <v>129</v>
      </c>
      <c r="P207" s="3" t="s">
        <v>130</v>
      </c>
    </row>
    <row r="208" spans="1:16" x14ac:dyDescent="0.3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3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3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3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3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3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3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3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3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3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3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3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3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3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3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3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3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3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3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3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3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3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3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3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3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3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3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3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3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3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3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3">
      <c r="A239" s="9" t="s">
        <v>112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" x14ac:dyDescent="0.3">
      <c r="A241" s="37" t="s">
        <v>0</v>
      </c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</row>
    <row r="242" spans="1:16" ht="15.6" x14ac:dyDescent="0.3">
      <c r="A242" s="35" t="s">
        <v>101</v>
      </c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</row>
    <row r="243" spans="1:16" x14ac:dyDescent="0.3">
      <c r="A243" s="1" t="s">
        <v>4</v>
      </c>
      <c r="B243" s="2" t="s">
        <v>2</v>
      </c>
      <c r="E243" s="1" t="s">
        <v>102</v>
      </c>
      <c r="F243" s="1" t="s">
        <v>121</v>
      </c>
      <c r="M243" s="1" t="s">
        <v>104</v>
      </c>
      <c r="N243" s="1" t="s">
        <v>66</v>
      </c>
    </row>
    <row r="244" spans="1:16" x14ac:dyDescent="0.3">
      <c r="A244" s="1" t="s">
        <v>105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3">
      <c r="A245" s="1" t="s">
        <v>106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3">
      <c r="A246" s="3" t="s">
        <v>122</v>
      </c>
      <c r="B246" s="36" t="s">
        <v>119</v>
      </c>
      <c r="C246" s="27"/>
      <c r="D246" s="27"/>
      <c r="E246" s="27"/>
      <c r="F246" s="27"/>
      <c r="G246" s="27"/>
      <c r="H246" s="27"/>
      <c r="I246" s="38" t="s">
        <v>120</v>
      </c>
      <c r="J246" s="27"/>
      <c r="K246" s="27"/>
      <c r="L246" s="27"/>
      <c r="M246" s="27"/>
      <c r="N246" s="27"/>
      <c r="O246" s="27"/>
      <c r="P246" s="13" t="s">
        <v>112</v>
      </c>
    </row>
    <row r="247" spans="1:16" x14ac:dyDescent="0.3">
      <c r="A247" s="3" t="s">
        <v>122</v>
      </c>
      <c r="B247" s="3" t="s">
        <v>123</v>
      </c>
      <c r="C247" s="3" t="s">
        <v>124</v>
      </c>
      <c r="D247" s="3" t="s">
        <v>125</v>
      </c>
      <c r="E247" s="3" t="s">
        <v>126</v>
      </c>
      <c r="F247" s="3" t="s">
        <v>127</v>
      </c>
      <c r="G247" s="3" t="s">
        <v>128</v>
      </c>
      <c r="H247" s="3" t="s">
        <v>129</v>
      </c>
      <c r="I247" s="3" t="s">
        <v>123</v>
      </c>
      <c r="J247" s="3" t="s">
        <v>124</v>
      </c>
      <c r="K247" s="3" t="s">
        <v>125</v>
      </c>
      <c r="L247" s="3" t="s">
        <v>126</v>
      </c>
      <c r="M247" s="3" t="s">
        <v>127</v>
      </c>
      <c r="N247" s="3" t="s">
        <v>128</v>
      </c>
      <c r="O247" s="3" t="s">
        <v>129</v>
      </c>
      <c r="P247" s="3" t="s">
        <v>130</v>
      </c>
    </row>
    <row r="248" spans="1:16" x14ac:dyDescent="0.3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3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3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3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3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3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3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3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3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3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3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3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3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3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3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3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3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3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3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3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3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3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3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3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3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3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3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3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3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3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3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3">
      <c r="A279" s="9" t="s">
        <v>112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" x14ac:dyDescent="0.3">
      <c r="A281" s="37" t="s">
        <v>0</v>
      </c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</row>
    <row r="282" spans="1:16" ht="15.6" x14ac:dyDescent="0.3">
      <c r="A282" s="35" t="s">
        <v>101</v>
      </c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6" x14ac:dyDescent="0.3">
      <c r="A283" s="1" t="s">
        <v>4</v>
      </c>
      <c r="B283" s="2" t="s">
        <v>2</v>
      </c>
      <c r="E283" s="1" t="s">
        <v>102</v>
      </c>
      <c r="F283" s="1" t="s">
        <v>121</v>
      </c>
      <c r="M283" s="1" t="s">
        <v>104</v>
      </c>
      <c r="N283" s="1" t="s">
        <v>67</v>
      </c>
    </row>
    <row r="284" spans="1:16" x14ac:dyDescent="0.3">
      <c r="A284" s="1" t="s">
        <v>105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3">
      <c r="A285" s="1" t="s">
        <v>106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3">
      <c r="A286" s="3" t="s">
        <v>122</v>
      </c>
      <c r="B286" s="36" t="s">
        <v>119</v>
      </c>
      <c r="C286" s="27"/>
      <c r="D286" s="27"/>
      <c r="E286" s="27"/>
      <c r="F286" s="27"/>
      <c r="G286" s="27"/>
      <c r="H286" s="27"/>
      <c r="I286" s="38" t="s">
        <v>120</v>
      </c>
      <c r="J286" s="27"/>
      <c r="K286" s="27"/>
      <c r="L286" s="27"/>
      <c r="M286" s="27"/>
      <c r="N286" s="27"/>
      <c r="O286" s="27"/>
      <c r="P286" s="13" t="s">
        <v>112</v>
      </c>
    </row>
    <row r="287" spans="1:16" x14ac:dyDescent="0.3">
      <c r="A287" s="3" t="s">
        <v>122</v>
      </c>
      <c r="B287" s="3" t="s">
        <v>123</v>
      </c>
      <c r="C287" s="3" t="s">
        <v>124</v>
      </c>
      <c r="D287" s="3" t="s">
        <v>125</v>
      </c>
      <c r="E287" s="3" t="s">
        <v>126</v>
      </c>
      <c r="F287" s="3" t="s">
        <v>127</v>
      </c>
      <c r="G287" s="3" t="s">
        <v>128</v>
      </c>
      <c r="H287" s="3" t="s">
        <v>129</v>
      </c>
      <c r="I287" s="3" t="s">
        <v>123</v>
      </c>
      <c r="J287" s="3" t="s">
        <v>124</v>
      </c>
      <c r="K287" s="3" t="s">
        <v>125</v>
      </c>
      <c r="L287" s="3" t="s">
        <v>126</v>
      </c>
      <c r="M287" s="3" t="s">
        <v>127</v>
      </c>
      <c r="N287" s="3" t="s">
        <v>128</v>
      </c>
      <c r="O287" s="3" t="s">
        <v>129</v>
      </c>
      <c r="P287" s="3" t="s">
        <v>130</v>
      </c>
    </row>
    <row r="288" spans="1:16" x14ac:dyDescent="0.3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3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3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3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3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3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3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3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3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3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3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3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3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3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3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3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3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3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3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3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3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3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3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3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3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3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3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3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3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3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3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3">
      <c r="A319" s="9" t="s">
        <v>112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" x14ac:dyDescent="0.3">
      <c r="A321" s="37" t="s">
        <v>0</v>
      </c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6" ht="15.6" x14ac:dyDescent="0.3">
      <c r="A322" s="35" t="s">
        <v>101</v>
      </c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</row>
    <row r="323" spans="1:16" x14ac:dyDescent="0.3">
      <c r="A323" s="1" t="s">
        <v>4</v>
      </c>
      <c r="B323" s="2" t="s">
        <v>2</v>
      </c>
      <c r="E323" s="1" t="s">
        <v>102</v>
      </c>
      <c r="F323" s="1" t="s">
        <v>121</v>
      </c>
      <c r="M323" s="1" t="s">
        <v>104</v>
      </c>
      <c r="N323" s="1" t="s">
        <v>68</v>
      </c>
    </row>
    <row r="324" spans="1:16" x14ac:dyDescent="0.3">
      <c r="A324" s="1" t="s">
        <v>105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3">
      <c r="A325" s="1" t="s">
        <v>106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3">
      <c r="A326" s="3" t="s">
        <v>122</v>
      </c>
      <c r="B326" s="36" t="s">
        <v>119</v>
      </c>
      <c r="C326" s="27"/>
      <c r="D326" s="27"/>
      <c r="E326" s="27"/>
      <c r="F326" s="27"/>
      <c r="G326" s="27"/>
      <c r="H326" s="27"/>
      <c r="I326" s="38" t="s">
        <v>120</v>
      </c>
      <c r="J326" s="27"/>
      <c r="K326" s="27"/>
      <c r="L326" s="27"/>
      <c r="M326" s="27"/>
      <c r="N326" s="27"/>
      <c r="O326" s="27"/>
      <c r="P326" s="13" t="s">
        <v>112</v>
      </c>
    </row>
    <row r="327" spans="1:16" x14ac:dyDescent="0.3">
      <c r="A327" s="3" t="s">
        <v>122</v>
      </c>
      <c r="B327" s="3" t="s">
        <v>123</v>
      </c>
      <c r="C327" s="3" t="s">
        <v>124</v>
      </c>
      <c r="D327" s="3" t="s">
        <v>125</v>
      </c>
      <c r="E327" s="3" t="s">
        <v>126</v>
      </c>
      <c r="F327" s="3" t="s">
        <v>127</v>
      </c>
      <c r="G327" s="3" t="s">
        <v>128</v>
      </c>
      <c r="H327" s="3" t="s">
        <v>129</v>
      </c>
      <c r="I327" s="3" t="s">
        <v>123</v>
      </c>
      <c r="J327" s="3" t="s">
        <v>124</v>
      </c>
      <c r="K327" s="3" t="s">
        <v>125</v>
      </c>
      <c r="L327" s="3" t="s">
        <v>126</v>
      </c>
      <c r="M327" s="3" t="s">
        <v>127</v>
      </c>
      <c r="N327" s="3" t="s">
        <v>128</v>
      </c>
      <c r="O327" s="3" t="s">
        <v>129</v>
      </c>
      <c r="P327" s="3" t="s">
        <v>130</v>
      </c>
    </row>
    <row r="328" spans="1:16" x14ac:dyDescent="0.3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3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3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3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3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3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3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3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3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3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3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3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3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3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3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3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3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3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3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3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3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3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3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3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3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3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3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3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3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3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3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3">
      <c r="A359" s="9" t="s">
        <v>112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" x14ac:dyDescent="0.3">
      <c r="A361" s="37" t="s">
        <v>0</v>
      </c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</row>
    <row r="362" spans="1:16" ht="15.6" x14ac:dyDescent="0.3">
      <c r="A362" s="35" t="s">
        <v>101</v>
      </c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</row>
    <row r="363" spans="1:16" x14ac:dyDescent="0.3">
      <c r="A363" s="1" t="s">
        <v>4</v>
      </c>
      <c r="B363" s="2" t="s">
        <v>2</v>
      </c>
      <c r="E363" s="1" t="s">
        <v>102</v>
      </c>
      <c r="F363" s="1" t="s">
        <v>121</v>
      </c>
      <c r="M363" s="1" t="s">
        <v>104</v>
      </c>
      <c r="N363" s="1" t="s">
        <v>69</v>
      </c>
    </row>
    <row r="364" spans="1:16" x14ac:dyDescent="0.3">
      <c r="A364" s="1" t="s">
        <v>105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3">
      <c r="A365" s="1" t="s">
        <v>106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3">
      <c r="A366" s="3" t="s">
        <v>122</v>
      </c>
      <c r="B366" s="36" t="s">
        <v>119</v>
      </c>
      <c r="C366" s="27"/>
      <c r="D366" s="27"/>
      <c r="E366" s="27"/>
      <c r="F366" s="27"/>
      <c r="G366" s="27"/>
      <c r="H366" s="27"/>
      <c r="I366" s="38" t="s">
        <v>120</v>
      </c>
      <c r="J366" s="27"/>
      <c r="K366" s="27"/>
      <c r="L366" s="27"/>
      <c r="M366" s="27"/>
      <c r="N366" s="27"/>
      <c r="O366" s="27"/>
      <c r="P366" s="13" t="s">
        <v>112</v>
      </c>
    </row>
    <row r="367" spans="1:16" x14ac:dyDescent="0.3">
      <c r="A367" s="3" t="s">
        <v>122</v>
      </c>
      <c r="B367" s="3" t="s">
        <v>123</v>
      </c>
      <c r="C367" s="3" t="s">
        <v>124</v>
      </c>
      <c r="D367" s="3" t="s">
        <v>125</v>
      </c>
      <c r="E367" s="3" t="s">
        <v>126</v>
      </c>
      <c r="F367" s="3" t="s">
        <v>127</v>
      </c>
      <c r="G367" s="3" t="s">
        <v>128</v>
      </c>
      <c r="H367" s="3" t="s">
        <v>129</v>
      </c>
      <c r="I367" s="3" t="s">
        <v>123</v>
      </c>
      <c r="J367" s="3" t="s">
        <v>124</v>
      </c>
      <c r="K367" s="3" t="s">
        <v>125</v>
      </c>
      <c r="L367" s="3" t="s">
        <v>126</v>
      </c>
      <c r="M367" s="3" t="s">
        <v>127</v>
      </c>
      <c r="N367" s="3" t="s">
        <v>128</v>
      </c>
      <c r="O367" s="3" t="s">
        <v>129</v>
      </c>
      <c r="P367" s="3" t="s">
        <v>130</v>
      </c>
    </row>
    <row r="368" spans="1:16" x14ac:dyDescent="0.3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3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3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3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3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3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3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3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3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3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3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3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3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3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3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3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3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3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3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3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3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3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3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3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3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3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3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3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3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3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3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3">
      <c r="A399" s="9" t="s">
        <v>112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" x14ac:dyDescent="0.3">
      <c r="A401" s="37" t="s">
        <v>0</v>
      </c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</row>
    <row r="402" spans="1:16" ht="15.6" x14ac:dyDescent="0.3">
      <c r="A402" s="35" t="s">
        <v>101</v>
      </c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6" x14ac:dyDescent="0.3">
      <c r="A403" s="1" t="s">
        <v>4</v>
      </c>
      <c r="B403" s="2" t="s">
        <v>2</v>
      </c>
      <c r="E403" s="1" t="s">
        <v>102</v>
      </c>
      <c r="F403" s="1" t="s">
        <v>121</v>
      </c>
      <c r="M403" s="1" t="s">
        <v>104</v>
      </c>
      <c r="N403" s="1" t="s">
        <v>70</v>
      </c>
    </row>
    <row r="404" spans="1:16" x14ac:dyDescent="0.3">
      <c r="A404" s="1" t="s">
        <v>105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3">
      <c r="A405" s="1" t="s">
        <v>106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3">
      <c r="A406" s="3" t="s">
        <v>122</v>
      </c>
      <c r="B406" s="36" t="s">
        <v>119</v>
      </c>
      <c r="C406" s="27"/>
      <c r="D406" s="27"/>
      <c r="E406" s="27"/>
      <c r="F406" s="27"/>
      <c r="G406" s="27"/>
      <c r="H406" s="27"/>
      <c r="I406" s="38" t="s">
        <v>120</v>
      </c>
      <c r="J406" s="27"/>
      <c r="K406" s="27"/>
      <c r="L406" s="27"/>
      <c r="M406" s="27"/>
      <c r="N406" s="27"/>
      <c r="O406" s="27"/>
      <c r="P406" s="13" t="s">
        <v>112</v>
      </c>
    </row>
    <row r="407" spans="1:16" x14ac:dyDescent="0.3">
      <c r="A407" s="3" t="s">
        <v>122</v>
      </c>
      <c r="B407" s="3" t="s">
        <v>123</v>
      </c>
      <c r="C407" s="3" t="s">
        <v>124</v>
      </c>
      <c r="D407" s="3" t="s">
        <v>125</v>
      </c>
      <c r="E407" s="3" t="s">
        <v>126</v>
      </c>
      <c r="F407" s="3" t="s">
        <v>127</v>
      </c>
      <c r="G407" s="3" t="s">
        <v>128</v>
      </c>
      <c r="H407" s="3" t="s">
        <v>129</v>
      </c>
      <c r="I407" s="3" t="s">
        <v>123</v>
      </c>
      <c r="J407" s="3" t="s">
        <v>124</v>
      </c>
      <c r="K407" s="3" t="s">
        <v>125</v>
      </c>
      <c r="L407" s="3" t="s">
        <v>126</v>
      </c>
      <c r="M407" s="3" t="s">
        <v>127</v>
      </c>
      <c r="N407" s="3" t="s">
        <v>128</v>
      </c>
      <c r="O407" s="3" t="s">
        <v>129</v>
      </c>
      <c r="P407" s="3" t="s">
        <v>130</v>
      </c>
    </row>
    <row r="408" spans="1:16" x14ac:dyDescent="0.3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3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3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3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3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3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3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3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3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3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3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3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3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3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3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3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3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3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3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3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3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3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3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3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3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3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3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3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3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3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3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3">
      <c r="A439" s="9" t="s">
        <v>112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" x14ac:dyDescent="0.3">
      <c r="A441" s="37" t="s">
        <v>0</v>
      </c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6" ht="15.6" x14ac:dyDescent="0.3">
      <c r="A442" s="35" t="s">
        <v>101</v>
      </c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</row>
    <row r="443" spans="1:16" x14ac:dyDescent="0.3">
      <c r="A443" s="1" t="s">
        <v>4</v>
      </c>
      <c r="B443" s="2" t="s">
        <v>2</v>
      </c>
      <c r="E443" s="1" t="s">
        <v>102</v>
      </c>
      <c r="F443" s="1" t="s">
        <v>121</v>
      </c>
      <c r="M443" s="1" t="s">
        <v>104</v>
      </c>
      <c r="N443" s="1" t="s">
        <v>71</v>
      </c>
    </row>
    <row r="444" spans="1:16" x14ac:dyDescent="0.3">
      <c r="A444" s="1" t="s">
        <v>105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3">
      <c r="A445" s="1" t="s">
        <v>106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3">
      <c r="A446" s="3" t="s">
        <v>122</v>
      </c>
      <c r="B446" s="36" t="s">
        <v>119</v>
      </c>
      <c r="C446" s="27"/>
      <c r="D446" s="27"/>
      <c r="E446" s="27"/>
      <c r="F446" s="27"/>
      <c r="G446" s="27"/>
      <c r="H446" s="27"/>
      <c r="I446" s="38" t="s">
        <v>120</v>
      </c>
      <c r="J446" s="27"/>
      <c r="K446" s="27"/>
      <c r="L446" s="27"/>
      <c r="M446" s="27"/>
      <c r="N446" s="27"/>
      <c r="O446" s="27"/>
      <c r="P446" s="13" t="s">
        <v>112</v>
      </c>
    </row>
    <row r="447" spans="1:16" x14ac:dyDescent="0.3">
      <c r="A447" s="3" t="s">
        <v>122</v>
      </c>
      <c r="B447" s="3" t="s">
        <v>123</v>
      </c>
      <c r="C447" s="3" t="s">
        <v>124</v>
      </c>
      <c r="D447" s="3" t="s">
        <v>125</v>
      </c>
      <c r="E447" s="3" t="s">
        <v>126</v>
      </c>
      <c r="F447" s="3" t="s">
        <v>127</v>
      </c>
      <c r="G447" s="3" t="s">
        <v>128</v>
      </c>
      <c r="H447" s="3" t="s">
        <v>129</v>
      </c>
      <c r="I447" s="3" t="s">
        <v>123</v>
      </c>
      <c r="J447" s="3" t="s">
        <v>124</v>
      </c>
      <c r="K447" s="3" t="s">
        <v>125</v>
      </c>
      <c r="L447" s="3" t="s">
        <v>126</v>
      </c>
      <c r="M447" s="3" t="s">
        <v>127</v>
      </c>
      <c r="N447" s="3" t="s">
        <v>128</v>
      </c>
      <c r="O447" s="3" t="s">
        <v>129</v>
      </c>
      <c r="P447" s="3" t="s">
        <v>130</v>
      </c>
    </row>
    <row r="448" spans="1:16" x14ac:dyDescent="0.3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3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3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3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3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3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3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3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3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3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3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3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3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3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3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3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3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3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3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3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3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3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3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3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3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3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3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3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3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3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3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3">
      <c r="A479" s="9" t="s">
        <v>112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4.4" x14ac:dyDescent="0.3"/>
  <cols>
    <col min="1" max="1" width="18" customWidth="1"/>
    <col min="2" max="3" width="14" customWidth="1"/>
    <col min="4" max="16" width="12" customWidth="1"/>
  </cols>
  <sheetData>
    <row r="1" spans="1:16" ht="18" x14ac:dyDescent="0.3">
      <c r="A1" s="30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15.6" x14ac:dyDescent="0.3">
      <c r="A2" s="35" t="s">
        <v>131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41.4" x14ac:dyDescent="0.3">
      <c r="A3" s="8" t="s">
        <v>132</v>
      </c>
      <c r="B3" s="8" t="s">
        <v>133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3">
      <c r="A4" s="15" t="s">
        <v>31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2" si="0">IFERROR(H4/31,0)</f>
        <v>0</v>
      </c>
      <c r="L4" s="16">
        <f t="shared" ref="L4:L12" si="1">IFERROR(H4/(E4+F4),0)</f>
        <v>0</v>
      </c>
      <c r="M4" s="16">
        <f t="shared" ref="M4:M12" si="2">IFERROR((C4*31-H4)/(E4+F4),0)</f>
        <v>0</v>
      </c>
      <c r="N4" s="16">
        <f t="shared" ref="N4:N12" si="3">IFERROR((E4+F4)/C4,0)</f>
        <v>0</v>
      </c>
      <c r="O4" s="16">
        <f t="shared" ref="O4:O12" si="4">IFERROR((H4/(C4*31))*100,0)</f>
        <v>0</v>
      </c>
      <c r="P4" s="16">
        <f t="shared" ref="P4:P12" si="5">IFERROR((F4/(D4+B4))*100,0)</f>
        <v>0</v>
      </c>
    </row>
    <row r="5" spans="1:16" x14ac:dyDescent="0.3">
      <c r="A5" s="15" t="s">
        <v>33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3">
      <c r="A6" s="15" t="s">
        <v>35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3">
      <c r="A7" s="15" t="s">
        <v>37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3">
      <c r="A8" s="15" t="s">
        <v>39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3">
      <c r="A9" s="15" t="s">
        <v>41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3">
      <c r="A10" s="15" t="s">
        <v>43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3">
      <c r="A11" s="15" t="s">
        <v>45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3">
      <c r="A12" s="15" t="s">
        <v>47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3">
      <c r="A13" s="17" t="s">
        <v>144</v>
      </c>
      <c r="B13" s="15">
        <f>SUMIFS(tblDaily[Remaining],tblDaily[EntryDate],DATE(2026,1,31),tblDaily[WardCode],"MAE")+SUMIFS(tblDaily[Remaining],tblDaily[EntryDate],DATE(2026,1,31),tblDaily[WardCode],"FAE")</f>
        <v>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3">
      <c r="A14" s="9" t="s">
        <v>112</v>
      </c>
      <c r="B14" s="9">
        <f t="shared" ref="B14:J14" si="6">SUM(B4:B12)</f>
        <v>0</v>
      </c>
      <c r="C14" s="9">
        <f t="shared" si="6"/>
        <v>178</v>
      </c>
      <c r="D14" s="9">
        <f t="shared" si="6"/>
        <v>0</v>
      </c>
      <c r="E14" s="9">
        <f t="shared" si="6"/>
        <v>0</v>
      </c>
      <c r="F14" s="9">
        <f t="shared" si="6"/>
        <v>0</v>
      </c>
      <c r="G14" s="9">
        <f t="shared" si="6"/>
        <v>0</v>
      </c>
      <c r="H14" s="9">
        <f t="shared" si="6"/>
        <v>0</v>
      </c>
      <c r="I14" s="9">
        <f t="shared" si="6"/>
        <v>0</v>
      </c>
      <c r="J14" s="9">
        <f t="shared" si="6"/>
        <v>0</v>
      </c>
      <c r="K14" s="19">
        <f>IFERROR(H14/31,0)</f>
        <v>0</v>
      </c>
      <c r="L14" s="19">
        <f>IFERROR(H14/(E14+F14),0)</f>
        <v>0</v>
      </c>
      <c r="M14" s="19">
        <f>IFERROR((C14*31-H14)/(E14+F14),0)</f>
        <v>0</v>
      </c>
      <c r="N14" s="19">
        <f>IFERROR((E14+F14)/C14,0)</f>
        <v>0</v>
      </c>
      <c r="O14" s="19">
        <f>IFERROR((H14/(C14*31))*100,0)</f>
        <v>0</v>
      </c>
      <c r="P14" s="19">
        <f>IFERROR((F14/(D14+B14))*100,0)</f>
        <v>0</v>
      </c>
    </row>
    <row r="15" spans="1:16" x14ac:dyDescent="0.3">
      <c r="A15" s="20" t="s">
        <v>145</v>
      </c>
      <c r="B15" s="20">
        <f t="shared" ref="B15:J15" si="7">B11+B12</f>
        <v>0</v>
      </c>
      <c r="C15" s="20">
        <f t="shared" si="7"/>
        <v>20</v>
      </c>
      <c r="D15" s="20">
        <f t="shared" si="7"/>
        <v>0</v>
      </c>
      <c r="E15" s="20">
        <f t="shared" si="7"/>
        <v>0</v>
      </c>
      <c r="F15" s="20">
        <f t="shared" si="7"/>
        <v>0</v>
      </c>
      <c r="G15" s="20">
        <f t="shared" si="7"/>
        <v>0</v>
      </c>
      <c r="H15" s="20">
        <f t="shared" si="7"/>
        <v>0</v>
      </c>
      <c r="I15" s="20">
        <f t="shared" si="7"/>
        <v>0</v>
      </c>
      <c r="J15" s="20">
        <f t="shared" si="7"/>
        <v>0</v>
      </c>
      <c r="K15" s="21">
        <f>IFERROR(H15/31,0)</f>
        <v>0</v>
      </c>
      <c r="L15" s="21">
        <f>IFERROR(H15/(E15+F15),0)</f>
        <v>0</v>
      </c>
      <c r="M15" s="21">
        <f>IFERROR((C15*31-H15)/(E15+F15),0)</f>
        <v>0</v>
      </c>
      <c r="N15" s="21">
        <f>IFERROR((E15+F15)/C15,0)</f>
        <v>0</v>
      </c>
      <c r="O15" s="21">
        <f>IFERROR((H15/(C15*31))*100,0)</f>
        <v>0</v>
      </c>
      <c r="P15" s="21">
        <f>IFERROR((F15/(D15+B15))*100,0)</f>
        <v>0</v>
      </c>
    </row>
    <row r="17" spans="1:16" ht="18" x14ac:dyDescent="0.3">
      <c r="A17" s="30" t="s">
        <v>0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</row>
    <row r="18" spans="1:16" ht="15.6" x14ac:dyDescent="0.3">
      <c r="A18" s="35" t="s">
        <v>146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</row>
    <row r="19" spans="1:16" ht="41.4" x14ac:dyDescent="0.3">
      <c r="A19" s="8" t="s">
        <v>132</v>
      </c>
      <c r="B19" s="8" t="s">
        <v>133</v>
      </c>
      <c r="C19" s="8" t="s">
        <v>134</v>
      </c>
      <c r="D19" s="8" t="s">
        <v>74</v>
      </c>
      <c r="E19" s="8" t="s">
        <v>75</v>
      </c>
      <c r="F19" s="8" t="s">
        <v>76</v>
      </c>
      <c r="G19" s="8" t="s">
        <v>108</v>
      </c>
      <c r="H19" s="8" t="s">
        <v>135</v>
      </c>
      <c r="I19" s="8" t="s">
        <v>136</v>
      </c>
      <c r="J19" s="8" t="s">
        <v>137</v>
      </c>
      <c r="K19" s="8" t="s">
        <v>138</v>
      </c>
      <c r="L19" s="8" t="s">
        <v>139</v>
      </c>
      <c r="M19" s="8" t="s">
        <v>140</v>
      </c>
      <c r="N19" s="8" t="s">
        <v>141</v>
      </c>
      <c r="O19" s="8" t="s">
        <v>142</v>
      </c>
      <c r="P19" s="8" t="s">
        <v>143</v>
      </c>
    </row>
    <row r="20" spans="1:16" x14ac:dyDescent="0.3">
      <c r="A20" s="15" t="s">
        <v>31</v>
      </c>
      <c r="B20" s="4">
        <f>IFERROR(SUMIFS(tblDaily[Remaining],tblDaily[EntryDate],DATE(2026,1,31),tblDaily[WardCode],"MW"),0)</f>
        <v>0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3">
      <c r="A21" s="15" t="s">
        <v>33</v>
      </c>
      <c r="B21" s="4">
        <f>IFERROR(SUMIFS(tblDaily[Remaining],tblDaily[EntryDate],DATE(2026,1,31),tblDaily[WardCode],"FW"),0)</f>
        <v>0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3">
      <c r="A22" s="15" t="s">
        <v>35</v>
      </c>
      <c r="B22" s="4">
        <f>IFERROR(SUMIFS(tblDaily[Remaining],tblDaily[EntryDate],DATE(2026,1,31),tblDaily[WardCode],"CW"),0)</f>
        <v>0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3">
      <c r="A23" s="15" t="s">
        <v>37</v>
      </c>
      <c r="B23" s="4">
        <f>IFERROR(SUMIFS(tblDaily[Remaining],tblDaily[EntryDate],DATE(2026,1,31),tblDaily[WardCode],"BF"),0)</f>
        <v>0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3">
      <c r="A24" s="15" t="s">
        <v>39</v>
      </c>
      <c r="B24" s="4">
        <f>IFERROR(SUMIFS(tblDaily[Remaining],tblDaily[EntryDate],DATE(2026,1,31),tblDaily[WardCode],"BG"),0)</f>
        <v>0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3">
      <c r="A25" s="15" t="s">
        <v>41</v>
      </c>
      <c r="B25" s="4">
        <f>IFERROR(SUMIFS(tblDaily[Remaining],tblDaily[EntryDate],DATE(2026,1,31),tblDaily[WardCode],"BH"),0)</f>
        <v>0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3">
      <c r="A26" s="15" t="s">
        <v>43</v>
      </c>
      <c r="B26" s="4">
        <f>IFERROR(SUMIFS(tblDaily[Remaining],tblDaily[EntryDate],DATE(2026,1,31),tblDaily[WardCode],"NICU"),0)</f>
        <v>0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3">
      <c r="A27" s="15" t="s">
        <v>45</v>
      </c>
      <c r="B27" s="4">
        <f>IFERROR(SUMIFS(tblDaily[Remaining],tblDaily[EntryDate],DATE(2026,1,31),tblDaily[WardCode],"MAE"),0)</f>
        <v>0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3">
      <c r="A28" s="15" t="s">
        <v>47</v>
      </c>
      <c r="B28" s="4">
        <f>IFERROR(SUMIFS(tblDaily[Remaining],tblDaily[EntryDate],DATE(2026,1,31),tblDaily[WardCode],"FAE"),0)</f>
        <v>0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3">
      <c r="A29" s="17" t="s">
        <v>144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3">
      <c r="A30" s="9" t="s">
        <v>112</v>
      </c>
      <c r="B30" s="9">
        <f t="shared" ref="B30:J30" si="14">SUM(B20:B28)</f>
        <v>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3">
      <c r="A31" s="20" t="s">
        <v>145</v>
      </c>
      <c r="B31" s="20">
        <f t="shared" ref="B31:J31" si="15">B27+B28</f>
        <v>0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" x14ac:dyDescent="0.3">
      <c r="A33" s="30" t="s">
        <v>0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</row>
    <row r="34" spans="1:16" ht="15.6" x14ac:dyDescent="0.3">
      <c r="A34" s="35" t="s">
        <v>147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</row>
    <row r="35" spans="1:16" ht="41.4" x14ac:dyDescent="0.3">
      <c r="A35" s="8" t="s">
        <v>132</v>
      </c>
      <c r="B35" s="8" t="s">
        <v>133</v>
      </c>
      <c r="C35" s="8" t="s">
        <v>134</v>
      </c>
      <c r="D35" s="8" t="s">
        <v>74</v>
      </c>
      <c r="E35" s="8" t="s">
        <v>75</v>
      </c>
      <c r="F35" s="8" t="s">
        <v>76</v>
      </c>
      <c r="G35" s="8" t="s">
        <v>108</v>
      </c>
      <c r="H35" s="8" t="s">
        <v>135</v>
      </c>
      <c r="I35" s="8" t="s">
        <v>136</v>
      </c>
      <c r="J35" s="8" t="s">
        <v>137</v>
      </c>
      <c r="K35" s="8" t="s">
        <v>138</v>
      </c>
      <c r="L35" s="8" t="s">
        <v>139</v>
      </c>
      <c r="M35" s="8" t="s">
        <v>140</v>
      </c>
      <c r="N35" s="8" t="s">
        <v>141</v>
      </c>
      <c r="O35" s="8" t="s">
        <v>142</v>
      </c>
      <c r="P35" s="8" t="s">
        <v>143</v>
      </c>
    </row>
    <row r="36" spans="1:16" x14ac:dyDescent="0.3">
      <c r="A36" s="15" t="s">
        <v>31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3">
      <c r="A37" s="15" t="s">
        <v>33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3">
      <c r="A38" s="15" t="s">
        <v>35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3">
      <c r="A39" s="15" t="s">
        <v>37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3">
      <c r="A40" s="15" t="s">
        <v>39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3">
      <c r="A41" s="15" t="s">
        <v>41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3">
      <c r="A42" s="15" t="s">
        <v>43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3">
      <c r="A43" s="15" t="s">
        <v>45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3">
      <c r="A44" s="15" t="s">
        <v>47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3">
      <c r="A45" s="17" t="s">
        <v>144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3">
      <c r="A46" s="9" t="s">
        <v>112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3">
      <c r="A47" s="20" t="s">
        <v>145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" x14ac:dyDescent="0.3">
      <c r="A49" s="30" t="s">
        <v>0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1:16" ht="15.6" x14ac:dyDescent="0.3">
      <c r="A50" s="35" t="s">
        <v>148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1:16" ht="41.4" x14ac:dyDescent="0.3">
      <c r="A51" s="8" t="s">
        <v>132</v>
      </c>
      <c r="B51" s="8" t="s">
        <v>133</v>
      </c>
      <c r="C51" s="8" t="s">
        <v>134</v>
      </c>
      <c r="D51" s="8" t="s">
        <v>74</v>
      </c>
      <c r="E51" s="8" t="s">
        <v>75</v>
      </c>
      <c r="F51" s="8" t="s">
        <v>76</v>
      </c>
      <c r="G51" s="8" t="s">
        <v>108</v>
      </c>
      <c r="H51" s="8" t="s">
        <v>135</v>
      </c>
      <c r="I51" s="8" t="s">
        <v>136</v>
      </c>
      <c r="J51" s="8" t="s">
        <v>137</v>
      </c>
      <c r="K51" s="8" t="s">
        <v>138</v>
      </c>
      <c r="L51" s="8" t="s">
        <v>139</v>
      </c>
      <c r="M51" s="8" t="s">
        <v>140</v>
      </c>
      <c r="N51" s="8" t="s">
        <v>141</v>
      </c>
      <c r="O51" s="8" t="s">
        <v>142</v>
      </c>
      <c r="P51" s="8" t="s">
        <v>143</v>
      </c>
    </row>
    <row r="52" spans="1:16" x14ac:dyDescent="0.3">
      <c r="A52" s="15" t="s">
        <v>31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3">
      <c r="A53" s="15" t="s">
        <v>33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3">
      <c r="A54" s="15" t="s">
        <v>35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3">
      <c r="A55" s="15" t="s">
        <v>37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3">
      <c r="A56" s="15" t="s">
        <v>39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3">
      <c r="A57" s="15" t="s">
        <v>41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3">
      <c r="A58" s="15" t="s">
        <v>43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3">
      <c r="A59" s="15" t="s">
        <v>45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3">
      <c r="A60" s="15" t="s">
        <v>47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3">
      <c r="A61" s="17" t="s">
        <v>144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3">
      <c r="A62" s="9" t="s">
        <v>112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3">
      <c r="A63" s="20" t="s">
        <v>145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" x14ac:dyDescent="0.3">
      <c r="A65" s="30" t="s">
        <v>0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</row>
    <row r="66" spans="1:16" ht="15.6" x14ac:dyDescent="0.3">
      <c r="A66" s="35" t="s">
        <v>149</v>
      </c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</row>
    <row r="67" spans="1:16" ht="41.4" x14ac:dyDescent="0.3">
      <c r="A67" s="8" t="s">
        <v>132</v>
      </c>
      <c r="B67" s="8" t="s">
        <v>133</v>
      </c>
      <c r="C67" s="8" t="s">
        <v>134</v>
      </c>
      <c r="D67" s="8" t="s">
        <v>74</v>
      </c>
      <c r="E67" s="8" t="s">
        <v>75</v>
      </c>
      <c r="F67" s="8" t="s">
        <v>76</v>
      </c>
      <c r="G67" s="8" t="s">
        <v>108</v>
      </c>
      <c r="H67" s="8" t="s">
        <v>135</v>
      </c>
      <c r="I67" s="8" t="s">
        <v>136</v>
      </c>
      <c r="J67" s="8" t="s">
        <v>137</v>
      </c>
      <c r="K67" s="8" t="s">
        <v>138</v>
      </c>
      <c r="L67" s="8" t="s">
        <v>139</v>
      </c>
      <c r="M67" s="8" t="s">
        <v>140</v>
      </c>
      <c r="N67" s="8" t="s">
        <v>141</v>
      </c>
      <c r="O67" s="8" t="s">
        <v>142</v>
      </c>
      <c r="P67" s="8" t="s">
        <v>143</v>
      </c>
    </row>
    <row r="68" spans="1:16" x14ac:dyDescent="0.3">
      <c r="A68" s="15" t="s">
        <v>31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3">
      <c r="A69" s="15" t="s">
        <v>33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3">
      <c r="A70" s="15" t="s">
        <v>35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3">
      <c r="A71" s="15" t="s">
        <v>37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3">
      <c r="A72" s="15" t="s">
        <v>39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3">
      <c r="A73" s="15" t="s">
        <v>41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3">
      <c r="A74" s="15" t="s">
        <v>43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3">
      <c r="A75" s="15" t="s">
        <v>45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3">
      <c r="A76" s="15" t="s">
        <v>47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3">
      <c r="A77" s="17" t="s">
        <v>144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3">
      <c r="A78" s="9" t="s">
        <v>112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3">
      <c r="A79" s="20" t="s">
        <v>145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" x14ac:dyDescent="0.3">
      <c r="A81" s="30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</row>
    <row r="82" spans="1:16" ht="15.6" x14ac:dyDescent="0.3">
      <c r="A82" s="35" t="s">
        <v>150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</row>
    <row r="83" spans="1:16" ht="41.4" x14ac:dyDescent="0.3">
      <c r="A83" s="8" t="s">
        <v>132</v>
      </c>
      <c r="B83" s="8" t="s">
        <v>133</v>
      </c>
      <c r="C83" s="8" t="s">
        <v>134</v>
      </c>
      <c r="D83" s="8" t="s">
        <v>74</v>
      </c>
      <c r="E83" s="8" t="s">
        <v>75</v>
      </c>
      <c r="F83" s="8" t="s">
        <v>76</v>
      </c>
      <c r="G83" s="8" t="s">
        <v>108</v>
      </c>
      <c r="H83" s="8" t="s">
        <v>135</v>
      </c>
      <c r="I83" s="8" t="s">
        <v>136</v>
      </c>
      <c r="J83" s="8" t="s">
        <v>137</v>
      </c>
      <c r="K83" s="8" t="s">
        <v>138</v>
      </c>
      <c r="L83" s="8" t="s">
        <v>139</v>
      </c>
      <c r="M83" s="8" t="s">
        <v>140</v>
      </c>
      <c r="N83" s="8" t="s">
        <v>141</v>
      </c>
      <c r="O83" s="8" t="s">
        <v>142</v>
      </c>
      <c r="P83" s="8" t="s">
        <v>143</v>
      </c>
    </row>
    <row r="84" spans="1:16" x14ac:dyDescent="0.3">
      <c r="A84" s="15" t="s">
        <v>31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3">
      <c r="A85" s="15" t="s">
        <v>33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3">
      <c r="A86" s="15" t="s">
        <v>35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3">
      <c r="A87" s="15" t="s">
        <v>37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3">
      <c r="A88" s="15" t="s">
        <v>39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3">
      <c r="A89" s="15" t="s">
        <v>41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3">
      <c r="A90" s="15" t="s">
        <v>43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3">
      <c r="A91" s="15" t="s">
        <v>45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3">
      <c r="A92" s="15" t="s">
        <v>47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3">
      <c r="A93" s="17" t="s">
        <v>144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3">
      <c r="A94" s="9" t="s">
        <v>112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3">
      <c r="A95" s="20" t="s">
        <v>145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" x14ac:dyDescent="0.3">
      <c r="A97" s="30" t="s">
        <v>0</v>
      </c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</row>
    <row r="98" spans="1:16" ht="15.6" x14ac:dyDescent="0.3">
      <c r="A98" s="35" t="s">
        <v>151</v>
      </c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</row>
    <row r="99" spans="1:16" ht="41.4" x14ac:dyDescent="0.3">
      <c r="A99" s="8" t="s">
        <v>132</v>
      </c>
      <c r="B99" s="8" t="s">
        <v>133</v>
      </c>
      <c r="C99" s="8" t="s">
        <v>134</v>
      </c>
      <c r="D99" s="8" t="s">
        <v>74</v>
      </c>
      <c r="E99" s="8" t="s">
        <v>75</v>
      </c>
      <c r="F99" s="8" t="s">
        <v>76</v>
      </c>
      <c r="G99" s="8" t="s">
        <v>108</v>
      </c>
      <c r="H99" s="8" t="s">
        <v>135</v>
      </c>
      <c r="I99" s="8" t="s">
        <v>136</v>
      </c>
      <c r="J99" s="8" t="s">
        <v>137</v>
      </c>
      <c r="K99" s="8" t="s">
        <v>138</v>
      </c>
      <c r="L99" s="8" t="s">
        <v>139</v>
      </c>
      <c r="M99" s="8" t="s">
        <v>140</v>
      </c>
      <c r="N99" s="8" t="s">
        <v>141</v>
      </c>
      <c r="O99" s="8" t="s">
        <v>142</v>
      </c>
      <c r="P99" s="8" t="s">
        <v>143</v>
      </c>
    </row>
    <row r="100" spans="1:16" x14ac:dyDescent="0.3">
      <c r="A100" s="15" t="s">
        <v>31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3">
      <c r="A101" s="15" t="s">
        <v>33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3">
      <c r="A102" s="15" t="s">
        <v>35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3">
      <c r="A103" s="15" t="s">
        <v>37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3">
      <c r="A104" s="15" t="s">
        <v>39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3">
      <c r="A105" s="15" t="s">
        <v>41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3">
      <c r="A106" s="15" t="s">
        <v>43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3">
      <c r="A107" s="15" t="s">
        <v>45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3">
      <c r="A108" s="15" t="s">
        <v>47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3">
      <c r="A109" s="17" t="s">
        <v>144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3">
      <c r="A110" s="9" t="s">
        <v>112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3">
      <c r="A111" s="20" t="s">
        <v>145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" x14ac:dyDescent="0.3">
      <c r="A113" s="30" t="s">
        <v>0</v>
      </c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</row>
    <row r="114" spans="1:16" ht="15.6" x14ac:dyDescent="0.3">
      <c r="A114" s="35" t="s">
        <v>152</v>
      </c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</row>
    <row r="115" spans="1:16" ht="41.4" x14ac:dyDescent="0.3">
      <c r="A115" s="8" t="s">
        <v>132</v>
      </c>
      <c r="B115" s="8" t="s">
        <v>133</v>
      </c>
      <c r="C115" s="8" t="s">
        <v>134</v>
      </c>
      <c r="D115" s="8" t="s">
        <v>74</v>
      </c>
      <c r="E115" s="8" t="s">
        <v>75</v>
      </c>
      <c r="F115" s="8" t="s">
        <v>76</v>
      </c>
      <c r="G115" s="8" t="s">
        <v>108</v>
      </c>
      <c r="H115" s="8" t="s">
        <v>135</v>
      </c>
      <c r="I115" s="8" t="s">
        <v>136</v>
      </c>
      <c r="J115" s="8" t="s">
        <v>137</v>
      </c>
      <c r="K115" s="8" t="s">
        <v>138</v>
      </c>
      <c r="L115" s="8" t="s">
        <v>139</v>
      </c>
      <c r="M115" s="8" t="s">
        <v>140</v>
      </c>
      <c r="N115" s="8" t="s">
        <v>141</v>
      </c>
      <c r="O115" s="8" t="s">
        <v>142</v>
      </c>
      <c r="P115" s="8" t="s">
        <v>143</v>
      </c>
    </row>
    <row r="116" spans="1:16" x14ac:dyDescent="0.3">
      <c r="A116" s="15" t="s">
        <v>31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3">
      <c r="A117" s="15" t="s">
        <v>33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3">
      <c r="A118" s="15" t="s">
        <v>35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3">
      <c r="A119" s="15" t="s">
        <v>37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3">
      <c r="A120" s="15" t="s">
        <v>39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3">
      <c r="A121" s="15" t="s">
        <v>41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3">
      <c r="A122" s="15" t="s">
        <v>43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3">
      <c r="A123" s="15" t="s">
        <v>45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3">
      <c r="A124" s="15" t="s">
        <v>47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3">
      <c r="A125" s="17" t="s">
        <v>144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3">
      <c r="A126" s="9" t="s">
        <v>112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3">
      <c r="A127" s="20" t="s">
        <v>145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" x14ac:dyDescent="0.3">
      <c r="A129" s="30" t="s">
        <v>0</v>
      </c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</row>
    <row r="130" spans="1:16" ht="15.6" x14ac:dyDescent="0.3">
      <c r="A130" s="35" t="s">
        <v>153</v>
      </c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</row>
    <row r="131" spans="1:16" ht="41.4" x14ac:dyDescent="0.3">
      <c r="A131" s="8" t="s">
        <v>132</v>
      </c>
      <c r="B131" s="8" t="s">
        <v>133</v>
      </c>
      <c r="C131" s="8" t="s">
        <v>134</v>
      </c>
      <c r="D131" s="8" t="s">
        <v>74</v>
      </c>
      <c r="E131" s="8" t="s">
        <v>75</v>
      </c>
      <c r="F131" s="8" t="s">
        <v>76</v>
      </c>
      <c r="G131" s="8" t="s">
        <v>108</v>
      </c>
      <c r="H131" s="8" t="s">
        <v>135</v>
      </c>
      <c r="I131" s="8" t="s">
        <v>136</v>
      </c>
      <c r="J131" s="8" t="s">
        <v>137</v>
      </c>
      <c r="K131" s="8" t="s">
        <v>138</v>
      </c>
      <c r="L131" s="8" t="s">
        <v>139</v>
      </c>
      <c r="M131" s="8" t="s">
        <v>140</v>
      </c>
      <c r="N131" s="8" t="s">
        <v>141</v>
      </c>
      <c r="O131" s="8" t="s">
        <v>142</v>
      </c>
      <c r="P131" s="8" t="s">
        <v>143</v>
      </c>
    </row>
    <row r="132" spans="1:16" x14ac:dyDescent="0.3">
      <c r="A132" s="15" t="s">
        <v>31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3">
      <c r="A133" s="15" t="s">
        <v>33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3">
      <c r="A134" s="15" t="s">
        <v>35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3">
      <c r="A135" s="15" t="s">
        <v>37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3">
      <c r="A136" s="15" t="s">
        <v>39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3">
      <c r="A137" s="15" t="s">
        <v>41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3">
      <c r="A138" s="15" t="s">
        <v>43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3">
      <c r="A139" s="15" t="s">
        <v>45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3">
      <c r="A140" s="15" t="s">
        <v>47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3">
      <c r="A141" s="17" t="s">
        <v>144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3">
      <c r="A142" s="9" t="s">
        <v>112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3">
      <c r="A143" s="20" t="s">
        <v>145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" x14ac:dyDescent="0.3">
      <c r="A145" s="30" t="s">
        <v>0</v>
      </c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</row>
    <row r="146" spans="1:16" ht="15.6" x14ac:dyDescent="0.3">
      <c r="A146" s="35" t="s">
        <v>154</v>
      </c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</row>
    <row r="147" spans="1:16" ht="41.4" x14ac:dyDescent="0.3">
      <c r="A147" s="8" t="s">
        <v>132</v>
      </c>
      <c r="B147" s="8" t="s">
        <v>133</v>
      </c>
      <c r="C147" s="8" t="s">
        <v>134</v>
      </c>
      <c r="D147" s="8" t="s">
        <v>74</v>
      </c>
      <c r="E147" s="8" t="s">
        <v>75</v>
      </c>
      <c r="F147" s="8" t="s">
        <v>76</v>
      </c>
      <c r="G147" s="8" t="s">
        <v>108</v>
      </c>
      <c r="H147" s="8" t="s">
        <v>135</v>
      </c>
      <c r="I147" s="8" t="s">
        <v>136</v>
      </c>
      <c r="J147" s="8" t="s">
        <v>137</v>
      </c>
      <c r="K147" s="8" t="s">
        <v>138</v>
      </c>
      <c r="L147" s="8" t="s">
        <v>139</v>
      </c>
      <c r="M147" s="8" t="s">
        <v>140</v>
      </c>
      <c r="N147" s="8" t="s">
        <v>141</v>
      </c>
      <c r="O147" s="8" t="s">
        <v>142</v>
      </c>
      <c r="P147" s="8" t="s">
        <v>143</v>
      </c>
    </row>
    <row r="148" spans="1:16" x14ac:dyDescent="0.3">
      <c r="A148" s="15" t="s">
        <v>31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3">
      <c r="A149" s="15" t="s">
        <v>33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3">
      <c r="A150" s="15" t="s">
        <v>35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3">
      <c r="A151" s="15" t="s">
        <v>37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3">
      <c r="A152" s="15" t="s">
        <v>39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3">
      <c r="A153" s="15" t="s">
        <v>41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3">
      <c r="A154" s="15" t="s">
        <v>43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3">
      <c r="A155" s="15" t="s">
        <v>45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3">
      <c r="A156" s="15" t="s">
        <v>47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3">
      <c r="A157" s="17" t="s">
        <v>144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3">
      <c r="A158" s="9" t="s">
        <v>112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3">
      <c r="A159" s="20" t="s">
        <v>145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" x14ac:dyDescent="0.3">
      <c r="A161" s="30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</row>
    <row r="162" spans="1:16" ht="15.6" x14ac:dyDescent="0.3">
      <c r="A162" s="35" t="s">
        <v>155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</row>
    <row r="163" spans="1:16" ht="41.4" x14ac:dyDescent="0.3">
      <c r="A163" s="8" t="s">
        <v>132</v>
      </c>
      <c r="B163" s="8" t="s">
        <v>133</v>
      </c>
      <c r="C163" s="8" t="s">
        <v>134</v>
      </c>
      <c r="D163" s="8" t="s">
        <v>74</v>
      </c>
      <c r="E163" s="8" t="s">
        <v>75</v>
      </c>
      <c r="F163" s="8" t="s">
        <v>76</v>
      </c>
      <c r="G163" s="8" t="s">
        <v>108</v>
      </c>
      <c r="H163" s="8" t="s">
        <v>135</v>
      </c>
      <c r="I163" s="8" t="s">
        <v>136</v>
      </c>
      <c r="J163" s="8" t="s">
        <v>137</v>
      </c>
      <c r="K163" s="8" t="s">
        <v>138</v>
      </c>
      <c r="L163" s="8" t="s">
        <v>139</v>
      </c>
      <c r="M163" s="8" t="s">
        <v>140</v>
      </c>
      <c r="N163" s="8" t="s">
        <v>141</v>
      </c>
      <c r="O163" s="8" t="s">
        <v>142</v>
      </c>
      <c r="P163" s="8" t="s">
        <v>143</v>
      </c>
    </row>
    <row r="164" spans="1:16" x14ac:dyDescent="0.3">
      <c r="A164" s="15" t="s">
        <v>31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3">
      <c r="A165" s="15" t="s">
        <v>33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3">
      <c r="A166" s="15" t="s">
        <v>35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3">
      <c r="A167" s="15" t="s">
        <v>37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3">
      <c r="A168" s="15" t="s">
        <v>39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3">
      <c r="A169" s="15" t="s">
        <v>41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3">
      <c r="A170" s="15" t="s">
        <v>43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3">
      <c r="A171" s="15" t="s">
        <v>45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3">
      <c r="A172" s="15" t="s">
        <v>47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3">
      <c r="A173" s="17" t="s">
        <v>144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3">
      <c r="A174" s="9" t="s">
        <v>112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3">
      <c r="A175" s="20" t="s">
        <v>145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" x14ac:dyDescent="0.3">
      <c r="A177" s="30" t="s">
        <v>0</v>
      </c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</row>
    <row r="178" spans="1:16" ht="15.6" x14ac:dyDescent="0.3">
      <c r="A178" s="35" t="s">
        <v>156</v>
      </c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</row>
    <row r="179" spans="1:16" ht="41.4" x14ac:dyDescent="0.3">
      <c r="A179" s="8" t="s">
        <v>132</v>
      </c>
      <c r="B179" s="8" t="s">
        <v>133</v>
      </c>
      <c r="C179" s="8" t="s">
        <v>134</v>
      </c>
      <c r="D179" s="8" t="s">
        <v>74</v>
      </c>
      <c r="E179" s="8" t="s">
        <v>75</v>
      </c>
      <c r="F179" s="8" t="s">
        <v>76</v>
      </c>
      <c r="G179" s="8" t="s">
        <v>108</v>
      </c>
      <c r="H179" s="8" t="s">
        <v>135</v>
      </c>
      <c r="I179" s="8" t="s">
        <v>136</v>
      </c>
      <c r="J179" s="8" t="s">
        <v>137</v>
      </c>
      <c r="K179" s="8" t="s">
        <v>138</v>
      </c>
      <c r="L179" s="8" t="s">
        <v>139</v>
      </c>
      <c r="M179" s="8" t="s">
        <v>140</v>
      </c>
      <c r="N179" s="8" t="s">
        <v>141</v>
      </c>
      <c r="O179" s="8" t="s">
        <v>142</v>
      </c>
      <c r="P179" s="8" t="s">
        <v>143</v>
      </c>
    </row>
    <row r="180" spans="1:16" x14ac:dyDescent="0.3">
      <c r="A180" s="15" t="s">
        <v>31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3">
      <c r="A181" s="15" t="s">
        <v>33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3">
      <c r="A182" s="15" t="s">
        <v>35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3">
      <c r="A183" s="15" t="s">
        <v>37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3">
      <c r="A184" s="15" t="s">
        <v>39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3">
      <c r="A185" s="15" t="s">
        <v>41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3">
      <c r="A186" s="15" t="s">
        <v>43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3">
      <c r="A187" s="15" t="s">
        <v>45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3">
      <c r="A188" s="15" t="s">
        <v>47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3">
      <c r="A189" s="17" t="s">
        <v>144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3">
      <c r="A190" s="9" t="s">
        <v>112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3">
      <c r="A191" s="20" t="s">
        <v>145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4.4" x14ac:dyDescent="0.3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3">
      <c r="A1" s="39" t="s">
        <v>60</v>
      </c>
      <c r="B1" s="27"/>
      <c r="C1" s="27"/>
      <c r="D1" s="27"/>
      <c r="E1" s="27"/>
      <c r="F1" s="27"/>
      <c r="G1" s="27"/>
      <c r="H1" s="39" t="s">
        <v>61</v>
      </c>
      <c r="I1" s="27"/>
      <c r="J1" s="27"/>
      <c r="K1" s="27"/>
      <c r="L1" s="27"/>
      <c r="M1" s="27"/>
      <c r="N1" s="27"/>
      <c r="O1" s="39" t="s">
        <v>62</v>
      </c>
      <c r="P1" s="27"/>
      <c r="Q1" s="27"/>
      <c r="R1" s="27"/>
      <c r="S1" s="27"/>
      <c r="T1" s="27"/>
      <c r="U1" s="27"/>
      <c r="V1" s="39" t="s">
        <v>63</v>
      </c>
      <c r="W1" s="27"/>
      <c r="X1" s="27"/>
      <c r="Y1" s="27"/>
      <c r="Z1" s="27"/>
      <c r="AA1" s="27"/>
      <c r="AB1" s="27"/>
      <c r="AC1" s="39" t="s">
        <v>64</v>
      </c>
      <c r="AD1" s="27"/>
      <c r="AE1" s="27"/>
      <c r="AF1" s="27"/>
      <c r="AG1" s="27"/>
      <c r="AH1" s="27"/>
      <c r="AI1" s="27"/>
      <c r="AJ1" s="39" t="s">
        <v>65</v>
      </c>
      <c r="AK1" s="27"/>
      <c r="AL1" s="27"/>
      <c r="AM1" s="27"/>
      <c r="AN1" s="27"/>
      <c r="AO1" s="27"/>
      <c r="AP1" s="27"/>
      <c r="AQ1" s="39" t="s">
        <v>66</v>
      </c>
      <c r="AR1" s="27"/>
      <c r="AS1" s="27"/>
      <c r="AT1" s="27"/>
      <c r="AU1" s="27"/>
      <c r="AV1" s="27"/>
      <c r="AW1" s="27"/>
      <c r="AX1" s="39" t="s">
        <v>67</v>
      </c>
      <c r="AY1" s="27"/>
      <c r="AZ1" s="27"/>
      <c r="BA1" s="27"/>
      <c r="BB1" s="27"/>
      <c r="BC1" s="27"/>
      <c r="BD1" s="27"/>
      <c r="BE1" s="39" t="s">
        <v>68</v>
      </c>
      <c r="BF1" s="27"/>
      <c r="BG1" s="27"/>
      <c r="BH1" s="27"/>
      <c r="BI1" s="27"/>
      <c r="BJ1" s="27"/>
      <c r="BK1" s="27"/>
      <c r="BL1" s="39" t="s">
        <v>69</v>
      </c>
      <c r="BM1" s="27"/>
      <c r="BN1" s="27"/>
      <c r="BO1" s="27"/>
      <c r="BP1" s="27"/>
      <c r="BQ1" s="27"/>
      <c r="BR1" s="27"/>
      <c r="BS1" s="39" t="s">
        <v>70</v>
      </c>
      <c r="BT1" s="27"/>
      <c r="BU1" s="27"/>
      <c r="BV1" s="27"/>
      <c r="BW1" s="27"/>
      <c r="BX1" s="27"/>
      <c r="BY1" s="27"/>
      <c r="BZ1" s="39" t="s">
        <v>71</v>
      </c>
      <c r="CA1" s="27"/>
      <c r="CB1" s="27"/>
      <c r="CC1" s="27"/>
      <c r="CD1" s="27"/>
      <c r="CE1" s="27"/>
      <c r="CF1" s="27"/>
    </row>
    <row r="2" spans="1:84" x14ac:dyDescent="0.3">
      <c r="B2" s="42" t="s">
        <v>157</v>
      </c>
      <c r="C2" s="27"/>
      <c r="D2" s="40" t="s">
        <v>158</v>
      </c>
      <c r="E2" s="27"/>
      <c r="F2" s="41" t="s">
        <v>159</v>
      </c>
      <c r="G2" s="27"/>
      <c r="I2" s="42" t="s">
        <v>157</v>
      </c>
      <c r="J2" s="27"/>
      <c r="K2" s="40" t="s">
        <v>158</v>
      </c>
      <c r="L2" s="27"/>
      <c r="M2" s="41" t="s">
        <v>159</v>
      </c>
      <c r="N2" s="27"/>
      <c r="P2" s="42" t="s">
        <v>157</v>
      </c>
      <c r="Q2" s="27"/>
      <c r="R2" s="40" t="s">
        <v>158</v>
      </c>
      <c r="S2" s="27"/>
      <c r="T2" s="41" t="s">
        <v>159</v>
      </c>
      <c r="U2" s="27"/>
      <c r="W2" s="42" t="s">
        <v>157</v>
      </c>
      <c r="X2" s="27"/>
      <c r="Y2" s="40" t="s">
        <v>158</v>
      </c>
      <c r="Z2" s="27"/>
      <c r="AA2" s="41" t="s">
        <v>159</v>
      </c>
      <c r="AB2" s="27"/>
      <c r="AD2" s="42" t="s">
        <v>157</v>
      </c>
      <c r="AE2" s="27"/>
      <c r="AF2" s="40" t="s">
        <v>158</v>
      </c>
      <c r="AG2" s="27"/>
      <c r="AH2" s="41" t="s">
        <v>159</v>
      </c>
      <c r="AI2" s="27"/>
      <c r="AK2" s="42" t="s">
        <v>157</v>
      </c>
      <c r="AL2" s="27"/>
      <c r="AM2" s="40" t="s">
        <v>158</v>
      </c>
      <c r="AN2" s="27"/>
      <c r="AO2" s="41" t="s">
        <v>159</v>
      </c>
      <c r="AP2" s="27"/>
      <c r="AR2" s="42" t="s">
        <v>157</v>
      </c>
      <c r="AS2" s="27"/>
      <c r="AT2" s="40" t="s">
        <v>158</v>
      </c>
      <c r="AU2" s="27"/>
      <c r="AV2" s="41" t="s">
        <v>159</v>
      </c>
      <c r="AW2" s="27"/>
      <c r="AY2" s="42" t="s">
        <v>157</v>
      </c>
      <c r="AZ2" s="27"/>
      <c r="BA2" s="40" t="s">
        <v>158</v>
      </c>
      <c r="BB2" s="27"/>
      <c r="BC2" s="41" t="s">
        <v>159</v>
      </c>
      <c r="BD2" s="27"/>
      <c r="BF2" s="42" t="s">
        <v>157</v>
      </c>
      <c r="BG2" s="27"/>
      <c r="BH2" s="40" t="s">
        <v>158</v>
      </c>
      <c r="BI2" s="27"/>
      <c r="BJ2" s="41" t="s">
        <v>159</v>
      </c>
      <c r="BK2" s="27"/>
      <c r="BM2" s="42" t="s">
        <v>157</v>
      </c>
      <c r="BN2" s="27"/>
      <c r="BO2" s="40" t="s">
        <v>158</v>
      </c>
      <c r="BP2" s="27"/>
      <c r="BQ2" s="41" t="s">
        <v>159</v>
      </c>
      <c r="BR2" s="27"/>
      <c r="BT2" s="42" t="s">
        <v>157</v>
      </c>
      <c r="BU2" s="27"/>
      <c r="BV2" s="40" t="s">
        <v>158</v>
      </c>
      <c r="BW2" s="27"/>
      <c r="BX2" s="41" t="s">
        <v>159</v>
      </c>
      <c r="BY2" s="27"/>
      <c r="CA2" s="42" t="s">
        <v>157</v>
      </c>
      <c r="CB2" s="27"/>
      <c r="CC2" s="40" t="s">
        <v>158</v>
      </c>
      <c r="CD2" s="27"/>
      <c r="CE2" s="41" t="s">
        <v>159</v>
      </c>
      <c r="CF2" s="27"/>
    </row>
    <row r="3" spans="1:84" x14ac:dyDescent="0.3">
      <c r="A3" s="15" t="s">
        <v>160</v>
      </c>
      <c r="B3" s="15" t="s">
        <v>161</v>
      </c>
      <c r="C3" s="15" t="s">
        <v>162</v>
      </c>
      <c r="D3" s="15" t="s">
        <v>163</v>
      </c>
      <c r="E3" s="15" t="s">
        <v>164</v>
      </c>
      <c r="F3" s="15" t="s">
        <v>163</v>
      </c>
      <c r="G3" s="15" t="s">
        <v>164</v>
      </c>
      <c r="H3" s="15" t="s">
        <v>160</v>
      </c>
      <c r="I3" s="15" t="s">
        <v>161</v>
      </c>
      <c r="J3" s="15" t="s">
        <v>162</v>
      </c>
      <c r="K3" s="15" t="s">
        <v>163</v>
      </c>
      <c r="L3" s="15" t="s">
        <v>164</v>
      </c>
      <c r="M3" s="15" t="s">
        <v>163</v>
      </c>
      <c r="N3" s="15" t="s">
        <v>164</v>
      </c>
      <c r="O3" s="15" t="s">
        <v>160</v>
      </c>
      <c r="P3" s="15" t="s">
        <v>161</v>
      </c>
      <c r="Q3" s="15" t="s">
        <v>162</v>
      </c>
      <c r="R3" s="15" t="s">
        <v>163</v>
      </c>
      <c r="S3" s="15" t="s">
        <v>164</v>
      </c>
      <c r="T3" s="15" t="s">
        <v>163</v>
      </c>
      <c r="U3" s="15" t="s">
        <v>164</v>
      </c>
      <c r="V3" s="15" t="s">
        <v>160</v>
      </c>
      <c r="W3" s="15" t="s">
        <v>161</v>
      </c>
      <c r="X3" s="15" t="s">
        <v>162</v>
      </c>
      <c r="Y3" s="15" t="s">
        <v>163</v>
      </c>
      <c r="Z3" s="15" t="s">
        <v>164</v>
      </c>
      <c r="AA3" s="15" t="s">
        <v>163</v>
      </c>
      <c r="AB3" s="15" t="s">
        <v>164</v>
      </c>
      <c r="AC3" s="15" t="s">
        <v>160</v>
      </c>
      <c r="AD3" s="15" t="s">
        <v>161</v>
      </c>
      <c r="AE3" s="15" t="s">
        <v>162</v>
      </c>
      <c r="AF3" s="15" t="s">
        <v>163</v>
      </c>
      <c r="AG3" s="15" t="s">
        <v>164</v>
      </c>
      <c r="AH3" s="15" t="s">
        <v>163</v>
      </c>
      <c r="AI3" s="15" t="s">
        <v>164</v>
      </c>
      <c r="AJ3" s="15" t="s">
        <v>160</v>
      </c>
      <c r="AK3" s="15" t="s">
        <v>161</v>
      </c>
      <c r="AL3" s="15" t="s">
        <v>162</v>
      </c>
      <c r="AM3" s="15" t="s">
        <v>163</v>
      </c>
      <c r="AN3" s="15" t="s">
        <v>164</v>
      </c>
      <c r="AO3" s="15" t="s">
        <v>163</v>
      </c>
      <c r="AP3" s="15" t="s">
        <v>164</v>
      </c>
      <c r="AQ3" s="15" t="s">
        <v>160</v>
      </c>
      <c r="AR3" s="15" t="s">
        <v>161</v>
      </c>
      <c r="AS3" s="15" t="s">
        <v>162</v>
      </c>
      <c r="AT3" s="15" t="s">
        <v>163</v>
      </c>
      <c r="AU3" s="15" t="s">
        <v>164</v>
      </c>
      <c r="AV3" s="15" t="s">
        <v>163</v>
      </c>
      <c r="AW3" s="15" t="s">
        <v>164</v>
      </c>
      <c r="AX3" s="15" t="s">
        <v>160</v>
      </c>
      <c r="AY3" s="15" t="s">
        <v>161</v>
      </c>
      <c r="AZ3" s="15" t="s">
        <v>162</v>
      </c>
      <c r="BA3" s="15" t="s">
        <v>163</v>
      </c>
      <c r="BB3" s="15" t="s">
        <v>164</v>
      </c>
      <c r="BC3" s="15" t="s">
        <v>163</v>
      </c>
      <c r="BD3" s="15" t="s">
        <v>164</v>
      </c>
      <c r="BE3" s="15" t="s">
        <v>160</v>
      </c>
      <c r="BF3" s="15" t="s">
        <v>161</v>
      </c>
      <c r="BG3" s="15" t="s">
        <v>162</v>
      </c>
      <c r="BH3" s="15" t="s">
        <v>163</v>
      </c>
      <c r="BI3" s="15" t="s">
        <v>164</v>
      </c>
      <c r="BJ3" s="15" t="s">
        <v>163</v>
      </c>
      <c r="BK3" s="15" t="s">
        <v>164</v>
      </c>
      <c r="BL3" s="15" t="s">
        <v>160</v>
      </c>
      <c r="BM3" s="15" t="s">
        <v>161</v>
      </c>
      <c r="BN3" s="15" t="s">
        <v>162</v>
      </c>
      <c r="BO3" s="15" t="s">
        <v>163</v>
      </c>
      <c r="BP3" s="15" t="s">
        <v>164</v>
      </c>
      <c r="BQ3" s="15" t="s">
        <v>163</v>
      </c>
      <c r="BR3" s="15" t="s">
        <v>164</v>
      </c>
      <c r="BS3" s="15" t="s">
        <v>160</v>
      </c>
      <c r="BT3" s="15" t="s">
        <v>161</v>
      </c>
      <c r="BU3" s="15" t="s">
        <v>162</v>
      </c>
      <c r="BV3" s="15" t="s">
        <v>163</v>
      </c>
      <c r="BW3" s="15" t="s">
        <v>164</v>
      </c>
      <c r="BX3" s="15" t="s">
        <v>163</v>
      </c>
      <c r="BY3" s="15" t="s">
        <v>164</v>
      </c>
      <c r="BZ3" s="15" t="s">
        <v>160</v>
      </c>
      <c r="CA3" s="15" t="s">
        <v>161</v>
      </c>
      <c r="CB3" s="15" t="s">
        <v>162</v>
      </c>
      <c r="CC3" s="15" t="s">
        <v>163</v>
      </c>
      <c r="CD3" s="15" t="s">
        <v>164</v>
      </c>
      <c r="CE3" s="15" t="s">
        <v>163</v>
      </c>
      <c r="CF3" s="15" t="s">
        <v>164</v>
      </c>
    </row>
    <row r="4" spans="1:84" x14ac:dyDescent="0.3">
      <c r="A4" s="4" t="s">
        <v>165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165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165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165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165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165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165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165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165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165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165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165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3">
      <c r="A5" s="4" t="s">
        <v>166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166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166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166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166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166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166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166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166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166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166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166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3">
      <c r="A6" s="4" t="s">
        <v>167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167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167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167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167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167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167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167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167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167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167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167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3">
      <c r="A7" s="4" t="s">
        <v>168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168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168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168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168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168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168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168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168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168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168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168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3">
      <c r="A8" s="4" t="s">
        <v>169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169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169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169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169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169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169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169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169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169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169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169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3">
      <c r="A9" s="4" t="s">
        <v>170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170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170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170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170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170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170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170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170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170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170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170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3">
      <c r="A10" s="4" t="s">
        <v>171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171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171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171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171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171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171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171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171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171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171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171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3">
      <c r="A11" s="4" t="s">
        <v>172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172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172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172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172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172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172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172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172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172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172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172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3">
      <c r="A12" s="4" t="s">
        <v>173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173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173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173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173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173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173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173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173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173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173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173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3">
      <c r="A13" s="4" t="s">
        <v>174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174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174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174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174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174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174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174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174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174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174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174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3">
      <c r="A14" s="4" t="s">
        <v>175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175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175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175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175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175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175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175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175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175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175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175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3">
      <c r="A15" s="4" t="s">
        <v>176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176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176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176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176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176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176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176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176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176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176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176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3">
      <c r="A16" s="9" t="s">
        <v>177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177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177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177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177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177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177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177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177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177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177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177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4.4" x14ac:dyDescent="0.3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6" x14ac:dyDescent="0.3">
      <c r="A1" s="35" t="s">
        <v>178</v>
      </c>
      <c r="B1" s="27"/>
      <c r="C1" s="27"/>
      <c r="D1" s="27"/>
      <c r="E1" s="27"/>
      <c r="F1" s="27"/>
      <c r="G1" s="27"/>
      <c r="H1" s="27"/>
    </row>
    <row r="2" spans="1:8" x14ac:dyDescent="0.3">
      <c r="A2" s="3" t="s">
        <v>179</v>
      </c>
      <c r="B2" s="3" t="s">
        <v>180</v>
      </c>
      <c r="C2" s="3" t="s">
        <v>181</v>
      </c>
      <c r="D2" s="3" t="s">
        <v>182</v>
      </c>
      <c r="E2" s="3" t="s">
        <v>87</v>
      </c>
      <c r="F2" s="3" t="s">
        <v>89</v>
      </c>
      <c r="G2" s="3" t="s">
        <v>183</v>
      </c>
      <c r="H2" s="3" t="s">
        <v>90</v>
      </c>
    </row>
    <row r="43" spans="1:8" ht="15.6" x14ac:dyDescent="0.3">
      <c r="A43" s="35" t="s">
        <v>184</v>
      </c>
      <c r="B43" s="27"/>
      <c r="C43" s="27"/>
      <c r="D43" s="27"/>
      <c r="E43" s="27"/>
      <c r="F43" s="27"/>
      <c r="G43" s="27"/>
      <c r="H43" s="27"/>
    </row>
    <row r="44" spans="1:8" x14ac:dyDescent="0.3">
      <c r="A44" s="3" t="s">
        <v>179</v>
      </c>
      <c r="B44" s="3" t="s">
        <v>180</v>
      </c>
      <c r="C44" s="3" t="s">
        <v>181</v>
      </c>
      <c r="D44" s="3" t="s">
        <v>182</v>
      </c>
      <c r="E44" s="3" t="s">
        <v>87</v>
      </c>
      <c r="F44" s="3" t="s">
        <v>89</v>
      </c>
      <c r="G44" s="3" t="s">
        <v>183</v>
      </c>
      <c r="H44" s="3" t="s">
        <v>90</v>
      </c>
    </row>
    <row r="85" spans="1:8" ht="15.6" x14ac:dyDescent="0.3">
      <c r="A85" s="35" t="s">
        <v>185</v>
      </c>
      <c r="B85" s="27"/>
      <c r="C85" s="27"/>
      <c r="D85" s="27"/>
      <c r="E85" s="27"/>
      <c r="F85" s="27"/>
      <c r="G85" s="27"/>
      <c r="H85" s="27"/>
    </row>
    <row r="86" spans="1:8" x14ac:dyDescent="0.3">
      <c r="A86" s="3" t="s">
        <v>179</v>
      </c>
      <c r="B86" s="3" t="s">
        <v>180</v>
      </c>
      <c r="C86" s="3" t="s">
        <v>181</v>
      </c>
      <c r="D86" s="3" t="s">
        <v>182</v>
      </c>
      <c r="E86" s="3" t="s">
        <v>87</v>
      </c>
      <c r="F86" s="3" t="s">
        <v>89</v>
      </c>
      <c r="G86" s="3" t="s">
        <v>183</v>
      </c>
      <c r="H86" s="3" t="s">
        <v>90</v>
      </c>
    </row>
    <row r="127" spans="1:8" ht="15.6" x14ac:dyDescent="0.3">
      <c r="A127" s="35" t="s">
        <v>186</v>
      </c>
      <c r="B127" s="27"/>
      <c r="C127" s="27"/>
      <c r="D127" s="27"/>
      <c r="E127" s="27"/>
      <c r="F127" s="27"/>
      <c r="G127" s="27"/>
      <c r="H127" s="27"/>
    </row>
    <row r="128" spans="1:8" x14ac:dyDescent="0.3">
      <c r="A128" s="3" t="s">
        <v>179</v>
      </c>
      <c r="B128" s="3" t="s">
        <v>180</v>
      </c>
      <c r="C128" s="3" t="s">
        <v>181</v>
      </c>
      <c r="D128" s="3" t="s">
        <v>182</v>
      </c>
      <c r="E128" s="3" t="s">
        <v>87</v>
      </c>
      <c r="F128" s="3" t="s">
        <v>89</v>
      </c>
      <c r="G128" s="3" t="s">
        <v>183</v>
      </c>
      <c r="H128" s="3" t="s">
        <v>90</v>
      </c>
    </row>
    <row r="169" spans="1:8" ht="15.6" x14ac:dyDescent="0.3">
      <c r="A169" s="35" t="s">
        <v>187</v>
      </c>
      <c r="B169" s="27"/>
      <c r="C169" s="27"/>
      <c r="D169" s="27"/>
      <c r="E169" s="27"/>
      <c r="F169" s="27"/>
      <c r="G169" s="27"/>
      <c r="H169" s="27"/>
    </row>
    <row r="170" spans="1:8" x14ac:dyDescent="0.3">
      <c r="A170" s="3" t="s">
        <v>179</v>
      </c>
      <c r="B170" s="3" t="s">
        <v>180</v>
      </c>
      <c r="C170" s="3" t="s">
        <v>181</v>
      </c>
      <c r="D170" s="3" t="s">
        <v>182</v>
      </c>
      <c r="E170" s="3" t="s">
        <v>87</v>
      </c>
      <c r="F170" s="3" t="s">
        <v>89</v>
      </c>
      <c r="G170" s="3" t="s">
        <v>183</v>
      </c>
      <c r="H170" s="3" t="s">
        <v>90</v>
      </c>
    </row>
    <row r="211" spans="1:8" ht="15.6" x14ac:dyDescent="0.3">
      <c r="A211" s="35" t="s">
        <v>188</v>
      </c>
      <c r="B211" s="27"/>
      <c r="C211" s="27"/>
      <c r="D211" s="27"/>
      <c r="E211" s="27"/>
      <c r="F211" s="27"/>
      <c r="G211" s="27"/>
      <c r="H211" s="27"/>
    </row>
    <row r="212" spans="1:8" x14ac:dyDescent="0.3">
      <c r="A212" s="3" t="s">
        <v>179</v>
      </c>
      <c r="B212" s="3" t="s">
        <v>180</v>
      </c>
      <c r="C212" s="3" t="s">
        <v>181</v>
      </c>
      <c r="D212" s="3" t="s">
        <v>182</v>
      </c>
      <c r="E212" s="3" t="s">
        <v>87</v>
      </c>
      <c r="F212" s="3" t="s">
        <v>89</v>
      </c>
      <c r="G212" s="3" t="s">
        <v>183</v>
      </c>
      <c r="H212" s="3" t="s">
        <v>90</v>
      </c>
    </row>
    <row r="253" spans="1:8" ht="15.6" x14ac:dyDescent="0.3">
      <c r="A253" s="35" t="s">
        <v>189</v>
      </c>
      <c r="B253" s="27"/>
      <c r="C253" s="27"/>
      <c r="D253" s="27"/>
      <c r="E253" s="27"/>
      <c r="F253" s="27"/>
      <c r="G253" s="27"/>
      <c r="H253" s="27"/>
    </row>
    <row r="254" spans="1:8" x14ac:dyDescent="0.3">
      <c r="A254" s="3" t="s">
        <v>179</v>
      </c>
      <c r="B254" s="3" t="s">
        <v>180</v>
      </c>
      <c r="C254" s="3" t="s">
        <v>181</v>
      </c>
      <c r="D254" s="3" t="s">
        <v>182</v>
      </c>
      <c r="E254" s="3" t="s">
        <v>87</v>
      </c>
      <c r="F254" s="3" t="s">
        <v>89</v>
      </c>
      <c r="G254" s="3" t="s">
        <v>183</v>
      </c>
      <c r="H254" s="3" t="s">
        <v>90</v>
      </c>
    </row>
    <row r="295" spans="1:8" ht="15.6" x14ac:dyDescent="0.3">
      <c r="A295" s="35" t="s">
        <v>190</v>
      </c>
      <c r="B295" s="27"/>
      <c r="C295" s="27"/>
      <c r="D295" s="27"/>
      <c r="E295" s="27"/>
      <c r="F295" s="27"/>
      <c r="G295" s="27"/>
      <c r="H295" s="27"/>
    </row>
    <row r="296" spans="1:8" x14ac:dyDescent="0.3">
      <c r="A296" s="3" t="s">
        <v>179</v>
      </c>
      <c r="B296" s="3" t="s">
        <v>180</v>
      </c>
      <c r="C296" s="3" t="s">
        <v>181</v>
      </c>
      <c r="D296" s="3" t="s">
        <v>182</v>
      </c>
      <c r="E296" s="3" t="s">
        <v>87</v>
      </c>
      <c r="F296" s="3" t="s">
        <v>89</v>
      </c>
      <c r="G296" s="3" t="s">
        <v>183</v>
      </c>
      <c r="H296" s="3" t="s">
        <v>90</v>
      </c>
    </row>
    <row r="337" spans="1:8" ht="15.6" x14ac:dyDescent="0.3">
      <c r="A337" s="35" t="s">
        <v>191</v>
      </c>
      <c r="B337" s="27"/>
      <c r="C337" s="27"/>
      <c r="D337" s="27"/>
      <c r="E337" s="27"/>
      <c r="F337" s="27"/>
      <c r="G337" s="27"/>
      <c r="H337" s="27"/>
    </row>
    <row r="338" spans="1:8" x14ac:dyDescent="0.3">
      <c r="A338" s="3" t="s">
        <v>179</v>
      </c>
      <c r="B338" s="3" t="s">
        <v>180</v>
      </c>
      <c r="C338" s="3" t="s">
        <v>181</v>
      </c>
      <c r="D338" s="3" t="s">
        <v>182</v>
      </c>
      <c r="E338" s="3" t="s">
        <v>87</v>
      </c>
      <c r="F338" s="3" t="s">
        <v>89</v>
      </c>
      <c r="G338" s="3" t="s">
        <v>183</v>
      </c>
      <c r="H338" s="3" t="s">
        <v>90</v>
      </c>
    </row>
    <row r="379" spans="1:8" ht="15.6" x14ac:dyDescent="0.3">
      <c r="A379" s="35" t="s">
        <v>192</v>
      </c>
      <c r="B379" s="27"/>
      <c r="C379" s="27"/>
      <c r="D379" s="27"/>
      <c r="E379" s="27"/>
      <c r="F379" s="27"/>
      <c r="G379" s="27"/>
      <c r="H379" s="27"/>
    </row>
    <row r="380" spans="1:8" x14ac:dyDescent="0.3">
      <c r="A380" s="3" t="s">
        <v>179</v>
      </c>
      <c r="B380" s="3" t="s">
        <v>180</v>
      </c>
      <c r="C380" s="3" t="s">
        <v>181</v>
      </c>
      <c r="D380" s="3" t="s">
        <v>182</v>
      </c>
      <c r="E380" s="3" t="s">
        <v>87</v>
      </c>
      <c r="F380" s="3" t="s">
        <v>89</v>
      </c>
      <c r="G380" s="3" t="s">
        <v>183</v>
      </c>
      <c r="H380" s="3" t="s">
        <v>90</v>
      </c>
    </row>
    <row r="421" spans="1:8" ht="15.6" x14ac:dyDescent="0.3">
      <c r="A421" s="35" t="s">
        <v>193</v>
      </c>
      <c r="B421" s="27"/>
      <c r="C421" s="27"/>
      <c r="D421" s="27"/>
      <c r="E421" s="27"/>
      <c r="F421" s="27"/>
      <c r="G421" s="27"/>
      <c r="H421" s="27"/>
    </row>
    <row r="422" spans="1:8" x14ac:dyDescent="0.3">
      <c r="A422" s="3" t="s">
        <v>179</v>
      </c>
      <c r="B422" s="3" t="s">
        <v>180</v>
      </c>
      <c r="C422" s="3" t="s">
        <v>181</v>
      </c>
      <c r="D422" s="3" t="s">
        <v>182</v>
      </c>
      <c r="E422" s="3" t="s">
        <v>87</v>
      </c>
      <c r="F422" s="3" t="s">
        <v>89</v>
      </c>
      <c r="G422" s="3" t="s">
        <v>183</v>
      </c>
      <c r="H422" s="3" t="s">
        <v>90</v>
      </c>
    </row>
    <row r="463" spans="1:8" ht="15.6" x14ac:dyDescent="0.3">
      <c r="A463" s="35" t="s">
        <v>194</v>
      </c>
      <c r="B463" s="27"/>
      <c r="C463" s="27"/>
      <c r="D463" s="27"/>
      <c r="E463" s="27"/>
      <c r="F463" s="27"/>
      <c r="G463" s="27"/>
      <c r="H463" s="27"/>
    </row>
    <row r="464" spans="1:8" x14ac:dyDescent="0.3">
      <c r="A464" s="3" t="s">
        <v>179</v>
      </c>
      <c r="B464" s="3" t="s">
        <v>180</v>
      </c>
      <c r="C464" s="3" t="s">
        <v>181</v>
      </c>
      <c r="D464" s="3" t="s">
        <v>182</v>
      </c>
      <c r="E464" s="3" t="s">
        <v>87</v>
      </c>
      <c r="F464" s="3" t="s">
        <v>89</v>
      </c>
      <c r="G464" s="3" t="s">
        <v>183</v>
      </c>
      <c r="H464" s="3" t="s">
        <v>90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4.4" x14ac:dyDescent="0.3"/>
  <cols>
    <col min="1" max="1" width="30" customWidth="1"/>
    <col min="2" max="14" width="10" customWidth="1"/>
  </cols>
  <sheetData>
    <row r="1" spans="1:14" ht="18" x14ac:dyDescent="0.3">
      <c r="A1" s="30" t="s">
        <v>195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3">
      <c r="A2" s="3" t="s">
        <v>196</v>
      </c>
      <c r="B2" s="3" t="s">
        <v>60</v>
      </c>
      <c r="C2" s="3" t="s">
        <v>61</v>
      </c>
      <c r="D2" s="3" t="s">
        <v>62</v>
      </c>
      <c r="E2" s="3" t="s">
        <v>63</v>
      </c>
      <c r="F2" s="3" t="s">
        <v>64</v>
      </c>
      <c r="G2" s="3" t="s">
        <v>65</v>
      </c>
      <c r="H2" s="3" t="s">
        <v>66</v>
      </c>
      <c r="I2" s="3" t="s">
        <v>67</v>
      </c>
      <c r="J2" s="3" t="s">
        <v>68</v>
      </c>
      <c r="K2" s="3" t="s">
        <v>69</v>
      </c>
      <c r="L2" s="3" t="s">
        <v>70</v>
      </c>
      <c r="M2" s="3" t="s">
        <v>71</v>
      </c>
      <c r="N2" s="3" t="s">
        <v>112</v>
      </c>
    </row>
    <row r="3" spans="1:14" x14ac:dyDescent="0.3">
      <c r="A3" s="2" t="s">
        <v>197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4.4" x14ac:dyDescent="0.3"/>
  <cols>
    <col min="1" max="1" width="18" customWidth="1"/>
    <col min="2" max="16" width="12" customWidth="1"/>
  </cols>
  <sheetData>
    <row r="1" spans="1:16" ht="18" x14ac:dyDescent="0.3">
      <c r="A1" s="30" t="s">
        <v>198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3" spans="1:16" ht="55.2" x14ac:dyDescent="0.3">
      <c r="A3" s="8" t="s">
        <v>132</v>
      </c>
      <c r="B3" s="8" t="s">
        <v>199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3">
      <c r="A4" s="22" t="s">
        <v>31</v>
      </c>
      <c r="B4" s="23">
        <f>IFERROR(INDEX(tblWardConfig[PrevYearRemaining],MATCH("MW",tblWardConfig[WardCode],0)),0)</f>
        <v>0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0</v>
      </c>
      <c r="E4" s="24">
        <f>SUMIFS(tblDaily[Discharges],tblDaily[WardCode],"MW")</f>
        <v>0</v>
      </c>
      <c r="F4" s="24">
        <f>SUMIFS(tblDaily[Deaths],tblDaily[WardCode],"MW")</f>
        <v>0</v>
      </c>
      <c r="G4" s="24">
        <f>SUMIFS(tblDaily[DeathsUnder24Hrs],tblDaily[WardCode],"MW")</f>
        <v>0</v>
      </c>
      <c r="H4" s="24">
        <f>SUMIFS(tblDaily[Remaining],tblDaily[WardCode],"MW")</f>
        <v>0</v>
      </c>
      <c r="I4" s="24">
        <f>SUMIFS(tblDaily[TransfersIn],tblDaily[WardCode],"MW")</f>
        <v>0</v>
      </c>
      <c r="J4" s="24">
        <f>SUMIFS(tblDaily[TransfersOut],tblDaily[WardCode],"MW")</f>
        <v>0</v>
      </c>
      <c r="K4" s="25">
        <f t="shared" ref="K4:K12" si="0">IFERROR(H4/365,0)</f>
        <v>0</v>
      </c>
      <c r="L4" s="25">
        <f t="shared" ref="L4:L12" si="1">IFERROR(H4/(E4+F4),0)</f>
        <v>0</v>
      </c>
      <c r="M4" s="25">
        <f t="shared" ref="M4:M12" si="2">IFERROR((C4*365-H4)/(E4+F4),0)</f>
        <v>0</v>
      </c>
      <c r="N4" s="25">
        <f t="shared" ref="N4:N12" si="3">IFERROR((E4+F4)/C4,0)</f>
        <v>0</v>
      </c>
      <c r="O4" s="25">
        <f t="shared" ref="O4:O12" si="4">IFERROR((H4/(C4*365))*100,0)</f>
        <v>0</v>
      </c>
      <c r="P4" s="25">
        <f t="shared" ref="P4:P12" si="5">IFERROR((F4/(D4+B4))*100,0)</f>
        <v>0</v>
      </c>
    </row>
    <row r="5" spans="1:16" x14ac:dyDescent="0.3">
      <c r="A5" s="22" t="s">
        <v>33</v>
      </c>
      <c r="B5" s="23">
        <f>IFERROR(INDEX(tblWardConfig[PrevYearRemaining],MATCH("FW",tblWardConfig[WardCode],0)),0)</f>
        <v>0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0</v>
      </c>
      <c r="E5" s="24">
        <f>SUMIFS(tblDaily[Discharges],tblDaily[WardCode],"FW")</f>
        <v>0</v>
      </c>
      <c r="F5" s="24">
        <f>SUMIFS(tblDaily[Deaths],tblDaily[WardCode],"FW")</f>
        <v>0</v>
      </c>
      <c r="G5" s="24">
        <f>SUMIFS(tblDaily[DeathsUnder24Hrs],tblDaily[WardCode],"FW")</f>
        <v>0</v>
      </c>
      <c r="H5" s="24">
        <f>SUMIFS(tblDaily[Remaining],tblDaily[WardCode],"FW")</f>
        <v>0</v>
      </c>
      <c r="I5" s="24">
        <f>SUMIFS(tblDaily[TransfersIn],tblDaily[WardCode],"FW")</f>
        <v>0</v>
      </c>
      <c r="J5" s="24">
        <f>SUMIFS(tblDaily[TransfersOut],tblDaily[WardCode],"FW")</f>
        <v>0</v>
      </c>
      <c r="K5" s="25">
        <f t="shared" si="0"/>
        <v>0</v>
      </c>
      <c r="L5" s="25">
        <f t="shared" si="1"/>
        <v>0</v>
      </c>
      <c r="M5" s="25">
        <f t="shared" si="2"/>
        <v>0</v>
      </c>
      <c r="N5" s="25">
        <f t="shared" si="3"/>
        <v>0</v>
      </c>
      <c r="O5" s="25">
        <f t="shared" si="4"/>
        <v>0</v>
      </c>
      <c r="P5" s="25">
        <f t="shared" si="5"/>
        <v>0</v>
      </c>
    </row>
    <row r="6" spans="1:16" x14ac:dyDescent="0.3">
      <c r="A6" s="22" t="s">
        <v>35</v>
      </c>
      <c r="B6" s="23">
        <f>IFERROR(INDEX(tblWardConfig[PrevYearRemaining],MATCH("CW",tblWardConfig[WardCode],0)),0)</f>
        <v>0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0</v>
      </c>
      <c r="E6" s="24">
        <f>SUMIFS(tblDaily[Discharges],tblDaily[WardCode],"CW")</f>
        <v>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0</v>
      </c>
      <c r="I6" s="24">
        <f>SUMIFS(tblDaily[TransfersIn],tblDaily[WardCode],"CW")</f>
        <v>0</v>
      </c>
      <c r="J6" s="24">
        <f>SUMIFS(tblDaily[TransfersOut],tblDaily[WardCode],"CW")</f>
        <v>0</v>
      </c>
      <c r="K6" s="25">
        <f t="shared" si="0"/>
        <v>0</v>
      </c>
      <c r="L6" s="25">
        <f t="shared" si="1"/>
        <v>0</v>
      </c>
      <c r="M6" s="25">
        <f t="shared" si="2"/>
        <v>0</v>
      </c>
      <c r="N6" s="25">
        <f t="shared" si="3"/>
        <v>0</v>
      </c>
      <c r="O6" s="25">
        <f t="shared" si="4"/>
        <v>0</v>
      </c>
      <c r="P6" s="25">
        <f t="shared" si="5"/>
        <v>0</v>
      </c>
    </row>
    <row r="7" spans="1:16" x14ac:dyDescent="0.3">
      <c r="A7" s="22" t="s">
        <v>37</v>
      </c>
      <c r="B7" s="23">
        <f>IFERROR(INDEX(tblWardConfig[PrevYearRemaining],MATCH("BF",tblWardConfig[WardCode],0)),0)</f>
        <v>0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0</v>
      </c>
      <c r="E7" s="24">
        <f>SUMIFS(tblDaily[Discharges],tblDaily[WardCode],"BF")</f>
        <v>0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0</v>
      </c>
      <c r="I7" s="24">
        <f>SUMIFS(tblDaily[TransfersIn],tblDaily[WardCode],"BF")</f>
        <v>0</v>
      </c>
      <c r="J7" s="24">
        <f>SUMIFS(tblDaily[TransfersOut],tblDaily[WardCode],"BF")</f>
        <v>0</v>
      </c>
      <c r="K7" s="25">
        <f t="shared" si="0"/>
        <v>0</v>
      </c>
      <c r="L7" s="25">
        <f t="shared" si="1"/>
        <v>0</v>
      </c>
      <c r="M7" s="25">
        <f t="shared" si="2"/>
        <v>0</v>
      </c>
      <c r="N7" s="25">
        <f t="shared" si="3"/>
        <v>0</v>
      </c>
      <c r="O7" s="25">
        <f t="shared" si="4"/>
        <v>0</v>
      </c>
      <c r="P7" s="25">
        <f t="shared" si="5"/>
        <v>0</v>
      </c>
    </row>
    <row r="8" spans="1:16" x14ac:dyDescent="0.3">
      <c r="A8" s="22" t="s">
        <v>39</v>
      </c>
      <c r="B8" s="23">
        <f>IFERROR(INDEX(tblWardConfig[PrevYearRemaining],MATCH("BG",tblWardConfig[WardCode],0)),0)</f>
        <v>0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0</v>
      </c>
      <c r="E8" s="24">
        <f>SUMIFS(tblDaily[Discharges],tblDaily[WardCode],"BG")</f>
        <v>0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0</v>
      </c>
      <c r="I8" s="24">
        <f>SUMIFS(tblDaily[TransfersIn],tblDaily[WardCode],"BG")</f>
        <v>0</v>
      </c>
      <c r="J8" s="24">
        <f>SUMIFS(tblDaily[TransfersOut],tblDaily[WardCode],"BG")</f>
        <v>0</v>
      </c>
      <c r="K8" s="25">
        <f t="shared" si="0"/>
        <v>0</v>
      </c>
      <c r="L8" s="25">
        <f t="shared" si="1"/>
        <v>0</v>
      </c>
      <c r="M8" s="25">
        <f t="shared" si="2"/>
        <v>0</v>
      </c>
      <c r="N8" s="25">
        <f t="shared" si="3"/>
        <v>0</v>
      </c>
      <c r="O8" s="25">
        <f t="shared" si="4"/>
        <v>0</v>
      </c>
      <c r="P8" s="25">
        <f t="shared" si="5"/>
        <v>0</v>
      </c>
    </row>
    <row r="9" spans="1:16" x14ac:dyDescent="0.3">
      <c r="A9" s="22" t="s">
        <v>41</v>
      </c>
      <c r="B9" s="23">
        <f>IFERROR(INDEX(tblWardConfig[PrevYearRemaining],MATCH("BH",tblWardConfig[WardCode],0)),0)</f>
        <v>0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0</v>
      </c>
      <c r="E9" s="24">
        <f>SUMIFS(tblDaily[Discharges],tblDaily[WardCode],"BH")</f>
        <v>0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0</v>
      </c>
      <c r="I9" s="24">
        <f>SUMIFS(tblDaily[TransfersIn],tblDaily[WardCode],"BH")</f>
        <v>0</v>
      </c>
      <c r="J9" s="24">
        <f>SUMIFS(tblDaily[TransfersOut],tblDaily[WardCode],"BH")</f>
        <v>0</v>
      </c>
      <c r="K9" s="25">
        <f t="shared" si="0"/>
        <v>0</v>
      </c>
      <c r="L9" s="25">
        <f t="shared" si="1"/>
        <v>0</v>
      </c>
      <c r="M9" s="25">
        <f t="shared" si="2"/>
        <v>0</v>
      </c>
      <c r="N9" s="25">
        <f t="shared" si="3"/>
        <v>0</v>
      </c>
      <c r="O9" s="25">
        <f t="shared" si="4"/>
        <v>0</v>
      </c>
      <c r="P9" s="25">
        <f t="shared" si="5"/>
        <v>0</v>
      </c>
    </row>
    <row r="10" spans="1:16" x14ac:dyDescent="0.3">
      <c r="A10" s="22" t="s">
        <v>43</v>
      </c>
      <c r="B10" s="23">
        <f>IFERROR(INDEX(tblWardConfig[PrevYearRemaining],MATCH("NICU",tblWardConfig[WardCode],0)),0)</f>
        <v>0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0</v>
      </c>
      <c r="E10" s="24">
        <f>SUMIFS(tblDaily[Discharges],tblDaily[WardCode],"NICU")</f>
        <v>0</v>
      </c>
      <c r="F10" s="24">
        <f>SUMIFS(tblDaily[Deaths],tblDaily[WardCode],"NICU")</f>
        <v>0</v>
      </c>
      <c r="G10" s="24">
        <f>SUMIFS(tblDaily[DeathsUnder24Hrs],tblDaily[WardCode],"NICU")</f>
        <v>0</v>
      </c>
      <c r="H10" s="24">
        <f>SUMIFS(tblDaily[Remaining],tblDaily[WardCode],"NICU")</f>
        <v>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0</v>
      </c>
      <c r="L10" s="25">
        <f t="shared" si="1"/>
        <v>0</v>
      </c>
      <c r="M10" s="25">
        <f t="shared" si="2"/>
        <v>0</v>
      </c>
      <c r="N10" s="25">
        <f t="shared" si="3"/>
        <v>0</v>
      </c>
      <c r="O10" s="25">
        <f t="shared" si="4"/>
        <v>0</v>
      </c>
      <c r="P10" s="25">
        <f t="shared" si="5"/>
        <v>0</v>
      </c>
    </row>
    <row r="11" spans="1:16" x14ac:dyDescent="0.3">
      <c r="A11" s="22" t="s">
        <v>45</v>
      </c>
      <c r="B11" s="23">
        <f>IFERROR(INDEX(tblWardConfig[PrevYearRemaining],MATCH("MAE",tblWardConfig[WardCode],0)),0)</f>
        <v>0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0</v>
      </c>
      <c r="E11" s="24">
        <f>SUMIFS(tblDaily[Discharges],tblDaily[WardCode],"MAE")</f>
        <v>0</v>
      </c>
      <c r="F11" s="24">
        <f>SUMIFS(tblDaily[Deaths],tblDaily[WardCode],"MAE")</f>
        <v>0</v>
      </c>
      <c r="G11" s="24">
        <f>SUMIFS(tblDaily[DeathsUnder24Hrs],tblDaily[WardCode],"MAE")</f>
        <v>0</v>
      </c>
      <c r="H11" s="24">
        <f>SUMIFS(tblDaily[Remaining],tblDaily[WardCode],"MAE")</f>
        <v>0</v>
      </c>
      <c r="I11" s="24">
        <f>SUMIFS(tblDaily[TransfersIn],tblDaily[WardCode],"MAE")</f>
        <v>0</v>
      </c>
      <c r="J11" s="24">
        <f>SUMIFS(tblDaily[TransfersOut],tblDaily[WardCode],"MAE")</f>
        <v>0</v>
      </c>
      <c r="K11" s="25">
        <f t="shared" si="0"/>
        <v>0</v>
      </c>
      <c r="L11" s="25">
        <f t="shared" si="1"/>
        <v>0</v>
      </c>
      <c r="M11" s="25">
        <f t="shared" si="2"/>
        <v>0</v>
      </c>
      <c r="N11" s="25">
        <f t="shared" si="3"/>
        <v>0</v>
      </c>
      <c r="O11" s="25">
        <f t="shared" si="4"/>
        <v>0</v>
      </c>
      <c r="P11" s="25">
        <f t="shared" si="5"/>
        <v>0</v>
      </c>
    </row>
    <row r="12" spans="1:16" x14ac:dyDescent="0.3">
      <c r="A12" s="22" t="s">
        <v>47</v>
      </c>
      <c r="B12" s="23">
        <f>IFERROR(INDEX(tblWardConfig[PrevYearRemaining],MATCH("FAE",tblWardConfig[WardCode],0)),0)</f>
        <v>0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0</v>
      </c>
      <c r="E12" s="24">
        <f>SUMIFS(tblDaily[Discharges],tblDaily[WardCode],"FAE")</f>
        <v>0</v>
      </c>
      <c r="F12" s="24">
        <f>SUMIFS(tblDaily[Deaths],tblDaily[WardCode],"FAE")</f>
        <v>0</v>
      </c>
      <c r="G12" s="24">
        <f>SUMIFS(tblDaily[DeathsUnder24Hrs],tblDaily[WardCode],"FAE")</f>
        <v>0</v>
      </c>
      <c r="H12" s="24">
        <f>SUMIFS(tblDaily[Remaining],tblDaily[WardCode],"FAE")</f>
        <v>0</v>
      </c>
      <c r="I12" s="24">
        <f>SUMIFS(tblDaily[TransfersIn],tblDaily[WardCode],"FAE")</f>
        <v>0</v>
      </c>
      <c r="J12" s="24">
        <f>SUMIFS(tblDaily[TransfersOut],tblDaily[WardCode],"FAE")</f>
        <v>0</v>
      </c>
      <c r="K12" s="25">
        <f t="shared" si="0"/>
        <v>0</v>
      </c>
      <c r="L12" s="25">
        <f t="shared" si="1"/>
        <v>0</v>
      </c>
      <c r="M12" s="25">
        <f t="shared" si="2"/>
        <v>0</v>
      </c>
      <c r="N12" s="25">
        <f t="shared" si="3"/>
        <v>0</v>
      </c>
      <c r="O12" s="25">
        <f t="shared" si="4"/>
        <v>0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4.4" x14ac:dyDescent="0.3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" x14ac:dyDescent="0.3">
      <c r="A1" s="30" t="s">
        <v>200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x14ac:dyDescent="0.3">
      <c r="A2" s="3" t="s">
        <v>179</v>
      </c>
      <c r="B2" s="3" t="s">
        <v>201</v>
      </c>
      <c r="C2" s="3" t="s">
        <v>73</v>
      </c>
      <c r="D2" s="3" t="s">
        <v>183</v>
      </c>
      <c r="E2" s="3" t="s">
        <v>202</v>
      </c>
      <c r="F2" s="3" t="s">
        <v>203</v>
      </c>
      <c r="G2" s="3" t="s">
        <v>87</v>
      </c>
      <c r="H2" s="3" t="s">
        <v>89</v>
      </c>
      <c r="I2" s="3" t="s">
        <v>204</v>
      </c>
      <c r="J2" s="3" t="s">
        <v>205</v>
      </c>
    </row>
    <row r="3" spans="1:10" x14ac:dyDescent="0.3">
      <c r="A3" s="2" t="s">
        <v>197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2026-02-17T07:13:56Z</dcterms:created>
  <dcterms:modified xsi:type="dcterms:W3CDTF">2026-02-17T07:14:17Z</dcterms:modified>
</cp:coreProperties>
</file>